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BRENDON OLEGHE\AppData\Local\Temp\claude\c--Users-BRENDON-OLEGHE-MY-WEB-PROJECTS-Ripe-Website-App\58eae64d-ccb8-4a82-ae23-a77aeaeb8a4a\scratchpad\output\"/>
    </mc:Choice>
  </mc:AlternateContent>
  <xr:revisionPtr revIDLastSave="0" documentId="13_ncr:1_{E8EC2D49-1ADF-4484-AB3A-7ED7C4D58A02}" xr6:coauthVersionLast="47" xr6:coauthVersionMax="47" xr10:uidLastSave="{00000000-0000-0000-0000-000000000000}"/>
  <bookViews>
    <workbookView xWindow="-120" yWindow="-120" windowWidth="20730" windowHeight="11040" tabRatio="500" xr2:uid="{00000000-000D-0000-FFFF-FFFF00000000}"/>
  </bookViews>
  <sheets>
    <sheet name="Start Here" sheetId="1" r:id="rId1"/>
    <sheet name="Produce" sheetId="2" r:id="rId2"/>
    <sheet name="Seasonal Calendar" sheetId="3" r:id="rId3"/>
    <sheet name="Nutrition" sheetId="4" r:id="rId4"/>
    <sheet name="Recipes" sheetId="5" r:id="rId5"/>
    <sheet name="Recipe Ingredients" sheetId="6" r:id="rId6"/>
    <sheet name="Box Ideas" sheetId="7" r:id="rId7"/>
    <sheet name="Market Scan" sheetId="8" r:id="rId8"/>
    <sheet name="Sources" sheetId="9" r:id="rId9"/>
  </sheets>
  <definedNames>
    <definedName name="_xlnm._FilterDatabase" localSheetId="6" hidden="1">'Box Ideas'!$A$1:$F$14</definedName>
    <definedName name="_xlnm._FilterDatabase" localSheetId="3" hidden="1">Nutrition!$A$1:$S$85</definedName>
    <definedName name="_xlnm._FilterDatabase" localSheetId="1" hidden="1">Produce!$A$1:$X$85</definedName>
    <definedName name="_xlnm._FilterDatabase" localSheetId="5" hidden="1">'Recipe Ingredients'!$A$1:$S$1405</definedName>
    <definedName name="_xlnm._FilterDatabase" localSheetId="4" hidden="1">Recipes!$A$1:$BB$157</definedName>
    <definedName name="_xlnm._FilterDatabase" localSheetId="2" hidden="1">'Seasonal Calendar'!$A$1:$P$85</definedName>
    <definedName name="_xlnm._FilterDatabase" localSheetId="8" hidden="1">Sources!$A$1:$C$175</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S1405" i="6" l="1"/>
  <c r="R1405" i="6"/>
  <c r="Q1405" i="6"/>
  <c r="P1405" i="6"/>
  <c r="O1405" i="6"/>
  <c r="N1405" i="6"/>
  <c r="M1405" i="6"/>
  <c r="L1405" i="6"/>
  <c r="K1405" i="6"/>
  <c r="J1405" i="6"/>
  <c r="B1405" i="6"/>
  <c r="S1404" i="6"/>
  <c r="AE157" i="5" s="1"/>
  <c r="AO157" i="5" s="1"/>
  <c r="R1404" i="6"/>
  <c r="Q1404" i="6"/>
  <c r="P1404" i="6"/>
  <c r="O1404" i="6"/>
  <c r="AA157" i="5" s="1"/>
  <c r="AK157" i="5" s="1"/>
  <c r="N1404" i="6"/>
  <c r="M1404" i="6"/>
  <c r="L1404" i="6"/>
  <c r="K1404" i="6"/>
  <c r="W157" i="5" s="1"/>
  <c r="AG157" i="5" s="1"/>
  <c r="J1404" i="6"/>
  <c r="B1404" i="6"/>
  <c r="S1403" i="6"/>
  <c r="R1403" i="6"/>
  <c r="AD157" i="5" s="1"/>
  <c r="AN157" i="5" s="1"/>
  <c r="Q1403" i="6"/>
  <c r="P1403" i="6"/>
  <c r="O1403" i="6"/>
  <c r="N1403" i="6"/>
  <c r="Z157" i="5" s="1"/>
  <c r="AJ157" i="5" s="1"/>
  <c r="M1403" i="6"/>
  <c r="L1403" i="6"/>
  <c r="K1403" i="6"/>
  <c r="J1403" i="6"/>
  <c r="V157" i="5" s="1"/>
  <c r="AF157" i="5" s="1"/>
  <c r="B1403" i="6"/>
  <c r="S1402" i="6"/>
  <c r="R1402" i="6"/>
  <c r="Q1402" i="6"/>
  <c r="AC157" i="5" s="1"/>
  <c r="AM157" i="5" s="1"/>
  <c r="P1402" i="6"/>
  <c r="O1402" i="6"/>
  <c r="N1402" i="6"/>
  <c r="M1402" i="6"/>
  <c r="Y157" i="5" s="1"/>
  <c r="AI157" i="5" s="1"/>
  <c r="L1402" i="6"/>
  <c r="K1402" i="6"/>
  <c r="J1402" i="6"/>
  <c r="B1402" i="6"/>
  <c r="S1401" i="6"/>
  <c r="R1401" i="6"/>
  <c r="Q1401" i="6"/>
  <c r="P1401" i="6"/>
  <c r="AB157" i="5" s="1"/>
  <c r="AL157" i="5" s="1"/>
  <c r="O1401" i="6"/>
  <c r="N1401" i="6"/>
  <c r="M1401" i="6"/>
  <c r="L1401" i="6"/>
  <c r="X157" i="5" s="1"/>
  <c r="AH157" i="5" s="1"/>
  <c r="K1401" i="6"/>
  <c r="J1401" i="6"/>
  <c r="B1401" i="6"/>
  <c r="S1400" i="6"/>
  <c r="R1400" i="6"/>
  <c r="Q1400" i="6"/>
  <c r="P1400" i="6"/>
  <c r="O1400" i="6"/>
  <c r="N1400" i="6"/>
  <c r="M1400" i="6"/>
  <c r="L1400" i="6"/>
  <c r="K1400" i="6"/>
  <c r="J1400" i="6"/>
  <c r="B1400" i="6"/>
  <c r="S1399" i="6"/>
  <c r="R1399" i="6"/>
  <c r="AD156" i="5" s="1"/>
  <c r="AN156" i="5" s="1"/>
  <c r="Q1399" i="6"/>
  <c r="P1399" i="6"/>
  <c r="O1399" i="6"/>
  <c r="N1399" i="6"/>
  <c r="Z156" i="5" s="1"/>
  <c r="AJ156" i="5" s="1"/>
  <c r="M1399" i="6"/>
  <c r="L1399" i="6"/>
  <c r="K1399" i="6"/>
  <c r="J1399" i="6"/>
  <c r="V156" i="5" s="1"/>
  <c r="AF156" i="5" s="1"/>
  <c r="B1399" i="6"/>
  <c r="S1398" i="6"/>
  <c r="R1398" i="6"/>
  <c r="Q1398" i="6"/>
  <c r="AC156" i="5" s="1"/>
  <c r="AM156" i="5" s="1"/>
  <c r="P1398" i="6"/>
  <c r="O1398" i="6"/>
  <c r="N1398" i="6"/>
  <c r="M1398" i="6"/>
  <c r="Y156" i="5" s="1"/>
  <c r="AI156" i="5" s="1"/>
  <c r="L1398" i="6"/>
  <c r="K1398" i="6"/>
  <c r="J1398" i="6"/>
  <c r="B1398" i="6"/>
  <c r="S1397" i="6"/>
  <c r="R1397" i="6"/>
  <c r="Q1397" i="6"/>
  <c r="P1397" i="6"/>
  <c r="AB156" i="5" s="1"/>
  <c r="AL156" i="5" s="1"/>
  <c r="O1397" i="6"/>
  <c r="N1397" i="6"/>
  <c r="M1397" i="6"/>
  <c r="L1397" i="6"/>
  <c r="X156" i="5" s="1"/>
  <c r="AH156" i="5" s="1"/>
  <c r="K1397" i="6"/>
  <c r="J1397" i="6"/>
  <c r="B1397" i="6"/>
  <c r="S1396" i="6"/>
  <c r="AE156" i="5" s="1"/>
  <c r="AO156" i="5" s="1"/>
  <c r="R1396" i="6"/>
  <c r="Q1396" i="6"/>
  <c r="P1396" i="6"/>
  <c r="O1396" i="6"/>
  <c r="AA156" i="5" s="1"/>
  <c r="AK156" i="5" s="1"/>
  <c r="N1396" i="6"/>
  <c r="M1396" i="6"/>
  <c r="L1396" i="6"/>
  <c r="K1396" i="6"/>
  <c r="W156" i="5" s="1"/>
  <c r="AG156" i="5" s="1"/>
  <c r="J1396" i="6"/>
  <c r="B1396" i="6"/>
  <c r="S1395" i="6"/>
  <c r="R1395" i="6"/>
  <c r="Q1395" i="6"/>
  <c r="P1395" i="6"/>
  <c r="O1395" i="6"/>
  <c r="N1395" i="6"/>
  <c r="M1395" i="6"/>
  <c r="L1395" i="6"/>
  <c r="K1395" i="6"/>
  <c r="J1395" i="6"/>
  <c r="B1395" i="6"/>
  <c r="S1394" i="6"/>
  <c r="R1394" i="6"/>
  <c r="Q1394" i="6"/>
  <c r="P1394" i="6"/>
  <c r="O1394" i="6"/>
  <c r="N1394" i="6"/>
  <c r="M1394" i="6"/>
  <c r="L1394" i="6"/>
  <c r="K1394" i="6"/>
  <c r="J1394" i="6"/>
  <c r="B1394" i="6"/>
  <c r="S1393" i="6"/>
  <c r="R1393" i="6"/>
  <c r="Q1393" i="6"/>
  <c r="P1393" i="6"/>
  <c r="O1393" i="6"/>
  <c r="N1393" i="6"/>
  <c r="M1393" i="6"/>
  <c r="L1393" i="6"/>
  <c r="K1393" i="6"/>
  <c r="J1393" i="6"/>
  <c r="B1393" i="6"/>
  <c r="S1392" i="6"/>
  <c r="R1392" i="6"/>
  <c r="Q1392" i="6"/>
  <c r="P1392" i="6"/>
  <c r="O1392" i="6"/>
  <c r="N1392" i="6"/>
  <c r="M1392" i="6"/>
  <c r="L1392" i="6"/>
  <c r="K1392" i="6"/>
  <c r="J1392" i="6"/>
  <c r="B1392" i="6"/>
  <c r="S1391" i="6"/>
  <c r="R1391" i="6"/>
  <c r="Q1391" i="6"/>
  <c r="P1391" i="6"/>
  <c r="O1391" i="6"/>
  <c r="N1391" i="6"/>
  <c r="M1391" i="6"/>
  <c r="L1391" i="6"/>
  <c r="K1391" i="6"/>
  <c r="J1391" i="6"/>
  <c r="B1391" i="6"/>
  <c r="S1390" i="6"/>
  <c r="R1390" i="6"/>
  <c r="Q1390" i="6"/>
  <c r="AC155" i="5" s="1"/>
  <c r="AM155" i="5" s="1"/>
  <c r="P1390" i="6"/>
  <c r="O1390" i="6"/>
  <c r="N1390" i="6"/>
  <c r="M1390" i="6"/>
  <c r="Y155" i="5" s="1"/>
  <c r="AI155" i="5" s="1"/>
  <c r="L1390" i="6"/>
  <c r="K1390" i="6"/>
  <c r="J1390" i="6"/>
  <c r="B1390" i="6"/>
  <c r="S1389" i="6"/>
  <c r="R1389" i="6"/>
  <c r="Q1389" i="6"/>
  <c r="P1389" i="6"/>
  <c r="AB155" i="5" s="1"/>
  <c r="AL155" i="5" s="1"/>
  <c r="O1389" i="6"/>
  <c r="N1389" i="6"/>
  <c r="M1389" i="6"/>
  <c r="L1389" i="6"/>
  <c r="X155" i="5" s="1"/>
  <c r="AH155" i="5" s="1"/>
  <c r="K1389" i="6"/>
  <c r="J1389" i="6"/>
  <c r="B1389" i="6"/>
  <c r="S1388" i="6"/>
  <c r="AE155" i="5" s="1"/>
  <c r="AO155" i="5" s="1"/>
  <c r="R1388" i="6"/>
  <c r="Q1388" i="6"/>
  <c r="P1388" i="6"/>
  <c r="O1388" i="6"/>
  <c r="AA155" i="5" s="1"/>
  <c r="AK155" i="5" s="1"/>
  <c r="N1388" i="6"/>
  <c r="M1388" i="6"/>
  <c r="L1388" i="6"/>
  <c r="K1388" i="6"/>
  <c r="W155" i="5" s="1"/>
  <c r="AG155" i="5" s="1"/>
  <c r="J1388" i="6"/>
  <c r="B1388" i="6"/>
  <c r="S1387" i="6"/>
  <c r="R1387" i="6"/>
  <c r="AD155" i="5" s="1"/>
  <c r="AN155" i="5" s="1"/>
  <c r="Q1387" i="6"/>
  <c r="P1387" i="6"/>
  <c r="O1387" i="6"/>
  <c r="N1387" i="6"/>
  <c r="Z155" i="5" s="1"/>
  <c r="AJ155" i="5" s="1"/>
  <c r="M1387" i="6"/>
  <c r="L1387" i="6"/>
  <c r="K1387" i="6"/>
  <c r="J1387" i="6"/>
  <c r="V155" i="5" s="1"/>
  <c r="AF155" i="5" s="1"/>
  <c r="B1387" i="6"/>
  <c r="S1386" i="6"/>
  <c r="R1386" i="6"/>
  <c r="Q1386" i="6"/>
  <c r="P1386" i="6"/>
  <c r="O1386" i="6"/>
  <c r="N1386" i="6"/>
  <c r="M1386" i="6"/>
  <c r="L1386" i="6"/>
  <c r="K1386" i="6"/>
  <c r="J1386" i="6"/>
  <c r="B1386" i="6"/>
  <c r="S1385" i="6"/>
  <c r="R1385" i="6"/>
  <c r="Q1385" i="6"/>
  <c r="P1385" i="6"/>
  <c r="O1385" i="6"/>
  <c r="N1385" i="6"/>
  <c r="M1385" i="6"/>
  <c r="L1385" i="6"/>
  <c r="K1385" i="6"/>
  <c r="J1385" i="6"/>
  <c r="B1385" i="6"/>
  <c r="S1384" i="6"/>
  <c r="R1384" i="6"/>
  <c r="Q1384" i="6"/>
  <c r="P1384" i="6"/>
  <c r="O1384" i="6"/>
  <c r="N1384" i="6"/>
  <c r="M1384" i="6"/>
  <c r="L1384" i="6"/>
  <c r="K1384" i="6"/>
  <c r="J1384" i="6"/>
  <c r="B1384" i="6"/>
  <c r="S1383" i="6"/>
  <c r="R1383" i="6"/>
  <c r="Q1383" i="6"/>
  <c r="P1383" i="6"/>
  <c r="O1383" i="6"/>
  <c r="N1383" i="6"/>
  <c r="M1383" i="6"/>
  <c r="L1383" i="6"/>
  <c r="K1383" i="6"/>
  <c r="J1383" i="6"/>
  <c r="B1383" i="6"/>
  <c r="S1382" i="6"/>
  <c r="R1382" i="6"/>
  <c r="Q1382" i="6"/>
  <c r="P1382" i="6"/>
  <c r="O1382" i="6"/>
  <c r="N1382" i="6"/>
  <c r="M1382" i="6"/>
  <c r="L1382" i="6"/>
  <c r="K1382" i="6"/>
  <c r="J1382" i="6"/>
  <c r="B1382" i="6"/>
  <c r="S1381" i="6"/>
  <c r="R1381" i="6"/>
  <c r="Q1381" i="6"/>
  <c r="P1381" i="6"/>
  <c r="O1381" i="6"/>
  <c r="N1381" i="6"/>
  <c r="M1381" i="6"/>
  <c r="L1381" i="6"/>
  <c r="K1381" i="6"/>
  <c r="J1381" i="6"/>
  <c r="B1381" i="6"/>
  <c r="S1380" i="6"/>
  <c r="R1380" i="6"/>
  <c r="Q1380" i="6"/>
  <c r="P1380" i="6"/>
  <c r="O1380" i="6"/>
  <c r="N1380" i="6"/>
  <c r="M1380" i="6"/>
  <c r="L1380" i="6"/>
  <c r="K1380" i="6"/>
  <c r="J1380" i="6"/>
  <c r="B1380" i="6"/>
  <c r="S1379" i="6"/>
  <c r="R1379" i="6"/>
  <c r="Q1379" i="6"/>
  <c r="P1379" i="6"/>
  <c r="O1379" i="6"/>
  <c r="N1379" i="6"/>
  <c r="M1379" i="6"/>
  <c r="L1379" i="6"/>
  <c r="K1379" i="6"/>
  <c r="J1379" i="6"/>
  <c r="B1379" i="6"/>
  <c r="S1378" i="6"/>
  <c r="R1378" i="6"/>
  <c r="Q1378" i="6"/>
  <c r="P1378" i="6"/>
  <c r="O1378" i="6"/>
  <c r="N1378" i="6"/>
  <c r="M1378" i="6"/>
  <c r="L1378" i="6"/>
  <c r="K1378" i="6"/>
  <c r="J1378" i="6"/>
  <c r="B1378" i="6"/>
  <c r="S1377" i="6"/>
  <c r="R1377" i="6"/>
  <c r="Q1377" i="6"/>
  <c r="P1377" i="6"/>
  <c r="AB154" i="5" s="1"/>
  <c r="AL154" i="5" s="1"/>
  <c r="O1377" i="6"/>
  <c r="N1377" i="6"/>
  <c r="M1377" i="6"/>
  <c r="L1377" i="6"/>
  <c r="X154" i="5" s="1"/>
  <c r="AH154" i="5" s="1"/>
  <c r="K1377" i="6"/>
  <c r="J1377" i="6"/>
  <c r="B1377" i="6"/>
  <c r="S1376" i="6"/>
  <c r="AE154" i="5" s="1"/>
  <c r="AO154" i="5" s="1"/>
  <c r="R1376" i="6"/>
  <c r="Q1376" i="6"/>
  <c r="P1376" i="6"/>
  <c r="O1376" i="6"/>
  <c r="AA154" i="5" s="1"/>
  <c r="AK154" i="5" s="1"/>
  <c r="N1376" i="6"/>
  <c r="M1376" i="6"/>
  <c r="L1376" i="6"/>
  <c r="K1376" i="6"/>
  <c r="W154" i="5" s="1"/>
  <c r="AG154" i="5" s="1"/>
  <c r="J1376" i="6"/>
  <c r="B1376" i="6"/>
  <c r="S1375" i="6"/>
  <c r="R1375" i="6"/>
  <c r="AD154" i="5" s="1"/>
  <c r="AN154" i="5" s="1"/>
  <c r="Q1375" i="6"/>
  <c r="P1375" i="6"/>
  <c r="O1375" i="6"/>
  <c r="N1375" i="6"/>
  <c r="Z154" i="5" s="1"/>
  <c r="AJ154" i="5" s="1"/>
  <c r="M1375" i="6"/>
  <c r="L1375" i="6"/>
  <c r="K1375" i="6"/>
  <c r="J1375" i="6"/>
  <c r="V154" i="5" s="1"/>
  <c r="AF154" i="5" s="1"/>
  <c r="B1375" i="6"/>
  <c r="S1374" i="6"/>
  <c r="R1374" i="6"/>
  <c r="Q1374" i="6"/>
  <c r="AC154" i="5" s="1"/>
  <c r="AM154" i="5" s="1"/>
  <c r="P1374" i="6"/>
  <c r="O1374" i="6"/>
  <c r="N1374" i="6"/>
  <c r="M1374" i="6"/>
  <c r="Y154" i="5" s="1"/>
  <c r="AI154" i="5" s="1"/>
  <c r="L1374" i="6"/>
  <c r="K1374" i="6"/>
  <c r="J1374" i="6"/>
  <c r="B1374" i="6"/>
  <c r="S1373" i="6"/>
  <c r="R1373" i="6"/>
  <c r="Q1373" i="6"/>
  <c r="P1373" i="6"/>
  <c r="AB153" i="5" s="1"/>
  <c r="AL153" i="5" s="1"/>
  <c r="O1373" i="6"/>
  <c r="N1373" i="6"/>
  <c r="M1373" i="6"/>
  <c r="L1373" i="6"/>
  <c r="X153" i="5" s="1"/>
  <c r="AH153" i="5" s="1"/>
  <c r="K1373" i="6"/>
  <c r="J1373" i="6"/>
  <c r="B1373" i="6"/>
  <c r="S1372" i="6"/>
  <c r="AE153" i="5" s="1"/>
  <c r="AO153" i="5" s="1"/>
  <c r="R1372" i="6"/>
  <c r="Q1372" i="6"/>
  <c r="P1372" i="6"/>
  <c r="O1372" i="6"/>
  <c r="AA153" i="5" s="1"/>
  <c r="AK153" i="5" s="1"/>
  <c r="N1372" i="6"/>
  <c r="M1372" i="6"/>
  <c r="L1372" i="6"/>
  <c r="K1372" i="6"/>
  <c r="W153" i="5" s="1"/>
  <c r="AG153" i="5" s="1"/>
  <c r="J1372" i="6"/>
  <c r="B1372" i="6"/>
  <c r="S1371" i="6"/>
  <c r="R1371" i="6"/>
  <c r="AD153" i="5" s="1"/>
  <c r="AN153" i="5" s="1"/>
  <c r="Q1371" i="6"/>
  <c r="P1371" i="6"/>
  <c r="O1371" i="6"/>
  <c r="N1371" i="6"/>
  <c r="Z153" i="5" s="1"/>
  <c r="AJ153" i="5" s="1"/>
  <c r="M1371" i="6"/>
  <c r="L1371" i="6"/>
  <c r="K1371" i="6"/>
  <c r="J1371" i="6"/>
  <c r="V153" i="5" s="1"/>
  <c r="AF153" i="5" s="1"/>
  <c r="B1371" i="6"/>
  <c r="S1370" i="6"/>
  <c r="R1370" i="6"/>
  <c r="Q1370" i="6"/>
  <c r="AC153" i="5" s="1"/>
  <c r="AM153" i="5" s="1"/>
  <c r="P1370" i="6"/>
  <c r="O1370" i="6"/>
  <c r="N1370" i="6"/>
  <c r="M1370" i="6"/>
  <c r="Y153" i="5" s="1"/>
  <c r="AI153" i="5" s="1"/>
  <c r="L1370" i="6"/>
  <c r="K1370" i="6"/>
  <c r="J1370" i="6"/>
  <c r="B1370" i="6"/>
  <c r="S1369" i="6"/>
  <c r="R1369" i="6"/>
  <c r="Q1369" i="6"/>
  <c r="P1369" i="6"/>
  <c r="O1369" i="6"/>
  <c r="N1369" i="6"/>
  <c r="M1369" i="6"/>
  <c r="L1369" i="6"/>
  <c r="K1369" i="6"/>
  <c r="J1369" i="6"/>
  <c r="B1369" i="6"/>
  <c r="S1368" i="6"/>
  <c r="R1368" i="6"/>
  <c r="Q1368" i="6"/>
  <c r="P1368" i="6"/>
  <c r="O1368" i="6"/>
  <c r="N1368" i="6"/>
  <c r="M1368" i="6"/>
  <c r="L1368" i="6"/>
  <c r="K1368" i="6"/>
  <c r="J1368" i="6"/>
  <c r="B1368" i="6"/>
  <c r="S1367" i="6"/>
  <c r="R1367" i="6"/>
  <c r="Q1367" i="6"/>
  <c r="P1367" i="6"/>
  <c r="O1367" i="6"/>
  <c r="N1367" i="6"/>
  <c r="M1367" i="6"/>
  <c r="L1367" i="6"/>
  <c r="K1367" i="6"/>
  <c r="J1367" i="6"/>
  <c r="B1367" i="6"/>
  <c r="S1366" i="6"/>
  <c r="R1366" i="6"/>
  <c r="Q1366" i="6"/>
  <c r="P1366" i="6"/>
  <c r="O1366" i="6"/>
  <c r="N1366" i="6"/>
  <c r="M1366" i="6"/>
  <c r="L1366" i="6"/>
  <c r="K1366" i="6"/>
  <c r="J1366" i="6"/>
  <c r="B1366" i="6"/>
  <c r="S1365" i="6"/>
  <c r="R1365" i="6"/>
  <c r="Q1365" i="6"/>
  <c r="P1365" i="6"/>
  <c r="O1365" i="6"/>
  <c r="N1365" i="6"/>
  <c r="M1365" i="6"/>
  <c r="L1365" i="6"/>
  <c r="K1365" i="6"/>
  <c r="J1365" i="6"/>
  <c r="B1365" i="6"/>
  <c r="S1364" i="6"/>
  <c r="R1364" i="6"/>
  <c r="Q1364" i="6"/>
  <c r="P1364" i="6"/>
  <c r="O1364" i="6"/>
  <c r="N1364" i="6"/>
  <c r="M1364" i="6"/>
  <c r="L1364" i="6"/>
  <c r="K1364" i="6"/>
  <c r="J1364" i="6"/>
  <c r="B1364" i="6"/>
  <c r="S1363" i="6"/>
  <c r="R1363" i="6"/>
  <c r="AD152" i="5" s="1"/>
  <c r="AN152" i="5" s="1"/>
  <c r="Q1363" i="6"/>
  <c r="P1363" i="6"/>
  <c r="O1363" i="6"/>
  <c r="N1363" i="6"/>
  <c r="Z152" i="5" s="1"/>
  <c r="AJ152" i="5" s="1"/>
  <c r="M1363" i="6"/>
  <c r="L1363" i="6"/>
  <c r="K1363" i="6"/>
  <c r="J1363" i="6"/>
  <c r="V152" i="5" s="1"/>
  <c r="AF152" i="5" s="1"/>
  <c r="B1363" i="6"/>
  <c r="S1362" i="6"/>
  <c r="R1362" i="6"/>
  <c r="Q1362" i="6"/>
  <c r="AC152" i="5" s="1"/>
  <c r="AM152" i="5" s="1"/>
  <c r="P1362" i="6"/>
  <c r="O1362" i="6"/>
  <c r="N1362" i="6"/>
  <c r="M1362" i="6"/>
  <c r="Y152" i="5" s="1"/>
  <c r="AI152" i="5" s="1"/>
  <c r="L1362" i="6"/>
  <c r="K1362" i="6"/>
  <c r="J1362" i="6"/>
  <c r="B1362" i="6"/>
  <c r="S1361" i="6"/>
  <c r="R1361" i="6"/>
  <c r="Q1361" i="6"/>
  <c r="P1361" i="6"/>
  <c r="AB152" i="5" s="1"/>
  <c r="AL152" i="5" s="1"/>
  <c r="O1361" i="6"/>
  <c r="N1361" i="6"/>
  <c r="M1361" i="6"/>
  <c r="L1361" i="6"/>
  <c r="X152" i="5" s="1"/>
  <c r="AH152" i="5" s="1"/>
  <c r="K1361" i="6"/>
  <c r="J1361" i="6"/>
  <c r="B1361" i="6"/>
  <c r="S1360" i="6"/>
  <c r="AE152" i="5" s="1"/>
  <c r="AO152" i="5" s="1"/>
  <c r="R1360" i="6"/>
  <c r="Q1360" i="6"/>
  <c r="P1360" i="6"/>
  <c r="O1360" i="6"/>
  <c r="AA152" i="5" s="1"/>
  <c r="AK152" i="5" s="1"/>
  <c r="N1360" i="6"/>
  <c r="M1360" i="6"/>
  <c r="L1360" i="6"/>
  <c r="K1360" i="6"/>
  <c r="W152" i="5" s="1"/>
  <c r="AG152" i="5" s="1"/>
  <c r="J1360" i="6"/>
  <c r="B1360" i="6"/>
  <c r="S1359" i="6"/>
  <c r="R1359" i="6"/>
  <c r="Q1359" i="6"/>
  <c r="P1359" i="6"/>
  <c r="O1359" i="6"/>
  <c r="N1359" i="6"/>
  <c r="M1359" i="6"/>
  <c r="L1359" i="6"/>
  <c r="K1359" i="6"/>
  <c r="J1359" i="6"/>
  <c r="B1359" i="6"/>
  <c r="S1358" i="6"/>
  <c r="R1358" i="6"/>
  <c r="Q1358" i="6"/>
  <c r="P1358" i="6"/>
  <c r="O1358" i="6"/>
  <c r="N1358" i="6"/>
  <c r="M1358" i="6"/>
  <c r="L1358" i="6"/>
  <c r="K1358" i="6"/>
  <c r="J1358" i="6"/>
  <c r="B1358" i="6"/>
  <c r="S1357" i="6"/>
  <c r="R1357" i="6"/>
  <c r="Q1357" i="6"/>
  <c r="P1357" i="6"/>
  <c r="O1357" i="6"/>
  <c r="N1357" i="6"/>
  <c r="M1357" i="6"/>
  <c r="L1357" i="6"/>
  <c r="K1357" i="6"/>
  <c r="J1357" i="6"/>
  <c r="B1357" i="6"/>
  <c r="S1356" i="6"/>
  <c r="R1356" i="6"/>
  <c r="Q1356" i="6"/>
  <c r="P1356" i="6"/>
  <c r="O1356" i="6"/>
  <c r="N1356" i="6"/>
  <c r="M1356" i="6"/>
  <c r="L1356" i="6"/>
  <c r="K1356" i="6"/>
  <c r="J1356" i="6"/>
  <c r="B1356" i="6"/>
  <c r="S1355" i="6"/>
  <c r="R1355" i="6"/>
  <c r="Q1355" i="6"/>
  <c r="P1355" i="6"/>
  <c r="O1355" i="6"/>
  <c r="N1355" i="6"/>
  <c r="M1355" i="6"/>
  <c r="L1355" i="6"/>
  <c r="K1355" i="6"/>
  <c r="J1355" i="6"/>
  <c r="B1355" i="6"/>
  <c r="S1354" i="6"/>
  <c r="R1354" i="6"/>
  <c r="Q1354" i="6"/>
  <c r="P1354" i="6"/>
  <c r="O1354" i="6"/>
  <c r="N1354" i="6"/>
  <c r="M1354" i="6"/>
  <c r="L1354" i="6"/>
  <c r="K1354" i="6"/>
  <c r="J1354" i="6"/>
  <c r="B1354" i="6"/>
  <c r="S1353" i="6"/>
  <c r="R1353" i="6"/>
  <c r="Q1353" i="6"/>
  <c r="P1353" i="6"/>
  <c r="O1353" i="6"/>
  <c r="N1353" i="6"/>
  <c r="M1353" i="6"/>
  <c r="L1353" i="6"/>
  <c r="K1353" i="6"/>
  <c r="J1353" i="6"/>
  <c r="B1353" i="6"/>
  <c r="S1352" i="6"/>
  <c r="AE151" i="5" s="1"/>
  <c r="AO151" i="5" s="1"/>
  <c r="R1352" i="6"/>
  <c r="Q1352" i="6"/>
  <c r="P1352" i="6"/>
  <c r="O1352" i="6"/>
  <c r="AA151" i="5" s="1"/>
  <c r="AK151" i="5" s="1"/>
  <c r="N1352" i="6"/>
  <c r="M1352" i="6"/>
  <c r="L1352" i="6"/>
  <c r="K1352" i="6"/>
  <c r="W151" i="5" s="1"/>
  <c r="AG151" i="5" s="1"/>
  <c r="J1352" i="6"/>
  <c r="B1352" i="6"/>
  <c r="S1351" i="6"/>
  <c r="R1351" i="6"/>
  <c r="AD151" i="5" s="1"/>
  <c r="AN151" i="5" s="1"/>
  <c r="Q1351" i="6"/>
  <c r="P1351" i="6"/>
  <c r="O1351" i="6"/>
  <c r="N1351" i="6"/>
  <c r="Z151" i="5" s="1"/>
  <c r="AJ151" i="5" s="1"/>
  <c r="M1351" i="6"/>
  <c r="L1351" i="6"/>
  <c r="K1351" i="6"/>
  <c r="J1351" i="6"/>
  <c r="V151" i="5" s="1"/>
  <c r="AF151" i="5" s="1"/>
  <c r="B1351" i="6"/>
  <c r="S1350" i="6"/>
  <c r="R1350" i="6"/>
  <c r="Q1350" i="6"/>
  <c r="AC151" i="5" s="1"/>
  <c r="AM151" i="5" s="1"/>
  <c r="P1350" i="6"/>
  <c r="O1350" i="6"/>
  <c r="N1350" i="6"/>
  <c r="M1350" i="6"/>
  <c r="Y151" i="5" s="1"/>
  <c r="AI151" i="5" s="1"/>
  <c r="L1350" i="6"/>
  <c r="K1350" i="6"/>
  <c r="J1350" i="6"/>
  <c r="B1350" i="6"/>
  <c r="S1349" i="6"/>
  <c r="R1349" i="6"/>
  <c r="Q1349" i="6"/>
  <c r="P1349" i="6"/>
  <c r="AB151" i="5" s="1"/>
  <c r="AL151" i="5" s="1"/>
  <c r="O1349" i="6"/>
  <c r="N1349" i="6"/>
  <c r="M1349" i="6"/>
  <c r="L1349" i="6"/>
  <c r="X151" i="5" s="1"/>
  <c r="AH151" i="5" s="1"/>
  <c r="K1349" i="6"/>
  <c r="J1349" i="6"/>
  <c r="B1349" i="6"/>
  <c r="S1348" i="6"/>
  <c r="R1348" i="6"/>
  <c r="Q1348" i="6"/>
  <c r="P1348" i="6"/>
  <c r="O1348" i="6"/>
  <c r="N1348" i="6"/>
  <c r="M1348" i="6"/>
  <c r="L1348" i="6"/>
  <c r="K1348" i="6"/>
  <c r="J1348" i="6"/>
  <c r="B1348" i="6"/>
  <c r="S1347" i="6"/>
  <c r="R1347" i="6"/>
  <c r="Q1347" i="6"/>
  <c r="P1347" i="6"/>
  <c r="O1347" i="6"/>
  <c r="N1347" i="6"/>
  <c r="M1347" i="6"/>
  <c r="L1347" i="6"/>
  <c r="K1347" i="6"/>
  <c r="J1347" i="6"/>
  <c r="B1347" i="6"/>
  <c r="S1346" i="6"/>
  <c r="R1346" i="6"/>
  <c r="Q1346" i="6"/>
  <c r="P1346" i="6"/>
  <c r="O1346" i="6"/>
  <c r="N1346" i="6"/>
  <c r="M1346" i="6"/>
  <c r="L1346" i="6"/>
  <c r="K1346" i="6"/>
  <c r="J1346" i="6"/>
  <c r="B1346" i="6"/>
  <c r="S1345" i="6"/>
  <c r="R1345" i="6"/>
  <c r="Q1345" i="6"/>
  <c r="P1345" i="6"/>
  <c r="O1345" i="6"/>
  <c r="N1345" i="6"/>
  <c r="M1345" i="6"/>
  <c r="L1345" i="6"/>
  <c r="K1345" i="6"/>
  <c r="J1345" i="6"/>
  <c r="B1345" i="6"/>
  <c r="S1344" i="6"/>
  <c r="R1344" i="6"/>
  <c r="Q1344" i="6"/>
  <c r="P1344" i="6"/>
  <c r="O1344" i="6"/>
  <c r="N1344" i="6"/>
  <c r="M1344" i="6"/>
  <c r="L1344" i="6"/>
  <c r="K1344" i="6"/>
  <c r="J1344" i="6"/>
  <c r="B1344" i="6"/>
  <c r="S1343" i="6"/>
  <c r="R1343" i="6"/>
  <c r="Q1343" i="6"/>
  <c r="P1343" i="6"/>
  <c r="O1343" i="6"/>
  <c r="N1343" i="6"/>
  <c r="M1343" i="6"/>
  <c r="L1343" i="6"/>
  <c r="K1343" i="6"/>
  <c r="J1343" i="6"/>
  <c r="B1343" i="6"/>
  <c r="S1342" i="6"/>
  <c r="R1342" i="6"/>
  <c r="Q1342" i="6"/>
  <c r="P1342" i="6"/>
  <c r="O1342" i="6"/>
  <c r="N1342" i="6"/>
  <c r="M1342" i="6"/>
  <c r="L1342" i="6"/>
  <c r="K1342" i="6"/>
  <c r="J1342" i="6"/>
  <c r="B1342" i="6"/>
  <c r="S1341" i="6"/>
  <c r="R1341" i="6"/>
  <c r="Q1341" i="6"/>
  <c r="P1341" i="6"/>
  <c r="AB150" i="5" s="1"/>
  <c r="AL150" i="5" s="1"/>
  <c r="O1341" i="6"/>
  <c r="N1341" i="6"/>
  <c r="M1341" i="6"/>
  <c r="L1341" i="6"/>
  <c r="X150" i="5" s="1"/>
  <c r="AH150" i="5" s="1"/>
  <c r="K1341" i="6"/>
  <c r="J1341" i="6"/>
  <c r="B1341" i="6"/>
  <c r="S1340" i="6"/>
  <c r="AE150" i="5" s="1"/>
  <c r="AO150" i="5" s="1"/>
  <c r="R1340" i="6"/>
  <c r="Q1340" i="6"/>
  <c r="P1340" i="6"/>
  <c r="O1340" i="6"/>
  <c r="AA150" i="5" s="1"/>
  <c r="AK150" i="5" s="1"/>
  <c r="N1340" i="6"/>
  <c r="M1340" i="6"/>
  <c r="L1340" i="6"/>
  <c r="K1340" i="6"/>
  <c r="W150" i="5" s="1"/>
  <c r="AG150" i="5" s="1"/>
  <c r="J1340" i="6"/>
  <c r="B1340" i="6"/>
  <c r="S1339" i="6"/>
  <c r="R1339" i="6"/>
  <c r="AD150" i="5" s="1"/>
  <c r="AN150" i="5" s="1"/>
  <c r="Q1339" i="6"/>
  <c r="P1339" i="6"/>
  <c r="O1339" i="6"/>
  <c r="N1339" i="6"/>
  <c r="Z150" i="5" s="1"/>
  <c r="AJ150" i="5" s="1"/>
  <c r="M1339" i="6"/>
  <c r="L1339" i="6"/>
  <c r="K1339" i="6"/>
  <c r="J1339" i="6"/>
  <c r="V150" i="5" s="1"/>
  <c r="AF150" i="5" s="1"/>
  <c r="B1339" i="6"/>
  <c r="S1338" i="6"/>
  <c r="R1338" i="6"/>
  <c r="Q1338" i="6"/>
  <c r="AC150" i="5" s="1"/>
  <c r="AM150" i="5" s="1"/>
  <c r="P1338" i="6"/>
  <c r="O1338" i="6"/>
  <c r="N1338" i="6"/>
  <c r="M1338" i="6"/>
  <c r="Y150" i="5" s="1"/>
  <c r="AI150" i="5" s="1"/>
  <c r="L1338" i="6"/>
  <c r="K1338" i="6"/>
  <c r="J1338" i="6"/>
  <c r="B1338" i="6"/>
  <c r="S1337" i="6"/>
  <c r="R1337" i="6"/>
  <c r="Q1337" i="6"/>
  <c r="P1337" i="6"/>
  <c r="O1337" i="6"/>
  <c r="N1337" i="6"/>
  <c r="M1337" i="6"/>
  <c r="L1337" i="6"/>
  <c r="K1337" i="6"/>
  <c r="J1337" i="6"/>
  <c r="B1337" i="6"/>
  <c r="S1336" i="6"/>
  <c r="R1336" i="6"/>
  <c r="Q1336" i="6"/>
  <c r="P1336" i="6"/>
  <c r="O1336" i="6"/>
  <c r="N1336" i="6"/>
  <c r="M1336" i="6"/>
  <c r="L1336" i="6"/>
  <c r="K1336" i="6"/>
  <c r="J1336" i="6"/>
  <c r="B1336" i="6"/>
  <c r="S1335" i="6"/>
  <c r="R1335" i="6"/>
  <c r="Q1335" i="6"/>
  <c r="P1335" i="6"/>
  <c r="O1335" i="6"/>
  <c r="N1335" i="6"/>
  <c r="M1335" i="6"/>
  <c r="L1335" i="6"/>
  <c r="K1335" i="6"/>
  <c r="J1335" i="6"/>
  <c r="B1335" i="6"/>
  <c r="S1334" i="6"/>
  <c r="R1334" i="6"/>
  <c r="Q1334" i="6"/>
  <c r="P1334" i="6"/>
  <c r="O1334" i="6"/>
  <c r="N1334" i="6"/>
  <c r="M1334" i="6"/>
  <c r="L1334" i="6"/>
  <c r="K1334" i="6"/>
  <c r="J1334" i="6"/>
  <c r="B1334" i="6"/>
  <c r="S1333" i="6"/>
  <c r="R1333" i="6"/>
  <c r="Q1333" i="6"/>
  <c r="P1333" i="6"/>
  <c r="O1333" i="6"/>
  <c r="N1333" i="6"/>
  <c r="M1333" i="6"/>
  <c r="L1333" i="6"/>
  <c r="K1333" i="6"/>
  <c r="J1333" i="6"/>
  <c r="B1333" i="6"/>
  <c r="S1332" i="6"/>
  <c r="R1332" i="6"/>
  <c r="Q1332" i="6"/>
  <c r="P1332" i="6"/>
  <c r="O1332" i="6"/>
  <c r="N1332" i="6"/>
  <c r="M1332" i="6"/>
  <c r="L1332" i="6"/>
  <c r="K1332" i="6"/>
  <c r="J1332" i="6"/>
  <c r="B1332" i="6"/>
  <c r="S1331" i="6"/>
  <c r="R1331" i="6"/>
  <c r="Q1331" i="6"/>
  <c r="P1331" i="6"/>
  <c r="O1331" i="6"/>
  <c r="N1331" i="6"/>
  <c r="M1331" i="6"/>
  <c r="L1331" i="6"/>
  <c r="K1331" i="6"/>
  <c r="J1331" i="6"/>
  <c r="B1331" i="6"/>
  <c r="S1330" i="6"/>
  <c r="R1330" i="6"/>
  <c r="Q1330" i="6"/>
  <c r="P1330" i="6"/>
  <c r="O1330" i="6"/>
  <c r="N1330" i="6"/>
  <c r="M1330" i="6"/>
  <c r="L1330" i="6"/>
  <c r="K1330" i="6"/>
  <c r="J1330" i="6"/>
  <c r="B1330" i="6"/>
  <c r="S1329" i="6"/>
  <c r="R1329" i="6"/>
  <c r="Q1329" i="6"/>
  <c r="P1329" i="6"/>
  <c r="AB149" i="5" s="1"/>
  <c r="AL149" i="5" s="1"/>
  <c r="O1329" i="6"/>
  <c r="N1329" i="6"/>
  <c r="M1329" i="6"/>
  <c r="L1329" i="6"/>
  <c r="X149" i="5" s="1"/>
  <c r="AH149" i="5" s="1"/>
  <c r="K1329" i="6"/>
  <c r="J1329" i="6"/>
  <c r="B1329" i="6"/>
  <c r="S1328" i="6"/>
  <c r="AE149" i="5" s="1"/>
  <c r="AO149" i="5" s="1"/>
  <c r="R1328" i="6"/>
  <c r="Q1328" i="6"/>
  <c r="P1328" i="6"/>
  <c r="O1328" i="6"/>
  <c r="AA149" i="5" s="1"/>
  <c r="AK149" i="5" s="1"/>
  <c r="N1328" i="6"/>
  <c r="M1328" i="6"/>
  <c r="L1328" i="6"/>
  <c r="K1328" i="6"/>
  <c r="W149" i="5" s="1"/>
  <c r="AG149" i="5" s="1"/>
  <c r="J1328" i="6"/>
  <c r="B1328" i="6"/>
  <c r="S1327" i="6"/>
  <c r="R1327" i="6"/>
  <c r="AD149" i="5" s="1"/>
  <c r="AN149" i="5" s="1"/>
  <c r="Q1327" i="6"/>
  <c r="P1327" i="6"/>
  <c r="O1327" i="6"/>
  <c r="N1327" i="6"/>
  <c r="Z149" i="5" s="1"/>
  <c r="AJ149" i="5" s="1"/>
  <c r="M1327" i="6"/>
  <c r="L1327" i="6"/>
  <c r="K1327" i="6"/>
  <c r="J1327" i="6"/>
  <c r="V149" i="5" s="1"/>
  <c r="AF149" i="5" s="1"/>
  <c r="B1327" i="6"/>
  <c r="S1326" i="6"/>
  <c r="R1326" i="6"/>
  <c r="Q1326" i="6"/>
  <c r="AC149" i="5" s="1"/>
  <c r="AM149" i="5" s="1"/>
  <c r="P1326" i="6"/>
  <c r="O1326" i="6"/>
  <c r="N1326" i="6"/>
  <c r="M1326" i="6"/>
  <c r="Y149" i="5" s="1"/>
  <c r="AI149" i="5" s="1"/>
  <c r="L1326" i="6"/>
  <c r="K1326" i="6"/>
  <c r="J1326" i="6"/>
  <c r="B1326" i="6"/>
  <c r="S1325" i="6"/>
  <c r="R1325" i="6"/>
  <c r="Q1325" i="6"/>
  <c r="P1325" i="6"/>
  <c r="O1325" i="6"/>
  <c r="N1325" i="6"/>
  <c r="M1325" i="6"/>
  <c r="L1325" i="6"/>
  <c r="K1325" i="6"/>
  <c r="J1325" i="6"/>
  <c r="B1325" i="6"/>
  <c r="S1324" i="6"/>
  <c r="R1324" i="6"/>
  <c r="Q1324" i="6"/>
  <c r="P1324" i="6"/>
  <c r="O1324" i="6"/>
  <c r="N1324" i="6"/>
  <c r="M1324" i="6"/>
  <c r="L1324" i="6"/>
  <c r="K1324" i="6"/>
  <c r="J1324" i="6"/>
  <c r="B1324" i="6"/>
  <c r="S1323" i="6"/>
  <c r="R1323" i="6"/>
  <c r="Q1323" i="6"/>
  <c r="P1323" i="6"/>
  <c r="O1323" i="6"/>
  <c r="N1323" i="6"/>
  <c r="M1323" i="6"/>
  <c r="L1323" i="6"/>
  <c r="K1323" i="6"/>
  <c r="J1323" i="6"/>
  <c r="B1323" i="6"/>
  <c r="S1322" i="6"/>
  <c r="R1322" i="6"/>
  <c r="Q1322" i="6"/>
  <c r="P1322" i="6"/>
  <c r="O1322" i="6"/>
  <c r="N1322" i="6"/>
  <c r="M1322" i="6"/>
  <c r="L1322" i="6"/>
  <c r="K1322" i="6"/>
  <c r="J1322" i="6"/>
  <c r="B1322" i="6"/>
  <c r="S1321" i="6"/>
  <c r="R1321" i="6"/>
  <c r="Q1321" i="6"/>
  <c r="P1321" i="6"/>
  <c r="O1321" i="6"/>
  <c r="N1321" i="6"/>
  <c r="M1321" i="6"/>
  <c r="L1321" i="6"/>
  <c r="K1321" i="6"/>
  <c r="J1321" i="6"/>
  <c r="B1321" i="6"/>
  <c r="S1320" i="6"/>
  <c r="R1320" i="6"/>
  <c r="Q1320" i="6"/>
  <c r="P1320" i="6"/>
  <c r="O1320" i="6"/>
  <c r="N1320" i="6"/>
  <c r="M1320" i="6"/>
  <c r="L1320" i="6"/>
  <c r="K1320" i="6"/>
  <c r="J1320" i="6"/>
  <c r="B1320" i="6"/>
  <c r="S1319" i="6"/>
  <c r="R1319" i="6"/>
  <c r="Q1319" i="6"/>
  <c r="P1319" i="6"/>
  <c r="O1319" i="6"/>
  <c r="N1319" i="6"/>
  <c r="M1319" i="6"/>
  <c r="L1319" i="6"/>
  <c r="K1319" i="6"/>
  <c r="J1319" i="6"/>
  <c r="B1319" i="6"/>
  <c r="S1318" i="6"/>
  <c r="R1318" i="6"/>
  <c r="Q1318" i="6"/>
  <c r="P1318" i="6"/>
  <c r="O1318" i="6"/>
  <c r="N1318" i="6"/>
  <c r="M1318" i="6"/>
  <c r="L1318" i="6"/>
  <c r="K1318" i="6"/>
  <c r="J1318" i="6"/>
  <c r="B1318" i="6"/>
  <c r="S1317" i="6"/>
  <c r="R1317" i="6"/>
  <c r="Q1317" i="6"/>
  <c r="P1317" i="6"/>
  <c r="O1317" i="6"/>
  <c r="N1317" i="6"/>
  <c r="M1317" i="6"/>
  <c r="L1317" i="6"/>
  <c r="K1317" i="6"/>
  <c r="J1317" i="6"/>
  <c r="B1317" i="6"/>
  <c r="S1316" i="6"/>
  <c r="R1316" i="6"/>
  <c r="Q1316" i="6"/>
  <c r="P1316" i="6"/>
  <c r="O1316" i="6"/>
  <c r="N1316" i="6"/>
  <c r="M1316" i="6"/>
  <c r="L1316" i="6"/>
  <c r="K1316" i="6"/>
  <c r="J1316" i="6"/>
  <c r="B1316" i="6"/>
  <c r="S1315" i="6"/>
  <c r="R1315" i="6"/>
  <c r="Q1315" i="6"/>
  <c r="P1315" i="6"/>
  <c r="O1315" i="6"/>
  <c r="N1315" i="6"/>
  <c r="M1315" i="6"/>
  <c r="L1315" i="6"/>
  <c r="K1315" i="6"/>
  <c r="J1315" i="6"/>
  <c r="B1315" i="6"/>
  <c r="S1314" i="6"/>
  <c r="R1314" i="6"/>
  <c r="Q1314" i="6"/>
  <c r="AC148" i="5" s="1"/>
  <c r="AM148" i="5" s="1"/>
  <c r="P1314" i="6"/>
  <c r="O1314" i="6"/>
  <c r="N1314" i="6"/>
  <c r="M1314" i="6"/>
  <c r="Y148" i="5" s="1"/>
  <c r="AI148" i="5" s="1"/>
  <c r="L1314" i="6"/>
  <c r="K1314" i="6"/>
  <c r="J1314" i="6"/>
  <c r="B1314" i="6"/>
  <c r="S1313" i="6"/>
  <c r="R1313" i="6"/>
  <c r="Q1313" i="6"/>
  <c r="P1313" i="6"/>
  <c r="AB148" i="5" s="1"/>
  <c r="AL148" i="5" s="1"/>
  <c r="O1313" i="6"/>
  <c r="N1313" i="6"/>
  <c r="M1313" i="6"/>
  <c r="L1313" i="6"/>
  <c r="X148" i="5" s="1"/>
  <c r="AH148" i="5" s="1"/>
  <c r="K1313" i="6"/>
  <c r="J1313" i="6"/>
  <c r="B1313" i="6"/>
  <c r="S1312" i="6"/>
  <c r="AE148" i="5" s="1"/>
  <c r="AO148" i="5" s="1"/>
  <c r="R1312" i="6"/>
  <c r="Q1312" i="6"/>
  <c r="P1312" i="6"/>
  <c r="O1312" i="6"/>
  <c r="AA148" i="5" s="1"/>
  <c r="AK148" i="5" s="1"/>
  <c r="N1312" i="6"/>
  <c r="M1312" i="6"/>
  <c r="L1312" i="6"/>
  <c r="K1312" i="6"/>
  <c r="W148" i="5" s="1"/>
  <c r="AG148" i="5" s="1"/>
  <c r="J1312" i="6"/>
  <c r="B1312" i="6"/>
  <c r="S1311" i="6"/>
  <c r="R1311" i="6"/>
  <c r="AD148" i="5" s="1"/>
  <c r="AN148" i="5" s="1"/>
  <c r="Q1311" i="6"/>
  <c r="P1311" i="6"/>
  <c r="O1311" i="6"/>
  <c r="N1311" i="6"/>
  <c r="Z148" i="5" s="1"/>
  <c r="AJ148" i="5" s="1"/>
  <c r="M1311" i="6"/>
  <c r="L1311" i="6"/>
  <c r="K1311" i="6"/>
  <c r="J1311" i="6"/>
  <c r="V148" i="5" s="1"/>
  <c r="AF148" i="5" s="1"/>
  <c r="B1311" i="6"/>
  <c r="S1310" i="6"/>
  <c r="R1310" i="6"/>
  <c r="Q1310" i="6"/>
  <c r="P1310" i="6"/>
  <c r="O1310" i="6"/>
  <c r="N1310" i="6"/>
  <c r="M1310" i="6"/>
  <c r="L1310" i="6"/>
  <c r="K1310" i="6"/>
  <c r="J1310" i="6"/>
  <c r="B1310" i="6"/>
  <c r="S1309" i="6"/>
  <c r="R1309" i="6"/>
  <c r="Q1309" i="6"/>
  <c r="P1309" i="6"/>
  <c r="O1309" i="6"/>
  <c r="N1309" i="6"/>
  <c r="M1309" i="6"/>
  <c r="L1309" i="6"/>
  <c r="K1309" i="6"/>
  <c r="J1309" i="6"/>
  <c r="B1309" i="6"/>
  <c r="S1308" i="6"/>
  <c r="R1308" i="6"/>
  <c r="Q1308" i="6"/>
  <c r="P1308" i="6"/>
  <c r="O1308" i="6"/>
  <c r="N1308" i="6"/>
  <c r="M1308" i="6"/>
  <c r="L1308" i="6"/>
  <c r="K1308" i="6"/>
  <c r="J1308" i="6"/>
  <c r="B1308" i="6"/>
  <c r="S1307" i="6"/>
  <c r="R1307" i="6"/>
  <c r="Q1307" i="6"/>
  <c r="P1307" i="6"/>
  <c r="O1307" i="6"/>
  <c r="N1307" i="6"/>
  <c r="M1307" i="6"/>
  <c r="L1307" i="6"/>
  <c r="K1307" i="6"/>
  <c r="J1307" i="6"/>
  <c r="B1307" i="6"/>
  <c r="S1306" i="6"/>
  <c r="R1306" i="6"/>
  <c r="Q1306" i="6"/>
  <c r="P1306" i="6"/>
  <c r="O1306" i="6"/>
  <c r="N1306" i="6"/>
  <c r="M1306" i="6"/>
  <c r="L1306" i="6"/>
  <c r="K1306" i="6"/>
  <c r="J1306" i="6"/>
  <c r="B1306" i="6"/>
  <c r="S1305" i="6"/>
  <c r="R1305" i="6"/>
  <c r="Q1305" i="6"/>
  <c r="P1305" i="6"/>
  <c r="O1305" i="6"/>
  <c r="N1305" i="6"/>
  <c r="M1305" i="6"/>
  <c r="L1305" i="6"/>
  <c r="K1305" i="6"/>
  <c r="J1305" i="6"/>
  <c r="B1305" i="6"/>
  <c r="S1304" i="6"/>
  <c r="R1304" i="6"/>
  <c r="Q1304" i="6"/>
  <c r="P1304" i="6"/>
  <c r="O1304" i="6"/>
  <c r="N1304" i="6"/>
  <c r="M1304" i="6"/>
  <c r="L1304" i="6"/>
  <c r="K1304" i="6"/>
  <c r="J1304" i="6"/>
  <c r="B1304" i="6"/>
  <c r="S1303" i="6"/>
  <c r="R1303" i="6"/>
  <c r="Q1303" i="6"/>
  <c r="P1303" i="6"/>
  <c r="O1303" i="6"/>
  <c r="N1303" i="6"/>
  <c r="M1303" i="6"/>
  <c r="L1303" i="6"/>
  <c r="K1303" i="6"/>
  <c r="J1303" i="6"/>
  <c r="B1303" i="6"/>
  <c r="S1302" i="6"/>
  <c r="R1302" i="6"/>
  <c r="Q1302" i="6"/>
  <c r="P1302" i="6"/>
  <c r="O1302" i="6"/>
  <c r="N1302" i="6"/>
  <c r="M1302" i="6"/>
  <c r="L1302" i="6"/>
  <c r="K1302" i="6"/>
  <c r="J1302" i="6"/>
  <c r="B1302" i="6"/>
  <c r="S1301" i="6"/>
  <c r="R1301" i="6"/>
  <c r="Q1301" i="6"/>
  <c r="P1301" i="6"/>
  <c r="AB147" i="5" s="1"/>
  <c r="AL147" i="5" s="1"/>
  <c r="O1301" i="6"/>
  <c r="N1301" i="6"/>
  <c r="M1301" i="6"/>
  <c r="L1301" i="6"/>
  <c r="X147" i="5" s="1"/>
  <c r="AH147" i="5" s="1"/>
  <c r="K1301" i="6"/>
  <c r="J1301" i="6"/>
  <c r="B1301" i="6"/>
  <c r="S1300" i="6"/>
  <c r="AE147" i="5" s="1"/>
  <c r="AO147" i="5" s="1"/>
  <c r="R1300" i="6"/>
  <c r="Q1300" i="6"/>
  <c r="P1300" i="6"/>
  <c r="O1300" i="6"/>
  <c r="AA147" i="5" s="1"/>
  <c r="AK147" i="5" s="1"/>
  <c r="N1300" i="6"/>
  <c r="M1300" i="6"/>
  <c r="L1300" i="6"/>
  <c r="K1300" i="6"/>
  <c r="W147" i="5" s="1"/>
  <c r="AG147" i="5" s="1"/>
  <c r="J1300" i="6"/>
  <c r="B1300" i="6"/>
  <c r="S1299" i="6"/>
  <c r="R1299" i="6"/>
  <c r="AD147" i="5" s="1"/>
  <c r="AN147" i="5" s="1"/>
  <c r="Q1299" i="6"/>
  <c r="P1299" i="6"/>
  <c r="O1299" i="6"/>
  <c r="N1299" i="6"/>
  <c r="Z147" i="5" s="1"/>
  <c r="AJ147" i="5" s="1"/>
  <c r="M1299" i="6"/>
  <c r="L1299" i="6"/>
  <c r="K1299" i="6"/>
  <c r="J1299" i="6"/>
  <c r="V147" i="5" s="1"/>
  <c r="AF147" i="5" s="1"/>
  <c r="B1299" i="6"/>
  <c r="S1298" i="6"/>
  <c r="R1298" i="6"/>
  <c r="Q1298" i="6"/>
  <c r="AC147" i="5" s="1"/>
  <c r="AM147" i="5" s="1"/>
  <c r="P1298" i="6"/>
  <c r="O1298" i="6"/>
  <c r="N1298" i="6"/>
  <c r="M1298" i="6"/>
  <c r="Y147" i="5" s="1"/>
  <c r="AI147" i="5" s="1"/>
  <c r="L1298" i="6"/>
  <c r="K1298" i="6"/>
  <c r="J1298" i="6"/>
  <c r="B1298" i="6"/>
  <c r="S1297" i="6"/>
  <c r="R1297" i="6"/>
  <c r="Q1297" i="6"/>
  <c r="P1297" i="6"/>
  <c r="O1297" i="6"/>
  <c r="N1297" i="6"/>
  <c r="M1297" i="6"/>
  <c r="L1297" i="6"/>
  <c r="K1297" i="6"/>
  <c r="J1297" i="6"/>
  <c r="B1297" i="6"/>
  <c r="S1296" i="6"/>
  <c r="R1296" i="6"/>
  <c r="Q1296" i="6"/>
  <c r="P1296" i="6"/>
  <c r="O1296" i="6"/>
  <c r="N1296" i="6"/>
  <c r="M1296" i="6"/>
  <c r="L1296" i="6"/>
  <c r="K1296" i="6"/>
  <c r="J1296" i="6"/>
  <c r="B1296" i="6"/>
  <c r="S1295" i="6"/>
  <c r="R1295" i="6"/>
  <c r="Q1295" i="6"/>
  <c r="P1295" i="6"/>
  <c r="O1295" i="6"/>
  <c r="N1295" i="6"/>
  <c r="M1295" i="6"/>
  <c r="L1295" i="6"/>
  <c r="K1295" i="6"/>
  <c r="J1295" i="6"/>
  <c r="B1295" i="6"/>
  <c r="S1294" i="6"/>
  <c r="R1294" i="6"/>
  <c r="Q1294" i="6"/>
  <c r="P1294" i="6"/>
  <c r="O1294" i="6"/>
  <c r="N1294" i="6"/>
  <c r="M1294" i="6"/>
  <c r="L1294" i="6"/>
  <c r="K1294" i="6"/>
  <c r="J1294" i="6"/>
  <c r="B1294" i="6"/>
  <c r="S1293" i="6"/>
  <c r="R1293" i="6"/>
  <c r="Q1293" i="6"/>
  <c r="P1293" i="6"/>
  <c r="O1293" i="6"/>
  <c r="N1293" i="6"/>
  <c r="M1293" i="6"/>
  <c r="L1293" i="6"/>
  <c r="K1293" i="6"/>
  <c r="J1293" i="6"/>
  <c r="B1293" i="6"/>
  <c r="S1292" i="6"/>
  <c r="R1292" i="6"/>
  <c r="Q1292" i="6"/>
  <c r="P1292" i="6"/>
  <c r="O1292" i="6"/>
  <c r="N1292" i="6"/>
  <c r="M1292" i="6"/>
  <c r="L1292" i="6"/>
  <c r="K1292" i="6"/>
  <c r="J1292" i="6"/>
  <c r="B1292" i="6"/>
  <c r="S1291" i="6"/>
  <c r="R1291" i="6"/>
  <c r="Q1291" i="6"/>
  <c r="P1291" i="6"/>
  <c r="O1291" i="6"/>
  <c r="N1291" i="6"/>
  <c r="M1291" i="6"/>
  <c r="L1291" i="6"/>
  <c r="K1291" i="6"/>
  <c r="J1291" i="6"/>
  <c r="B1291" i="6"/>
  <c r="S1290" i="6"/>
  <c r="R1290" i="6"/>
  <c r="Q1290" i="6"/>
  <c r="P1290" i="6"/>
  <c r="O1290" i="6"/>
  <c r="N1290" i="6"/>
  <c r="M1290" i="6"/>
  <c r="L1290" i="6"/>
  <c r="K1290" i="6"/>
  <c r="J1290" i="6"/>
  <c r="B1290" i="6"/>
  <c r="S1289" i="6"/>
  <c r="R1289" i="6"/>
  <c r="Q1289" i="6"/>
  <c r="P1289" i="6"/>
  <c r="O1289" i="6"/>
  <c r="N1289" i="6"/>
  <c r="M1289" i="6"/>
  <c r="L1289" i="6"/>
  <c r="K1289" i="6"/>
  <c r="J1289" i="6"/>
  <c r="B1289" i="6"/>
  <c r="S1288" i="6"/>
  <c r="AE146" i="5" s="1"/>
  <c r="AO146" i="5" s="1"/>
  <c r="R1288" i="6"/>
  <c r="Q1288" i="6"/>
  <c r="P1288" i="6"/>
  <c r="O1288" i="6"/>
  <c r="AA146" i="5" s="1"/>
  <c r="AK146" i="5" s="1"/>
  <c r="N1288" i="6"/>
  <c r="M1288" i="6"/>
  <c r="L1288" i="6"/>
  <c r="K1288" i="6"/>
  <c r="W146" i="5" s="1"/>
  <c r="AG146" i="5" s="1"/>
  <c r="J1288" i="6"/>
  <c r="B1288" i="6"/>
  <c r="S1287" i="6"/>
  <c r="R1287" i="6"/>
  <c r="AD146" i="5" s="1"/>
  <c r="AN146" i="5" s="1"/>
  <c r="Q1287" i="6"/>
  <c r="P1287" i="6"/>
  <c r="O1287" i="6"/>
  <c r="N1287" i="6"/>
  <c r="Z146" i="5" s="1"/>
  <c r="AJ146" i="5" s="1"/>
  <c r="M1287" i="6"/>
  <c r="L1287" i="6"/>
  <c r="K1287" i="6"/>
  <c r="J1287" i="6"/>
  <c r="V146" i="5" s="1"/>
  <c r="AF146" i="5" s="1"/>
  <c r="B1287" i="6"/>
  <c r="S1286" i="6"/>
  <c r="R1286" i="6"/>
  <c r="Q1286" i="6"/>
  <c r="AC146" i="5" s="1"/>
  <c r="AM146" i="5" s="1"/>
  <c r="P1286" i="6"/>
  <c r="O1286" i="6"/>
  <c r="N1286" i="6"/>
  <c r="M1286" i="6"/>
  <c r="Y146" i="5" s="1"/>
  <c r="AI146" i="5" s="1"/>
  <c r="L1286" i="6"/>
  <c r="K1286" i="6"/>
  <c r="J1286" i="6"/>
  <c r="B1286" i="6"/>
  <c r="S1285" i="6"/>
  <c r="R1285" i="6"/>
  <c r="Q1285" i="6"/>
  <c r="P1285" i="6"/>
  <c r="AB146" i="5" s="1"/>
  <c r="AL146" i="5" s="1"/>
  <c r="O1285" i="6"/>
  <c r="N1285" i="6"/>
  <c r="M1285" i="6"/>
  <c r="L1285" i="6"/>
  <c r="X146" i="5" s="1"/>
  <c r="AH146" i="5" s="1"/>
  <c r="K1285" i="6"/>
  <c r="J1285" i="6"/>
  <c r="B1285" i="6"/>
  <c r="S1284" i="6"/>
  <c r="R1284" i="6"/>
  <c r="Q1284" i="6"/>
  <c r="P1284" i="6"/>
  <c r="O1284" i="6"/>
  <c r="N1284" i="6"/>
  <c r="M1284" i="6"/>
  <c r="L1284" i="6"/>
  <c r="K1284" i="6"/>
  <c r="J1284" i="6"/>
  <c r="B1284" i="6"/>
  <c r="S1283" i="6"/>
  <c r="R1283" i="6"/>
  <c r="Q1283" i="6"/>
  <c r="P1283" i="6"/>
  <c r="O1283" i="6"/>
  <c r="N1283" i="6"/>
  <c r="M1283" i="6"/>
  <c r="L1283" i="6"/>
  <c r="K1283" i="6"/>
  <c r="J1283" i="6"/>
  <c r="B1283" i="6"/>
  <c r="S1282" i="6"/>
  <c r="R1282" i="6"/>
  <c r="Q1282" i="6"/>
  <c r="P1282" i="6"/>
  <c r="O1282" i="6"/>
  <c r="N1282" i="6"/>
  <c r="M1282" i="6"/>
  <c r="L1282" i="6"/>
  <c r="K1282" i="6"/>
  <c r="J1282" i="6"/>
  <c r="B1282" i="6"/>
  <c r="S1281" i="6"/>
  <c r="R1281" i="6"/>
  <c r="Q1281" i="6"/>
  <c r="P1281" i="6"/>
  <c r="O1281" i="6"/>
  <c r="N1281" i="6"/>
  <c r="M1281" i="6"/>
  <c r="L1281" i="6"/>
  <c r="K1281" i="6"/>
  <c r="J1281" i="6"/>
  <c r="B1281" i="6"/>
  <c r="S1280" i="6"/>
  <c r="R1280" i="6"/>
  <c r="Q1280" i="6"/>
  <c r="P1280" i="6"/>
  <c r="O1280" i="6"/>
  <c r="N1280" i="6"/>
  <c r="M1280" i="6"/>
  <c r="L1280" i="6"/>
  <c r="K1280" i="6"/>
  <c r="J1280" i="6"/>
  <c r="B1280" i="6"/>
  <c r="S1279" i="6"/>
  <c r="R1279" i="6"/>
  <c r="Q1279" i="6"/>
  <c r="P1279" i="6"/>
  <c r="O1279" i="6"/>
  <c r="N1279" i="6"/>
  <c r="M1279" i="6"/>
  <c r="L1279" i="6"/>
  <c r="K1279" i="6"/>
  <c r="J1279" i="6"/>
  <c r="B1279" i="6"/>
  <c r="S1278" i="6"/>
  <c r="R1278" i="6"/>
  <c r="Q1278" i="6"/>
  <c r="P1278" i="6"/>
  <c r="O1278" i="6"/>
  <c r="N1278" i="6"/>
  <c r="M1278" i="6"/>
  <c r="L1278" i="6"/>
  <c r="K1278" i="6"/>
  <c r="J1278" i="6"/>
  <c r="B1278" i="6"/>
  <c r="S1277" i="6"/>
  <c r="R1277" i="6"/>
  <c r="Q1277" i="6"/>
  <c r="P1277" i="6"/>
  <c r="AB145" i="5" s="1"/>
  <c r="AL145" i="5" s="1"/>
  <c r="O1277" i="6"/>
  <c r="N1277" i="6"/>
  <c r="M1277" i="6"/>
  <c r="L1277" i="6"/>
  <c r="X145" i="5" s="1"/>
  <c r="AH145" i="5" s="1"/>
  <c r="K1277" i="6"/>
  <c r="J1277" i="6"/>
  <c r="B1277" i="6"/>
  <c r="S1276" i="6"/>
  <c r="AE145" i="5" s="1"/>
  <c r="AO145" i="5" s="1"/>
  <c r="R1276" i="6"/>
  <c r="Q1276" i="6"/>
  <c r="P1276" i="6"/>
  <c r="O1276" i="6"/>
  <c r="AA145" i="5" s="1"/>
  <c r="AK145" i="5" s="1"/>
  <c r="N1276" i="6"/>
  <c r="M1276" i="6"/>
  <c r="L1276" i="6"/>
  <c r="K1276" i="6"/>
  <c r="W145" i="5" s="1"/>
  <c r="AG145" i="5" s="1"/>
  <c r="J1276" i="6"/>
  <c r="B1276" i="6"/>
  <c r="S1275" i="6"/>
  <c r="R1275" i="6"/>
  <c r="AD145" i="5" s="1"/>
  <c r="AN145" i="5" s="1"/>
  <c r="Q1275" i="6"/>
  <c r="P1275" i="6"/>
  <c r="O1275" i="6"/>
  <c r="N1275" i="6"/>
  <c r="Z145" i="5" s="1"/>
  <c r="AJ145" i="5" s="1"/>
  <c r="M1275" i="6"/>
  <c r="L1275" i="6"/>
  <c r="K1275" i="6"/>
  <c r="J1275" i="6"/>
  <c r="V145" i="5" s="1"/>
  <c r="AF145" i="5" s="1"/>
  <c r="B1275" i="6"/>
  <c r="S1274" i="6"/>
  <c r="R1274" i="6"/>
  <c r="Q1274" i="6"/>
  <c r="AC145" i="5" s="1"/>
  <c r="AM145" i="5" s="1"/>
  <c r="P1274" i="6"/>
  <c r="O1274" i="6"/>
  <c r="N1274" i="6"/>
  <c r="M1274" i="6"/>
  <c r="Y145" i="5" s="1"/>
  <c r="AI145" i="5" s="1"/>
  <c r="L1274" i="6"/>
  <c r="K1274" i="6"/>
  <c r="J1274" i="6"/>
  <c r="B1274" i="6"/>
  <c r="S1273" i="6"/>
  <c r="R1273" i="6"/>
  <c r="Q1273" i="6"/>
  <c r="P1273" i="6"/>
  <c r="O1273" i="6"/>
  <c r="N1273" i="6"/>
  <c r="M1273" i="6"/>
  <c r="L1273" i="6"/>
  <c r="K1273" i="6"/>
  <c r="J1273" i="6"/>
  <c r="B1273" i="6"/>
  <c r="S1272" i="6"/>
  <c r="R1272" i="6"/>
  <c r="Q1272" i="6"/>
  <c r="P1272" i="6"/>
  <c r="O1272" i="6"/>
  <c r="N1272" i="6"/>
  <c r="M1272" i="6"/>
  <c r="L1272" i="6"/>
  <c r="K1272" i="6"/>
  <c r="J1272" i="6"/>
  <c r="B1272" i="6"/>
  <c r="S1271" i="6"/>
  <c r="R1271" i="6"/>
  <c r="Q1271" i="6"/>
  <c r="P1271" i="6"/>
  <c r="O1271" i="6"/>
  <c r="N1271" i="6"/>
  <c r="M1271" i="6"/>
  <c r="L1271" i="6"/>
  <c r="K1271" i="6"/>
  <c r="J1271" i="6"/>
  <c r="B1271" i="6"/>
  <c r="S1270" i="6"/>
  <c r="R1270" i="6"/>
  <c r="Q1270" i="6"/>
  <c r="P1270" i="6"/>
  <c r="O1270" i="6"/>
  <c r="N1270" i="6"/>
  <c r="M1270" i="6"/>
  <c r="L1270" i="6"/>
  <c r="K1270" i="6"/>
  <c r="J1270" i="6"/>
  <c r="B1270" i="6"/>
  <c r="S1269" i="6"/>
  <c r="R1269" i="6"/>
  <c r="Q1269" i="6"/>
  <c r="P1269" i="6"/>
  <c r="O1269" i="6"/>
  <c r="N1269" i="6"/>
  <c r="M1269" i="6"/>
  <c r="L1269" i="6"/>
  <c r="K1269" i="6"/>
  <c r="J1269" i="6"/>
  <c r="B1269" i="6"/>
  <c r="S1268" i="6"/>
  <c r="R1268" i="6"/>
  <c r="Q1268" i="6"/>
  <c r="P1268" i="6"/>
  <c r="O1268" i="6"/>
  <c r="N1268" i="6"/>
  <c r="M1268" i="6"/>
  <c r="L1268" i="6"/>
  <c r="K1268" i="6"/>
  <c r="J1268" i="6"/>
  <c r="B1268" i="6"/>
  <c r="S1267" i="6"/>
  <c r="R1267" i="6"/>
  <c r="Q1267" i="6"/>
  <c r="P1267" i="6"/>
  <c r="O1267" i="6"/>
  <c r="N1267" i="6"/>
  <c r="M1267" i="6"/>
  <c r="L1267" i="6"/>
  <c r="K1267" i="6"/>
  <c r="J1267" i="6"/>
  <c r="B1267" i="6"/>
  <c r="S1266" i="6"/>
  <c r="R1266" i="6"/>
  <c r="Q1266" i="6"/>
  <c r="P1266" i="6"/>
  <c r="O1266" i="6"/>
  <c r="N1266" i="6"/>
  <c r="M1266" i="6"/>
  <c r="L1266" i="6"/>
  <c r="K1266" i="6"/>
  <c r="J1266" i="6"/>
  <c r="B1266" i="6"/>
  <c r="S1265" i="6"/>
  <c r="R1265" i="6"/>
  <c r="Q1265" i="6"/>
  <c r="P1265" i="6"/>
  <c r="O1265" i="6"/>
  <c r="N1265" i="6"/>
  <c r="M1265" i="6"/>
  <c r="L1265" i="6"/>
  <c r="K1265" i="6"/>
  <c r="J1265" i="6"/>
  <c r="B1265" i="6"/>
  <c r="S1264" i="6"/>
  <c r="AE144" i="5" s="1"/>
  <c r="AO144" i="5" s="1"/>
  <c r="R1264" i="6"/>
  <c r="Q1264" i="6"/>
  <c r="P1264" i="6"/>
  <c r="O1264" i="6"/>
  <c r="AA144" i="5" s="1"/>
  <c r="AK144" i="5" s="1"/>
  <c r="N1264" i="6"/>
  <c r="M1264" i="6"/>
  <c r="L1264" i="6"/>
  <c r="K1264" i="6"/>
  <c r="W144" i="5" s="1"/>
  <c r="AG144" i="5" s="1"/>
  <c r="J1264" i="6"/>
  <c r="B1264" i="6"/>
  <c r="S1263" i="6"/>
  <c r="R1263" i="6"/>
  <c r="AD144" i="5" s="1"/>
  <c r="AN144" i="5" s="1"/>
  <c r="Q1263" i="6"/>
  <c r="P1263" i="6"/>
  <c r="O1263" i="6"/>
  <c r="N1263" i="6"/>
  <c r="Z144" i="5" s="1"/>
  <c r="AJ144" i="5" s="1"/>
  <c r="M1263" i="6"/>
  <c r="L1263" i="6"/>
  <c r="K1263" i="6"/>
  <c r="J1263" i="6"/>
  <c r="V144" i="5" s="1"/>
  <c r="AF144" i="5" s="1"/>
  <c r="B1263" i="6"/>
  <c r="S1262" i="6"/>
  <c r="R1262" i="6"/>
  <c r="Q1262" i="6"/>
  <c r="AC144" i="5" s="1"/>
  <c r="AM144" i="5" s="1"/>
  <c r="P1262" i="6"/>
  <c r="O1262" i="6"/>
  <c r="N1262" i="6"/>
  <c r="M1262" i="6"/>
  <c r="Y144" i="5" s="1"/>
  <c r="AI144" i="5" s="1"/>
  <c r="L1262" i="6"/>
  <c r="K1262" i="6"/>
  <c r="J1262" i="6"/>
  <c r="B1262" i="6"/>
  <c r="S1261" i="6"/>
  <c r="R1261" i="6"/>
  <c r="Q1261" i="6"/>
  <c r="P1261" i="6"/>
  <c r="AB144" i="5" s="1"/>
  <c r="AL144" i="5" s="1"/>
  <c r="O1261" i="6"/>
  <c r="N1261" i="6"/>
  <c r="M1261" i="6"/>
  <c r="L1261" i="6"/>
  <c r="X144" i="5" s="1"/>
  <c r="AH144" i="5" s="1"/>
  <c r="K1261" i="6"/>
  <c r="J1261" i="6"/>
  <c r="B1261" i="6"/>
  <c r="S1260" i="6"/>
  <c r="R1260" i="6"/>
  <c r="Q1260" i="6"/>
  <c r="P1260" i="6"/>
  <c r="O1260" i="6"/>
  <c r="N1260" i="6"/>
  <c r="M1260" i="6"/>
  <c r="L1260" i="6"/>
  <c r="K1260" i="6"/>
  <c r="J1260" i="6"/>
  <c r="B1260" i="6"/>
  <c r="S1259" i="6"/>
  <c r="R1259" i="6"/>
  <c r="Q1259" i="6"/>
  <c r="P1259" i="6"/>
  <c r="O1259" i="6"/>
  <c r="N1259" i="6"/>
  <c r="M1259" i="6"/>
  <c r="L1259" i="6"/>
  <c r="K1259" i="6"/>
  <c r="J1259" i="6"/>
  <c r="B1259" i="6"/>
  <c r="S1258" i="6"/>
  <c r="R1258" i="6"/>
  <c r="Q1258" i="6"/>
  <c r="AC143" i="5" s="1"/>
  <c r="AM143" i="5" s="1"/>
  <c r="P1258" i="6"/>
  <c r="O1258" i="6"/>
  <c r="N1258" i="6"/>
  <c r="M1258" i="6"/>
  <c r="Y143" i="5" s="1"/>
  <c r="AI143" i="5" s="1"/>
  <c r="L1258" i="6"/>
  <c r="K1258" i="6"/>
  <c r="J1258" i="6"/>
  <c r="B1258" i="6"/>
  <c r="S1257" i="6"/>
  <c r="R1257" i="6"/>
  <c r="Q1257" i="6"/>
  <c r="P1257" i="6"/>
  <c r="AB143" i="5" s="1"/>
  <c r="AL143" i="5" s="1"/>
  <c r="O1257" i="6"/>
  <c r="N1257" i="6"/>
  <c r="M1257" i="6"/>
  <c r="L1257" i="6"/>
  <c r="X143" i="5" s="1"/>
  <c r="AH143" i="5" s="1"/>
  <c r="K1257" i="6"/>
  <c r="J1257" i="6"/>
  <c r="B1257" i="6"/>
  <c r="S1256" i="6"/>
  <c r="AE143" i="5" s="1"/>
  <c r="AO143" i="5" s="1"/>
  <c r="R1256" i="6"/>
  <c r="Q1256" i="6"/>
  <c r="P1256" i="6"/>
  <c r="O1256" i="6"/>
  <c r="AA143" i="5" s="1"/>
  <c r="AK143" i="5" s="1"/>
  <c r="N1256" i="6"/>
  <c r="M1256" i="6"/>
  <c r="L1256" i="6"/>
  <c r="K1256" i="6"/>
  <c r="W143" i="5" s="1"/>
  <c r="AG143" i="5" s="1"/>
  <c r="J1256" i="6"/>
  <c r="B1256" i="6"/>
  <c r="S1255" i="6"/>
  <c r="R1255" i="6"/>
  <c r="AD143" i="5" s="1"/>
  <c r="AN143" i="5" s="1"/>
  <c r="Q1255" i="6"/>
  <c r="P1255" i="6"/>
  <c r="O1255" i="6"/>
  <c r="N1255" i="6"/>
  <c r="Z143" i="5" s="1"/>
  <c r="AJ143" i="5" s="1"/>
  <c r="M1255" i="6"/>
  <c r="L1255" i="6"/>
  <c r="K1255" i="6"/>
  <c r="J1255" i="6"/>
  <c r="V143" i="5" s="1"/>
  <c r="AF143" i="5" s="1"/>
  <c r="B1255" i="6"/>
  <c r="S1254" i="6"/>
  <c r="R1254" i="6"/>
  <c r="Q1254" i="6"/>
  <c r="P1254" i="6"/>
  <c r="O1254" i="6"/>
  <c r="N1254" i="6"/>
  <c r="M1254" i="6"/>
  <c r="L1254" i="6"/>
  <c r="K1254" i="6"/>
  <c r="J1254" i="6"/>
  <c r="B1254" i="6"/>
  <c r="S1253" i="6"/>
  <c r="R1253" i="6"/>
  <c r="Q1253" i="6"/>
  <c r="P1253" i="6"/>
  <c r="O1253" i="6"/>
  <c r="N1253" i="6"/>
  <c r="M1253" i="6"/>
  <c r="L1253" i="6"/>
  <c r="K1253" i="6"/>
  <c r="J1253" i="6"/>
  <c r="B1253" i="6"/>
  <c r="S1252" i="6"/>
  <c r="AE142" i="5" s="1"/>
  <c r="AO142" i="5" s="1"/>
  <c r="R1252" i="6"/>
  <c r="Q1252" i="6"/>
  <c r="P1252" i="6"/>
  <c r="O1252" i="6"/>
  <c r="AA142" i="5" s="1"/>
  <c r="AK142" i="5" s="1"/>
  <c r="N1252" i="6"/>
  <c r="M1252" i="6"/>
  <c r="L1252" i="6"/>
  <c r="K1252" i="6"/>
  <c r="W142" i="5" s="1"/>
  <c r="AG142" i="5" s="1"/>
  <c r="J1252" i="6"/>
  <c r="B1252" i="6"/>
  <c r="S1251" i="6"/>
  <c r="R1251" i="6"/>
  <c r="AD142" i="5" s="1"/>
  <c r="AN142" i="5" s="1"/>
  <c r="Q1251" i="6"/>
  <c r="P1251" i="6"/>
  <c r="O1251" i="6"/>
  <c r="N1251" i="6"/>
  <c r="Z142" i="5" s="1"/>
  <c r="AJ142" i="5" s="1"/>
  <c r="M1251" i="6"/>
  <c r="L1251" i="6"/>
  <c r="K1251" i="6"/>
  <c r="J1251" i="6"/>
  <c r="V142" i="5" s="1"/>
  <c r="AF142" i="5" s="1"/>
  <c r="B1251" i="6"/>
  <c r="S1250" i="6"/>
  <c r="R1250" i="6"/>
  <c r="Q1250" i="6"/>
  <c r="AC142" i="5" s="1"/>
  <c r="AM142" i="5" s="1"/>
  <c r="P1250" i="6"/>
  <c r="O1250" i="6"/>
  <c r="N1250" i="6"/>
  <c r="M1250" i="6"/>
  <c r="Y142" i="5" s="1"/>
  <c r="AI142" i="5" s="1"/>
  <c r="L1250" i="6"/>
  <c r="K1250" i="6"/>
  <c r="J1250" i="6"/>
  <c r="B1250" i="6"/>
  <c r="S1249" i="6"/>
  <c r="R1249" i="6"/>
  <c r="Q1249" i="6"/>
  <c r="P1249" i="6"/>
  <c r="AB142" i="5" s="1"/>
  <c r="AL142" i="5" s="1"/>
  <c r="O1249" i="6"/>
  <c r="N1249" i="6"/>
  <c r="M1249" i="6"/>
  <c r="L1249" i="6"/>
  <c r="X142" i="5" s="1"/>
  <c r="AH142" i="5" s="1"/>
  <c r="K1249" i="6"/>
  <c r="J1249" i="6"/>
  <c r="B1249" i="6"/>
  <c r="S1248" i="6"/>
  <c r="R1248" i="6"/>
  <c r="Q1248" i="6"/>
  <c r="P1248" i="6"/>
  <c r="O1248" i="6"/>
  <c r="N1248" i="6"/>
  <c r="M1248" i="6"/>
  <c r="L1248" i="6"/>
  <c r="K1248" i="6"/>
  <c r="J1248" i="6"/>
  <c r="B1248" i="6"/>
  <c r="S1247" i="6"/>
  <c r="R1247" i="6"/>
  <c r="Q1247" i="6"/>
  <c r="P1247" i="6"/>
  <c r="O1247" i="6"/>
  <c r="N1247" i="6"/>
  <c r="M1247" i="6"/>
  <c r="L1247" i="6"/>
  <c r="K1247" i="6"/>
  <c r="J1247" i="6"/>
  <c r="B1247" i="6"/>
  <c r="S1246" i="6"/>
  <c r="R1246" i="6"/>
  <c r="Q1246" i="6"/>
  <c r="P1246" i="6"/>
  <c r="O1246" i="6"/>
  <c r="N1246" i="6"/>
  <c r="M1246" i="6"/>
  <c r="L1246" i="6"/>
  <c r="K1246" i="6"/>
  <c r="J1246" i="6"/>
  <c r="B1246" i="6"/>
  <c r="S1245" i="6"/>
  <c r="R1245" i="6"/>
  <c r="Q1245" i="6"/>
  <c r="P1245" i="6"/>
  <c r="O1245" i="6"/>
  <c r="N1245" i="6"/>
  <c r="M1245" i="6"/>
  <c r="L1245" i="6"/>
  <c r="K1245" i="6"/>
  <c r="J1245" i="6"/>
  <c r="B1245" i="6"/>
  <c r="S1244" i="6"/>
  <c r="AE141" i="5" s="1"/>
  <c r="AO141" i="5" s="1"/>
  <c r="R1244" i="6"/>
  <c r="Q1244" i="6"/>
  <c r="P1244" i="6"/>
  <c r="O1244" i="6"/>
  <c r="AA141" i="5" s="1"/>
  <c r="AK141" i="5" s="1"/>
  <c r="N1244" i="6"/>
  <c r="M1244" i="6"/>
  <c r="L1244" i="6"/>
  <c r="K1244" i="6"/>
  <c r="W141" i="5" s="1"/>
  <c r="AG141" i="5" s="1"/>
  <c r="J1244" i="6"/>
  <c r="B1244" i="6"/>
  <c r="S1243" i="6"/>
  <c r="R1243" i="6"/>
  <c r="AD141" i="5" s="1"/>
  <c r="AN141" i="5" s="1"/>
  <c r="Q1243" i="6"/>
  <c r="P1243" i="6"/>
  <c r="O1243" i="6"/>
  <c r="N1243" i="6"/>
  <c r="Z141" i="5" s="1"/>
  <c r="AJ141" i="5" s="1"/>
  <c r="M1243" i="6"/>
  <c r="L1243" i="6"/>
  <c r="K1243" i="6"/>
  <c r="J1243" i="6"/>
  <c r="V141" i="5" s="1"/>
  <c r="AF141" i="5" s="1"/>
  <c r="B1243" i="6"/>
  <c r="S1242" i="6"/>
  <c r="R1242" i="6"/>
  <c r="Q1242" i="6"/>
  <c r="AC141" i="5" s="1"/>
  <c r="AM141" i="5" s="1"/>
  <c r="P1242" i="6"/>
  <c r="O1242" i="6"/>
  <c r="N1242" i="6"/>
  <c r="M1242" i="6"/>
  <c r="Y141" i="5" s="1"/>
  <c r="AI141" i="5" s="1"/>
  <c r="L1242" i="6"/>
  <c r="K1242" i="6"/>
  <c r="J1242" i="6"/>
  <c r="B1242" i="6"/>
  <c r="S1241" i="6"/>
  <c r="R1241" i="6"/>
  <c r="Q1241" i="6"/>
  <c r="P1241" i="6"/>
  <c r="AB141" i="5" s="1"/>
  <c r="AL141" i="5" s="1"/>
  <c r="O1241" i="6"/>
  <c r="N1241" i="6"/>
  <c r="M1241" i="6"/>
  <c r="L1241" i="6"/>
  <c r="X141" i="5" s="1"/>
  <c r="AH141" i="5" s="1"/>
  <c r="K1241" i="6"/>
  <c r="J1241" i="6"/>
  <c r="B1241" i="6"/>
  <c r="S1240" i="6"/>
  <c r="R1240" i="6"/>
  <c r="Q1240" i="6"/>
  <c r="P1240" i="6"/>
  <c r="O1240" i="6"/>
  <c r="N1240" i="6"/>
  <c r="M1240" i="6"/>
  <c r="L1240" i="6"/>
  <c r="K1240" i="6"/>
  <c r="J1240" i="6"/>
  <c r="B1240" i="6"/>
  <c r="S1239" i="6"/>
  <c r="R1239" i="6"/>
  <c r="Q1239" i="6"/>
  <c r="P1239" i="6"/>
  <c r="O1239" i="6"/>
  <c r="N1239" i="6"/>
  <c r="M1239" i="6"/>
  <c r="L1239" i="6"/>
  <c r="K1239" i="6"/>
  <c r="J1239" i="6"/>
  <c r="B1239" i="6"/>
  <c r="S1238" i="6"/>
  <c r="R1238" i="6"/>
  <c r="Q1238" i="6"/>
  <c r="P1238" i="6"/>
  <c r="O1238" i="6"/>
  <c r="N1238" i="6"/>
  <c r="M1238" i="6"/>
  <c r="L1238" i="6"/>
  <c r="K1238" i="6"/>
  <c r="J1238" i="6"/>
  <c r="B1238" i="6"/>
  <c r="S1237" i="6"/>
  <c r="R1237" i="6"/>
  <c r="Q1237" i="6"/>
  <c r="P1237" i="6"/>
  <c r="AB140" i="5" s="1"/>
  <c r="AL140" i="5" s="1"/>
  <c r="O1237" i="6"/>
  <c r="N1237" i="6"/>
  <c r="M1237" i="6"/>
  <c r="L1237" i="6"/>
  <c r="X140" i="5" s="1"/>
  <c r="AH140" i="5" s="1"/>
  <c r="K1237" i="6"/>
  <c r="J1237" i="6"/>
  <c r="B1237" i="6"/>
  <c r="S1236" i="6"/>
  <c r="AE140" i="5" s="1"/>
  <c r="AO140" i="5" s="1"/>
  <c r="R1236" i="6"/>
  <c r="Q1236" i="6"/>
  <c r="P1236" i="6"/>
  <c r="O1236" i="6"/>
  <c r="AA140" i="5" s="1"/>
  <c r="AK140" i="5" s="1"/>
  <c r="N1236" i="6"/>
  <c r="M1236" i="6"/>
  <c r="L1236" i="6"/>
  <c r="K1236" i="6"/>
  <c r="W140" i="5" s="1"/>
  <c r="AG140" i="5" s="1"/>
  <c r="J1236" i="6"/>
  <c r="B1236" i="6"/>
  <c r="S1235" i="6"/>
  <c r="R1235" i="6"/>
  <c r="AD140" i="5" s="1"/>
  <c r="AN140" i="5" s="1"/>
  <c r="Q1235" i="6"/>
  <c r="P1235" i="6"/>
  <c r="O1235" i="6"/>
  <c r="N1235" i="6"/>
  <c r="Z140" i="5" s="1"/>
  <c r="AJ140" i="5" s="1"/>
  <c r="M1235" i="6"/>
  <c r="L1235" i="6"/>
  <c r="K1235" i="6"/>
  <c r="J1235" i="6"/>
  <c r="V140" i="5" s="1"/>
  <c r="AF140" i="5" s="1"/>
  <c r="B1235" i="6"/>
  <c r="S1234" i="6"/>
  <c r="R1234" i="6"/>
  <c r="Q1234" i="6"/>
  <c r="AC140" i="5" s="1"/>
  <c r="AM140" i="5" s="1"/>
  <c r="P1234" i="6"/>
  <c r="O1234" i="6"/>
  <c r="N1234" i="6"/>
  <c r="M1234" i="6"/>
  <c r="Y140" i="5" s="1"/>
  <c r="AI140" i="5" s="1"/>
  <c r="L1234" i="6"/>
  <c r="K1234" i="6"/>
  <c r="J1234" i="6"/>
  <c r="B1234" i="6"/>
  <c r="S1233" i="6"/>
  <c r="R1233" i="6"/>
  <c r="Q1233" i="6"/>
  <c r="P1233" i="6"/>
  <c r="O1233" i="6"/>
  <c r="N1233" i="6"/>
  <c r="M1233" i="6"/>
  <c r="L1233" i="6"/>
  <c r="K1233" i="6"/>
  <c r="J1233" i="6"/>
  <c r="B1233" i="6"/>
  <c r="S1232" i="6"/>
  <c r="R1232" i="6"/>
  <c r="Q1232" i="6"/>
  <c r="P1232" i="6"/>
  <c r="O1232" i="6"/>
  <c r="N1232" i="6"/>
  <c r="M1232" i="6"/>
  <c r="L1232" i="6"/>
  <c r="K1232" i="6"/>
  <c r="J1232" i="6"/>
  <c r="B1232" i="6"/>
  <c r="S1231" i="6"/>
  <c r="R1231" i="6"/>
  <c r="AD139" i="5" s="1"/>
  <c r="AN139" i="5" s="1"/>
  <c r="Q1231" i="6"/>
  <c r="P1231" i="6"/>
  <c r="O1231" i="6"/>
  <c r="N1231" i="6"/>
  <c r="Z139" i="5" s="1"/>
  <c r="AJ139" i="5" s="1"/>
  <c r="M1231" i="6"/>
  <c r="L1231" i="6"/>
  <c r="K1231" i="6"/>
  <c r="J1231" i="6"/>
  <c r="V139" i="5" s="1"/>
  <c r="AF139" i="5" s="1"/>
  <c r="B1231" i="6"/>
  <c r="S1230" i="6"/>
  <c r="R1230" i="6"/>
  <c r="Q1230" i="6"/>
  <c r="AC139" i="5" s="1"/>
  <c r="AM139" i="5" s="1"/>
  <c r="P1230" i="6"/>
  <c r="O1230" i="6"/>
  <c r="N1230" i="6"/>
  <c r="M1230" i="6"/>
  <c r="Y139" i="5" s="1"/>
  <c r="AI139" i="5" s="1"/>
  <c r="L1230" i="6"/>
  <c r="K1230" i="6"/>
  <c r="J1230" i="6"/>
  <c r="B1230" i="6"/>
  <c r="S1229" i="6"/>
  <c r="R1229" i="6"/>
  <c r="Q1229" i="6"/>
  <c r="P1229" i="6"/>
  <c r="AB139" i="5" s="1"/>
  <c r="AL139" i="5" s="1"/>
  <c r="O1229" i="6"/>
  <c r="N1229" i="6"/>
  <c r="M1229" i="6"/>
  <c r="L1229" i="6"/>
  <c r="X139" i="5" s="1"/>
  <c r="AH139" i="5" s="1"/>
  <c r="K1229" i="6"/>
  <c r="J1229" i="6"/>
  <c r="B1229" i="6"/>
  <c r="S1228" i="6"/>
  <c r="AE139" i="5" s="1"/>
  <c r="AO139" i="5" s="1"/>
  <c r="R1228" i="6"/>
  <c r="Q1228" i="6"/>
  <c r="P1228" i="6"/>
  <c r="O1228" i="6"/>
  <c r="AA139" i="5" s="1"/>
  <c r="AK139" i="5" s="1"/>
  <c r="N1228" i="6"/>
  <c r="M1228" i="6"/>
  <c r="L1228" i="6"/>
  <c r="K1228" i="6"/>
  <c r="W139" i="5" s="1"/>
  <c r="AG139" i="5" s="1"/>
  <c r="J1228" i="6"/>
  <c r="B1228" i="6"/>
  <c r="S1227" i="6"/>
  <c r="R1227" i="6"/>
  <c r="Q1227" i="6"/>
  <c r="P1227" i="6"/>
  <c r="O1227" i="6"/>
  <c r="N1227" i="6"/>
  <c r="M1227" i="6"/>
  <c r="L1227" i="6"/>
  <c r="K1227" i="6"/>
  <c r="J1227" i="6"/>
  <c r="B1227" i="6"/>
  <c r="S1226" i="6"/>
  <c r="R1226" i="6"/>
  <c r="Q1226" i="6"/>
  <c r="P1226" i="6"/>
  <c r="O1226" i="6"/>
  <c r="N1226" i="6"/>
  <c r="M1226" i="6"/>
  <c r="L1226" i="6"/>
  <c r="K1226" i="6"/>
  <c r="J1226" i="6"/>
  <c r="B1226" i="6"/>
  <c r="S1225" i="6"/>
  <c r="R1225" i="6"/>
  <c r="Q1225" i="6"/>
  <c r="P1225" i="6"/>
  <c r="AB138" i="5" s="1"/>
  <c r="AL138" i="5" s="1"/>
  <c r="O1225" i="6"/>
  <c r="N1225" i="6"/>
  <c r="M1225" i="6"/>
  <c r="L1225" i="6"/>
  <c r="X138" i="5" s="1"/>
  <c r="AH138" i="5" s="1"/>
  <c r="K1225" i="6"/>
  <c r="J1225" i="6"/>
  <c r="B1225" i="6"/>
  <c r="S1224" i="6"/>
  <c r="AE138" i="5" s="1"/>
  <c r="AO138" i="5" s="1"/>
  <c r="R1224" i="6"/>
  <c r="Q1224" i="6"/>
  <c r="P1224" i="6"/>
  <c r="O1224" i="6"/>
  <c r="AA138" i="5" s="1"/>
  <c r="AK138" i="5" s="1"/>
  <c r="N1224" i="6"/>
  <c r="M1224" i="6"/>
  <c r="L1224" i="6"/>
  <c r="K1224" i="6"/>
  <c r="W138" i="5" s="1"/>
  <c r="AG138" i="5" s="1"/>
  <c r="J1224" i="6"/>
  <c r="B1224" i="6"/>
  <c r="S1223" i="6"/>
  <c r="R1223" i="6"/>
  <c r="AD138" i="5" s="1"/>
  <c r="AN138" i="5" s="1"/>
  <c r="Q1223" i="6"/>
  <c r="P1223" i="6"/>
  <c r="O1223" i="6"/>
  <c r="N1223" i="6"/>
  <c r="Z138" i="5" s="1"/>
  <c r="AJ138" i="5" s="1"/>
  <c r="M1223" i="6"/>
  <c r="L1223" i="6"/>
  <c r="K1223" i="6"/>
  <c r="J1223" i="6"/>
  <c r="V138" i="5" s="1"/>
  <c r="AF138" i="5" s="1"/>
  <c r="B1223" i="6"/>
  <c r="S1222" i="6"/>
  <c r="R1222" i="6"/>
  <c r="Q1222" i="6"/>
  <c r="AC138" i="5" s="1"/>
  <c r="AM138" i="5" s="1"/>
  <c r="P1222" i="6"/>
  <c r="O1222" i="6"/>
  <c r="N1222" i="6"/>
  <c r="M1222" i="6"/>
  <c r="Y138" i="5" s="1"/>
  <c r="AI138" i="5" s="1"/>
  <c r="L1222" i="6"/>
  <c r="K1222" i="6"/>
  <c r="J1222" i="6"/>
  <c r="B1222" i="6"/>
  <c r="S1221" i="6"/>
  <c r="R1221" i="6"/>
  <c r="Q1221" i="6"/>
  <c r="P1221" i="6"/>
  <c r="O1221" i="6"/>
  <c r="N1221" i="6"/>
  <c r="M1221" i="6"/>
  <c r="L1221" i="6"/>
  <c r="K1221" i="6"/>
  <c r="J1221" i="6"/>
  <c r="B1221" i="6"/>
  <c r="S1220" i="6"/>
  <c r="R1220" i="6"/>
  <c r="Q1220" i="6"/>
  <c r="P1220" i="6"/>
  <c r="O1220" i="6"/>
  <c r="N1220" i="6"/>
  <c r="M1220" i="6"/>
  <c r="L1220" i="6"/>
  <c r="K1220" i="6"/>
  <c r="J1220" i="6"/>
  <c r="B1220" i="6"/>
  <c r="S1219" i="6"/>
  <c r="R1219" i="6"/>
  <c r="Q1219" i="6"/>
  <c r="P1219" i="6"/>
  <c r="O1219" i="6"/>
  <c r="N1219" i="6"/>
  <c r="M1219" i="6"/>
  <c r="L1219" i="6"/>
  <c r="K1219" i="6"/>
  <c r="J1219" i="6"/>
  <c r="B1219" i="6"/>
  <c r="S1218" i="6"/>
  <c r="R1218" i="6"/>
  <c r="Q1218" i="6"/>
  <c r="P1218" i="6"/>
  <c r="O1218" i="6"/>
  <c r="N1218" i="6"/>
  <c r="M1218" i="6"/>
  <c r="L1218" i="6"/>
  <c r="K1218" i="6"/>
  <c r="J1218" i="6"/>
  <c r="B1218" i="6"/>
  <c r="S1217" i="6"/>
  <c r="R1217" i="6"/>
  <c r="Q1217" i="6"/>
  <c r="P1217" i="6"/>
  <c r="O1217" i="6"/>
  <c r="N1217" i="6"/>
  <c r="M1217" i="6"/>
  <c r="L1217" i="6"/>
  <c r="K1217" i="6"/>
  <c r="J1217" i="6"/>
  <c r="B1217" i="6"/>
  <c r="S1216" i="6"/>
  <c r="R1216" i="6"/>
  <c r="Q1216" i="6"/>
  <c r="P1216" i="6"/>
  <c r="O1216" i="6"/>
  <c r="N1216" i="6"/>
  <c r="M1216" i="6"/>
  <c r="L1216" i="6"/>
  <c r="K1216" i="6"/>
  <c r="J1216" i="6"/>
  <c r="B1216" i="6"/>
  <c r="S1215" i="6"/>
  <c r="R1215" i="6"/>
  <c r="AD137" i="5" s="1"/>
  <c r="AN137" i="5" s="1"/>
  <c r="Q1215" i="6"/>
  <c r="P1215" i="6"/>
  <c r="O1215" i="6"/>
  <c r="N1215" i="6"/>
  <c r="Z137" i="5" s="1"/>
  <c r="AJ137" i="5" s="1"/>
  <c r="M1215" i="6"/>
  <c r="L1215" i="6"/>
  <c r="K1215" i="6"/>
  <c r="J1215" i="6"/>
  <c r="V137" i="5" s="1"/>
  <c r="AF137" i="5" s="1"/>
  <c r="B1215" i="6"/>
  <c r="S1214" i="6"/>
  <c r="R1214" i="6"/>
  <c r="Q1214" i="6"/>
  <c r="AC137" i="5" s="1"/>
  <c r="AM137" i="5" s="1"/>
  <c r="P1214" i="6"/>
  <c r="O1214" i="6"/>
  <c r="N1214" i="6"/>
  <c r="M1214" i="6"/>
  <c r="Y137" i="5" s="1"/>
  <c r="AI137" i="5" s="1"/>
  <c r="L1214" i="6"/>
  <c r="K1214" i="6"/>
  <c r="J1214" i="6"/>
  <c r="B1214" i="6"/>
  <c r="S1213" i="6"/>
  <c r="R1213" i="6"/>
  <c r="Q1213" i="6"/>
  <c r="P1213" i="6"/>
  <c r="AB137" i="5" s="1"/>
  <c r="AL137" i="5" s="1"/>
  <c r="O1213" i="6"/>
  <c r="N1213" i="6"/>
  <c r="M1213" i="6"/>
  <c r="L1213" i="6"/>
  <c r="X137" i="5" s="1"/>
  <c r="AH137" i="5" s="1"/>
  <c r="K1213" i="6"/>
  <c r="J1213" i="6"/>
  <c r="B1213" i="6"/>
  <c r="S1212" i="6"/>
  <c r="AE137" i="5" s="1"/>
  <c r="AO137" i="5" s="1"/>
  <c r="R1212" i="6"/>
  <c r="Q1212" i="6"/>
  <c r="P1212" i="6"/>
  <c r="O1212" i="6"/>
  <c r="AA137" i="5" s="1"/>
  <c r="AK137" i="5" s="1"/>
  <c r="N1212" i="6"/>
  <c r="M1212" i="6"/>
  <c r="L1212" i="6"/>
  <c r="K1212" i="6"/>
  <c r="W137" i="5" s="1"/>
  <c r="AG137" i="5" s="1"/>
  <c r="J1212" i="6"/>
  <c r="B1212" i="6"/>
  <c r="S1211" i="6"/>
  <c r="R1211" i="6"/>
  <c r="Q1211" i="6"/>
  <c r="P1211" i="6"/>
  <c r="O1211" i="6"/>
  <c r="N1211" i="6"/>
  <c r="M1211" i="6"/>
  <c r="L1211" i="6"/>
  <c r="K1211" i="6"/>
  <c r="J1211" i="6"/>
  <c r="B1211" i="6"/>
  <c r="S1210" i="6"/>
  <c r="R1210" i="6"/>
  <c r="Q1210" i="6"/>
  <c r="P1210" i="6"/>
  <c r="O1210" i="6"/>
  <c r="N1210" i="6"/>
  <c r="M1210" i="6"/>
  <c r="L1210" i="6"/>
  <c r="K1210" i="6"/>
  <c r="J1210" i="6"/>
  <c r="B1210" i="6"/>
  <c r="S1209" i="6"/>
  <c r="R1209" i="6"/>
  <c r="Q1209" i="6"/>
  <c r="P1209" i="6"/>
  <c r="O1209" i="6"/>
  <c r="N1209" i="6"/>
  <c r="M1209" i="6"/>
  <c r="L1209" i="6"/>
  <c r="K1209" i="6"/>
  <c r="J1209" i="6"/>
  <c r="B1209" i="6"/>
  <c r="S1208" i="6"/>
  <c r="R1208" i="6"/>
  <c r="Q1208" i="6"/>
  <c r="P1208" i="6"/>
  <c r="O1208" i="6"/>
  <c r="N1208" i="6"/>
  <c r="M1208" i="6"/>
  <c r="L1208" i="6"/>
  <c r="K1208" i="6"/>
  <c r="J1208" i="6"/>
  <c r="B1208" i="6"/>
  <c r="S1207" i="6"/>
  <c r="R1207" i="6"/>
  <c r="AD136" i="5" s="1"/>
  <c r="AN136" i="5" s="1"/>
  <c r="Q1207" i="6"/>
  <c r="P1207" i="6"/>
  <c r="O1207" i="6"/>
  <c r="N1207" i="6"/>
  <c r="Z136" i="5" s="1"/>
  <c r="AJ136" i="5" s="1"/>
  <c r="M1207" i="6"/>
  <c r="L1207" i="6"/>
  <c r="K1207" i="6"/>
  <c r="J1207" i="6"/>
  <c r="V136" i="5" s="1"/>
  <c r="AF136" i="5" s="1"/>
  <c r="B1207" i="6"/>
  <c r="S1206" i="6"/>
  <c r="R1206" i="6"/>
  <c r="Q1206" i="6"/>
  <c r="AC136" i="5" s="1"/>
  <c r="AM136" i="5" s="1"/>
  <c r="P1206" i="6"/>
  <c r="O1206" i="6"/>
  <c r="N1206" i="6"/>
  <c r="M1206" i="6"/>
  <c r="Y136" i="5" s="1"/>
  <c r="AI136" i="5" s="1"/>
  <c r="L1206" i="6"/>
  <c r="K1206" i="6"/>
  <c r="J1206" i="6"/>
  <c r="B1206" i="6"/>
  <c r="S1205" i="6"/>
  <c r="R1205" i="6"/>
  <c r="Q1205" i="6"/>
  <c r="P1205" i="6"/>
  <c r="AB136" i="5" s="1"/>
  <c r="AL136" i="5" s="1"/>
  <c r="O1205" i="6"/>
  <c r="N1205" i="6"/>
  <c r="M1205" i="6"/>
  <c r="L1205" i="6"/>
  <c r="X136" i="5" s="1"/>
  <c r="AH136" i="5" s="1"/>
  <c r="K1205" i="6"/>
  <c r="J1205" i="6"/>
  <c r="B1205" i="6"/>
  <c r="S1204" i="6"/>
  <c r="AE136" i="5" s="1"/>
  <c r="AO136" i="5" s="1"/>
  <c r="R1204" i="6"/>
  <c r="Q1204" i="6"/>
  <c r="P1204" i="6"/>
  <c r="O1204" i="6"/>
  <c r="AA136" i="5" s="1"/>
  <c r="AK136" i="5" s="1"/>
  <c r="N1204" i="6"/>
  <c r="M1204" i="6"/>
  <c r="L1204" i="6"/>
  <c r="K1204" i="6"/>
  <c r="W136" i="5" s="1"/>
  <c r="AG136" i="5" s="1"/>
  <c r="J1204" i="6"/>
  <c r="B1204" i="6"/>
  <c r="S1203" i="6"/>
  <c r="R1203" i="6"/>
  <c r="Q1203" i="6"/>
  <c r="P1203" i="6"/>
  <c r="O1203" i="6"/>
  <c r="N1203" i="6"/>
  <c r="M1203" i="6"/>
  <c r="L1203" i="6"/>
  <c r="K1203" i="6"/>
  <c r="J1203" i="6"/>
  <c r="B1203" i="6"/>
  <c r="S1202" i="6"/>
  <c r="R1202" i="6"/>
  <c r="Q1202" i="6"/>
  <c r="AC135" i="5" s="1"/>
  <c r="AM135" i="5" s="1"/>
  <c r="P1202" i="6"/>
  <c r="O1202" i="6"/>
  <c r="N1202" i="6"/>
  <c r="M1202" i="6"/>
  <c r="Y135" i="5" s="1"/>
  <c r="AI135" i="5" s="1"/>
  <c r="L1202" i="6"/>
  <c r="K1202" i="6"/>
  <c r="J1202" i="6"/>
  <c r="B1202" i="6"/>
  <c r="S1201" i="6"/>
  <c r="R1201" i="6"/>
  <c r="Q1201" i="6"/>
  <c r="P1201" i="6"/>
  <c r="AB135" i="5" s="1"/>
  <c r="AL135" i="5" s="1"/>
  <c r="O1201" i="6"/>
  <c r="N1201" i="6"/>
  <c r="M1201" i="6"/>
  <c r="L1201" i="6"/>
  <c r="X135" i="5" s="1"/>
  <c r="AH135" i="5" s="1"/>
  <c r="K1201" i="6"/>
  <c r="J1201" i="6"/>
  <c r="B1201" i="6"/>
  <c r="S1200" i="6"/>
  <c r="AE135" i="5" s="1"/>
  <c r="AO135" i="5" s="1"/>
  <c r="R1200" i="6"/>
  <c r="Q1200" i="6"/>
  <c r="P1200" i="6"/>
  <c r="O1200" i="6"/>
  <c r="AA135" i="5" s="1"/>
  <c r="AK135" i="5" s="1"/>
  <c r="N1200" i="6"/>
  <c r="M1200" i="6"/>
  <c r="L1200" i="6"/>
  <c r="K1200" i="6"/>
  <c r="W135" i="5" s="1"/>
  <c r="AG135" i="5" s="1"/>
  <c r="J1200" i="6"/>
  <c r="B1200" i="6"/>
  <c r="S1199" i="6"/>
  <c r="R1199" i="6"/>
  <c r="AD135" i="5" s="1"/>
  <c r="AN135" i="5" s="1"/>
  <c r="Q1199" i="6"/>
  <c r="P1199" i="6"/>
  <c r="O1199" i="6"/>
  <c r="N1199" i="6"/>
  <c r="Z135" i="5" s="1"/>
  <c r="AJ135" i="5" s="1"/>
  <c r="M1199" i="6"/>
  <c r="L1199" i="6"/>
  <c r="K1199" i="6"/>
  <c r="J1199" i="6"/>
  <c r="V135" i="5" s="1"/>
  <c r="AF135" i="5" s="1"/>
  <c r="B1199" i="6"/>
  <c r="S1198" i="6"/>
  <c r="R1198" i="6"/>
  <c r="Q1198" i="6"/>
  <c r="P1198" i="6"/>
  <c r="O1198" i="6"/>
  <c r="N1198" i="6"/>
  <c r="M1198" i="6"/>
  <c r="L1198" i="6"/>
  <c r="K1198" i="6"/>
  <c r="J1198" i="6"/>
  <c r="B1198" i="6"/>
  <c r="S1197" i="6"/>
  <c r="R1197" i="6"/>
  <c r="Q1197" i="6"/>
  <c r="P1197" i="6"/>
  <c r="O1197" i="6"/>
  <c r="N1197" i="6"/>
  <c r="M1197" i="6"/>
  <c r="L1197" i="6"/>
  <c r="K1197" i="6"/>
  <c r="J1197" i="6"/>
  <c r="B1197" i="6"/>
  <c r="S1196" i="6"/>
  <c r="R1196" i="6"/>
  <c r="Q1196" i="6"/>
  <c r="P1196" i="6"/>
  <c r="O1196" i="6"/>
  <c r="N1196" i="6"/>
  <c r="M1196" i="6"/>
  <c r="L1196" i="6"/>
  <c r="K1196" i="6"/>
  <c r="J1196" i="6"/>
  <c r="B1196" i="6"/>
  <c r="S1195" i="6"/>
  <c r="R1195" i="6"/>
  <c r="Q1195" i="6"/>
  <c r="P1195" i="6"/>
  <c r="O1195" i="6"/>
  <c r="N1195" i="6"/>
  <c r="M1195" i="6"/>
  <c r="L1195" i="6"/>
  <c r="K1195" i="6"/>
  <c r="J1195" i="6"/>
  <c r="B1195" i="6"/>
  <c r="S1194" i="6"/>
  <c r="R1194" i="6"/>
  <c r="Q1194" i="6"/>
  <c r="AC134" i="5" s="1"/>
  <c r="AM134" i="5" s="1"/>
  <c r="P1194" i="6"/>
  <c r="O1194" i="6"/>
  <c r="N1194" i="6"/>
  <c r="M1194" i="6"/>
  <c r="Y134" i="5" s="1"/>
  <c r="AI134" i="5" s="1"/>
  <c r="L1194" i="6"/>
  <c r="K1194" i="6"/>
  <c r="J1194" i="6"/>
  <c r="B1194" i="6"/>
  <c r="S1193" i="6"/>
  <c r="R1193" i="6"/>
  <c r="Q1193" i="6"/>
  <c r="P1193" i="6"/>
  <c r="AB134" i="5" s="1"/>
  <c r="AL134" i="5" s="1"/>
  <c r="O1193" i="6"/>
  <c r="N1193" i="6"/>
  <c r="M1193" i="6"/>
  <c r="L1193" i="6"/>
  <c r="X134" i="5" s="1"/>
  <c r="AH134" i="5" s="1"/>
  <c r="K1193" i="6"/>
  <c r="J1193" i="6"/>
  <c r="B1193" i="6"/>
  <c r="S1192" i="6"/>
  <c r="AE134" i="5" s="1"/>
  <c r="AO134" i="5" s="1"/>
  <c r="R1192" i="6"/>
  <c r="Q1192" i="6"/>
  <c r="P1192" i="6"/>
  <c r="O1192" i="6"/>
  <c r="AA134" i="5" s="1"/>
  <c r="AK134" i="5" s="1"/>
  <c r="N1192" i="6"/>
  <c r="M1192" i="6"/>
  <c r="L1192" i="6"/>
  <c r="K1192" i="6"/>
  <c r="W134" i="5" s="1"/>
  <c r="AG134" i="5" s="1"/>
  <c r="J1192" i="6"/>
  <c r="B1192" i="6"/>
  <c r="S1191" i="6"/>
  <c r="R1191" i="6"/>
  <c r="AD134" i="5" s="1"/>
  <c r="AN134" i="5" s="1"/>
  <c r="Q1191" i="6"/>
  <c r="P1191" i="6"/>
  <c r="O1191" i="6"/>
  <c r="N1191" i="6"/>
  <c r="Z134" i="5" s="1"/>
  <c r="AJ134" i="5" s="1"/>
  <c r="M1191" i="6"/>
  <c r="L1191" i="6"/>
  <c r="K1191" i="6"/>
  <c r="J1191" i="6"/>
  <c r="V134" i="5" s="1"/>
  <c r="AF134" i="5" s="1"/>
  <c r="B1191" i="6"/>
  <c r="S1190" i="6"/>
  <c r="R1190" i="6"/>
  <c r="Q1190" i="6"/>
  <c r="P1190" i="6"/>
  <c r="O1190" i="6"/>
  <c r="N1190" i="6"/>
  <c r="M1190" i="6"/>
  <c r="L1190" i="6"/>
  <c r="K1190" i="6"/>
  <c r="J1190" i="6"/>
  <c r="B1190" i="6"/>
  <c r="S1189" i="6"/>
  <c r="R1189" i="6"/>
  <c r="Q1189" i="6"/>
  <c r="P1189" i="6"/>
  <c r="O1189" i="6"/>
  <c r="N1189" i="6"/>
  <c r="M1189" i="6"/>
  <c r="L1189" i="6"/>
  <c r="K1189" i="6"/>
  <c r="J1189" i="6"/>
  <c r="B1189" i="6"/>
  <c r="S1188" i="6"/>
  <c r="AE133" i="5" s="1"/>
  <c r="AO133" i="5" s="1"/>
  <c r="R1188" i="6"/>
  <c r="Q1188" i="6"/>
  <c r="P1188" i="6"/>
  <c r="O1188" i="6"/>
  <c r="AA133" i="5" s="1"/>
  <c r="AK133" i="5" s="1"/>
  <c r="N1188" i="6"/>
  <c r="M1188" i="6"/>
  <c r="L1188" i="6"/>
  <c r="K1188" i="6"/>
  <c r="W133" i="5" s="1"/>
  <c r="AG133" i="5" s="1"/>
  <c r="J1188" i="6"/>
  <c r="B1188" i="6"/>
  <c r="S1187" i="6"/>
  <c r="R1187" i="6"/>
  <c r="AD133" i="5" s="1"/>
  <c r="AN133" i="5" s="1"/>
  <c r="Q1187" i="6"/>
  <c r="P1187" i="6"/>
  <c r="O1187" i="6"/>
  <c r="N1187" i="6"/>
  <c r="Z133" i="5" s="1"/>
  <c r="AJ133" i="5" s="1"/>
  <c r="M1187" i="6"/>
  <c r="L1187" i="6"/>
  <c r="K1187" i="6"/>
  <c r="J1187" i="6"/>
  <c r="V133" i="5" s="1"/>
  <c r="AF133" i="5" s="1"/>
  <c r="B1187" i="6"/>
  <c r="S1186" i="6"/>
  <c r="R1186" i="6"/>
  <c r="Q1186" i="6"/>
  <c r="AC133" i="5" s="1"/>
  <c r="AM133" i="5" s="1"/>
  <c r="P1186" i="6"/>
  <c r="O1186" i="6"/>
  <c r="N1186" i="6"/>
  <c r="M1186" i="6"/>
  <c r="Y133" i="5" s="1"/>
  <c r="AI133" i="5" s="1"/>
  <c r="L1186" i="6"/>
  <c r="K1186" i="6"/>
  <c r="J1186" i="6"/>
  <c r="B1186" i="6"/>
  <c r="S1185" i="6"/>
  <c r="R1185" i="6"/>
  <c r="Q1185" i="6"/>
  <c r="P1185" i="6"/>
  <c r="AB133" i="5" s="1"/>
  <c r="AL133" i="5" s="1"/>
  <c r="O1185" i="6"/>
  <c r="N1185" i="6"/>
  <c r="M1185" i="6"/>
  <c r="L1185" i="6"/>
  <c r="X133" i="5" s="1"/>
  <c r="AH133" i="5" s="1"/>
  <c r="K1185" i="6"/>
  <c r="J1185" i="6"/>
  <c r="B1185" i="6"/>
  <c r="S1184" i="6"/>
  <c r="R1184" i="6"/>
  <c r="Q1184" i="6"/>
  <c r="P1184" i="6"/>
  <c r="O1184" i="6"/>
  <c r="N1184" i="6"/>
  <c r="M1184" i="6"/>
  <c r="L1184" i="6"/>
  <c r="K1184" i="6"/>
  <c r="J1184" i="6"/>
  <c r="B1184" i="6"/>
  <c r="S1183" i="6"/>
  <c r="R1183" i="6"/>
  <c r="Q1183" i="6"/>
  <c r="P1183" i="6"/>
  <c r="O1183" i="6"/>
  <c r="N1183" i="6"/>
  <c r="M1183" i="6"/>
  <c r="L1183" i="6"/>
  <c r="K1183" i="6"/>
  <c r="J1183" i="6"/>
  <c r="B1183" i="6"/>
  <c r="S1182" i="6"/>
  <c r="R1182" i="6"/>
  <c r="Q1182" i="6"/>
  <c r="P1182" i="6"/>
  <c r="O1182" i="6"/>
  <c r="N1182" i="6"/>
  <c r="M1182" i="6"/>
  <c r="L1182" i="6"/>
  <c r="K1182" i="6"/>
  <c r="J1182" i="6"/>
  <c r="B1182" i="6"/>
  <c r="S1181" i="6"/>
  <c r="R1181" i="6"/>
  <c r="Q1181" i="6"/>
  <c r="P1181" i="6"/>
  <c r="O1181" i="6"/>
  <c r="N1181" i="6"/>
  <c r="M1181" i="6"/>
  <c r="L1181" i="6"/>
  <c r="K1181" i="6"/>
  <c r="J1181" i="6"/>
  <c r="B1181" i="6"/>
  <c r="S1180" i="6"/>
  <c r="AE132" i="5" s="1"/>
  <c r="AO132" i="5" s="1"/>
  <c r="R1180" i="6"/>
  <c r="Q1180" i="6"/>
  <c r="P1180" i="6"/>
  <c r="O1180" i="6"/>
  <c r="AA132" i="5" s="1"/>
  <c r="AK132" i="5" s="1"/>
  <c r="N1180" i="6"/>
  <c r="M1180" i="6"/>
  <c r="L1180" i="6"/>
  <c r="K1180" i="6"/>
  <c r="W132" i="5" s="1"/>
  <c r="AG132" i="5" s="1"/>
  <c r="J1180" i="6"/>
  <c r="B1180" i="6"/>
  <c r="S1179" i="6"/>
  <c r="R1179" i="6"/>
  <c r="AD132" i="5" s="1"/>
  <c r="AN132" i="5" s="1"/>
  <c r="Q1179" i="6"/>
  <c r="P1179" i="6"/>
  <c r="O1179" i="6"/>
  <c r="N1179" i="6"/>
  <c r="Z132" i="5" s="1"/>
  <c r="AJ132" i="5" s="1"/>
  <c r="M1179" i="6"/>
  <c r="L1179" i="6"/>
  <c r="K1179" i="6"/>
  <c r="J1179" i="6"/>
  <c r="V132" i="5" s="1"/>
  <c r="AF132" i="5" s="1"/>
  <c r="B1179" i="6"/>
  <c r="S1178" i="6"/>
  <c r="R1178" i="6"/>
  <c r="Q1178" i="6"/>
  <c r="AC132" i="5" s="1"/>
  <c r="AM132" i="5" s="1"/>
  <c r="P1178" i="6"/>
  <c r="O1178" i="6"/>
  <c r="N1178" i="6"/>
  <c r="M1178" i="6"/>
  <c r="Y132" i="5" s="1"/>
  <c r="AI132" i="5" s="1"/>
  <c r="L1178" i="6"/>
  <c r="K1178" i="6"/>
  <c r="J1178" i="6"/>
  <c r="B1178" i="6"/>
  <c r="S1177" i="6"/>
  <c r="R1177" i="6"/>
  <c r="Q1177" i="6"/>
  <c r="P1177" i="6"/>
  <c r="AB132" i="5" s="1"/>
  <c r="AL132" i="5" s="1"/>
  <c r="O1177" i="6"/>
  <c r="N1177" i="6"/>
  <c r="M1177" i="6"/>
  <c r="L1177" i="6"/>
  <c r="X132" i="5" s="1"/>
  <c r="AH132" i="5" s="1"/>
  <c r="K1177" i="6"/>
  <c r="J1177" i="6"/>
  <c r="B1177" i="6"/>
  <c r="S1176" i="6"/>
  <c r="R1176" i="6"/>
  <c r="Q1176" i="6"/>
  <c r="P1176" i="6"/>
  <c r="O1176" i="6"/>
  <c r="N1176" i="6"/>
  <c r="M1176" i="6"/>
  <c r="L1176" i="6"/>
  <c r="K1176" i="6"/>
  <c r="J1176" i="6"/>
  <c r="B1176" i="6"/>
  <c r="S1175" i="6"/>
  <c r="R1175" i="6"/>
  <c r="AD131" i="5" s="1"/>
  <c r="AN131" i="5" s="1"/>
  <c r="Q1175" i="6"/>
  <c r="P1175" i="6"/>
  <c r="O1175" i="6"/>
  <c r="N1175" i="6"/>
  <c r="Z131" i="5" s="1"/>
  <c r="AJ131" i="5" s="1"/>
  <c r="M1175" i="6"/>
  <c r="L1175" i="6"/>
  <c r="K1175" i="6"/>
  <c r="J1175" i="6"/>
  <c r="V131" i="5" s="1"/>
  <c r="AF131" i="5" s="1"/>
  <c r="B1175" i="6"/>
  <c r="S1174" i="6"/>
  <c r="R1174" i="6"/>
  <c r="Q1174" i="6"/>
  <c r="AC131" i="5" s="1"/>
  <c r="AM131" i="5" s="1"/>
  <c r="P1174" i="6"/>
  <c r="O1174" i="6"/>
  <c r="N1174" i="6"/>
  <c r="M1174" i="6"/>
  <c r="Y131" i="5" s="1"/>
  <c r="AI131" i="5" s="1"/>
  <c r="L1174" i="6"/>
  <c r="K1174" i="6"/>
  <c r="J1174" i="6"/>
  <c r="B1174" i="6"/>
  <c r="S1173" i="6"/>
  <c r="R1173" i="6"/>
  <c r="Q1173" i="6"/>
  <c r="P1173" i="6"/>
  <c r="AB131" i="5" s="1"/>
  <c r="AL131" i="5" s="1"/>
  <c r="O1173" i="6"/>
  <c r="N1173" i="6"/>
  <c r="M1173" i="6"/>
  <c r="L1173" i="6"/>
  <c r="X131" i="5" s="1"/>
  <c r="AH131" i="5" s="1"/>
  <c r="K1173" i="6"/>
  <c r="J1173" i="6"/>
  <c r="B1173" i="6"/>
  <c r="S1172" i="6"/>
  <c r="AE131" i="5" s="1"/>
  <c r="AO131" i="5" s="1"/>
  <c r="R1172" i="6"/>
  <c r="Q1172" i="6"/>
  <c r="P1172" i="6"/>
  <c r="O1172" i="6"/>
  <c r="AA131" i="5" s="1"/>
  <c r="AK131" i="5" s="1"/>
  <c r="N1172" i="6"/>
  <c r="M1172" i="6"/>
  <c r="L1172" i="6"/>
  <c r="K1172" i="6"/>
  <c r="W131" i="5" s="1"/>
  <c r="AG131" i="5" s="1"/>
  <c r="J1172" i="6"/>
  <c r="B1172" i="6"/>
  <c r="S1171" i="6"/>
  <c r="R1171" i="6"/>
  <c r="Q1171" i="6"/>
  <c r="P1171" i="6"/>
  <c r="O1171" i="6"/>
  <c r="N1171" i="6"/>
  <c r="M1171" i="6"/>
  <c r="L1171" i="6"/>
  <c r="K1171" i="6"/>
  <c r="J1171" i="6"/>
  <c r="B1171" i="6"/>
  <c r="S1170" i="6"/>
  <c r="R1170" i="6"/>
  <c r="Q1170" i="6"/>
  <c r="P1170" i="6"/>
  <c r="O1170" i="6"/>
  <c r="N1170" i="6"/>
  <c r="M1170" i="6"/>
  <c r="L1170" i="6"/>
  <c r="K1170" i="6"/>
  <c r="J1170" i="6"/>
  <c r="B1170" i="6"/>
  <c r="S1169" i="6"/>
  <c r="R1169" i="6"/>
  <c r="Q1169" i="6"/>
  <c r="P1169" i="6"/>
  <c r="O1169" i="6"/>
  <c r="N1169" i="6"/>
  <c r="M1169" i="6"/>
  <c r="L1169" i="6"/>
  <c r="K1169" i="6"/>
  <c r="J1169" i="6"/>
  <c r="B1169" i="6"/>
  <c r="S1168" i="6"/>
  <c r="AE130" i="5" s="1"/>
  <c r="AO130" i="5" s="1"/>
  <c r="R1168" i="6"/>
  <c r="Q1168" i="6"/>
  <c r="P1168" i="6"/>
  <c r="O1168" i="6"/>
  <c r="AA130" i="5" s="1"/>
  <c r="AK130" i="5" s="1"/>
  <c r="N1168" i="6"/>
  <c r="M1168" i="6"/>
  <c r="L1168" i="6"/>
  <c r="K1168" i="6"/>
  <c r="W130" i="5" s="1"/>
  <c r="AG130" i="5" s="1"/>
  <c r="J1168" i="6"/>
  <c r="B1168" i="6"/>
  <c r="S1167" i="6"/>
  <c r="R1167" i="6"/>
  <c r="AD130" i="5" s="1"/>
  <c r="AN130" i="5" s="1"/>
  <c r="Q1167" i="6"/>
  <c r="P1167" i="6"/>
  <c r="O1167" i="6"/>
  <c r="N1167" i="6"/>
  <c r="Z130" i="5" s="1"/>
  <c r="AJ130" i="5" s="1"/>
  <c r="M1167" i="6"/>
  <c r="L1167" i="6"/>
  <c r="K1167" i="6"/>
  <c r="J1167" i="6"/>
  <c r="V130" i="5" s="1"/>
  <c r="AF130" i="5" s="1"/>
  <c r="B1167" i="6"/>
  <c r="S1166" i="6"/>
  <c r="R1166" i="6"/>
  <c r="Q1166" i="6"/>
  <c r="AC130" i="5" s="1"/>
  <c r="AM130" i="5" s="1"/>
  <c r="P1166" i="6"/>
  <c r="O1166" i="6"/>
  <c r="N1166" i="6"/>
  <c r="M1166" i="6"/>
  <c r="Y130" i="5" s="1"/>
  <c r="AI130" i="5" s="1"/>
  <c r="L1166" i="6"/>
  <c r="K1166" i="6"/>
  <c r="J1166" i="6"/>
  <c r="B1166" i="6"/>
  <c r="S1165" i="6"/>
  <c r="R1165" i="6"/>
  <c r="Q1165" i="6"/>
  <c r="P1165" i="6"/>
  <c r="AB130" i="5" s="1"/>
  <c r="AL130" i="5" s="1"/>
  <c r="O1165" i="6"/>
  <c r="N1165" i="6"/>
  <c r="M1165" i="6"/>
  <c r="L1165" i="6"/>
  <c r="X130" i="5" s="1"/>
  <c r="AH130" i="5" s="1"/>
  <c r="K1165" i="6"/>
  <c r="J1165" i="6"/>
  <c r="B1165" i="6"/>
  <c r="S1164" i="6"/>
  <c r="R1164" i="6"/>
  <c r="Q1164" i="6"/>
  <c r="P1164" i="6"/>
  <c r="O1164" i="6"/>
  <c r="N1164" i="6"/>
  <c r="M1164" i="6"/>
  <c r="L1164" i="6"/>
  <c r="K1164" i="6"/>
  <c r="J1164" i="6"/>
  <c r="B1164" i="6"/>
  <c r="S1163" i="6"/>
  <c r="R1163" i="6"/>
  <c r="AD129" i="5" s="1"/>
  <c r="AN129" i="5" s="1"/>
  <c r="Q1163" i="6"/>
  <c r="P1163" i="6"/>
  <c r="O1163" i="6"/>
  <c r="N1163" i="6"/>
  <c r="Z129" i="5" s="1"/>
  <c r="AJ129" i="5" s="1"/>
  <c r="M1163" i="6"/>
  <c r="L1163" i="6"/>
  <c r="K1163" i="6"/>
  <c r="J1163" i="6"/>
  <c r="V129" i="5" s="1"/>
  <c r="AF129" i="5" s="1"/>
  <c r="B1163" i="6"/>
  <c r="S1162" i="6"/>
  <c r="R1162" i="6"/>
  <c r="Q1162" i="6"/>
  <c r="AC129" i="5" s="1"/>
  <c r="AM129" i="5" s="1"/>
  <c r="P1162" i="6"/>
  <c r="O1162" i="6"/>
  <c r="N1162" i="6"/>
  <c r="M1162" i="6"/>
  <c r="Y129" i="5" s="1"/>
  <c r="AI129" i="5" s="1"/>
  <c r="L1162" i="6"/>
  <c r="K1162" i="6"/>
  <c r="J1162" i="6"/>
  <c r="B1162" i="6"/>
  <c r="S1161" i="6"/>
  <c r="R1161" i="6"/>
  <c r="Q1161" i="6"/>
  <c r="P1161" i="6"/>
  <c r="AB129" i="5" s="1"/>
  <c r="AL129" i="5" s="1"/>
  <c r="O1161" i="6"/>
  <c r="N1161" i="6"/>
  <c r="M1161" i="6"/>
  <c r="L1161" i="6"/>
  <c r="X129" i="5" s="1"/>
  <c r="AH129" i="5" s="1"/>
  <c r="K1161" i="6"/>
  <c r="J1161" i="6"/>
  <c r="B1161" i="6"/>
  <c r="S1160" i="6"/>
  <c r="AE129" i="5" s="1"/>
  <c r="AO129" i="5" s="1"/>
  <c r="R1160" i="6"/>
  <c r="Q1160" i="6"/>
  <c r="P1160" i="6"/>
  <c r="O1160" i="6"/>
  <c r="AA129" i="5" s="1"/>
  <c r="AK129" i="5" s="1"/>
  <c r="N1160" i="6"/>
  <c r="M1160" i="6"/>
  <c r="L1160" i="6"/>
  <c r="K1160" i="6"/>
  <c r="W129" i="5" s="1"/>
  <c r="AG129" i="5" s="1"/>
  <c r="J1160" i="6"/>
  <c r="B1160" i="6"/>
  <c r="S1159" i="6"/>
  <c r="R1159" i="6"/>
  <c r="Q1159" i="6"/>
  <c r="P1159" i="6"/>
  <c r="O1159" i="6"/>
  <c r="N1159" i="6"/>
  <c r="M1159" i="6"/>
  <c r="L1159" i="6"/>
  <c r="K1159" i="6"/>
  <c r="J1159" i="6"/>
  <c r="B1159" i="6"/>
  <c r="S1158" i="6"/>
  <c r="R1158" i="6"/>
  <c r="Q1158" i="6"/>
  <c r="P1158" i="6"/>
  <c r="O1158" i="6"/>
  <c r="N1158" i="6"/>
  <c r="M1158" i="6"/>
  <c r="L1158" i="6"/>
  <c r="K1158" i="6"/>
  <c r="J1158" i="6"/>
  <c r="B1158" i="6"/>
  <c r="S1157" i="6"/>
  <c r="R1157" i="6"/>
  <c r="Q1157" i="6"/>
  <c r="P1157" i="6"/>
  <c r="O1157" i="6"/>
  <c r="N1157" i="6"/>
  <c r="M1157" i="6"/>
  <c r="L1157" i="6"/>
  <c r="K1157" i="6"/>
  <c r="J1157" i="6"/>
  <c r="B1157" i="6"/>
  <c r="S1156" i="6"/>
  <c r="R1156" i="6"/>
  <c r="Q1156" i="6"/>
  <c r="P1156" i="6"/>
  <c r="O1156" i="6"/>
  <c r="N1156" i="6"/>
  <c r="M1156" i="6"/>
  <c r="L1156" i="6"/>
  <c r="K1156" i="6"/>
  <c r="J1156" i="6"/>
  <c r="B1156" i="6"/>
  <c r="S1155" i="6"/>
  <c r="R1155" i="6"/>
  <c r="Q1155" i="6"/>
  <c r="P1155" i="6"/>
  <c r="O1155" i="6"/>
  <c r="N1155" i="6"/>
  <c r="M1155" i="6"/>
  <c r="L1155" i="6"/>
  <c r="K1155" i="6"/>
  <c r="J1155" i="6"/>
  <c r="B1155" i="6"/>
  <c r="S1154" i="6"/>
  <c r="R1154" i="6"/>
  <c r="Q1154" i="6"/>
  <c r="AC128" i="5" s="1"/>
  <c r="AM128" i="5" s="1"/>
  <c r="P1154" i="6"/>
  <c r="O1154" i="6"/>
  <c r="N1154" i="6"/>
  <c r="M1154" i="6"/>
  <c r="Y128" i="5" s="1"/>
  <c r="AI128" i="5" s="1"/>
  <c r="L1154" i="6"/>
  <c r="K1154" i="6"/>
  <c r="J1154" i="6"/>
  <c r="B1154" i="6"/>
  <c r="S1153" i="6"/>
  <c r="R1153" i="6"/>
  <c r="Q1153" i="6"/>
  <c r="P1153" i="6"/>
  <c r="AB128" i="5" s="1"/>
  <c r="AL128" i="5" s="1"/>
  <c r="O1153" i="6"/>
  <c r="N1153" i="6"/>
  <c r="M1153" i="6"/>
  <c r="L1153" i="6"/>
  <c r="X128" i="5" s="1"/>
  <c r="AH128" i="5" s="1"/>
  <c r="K1153" i="6"/>
  <c r="J1153" i="6"/>
  <c r="B1153" i="6"/>
  <c r="S1152" i="6"/>
  <c r="AE128" i="5" s="1"/>
  <c r="AO128" i="5" s="1"/>
  <c r="R1152" i="6"/>
  <c r="Q1152" i="6"/>
  <c r="P1152" i="6"/>
  <c r="O1152" i="6"/>
  <c r="AA128" i="5" s="1"/>
  <c r="AK128" i="5" s="1"/>
  <c r="N1152" i="6"/>
  <c r="M1152" i="6"/>
  <c r="L1152" i="6"/>
  <c r="K1152" i="6"/>
  <c r="W128" i="5" s="1"/>
  <c r="AG128" i="5" s="1"/>
  <c r="J1152" i="6"/>
  <c r="B1152" i="6"/>
  <c r="S1151" i="6"/>
  <c r="R1151" i="6"/>
  <c r="AD128" i="5" s="1"/>
  <c r="AN128" i="5" s="1"/>
  <c r="Q1151" i="6"/>
  <c r="P1151" i="6"/>
  <c r="O1151" i="6"/>
  <c r="N1151" i="6"/>
  <c r="Z128" i="5" s="1"/>
  <c r="AJ128" i="5" s="1"/>
  <c r="M1151" i="6"/>
  <c r="L1151" i="6"/>
  <c r="K1151" i="6"/>
  <c r="J1151" i="6"/>
  <c r="V128" i="5" s="1"/>
  <c r="AF128" i="5" s="1"/>
  <c r="B1151" i="6"/>
  <c r="S1150" i="6"/>
  <c r="R1150" i="6"/>
  <c r="Q1150" i="6"/>
  <c r="P1150" i="6"/>
  <c r="O1150" i="6"/>
  <c r="N1150" i="6"/>
  <c r="M1150" i="6"/>
  <c r="L1150" i="6"/>
  <c r="K1150" i="6"/>
  <c r="J1150" i="6"/>
  <c r="B1150" i="6"/>
  <c r="S1149" i="6"/>
  <c r="R1149" i="6"/>
  <c r="Q1149" i="6"/>
  <c r="P1149" i="6"/>
  <c r="O1149" i="6"/>
  <c r="N1149" i="6"/>
  <c r="M1149" i="6"/>
  <c r="L1149" i="6"/>
  <c r="K1149" i="6"/>
  <c r="J1149" i="6"/>
  <c r="B1149" i="6"/>
  <c r="S1148" i="6"/>
  <c r="R1148" i="6"/>
  <c r="Q1148" i="6"/>
  <c r="P1148" i="6"/>
  <c r="O1148" i="6"/>
  <c r="N1148" i="6"/>
  <c r="M1148" i="6"/>
  <c r="L1148" i="6"/>
  <c r="K1148" i="6"/>
  <c r="J1148" i="6"/>
  <c r="B1148" i="6"/>
  <c r="S1147" i="6"/>
  <c r="R1147" i="6"/>
  <c r="Q1147" i="6"/>
  <c r="P1147" i="6"/>
  <c r="O1147" i="6"/>
  <c r="N1147" i="6"/>
  <c r="M1147" i="6"/>
  <c r="L1147" i="6"/>
  <c r="K1147" i="6"/>
  <c r="J1147" i="6"/>
  <c r="B1147" i="6"/>
  <c r="S1146" i="6"/>
  <c r="R1146" i="6"/>
  <c r="Q1146" i="6"/>
  <c r="P1146" i="6"/>
  <c r="O1146" i="6"/>
  <c r="N1146" i="6"/>
  <c r="M1146" i="6"/>
  <c r="L1146" i="6"/>
  <c r="K1146" i="6"/>
  <c r="J1146" i="6"/>
  <c r="B1146" i="6"/>
  <c r="S1145" i="6"/>
  <c r="R1145" i="6"/>
  <c r="Q1145" i="6"/>
  <c r="P1145" i="6"/>
  <c r="AB127" i="5" s="1"/>
  <c r="AL127" i="5" s="1"/>
  <c r="O1145" i="6"/>
  <c r="N1145" i="6"/>
  <c r="M1145" i="6"/>
  <c r="L1145" i="6"/>
  <c r="X127" i="5" s="1"/>
  <c r="AH127" i="5" s="1"/>
  <c r="K1145" i="6"/>
  <c r="J1145" i="6"/>
  <c r="B1145" i="6"/>
  <c r="S1144" i="6"/>
  <c r="AE127" i="5" s="1"/>
  <c r="AO127" i="5" s="1"/>
  <c r="R1144" i="6"/>
  <c r="Q1144" i="6"/>
  <c r="P1144" i="6"/>
  <c r="O1144" i="6"/>
  <c r="AA127" i="5" s="1"/>
  <c r="AK127" i="5" s="1"/>
  <c r="N1144" i="6"/>
  <c r="M1144" i="6"/>
  <c r="L1144" i="6"/>
  <c r="K1144" i="6"/>
  <c r="W127" i="5" s="1"/>
  <c r="AG127" i="5" s="1"/>
  <c r="J1144" i="6"/>
  <c r="B1144" i="6"/>
  <c r="S1143" i="6"/>
  <c r="R1143" i="6"/>
  <c r="AD127" i="5" s="1"/>
  <c r="AN127" i="5" s="1"/>
  <c r="Q1143" i="6"/>
  <c r="P1143" i="6"/>
  <c r="O1143" i="6"/>
  <c r="N1143" i="6"/>
  <c r="Z127" i="5" s="1"/>
  <c r="AJ127" i="5" s="1"/>
  <c r="M1143" i="6"/>
  <c r="L1143" i="6"/>
  <c r="K1143" i="6"/>
  <c r="J1143" i="6"/>
  <c r="V127" i="5" s="1"/>
  <c r="AF127" i="5" s="1"/>
  <c r="B1143" i="6"/>
  <c r="S1142" i="6"/>
  <c r="R1142" i="6"/>
  <c r="Q1142" i="6"/>
  <c r="AC127" i="5" s="1"/>
  <c r="AM127" i="5" s="1"/>
  <c r="P1142" i="6"/>
  <c r="O1142" i="6"/>
  <c r="N1142" i="6"/>
  <c r="M1142" i="6"/>
  <c r="Y127" i="5" s="1"/>
  <c r="AI127" i="5" s="1"/>
  <c r="L1142" i="6"/>
  <c r="K1142" i="6"/>
  <c r="J1142" i="6"/>
  <c r="B1142" i="6"/>
  <c r="S1141" i="6"/>
  <c r="R1141" i="6"/>
  <c r="Q1141" i="6"/>
  <c r="P1141" i="6"/>
  <c r="O1141" i="6"/>
  <c r="N1141" i="6"/>
  <c r="M1141" i="6"/>
  <c r="L1141" i="6"/>
  <c r="K1141" i="6"/>
  <c r="J1141" i="6"/>
  <c r="B1141" i="6"/>
  <c r="S1140" i="6"/>
  <c r="R1140" i="6"/>
  <c r="Q1140" i="6"/>
  <c r="P1140" i="6"/>
  <c r="O1140" i="6"/>
  <c r="N1140" i="6"/>
  <c r="M1140" i="6"/>
  <c r="L1140" i="6"/>
  <c r="K1140" i="6"/>
  <c r="J1140" i="6"/>
  <c r="B1140" i="6"/>
  <c r="S1139" i="6"/>
  <c r="R1139" i="6"/>
  <c r="Q1139" i="6"/>
  <c r="P1139" i="6"/>
  <c r="O1139" i="6"/>
  <c r="N1139" i="6"/>
  <c r="M1139" i="6"/>
  <c r="L1139" i="6"/>
  <c r="K1139" i="6"/>
  <c r="J1139" i="6"/>
  <c r="B1139" i="6"/>
  <c r="S1138" i="6"/>
  <c r="R1138" i="6"/>
  <c r="Q1138" i="6"/>
  <c r="P1138" i="6"/>
  <c r="O1138" i="6"/>
  <c r="N1138" i="6"/>
  <c r="M1138" i="6"/>
  <c r="L1138" i="6"/>
  <c r="K1138" i="6"/>
  <c r="J1138" i="6"/>
  <c r="B1138" i="6"/>
  <c r="S1137" i="6"/>
  <c r="R1137" i="6"/>
  <c r="Q1137" i="6"/>
  <c r="P1137" i="6"/>
  <c r="O1137" i="6"/>
  <c r="N1137" i="6"/>
  <c r="M1137" i="6"/>
  <c r="L1137" i="6"/>
  <c r="K1137" i="6"/>
  <c r="J1137" i="6"/>
  <c r="B1137" i="6"/>
  <c r="S1136" i="6"/>
  <c r="AE126" i="5" s="1"/>
  <c r="AO126" i="5" s="1"/>
  <c r="R1136" i="6"/>
  <c r="Q1136" i="6"/>
  <c r="P1136" i="6"/>
  <c r="O1136" i="6"/>
  <c r="AA126" i="5" s="1"/>
  <c r="AK126" i="5" s="1"/>
  <c r="N1136" i="6"/>
  <c r="M1136" i="6"/>
  <c r="L1136" i="6"/>
  <c r="K1136" i="6"/>
  <c r="W126" i="5" s="1"/>
  <c r="AG126" i="5" s="1"/>
  <c r="J1136" i="6"/>
  <c r="B1136" i="6"/>
  <c r="S1135" i="6"/>
  <c r="R1135" i="6"/>
  <c r="AD126" i="5" s="1"/>
  <c r="AN126" i="5" s="1"/>
  <c r="Q1135" i="6"/>
  <c r="P1135" i="6"/>
  <c r="O1135" i="6"/>
  <c r="N1135" i="6"/>
  <c r="Z126" i="5" s="1"/>
  <c r="AJ126" i="5" s="1"/>
  <c r="M1135" i="6"/>
  <c r="L1135" i="6"/>
  <c r="K1135" i="6"/>
  <c r="J1135" i="6"/>
  <c r="V126" i="5" s="1"/>
  <c r="AF126" i="5" s="1"/>
  <c r="B1135" i="6"/>
  <c r="S1134" i="6"/>
  <c r="R1134" i="6"/>
  <c r="Q1134" i="6"/>
  <c r="AC126" i="5" s="1"/>
  <c r="AM126" i="5" s="1"/>
  <c r="P1134" i="6"/>
  <c r="O1134" i="6"/>
  <c r="N1134" i="6"/>
  <c r="M1134" i="6"/>
  <c r="Y126" i="5" s="1"/>
  <c r="AI126" i="5" s="1"/>
  <c r="L1134" i="6"/>
  <c r="K1134" i="6"/>
  <c r="J1134" i="6"/>
  <c r="B1134" i="6"/>
  <c r="S1133" i="6"/>
  <c r="R1133" i="6"/>
  <c r="Q1133" i="6"/>
  <c r="P1133" i="6"/>
  <c r="AB126" i="5" s="1"/>
  <c r="AL126" i="5" s="1"/>
  <c r="O1133" i="6"/>
  <c r="N1133" i="6"/>
  <c r="M1133" i="6"/>
  <c r="L1133" i="6"/>
  <c r="X126" i="5" s="1"/>
  <c r="AH126" i="5" s="1"/>
  <c r="K1133" i="6"/>
  <c r="J1133" i="6"/>
  <c r="B1133" i="6"/>
  <c r="S1132" i="6"/>
  <c r="R1132" i="6"/>
  <c r="Q1132" i="6"/>
  <c r="P1132" i="6"/>
  <c r="O1132" i="6"/>
  <c r="N1132" i="6"/>
  <c r="M1132" i="6"/>
  <c r="L1132" i="6"/>
  <c r="K1132" i="6"/>
  <c r="J1132" i="6"/>
  <c r="B1132" i="6"/>
  <c r="S1131" i="6"/>
  <c r="R1131" i="6"/>
  <c r="Q1131" i="6"/>
  <c r="P1131" i="6"/>
  <c r="O1131" i="6"/>
  <c r="N1131" i="6"/>
  <c r="M1131" i="6"/>
  <c r="L1131" i="6"/>
  <c r="K1131" i="6"/>
  <c r="J1131" i="6"/>
  <c r="B1131" i="6"/>
  <c r="S1130" i="6"/>
  <c r="R1130" i="6"/>
  <c r="Q1130" i="6"/>
  <c r="P1130" i="6"/>
  <c r="O1130" i="6"/>
  <c r="N1130" i="6"/>
  <c r="M1130" i="6"/>
  <c r="L1130" i="6"/>
  <c r="K1130" i="6"/>
  <c r="J1130" i="6"/>
  <c r="B1130" i="6"/>
  <c r="S1129" i="6"/>
  <c r="R1129" i="6"/>
  <c r="Q1129" i="6"/>
  <c r="P1129" i="6"/>
  <c r="O1129" i="6"/>
  <c r="N1129" i="6"/>
  <c r="M1129" i="6"/>
  <c r="L1129" i="6"/>
  <c r="K1129" i="6"/>
  <c r="J1129" i="6"/>
  <c r="B1129" i="6"/>
  <c r="S1128" i="6"/>
  <c r="AE125" i="5" s="1"/>
  <c r="AO125" i="5" s="1"/>
  <c r="R1128" i="6"/>
  <c r="Q1128" i="6"/>
  <c r="P1128" i="6"/>
  <c r="O1128" i="6"/>
  <c r="AA125" i="5" s="1"/>
  <c r="AK125" i="5" s="1"/>
  <c r="N1128" i="6"/>
  <c r="M1128" i="6"/>
  <c r="L1128" i="6"/>
  <c r="K1128" i="6"/>
  <c r="W125" i="5" s="1"/>
  <c r="AG125" i="5" s="1"/>
  <c r="J1128" i="6"/>
  <c r="B1128" i="6"/>
  <c r="S1127" i="6"/>
  <c r="R1127" i="6"/>
  <c r="AD125" i="5" s="1"/>
  <c r="AN125" i="5" s="1"/>
  <c r="Q1127" i="6"/>
  <c r="P1127" i="6"/>
  <c r="O1127" i="6"/>
  <c r="N1127" i="6"/>
  <c r="Z125" i="5" s="1"/>
  <c r="AJ125" i="5" s="1"/>
  <c r="M1127" i="6"/>
  <c r="L1127" i="6"/>
  <c r="K1127" i="6"/>
  <c r="J1127" i="6"/>
  <c r="V125" i="5" s="1"/>
  <c r="AF125" i="5" s="1"/>
  <c r="B1127" i="6"/>
  <c r="S1126" i="6"/>
  <c r="R1126" i="6"/>
  <c r="Q1126" i="6"/>
  <c r="AC125" i="5" s="1"/>
  <c r="AM125" i="5" s="1"/>
  <c r="P1126" i="6"/>
  <c r="O1126" i="6"/>
  <c r="N1126" i="6"/>
  <c r="M1126" i="6"/>
  <c r="Y125" i="5" s="1"/>
  <c r="AI125" i="5" s="1"/>
  <c r="L1126" i="6"/>
  <c r="K1126" i="6"/>
  <c r="J1126" i="6"/>
  <c r="B1126" i="6"/>
  <c r="S1125" i="6"/>
  <c r="R1125" i="6"/>
  <c r="Q1125" i="6"/>
  <c r="P1125" i="6"/>
  <c r="AB125" i="5" s="1"/>
  <c r="AL125" i="5" s="1"/>
  <c r="O1125" i="6"/>
  <c r="N1125" i="6"/>
  <c r="M1125" i="6"/>
  <c r="L1125" i="6"/>
  <c r="X125" i="5" s="1"/>
  <c r="AH125" i="5" s="1"/>
  <c r="K1125" i="6"/>
  <c r="J1125" i="6"/>
  <c r="B1125" i="6"/>
  <c r="S1124" i="6"/>
  <c r="R1124" i="6"/>
  <c r="Q1124" i="6"/>
  <c r="P1124" i="6"/>
  <c r="O1124" i="6"/>
  <c r="N1124" i="6"/>
  <c r="M1124" i="6"/>
  <c r="L1124" i="6"/>
  <c r="K1124" i="6"/>
  <c r="J1124" i="6"/>
  <c r="B1124" i="6"/>
  <c r="S1123" i="6"/>
  <c r="R1123" i="6"/>
  <c r="Q1123" i="6"/>
  <c r="P1123" i="6"/>
  <c r="O1123" i="6"/>
  <c r="N1123" i="6"/>
  <c r="M1123" i="6"/>
  <c r="L1123" i="6"/>
  <c r="K1123" i="6"/>
  <c r="J1123" i="6"/>
  <c r="B1123" i="6"/>
  <c r="S1122" i="6"/>
  <c r="R1122" i="6"/>
  <c r="Q1122" i="6"/>
  <c r="AC124" i="5" s="1"/>
  <c r="AM124" i="5" s="1"/>
  <c r="P1122" i="6"/>
  <c r="O1122" i="6"/>
  <c r="N1122" i="6"/>
  <c r="M1122" i="6"/>
  <c r="Y124" i="5" s="1"/>
  <c r="AI124" i="5" s="1"/>
  <c r="L1122" i="6"/>
  <c r="K1122" i="6"/>
  <c r="J1122" i="6"/>
  <c r="B1122" i="6"/>
  <c r="S1121" i="6"/>
  <c r="R1121" i="6"/>
  <c r="Q1121" i="6"/>
  <c r="P1121" i="6"/>
  <c r="AB124" i="5" s="1"/>
  <c r="AL124" i="5" s="1"/>
  <c r="O1121" i="6"/>
  <c r="N1121" i="6"/>
  <c r="M1121" i="6"/>
  <c r="L1121" i="6"/>
  <c r="X124" i="5" s="1"/>
  <c r="AH124" i="5" s="1"/>
  <c r="K1121" i="6"/>
  <c r="J1121" i="6"/>
  <c r="B1121" i="6"/>
  <c r="S1120" i="6"/>
  <c r="AE124" i="5" s="1"/>
  <c r="AO124" i="5" s="1"/>
  <c r="R1120" i="6"/>
  <c r="Q1120" i="6"/>
  <c r="P1120" i="6"/>
  <c r="O1120" i="6"/>
  <c r="AA124" i="5" s="1"/>
  <c r="AK124" i="5" s="1"/>
  <c r="N1120" i="6"/>
  <c r="M1120" i="6"/>
  <c r="L1120" i="6"/>
  <c r="K1120" i="6"/>
  <c r="W124" i="5" s="1"/>
  <c r="AG124" i="5" s="1"/>
  <c r="J1120" i="6"/>
  <c r="B1120" i="6"/>
  <c r="S1119" i="6"/>
  <c r="R1119" i="6"/>
  <c r="AD124" i="5" s="1"/>
  <c r="AN124" i="5" s="1"/>
  <c r="Q1119" i="6"/>
  <c r="P1119" i="6"/>
  <c r="O1119" i="6"/>
  <c r="N1119" i="6"/>
  <c r="Z124" i="5" s="1"/>
  <c r="AJ124" i="5" s="1"/>
  <c r="M1119" i="6"/>
  <c r="L1119" i="6"/>
  <c r="K1119" i="6"/>
  <c r="J1119" i="6"/>
  <c r="V124" i="5" s="1"/>
  <c r="AF124" i="5" s="1"/>
  <c r="B1119" i="6"/>
  <c r="S1118" i="6"/>
  <c r="R1118" i="6"/>
  <c r="Q1118" i="6"/>
  <c r="P1118" i="6"/>
  <c r="O1118" i="6"/>
  <c r="N1118" i="6"/>
  <c r="M1118" i="6"/>
  <c r="L1118" i="6"/>
  <c r="K1118" i="6"/>
  <c r="J1118" i="6"/>
  <c r="B1118" i="6"/>
  <c r="S1117" i="6"/>
  <c r="R1117" i="6"/>
  <c r="Q1117" i="6"/>
  <c r="P1117" i="6"/>
  <c r="O1117" i="6"/>
  <c r="N1117" i="6"/>
  <c r="M1117" i="6"/>
  <c r="L1117" i="6"/>
  <c r="K1117" i="6"/>
  <c r="J1117" i="6"/>
  <c r="B1117" i="6"/>
  <c r="S1116" i="6"/>
  <c r="R1116" i="6"/>
  <c r="Q1116" i="6"/>
  <c r="P1116" i="6"/>
  <c r="O1116" i="6"/>
  <c r="N1116" i="6"/>
  <c r="M1116" i="6"/>
  <c r="L1116" i="6"/>
  <c r="K1116" i="6"/>
  <c r="J1116" i="6"/>
  <c r="B1116" i="6"/>
  <c r="S1115" i="6"/>
  <c r="R1115" i="6"/>
  <c r="Q1115" i="6"/>
  <c r="P1115" i="6"/>
  <c r="O1115" i="6"/>
  <c r="N1115" i="6"/>
  <c r="M1115" i="6"/>
  <c r="L1115" i="6"/>
  <c r="K1115" i="6"/>
  <c r="J1115" i="6"/>
  <c r="B1115" i="6"/>
  <c r="S1114" i="6"/>
  <c r="R1114" i="6"/>
  <c r="Q1114" i="6"/>
  <c r="P1114" i="6"/>
  <c r="O1114" i="6"/>
  <c r="N1114" i="6"/>
  <c r="M1114" i="6"/>
  <c r="L1114" i="6"/>
  <c r="K1114" i="6"/>
  <c r="J1114" i="6"/>
  <c r="B1114" i="6"/>
  <c r="S1113" i="6"/>
  <c r="R1113" i="6"/>
  <c r="Q1113" i="6"/>
  <c r="P1113" i="6"/>
  <c r="AB123" i="5" s="1"/>
  <c r="AL123" i="5" s="1"/>
  <c r="O1113" i="6"/>
  <c r="N1113" i="6"/>
  <c r="M1113" i="6"/>
  <c r="L1113" i="6"/>
  <c r="X123" i="5" s="1"/>
  <c r="AH123" i="5" s="1"/>
  <c r="K1113" i="6"/>
  <c r="J1113" i="6"/>
  <c r="B1113" i="6"/>
  <c r="S1112" i="6"/>
  <c r="AE123" i="5" s="1"/>
  <c r="AO123" i="5" s="1"/>
  <c r="R1112" i="6"/>
  <c r="Q1112" i="6"/>
  <c r="P1112" i="6"/>
  <c r="O1112" i="6"/>
  <c r="AA123" i="5" s="1"/>
  <c r="AK123" i="5" s="1"/>
  <c r="N1112" i="6"/>
  <c r="M1112" i="6"/>
  <c r="L1112" i="6"/>
  <c r="K1112" i="6"/>
  <c r="W123" i="5" s="1"/>
  <c r="AG123" i="5" s="1"/>
  <c r="J1112" i="6"/>
  <c r="B1112" i="6"/>
  <c r="S1111" i="6"/>
  <c r="R1111" i="6"/>
  <c r="AD123" i="5" s="1"/>
  <c r="AN123" i="5" s="1"/>
  <c r="Q1111" i="6"/>
  <c r="P1111" i="6"/>
  <c r="O1111" i="6"/>
  <c r="N1111" i="6"/>
  <c r="Z123" i="5" s="1"/>
  <c r="AJ123" i="5" s="1"/>
  <c r="M1111" i="6"/>
  <c r="L1111" i="6"/>
  <c r="K1111" i="6"/>
  <c r="J1111" i="6"/>
  <c r="V123" i="5" s="1"/>
  <c r="AF123" i="5" s="1"/>
  <c r="B1111" i="6"/>
  <c r="S1110" i="6"/>
  <c r="R1110" i="6"/>
  <c r="Q1110" i="6"/>
  <c r="AC123" i="5" s="1"/>
  <c r="AM123" i="5" s="1"/>
  <c r="P1110" i="6"/>
  <c r="O1110" i="6"/>
  <c r="N1110" i="6"/>
  <c r="M1110" i="6"/>
  <c r="Y123" i="5" s="1"/>
  <c r="AI123" i="5" s="1"/>
  <c r="L1110" i="6"/>
  <c r="K1110" i="6"/>
  <c r="J1110" i="6"/>
  <c r="B1110" i="6"/>
  <c r="S1109" i="6"/>
  <c r="R1109" i="6"/>
  <c r="Q1109" i="6"/>
  <c r="P1109" i="6"/>
  <c r="O1109" i="6"/>
  <c r="N1109" i="6"/>
  <c r="M1109" i="6"/>
  <c r="L1109" i="6"/>
  <c r="K1109" i="6"/>
  <c r="J1109" i="6"/>
  <c r="B1109" i="6"/>
  <c r="S1108" i="6"/>
  <c r="AE122" i="5" s="1"/>
  <c r="AO122" i="5" s="1"/>
  <c r="R1108" i="6"/>
  <c r="Q1108" i="6"/>
  <c r="P1108" i="6"/>
  <c r="O1108" i="6"/>
  <c r="AA122" i="5" s="1"/>
  <c r="AK122" i="5" s="1"/>
  <c r="N1108" i="6"/>
  <c r="M1108" i="6"/>
  <c r="L1108" i="6"/>
  <c r="K1108" i="6"/>
  <c r="W122" i="5" s="1"/>
  <c r="AG122" i="5" s="1"/>
  <c r="J1108" i="6"/>
  <c r="B1108" i="6"/>
  <c r="S1107" i="6"/>
  <c r="R1107" i="6"/>
  <c r="AD122" i="5" s="1"/>
  <c r="AN122" i="5" s="1"/>
  <c r="Q1107" i="6"/>
  <c r="P1107" i="6"/>
  <c r="O1107" i="6"/>
  <c r="N1107" i="6"/>
  <c r="Z122" i="5" s="1"/>
  <c r="AJ122" i="5" s="1"/>
  <c r="M1107" i="6"/>
  <c r="L1107" i="6"/>
  <c r="K1107" i="6"/>
  <c r="J1107" i="6"/>
  <c r="V122" i="5" s="1"/>
  <c r="AF122" i="5" s="1"/>
  <c r="B1107" i="6"/>
  <c r="S1106" i="6"/>
  <c r="R1106" i="6"/>
  <c r="Q1106" i="6"/>
  <c r="AC122" i="5" s="1"/>
  <c r="AM122" i="5" s="1"/>
  <c r="P1106" i="6"/>
  <c r="O1106" i="6"/>
  <c r="N1106" i="6"/>
  <c r="M1106" i="6"/>
  <c r="Y122" i="5" s="1"/>
  <c r="AI122" i="5" s="1"/>
  <c r="L1106" i="6"/>
  <c r="K1106" i="6"/>
  <c r="J1106" i="6"/>
  <c r="B1106" i="6"/>
  <c r="S1105" i="6"/>
  <c r="R1105" i="6"/>
  <c r="Q1105" i="6"/>
  <c r="P1105" i="6"/>
  <c r="AB122" i="5" s="1"/>
  <c r="AL122" i="5" s="1"/>
  <c r="O1105" i="6"/>
  <c r="N1105" i="6"/>
  <c r="M1105" i="6"/>
  <c r="L1105" i="6"/>
  <c r="X122" i="5" s="1"/>
  <c r="AH122" i="5" s="1"/>
  <c r="K1105" i="6"/>
  <c r="J1105" i="6"/>
  <c r="B1105" i="6"/>
  <c r="S1104" i="6"/>
  <c r="R1104" i="6"/>
  <c r="Q1104" i="6"/>
  <c r="P1104" i="6"/>
  <c r="O1104" i="6"/>
  <c r="N1104" i="6"/>
  <c r="M1104" i="6"/>
  <c r="L1104" i="6"/>
  <c r="K1104" i="6"/>
  <c r="J1104" i="6"/>
  <c r="B1104" i="6"/>
  <c r="S1103" i="6"/>
  <c r="R1103" i="6"/>
  <c r="Q1103" i="6"/>
  <c r="P1103" i="6"/>
  <c r="O1103" i="6"/>
  <c r="N1103" i="6"/>
  <c r="M1103" i="6"/>
  <c r="L1103" i="6"/>
  <c r="K1103" i="6"/>
  <c r="J1103" i="6"/>
  <c r="B1103" i="6"/>
  <c r="S1102" i="6"/>
  <c r="R1102" i="6"/>
  <c r="Q1102" i="6"/>
  <c r="P1102" i="6"/>
  <c r="O1102" i="6"/>
  <c r="N1102" i="6"/>
  <c r="M1102" i="6"/>
  <c r="L1102" i="6"/>
  <c r="K1102" i="6"/>
  <c r="J1102" i="6"/>
  <c r="B1102" i="6"/>
  <c r="S1101" i="6"/>
  <c r="R1101" i="6"/>
  <c r="Q1101" i="6"/>
  <c r="P1101" i="6"/>
  <c r="O1101" i="6"/>
  <c r="N1101" i="6"/>
  <c r="M1101" i="6"/>
  <c r="L1101" i="6"/>
  <c r="K1101" i="6"/>
  <c r="J1101" i="6"/>
  <c r="B1101" i="6"/>
  <c r="S1100" i="6"/>
  <c r="R1100" i="6"/>
  <c r="Q1100" i="6"/>
  <c r="P1100" i="6"/>
  <c r="O1100" i="6"/>
  <c r="N1100" i="6"/>
  <c r="M1100" i="6"/>
  <c r="L1100" i="6"/>
  <c r="K1100" i="6"/>
  <c r="J1100" i="6"/>
  <c r="B1100" i="6"/>
  <c r="S1099" i="6"/>
  <c r="R1099" i="6"/>
  <c r="AD121" i="5" s="1"/>
  <c r="AN121" i="5" s="1"/>
  <c r="Q1099" i="6"/>
  <c r="P1099" i="6"/>
  <c r="O1099" i="6"/>
  <c r="N1099" i="6"/>
  <c r="Z121" i="5" s="1"/>
  <c r="AJ121" i="5" s="1"/>
  <c r="M1099" i="6"/>
  <c r="L1099" i="6"/>
  <c r="K1099" i="6"/>
  <c r="J1099" i="6"/>
  <c r="V121" i="5" s="1"/>
  <c r="AF121" i="5" s="1"/>
  <c r="B1099" i="6"/>
  <c r="S1098" i="6"/>
  <c r="R1098" i="6"/>
  <c r="Q1098" i="6"/>
  <c r="AC121" i="5" s="1"/>
  <c r="AM121" i="5" s="1"/>
  <c r="P1098" i="6"/>
  <c r="O1098" i="6"/>
  <c r="N1098" i="6"/>
  <c r="M1098" i="6"/>
  <c r="Y121" i="5" s="1"/>
  <c r="AI121" i="5" s="1"/>
  <c r="L1098" i="6"/>
  <c r="K1098" i="6"/>
  <c r="J1098" i="6"/>
  <c r="B1098" i="6"/>
  <c r="S1097" i="6"/>
  <c r="R1097" i="6"/>
  <c r="Q1097" i="6"/>
  <c r="P1097" i="6"/>
  <c r="AB121" i="5" s="1"/>
  <c r="AL121" i="5" s="1"/>
  <c r="O1097" i="6"/>
  <c r="N1097" i="6"/>
  <c r="M1097" i="6"/>
  <c r="L1097" i="6"/>
  <c r="X121" i="5" s="1"/>
  <c r="AH121" i="5" s="1"/>
  <c r="K1097" i="6"/>
  <c r="J1097" i="6"/>
  <c r="B1097" i="6"/>
  <c r="S1096" i="6"/>
  <c r="AE121" i="5" s="1"/>
  <c r="AO121" i="5" s="1"/>
  <c r="R1096" i="6"/>
  <c r="Q1096" i="6"/>
  <c r="P1096" i="6"/>
  <c r="O1096" i="6"/>
  <c r="AA121" i="5" s="1"/>
  <c r="AK121" i="5" s="1"/>
  <c r="N1096" i="6"/>
  <c r="M1096" i="6"/>
  <c r="L1096" i="6"/>
  <c r="K1096" i="6"/>
  <c r="W121" i="5" s="1"/>
  <c r="AG121" i="5" s="1"/>
  <c r="J1096" i="6"/>
  <c r="B1096" i="6"/>
  <c r="S1095" i="6"/>
  <c r="R1095" i="6"/>
  <c r="Q1095" i="6"/>
  <c r="P1095" i="6"/>
  <c r="O1095" i="6"/>
  <c r="N1095" i="6"/>
  <c r="M1095" i="6"/>
  <c r="L1095" i="6"/>
  <c r="K1095" i="6"/>
  <c r="J1095" i="6"/>
  <c r="B1095" i="6"/>
  <c r="S1094" i="6"/>
  <c r="R1094" i="6"/>
  <c r="Q1094" i="6"/>
  <c r="P1094" i="6"/>
  <c r="O1094" i="6"/>
  <c r="N1094" i="6"/>
  <c r="M1094" i="6"/>
  <c r="L1094" i="6"/>
  <c r="K1094" i="6"/>
  <c r="J1094" i="6"/>
  <c r="B1094" i="6"/>
  <c r="S1093" i="6"/>
  <c r="R1093" i="6"/>
  <c r="Q1093" i="6"/>
  <c r="P1093" i="6"/>
  <c r="O1093" i="6"/>
  <c r="N1093" i="6"/>
  <c r="M1093" i="6"/>
  <c r="L1093" i="6"/>
  <c r="K1093" i="6"/>
  <c r="J1093" i="6"/>
  <c r="B1093" i="6"/>
  <c r="S1092" i="6"/>
  <c r="R1092" i="6"/>
  <c r="Q1092" i="6"/>
  <c r="P1092" i="6"/>
  <c r="O1092" i="6"/>
  <c r="N1092" i="6"/>
  <c r="M1092" i="6"/>
  <c r="L1092" i="6"/>
  <c r="K1092" i="6"/>
  <c r="J1092" i="6"/>
  <c r="B1092" i="6"/>
  <c r="S1091" i="6"/>
  <c r="R1091" i="6"/>
  <c r="Q1091" i="6"/>
  <c r="P1091" i="6"/>
  <c r="O1091" i="6"/>
  <c r="N1091" i="6"/>
  <c r="M1091" i="6"/>
  <c r="L1091" i="6"/>
  <c r="K1091" i="6"/>
  <c r="J1091" i="6"/>
  <c r="B1091" i="6"/>
  <c r="S1090" i="6"/>
  <c r="R1090" i="6"/>
  <c r="Q1090" i="6"/>
  <c r="P1090" i="6"/>
  <c r="O1090" i="6"/>
  <c r="N1090" i="6"/>
  <c r="M1090" i="6"/>
  <c r="L1090" i="6"/>
  <c r="K1090" i="6"/>
  <c r="J1090" i="6"/>
  <c r="B1090" i="6"/>
  <c r="S1089" i="6"/>
  <c r="R1089" i="6"/>
  <c r="Q1089" i="6"/>
  <c r="P1089" i="6"/>
  <c r="O1089" i="6"/>
  <c r="N1089" i="6"/>
  <c r="M1089" i="6"/>
  <c r="L1089" i="6"/>
  <c r="K1089" i="6"/>
  <c r="J1089" i="6"/>
  <c r="B1089" i="6"/>
  <c r="S1088" i="6"/>
  <c r="R1088" i="6"/>
  <c r="Q1088" i="6"/>
  <c r="P1088" i="6"/>
  <c r="O1088" i="6"/>
  <c r="N1088" i="6"/>
  <c r="M1088" i="6"/>
  <c r="L1088" i="6"/>
  <c r="K1088" i="6"/>
  <c r="J1088" i="6"/>
  <c r="B1088" i="6"/>
  <c r="S1087" i="6"/>
  <c r="R1087" i="6"/>
  <c r="AD120" i="5" s="1"/>
  <c r="AN120" i="5" s="1"/>
  <c r="Q1087" i="6"/>
  <c r="P1087" i="6"/>
  <c r="O1087" i="6"/>
  <c r="N1087" i="6"/>
  <c r="Z120" i="5" s="1"/>
  <c r="AJ120" i="5" s="1"/>
  <c r="M1087" i="6"/>
  <c r="L1087" i="6"/>
  <c r="K1087" i="6"/>
  <c r="J1087" i="6"/>
  <c r="V120" i="5" s="1"/>
  <c r="AF120" i="5" s="1"/>
  <c r="B1087" i="6"/>
  <c r="S1086" i="6"/>
  <c r="R1086" i="6"/>
  <c r="Q1086" i="6"/>
  <c r="AC120" i="5" s="1"/>
  <c r="AM120" i="5" s="1"/>
  <c r="P1086" i="6"/>
  <c r="O1086" i="6"/>
  <c r="N1086" i="6"/>
  <c r="M1086" i="6"/>
  <c r="Y120" i="5" s="1"/>
  <c r="AI120" i="5" s="1"/>
  <c r="L1086" i="6"/>
  <c r="K1086" i="6"/>
  <c r="J1086" i="6"/>
  <c r="B1086" i="6"/>
  <c r="S1085" i="6"/>
  <c r="R1085" i="6"/>
  <c r="Q1085" i="6"/>
  <c r="P1085" i="6"/>
  <c r="AB120" i="5" s="1"/>
  <c r="AL120" i="5" s="1"/>
  <c r="O1085" i="6"/>
  <c r="N1085" i="6"/>
  <c r="M1085" i="6"/>
  <c r="L1085" i="6"/>
  <c r="X120" i="5" s="1"/>
  <c r="AH120" i="5" s="1"/>
  <c r="K1085" i="6"/>
  <c r="J1085" i="6"/>
  <c r="B1085" i="6"/>
  <c r="S1084" i="6"/>
  <c r="AE120" i="5" s="1"/>
  <c r="AO120" i="5" s="1"/>
  <c r="R1084" i="6"/>
  <c r="Q1084" i="6"/>
  <c r="P1084" i="6"/>
  <c r="O1084" i="6"/>
  <c r="AA120" i="5" s="1"/>
  <c r="AK120" i="5" s="1"/>
  <c r="N1084" i="6"/>
  <c r="M1084" i="6"/>
  <c r="L1084" i="6"/>
  <c r="K1084" i="6"/>
  <c r="W120" i="5" s="1"/>
  <c r="AG120" i="5" s="1"/>
  <c r="J1084" i="6"/>
  <c r="B1084" i="6"/>
  <c r="S1083" i="6"/>
  <c r="R1083" i="6"/>
  <c r="Q1083" i="6"/>
  <c r="P1083" i="6"/>
  <c r="O1083" i="6"/>
  <c r="N1083" i="6"/>
  <c r="M1083" i="6"/>
  <c r="L1083" i="6"/>
  <c r="K1083" i="6"/>
  <c r="J1083" i="6"/>
  <c r="B1083" i="6"/>
  <c r="S1082" i="6"/>
  <c r="R1082" i="6"/>
  <c r="Q1082" i="6"/>
  <c r="P1082" i="6"/>
  <c r="O1082" i="6"/>
  <c r="N1082" i="6"/>
  <c r="M1082" i="6"/>
  <c r="L1082" i="6"/>
  <c r="K1082" i="6"/>
  <c r="J1082" i="6"/>
  <c r="B1082" i="6"/>
  <c r="S1081" i="6"/>
  <c r="R1081" i="6"/>
  <c r="Q1081" i="6"/>
  <c r="P1081" i="6"/>
  <c r="O1081" i="6"/>
  <c r="N1081" i="6"/>
  <c r="M1081" i="6"/>
  <c r="L1081" i="6"/>
  <c r="K1081" i="6"/>
  <c r="J1081" i="6"/>
  <c r="B1081" i="6"/>
  <c r="S1080" i="6"/>
  <c r="R1080" i="6"/>
  <c r="Q1080" i="6"/>
  <c r="P1080" i="6"/>
  <c r="O1080" i="6"/>
  <c r="N1080" i="6"/>
  <c r="M1080" i="6"/>
  <c r="L1080" i="6"/>
  <c r="K1080" i="6"/>
  <c r="J1080" i="6"/>
  <c r="B1080" i="6"/>
  <c r="S1079" i="6"/>
  <c r="R1079" i="6"/>
  <c r="AD119" i="5" s="1"/>
  <c r="AN119" i="5" s="1"/>
  <c r="Q1079" i="6"/>
  <c r="P1079" i="6"/>
  <c r="O1079" i="6"/>
  <c r="N1079" i="6"/>
  <c r="Z119" i="5" s="1"/>
  <c r="AJ119" i="5" s="1"/>
  <c r="M1079" i="6"/>
  <c r="L1079" i="6"/>
  <c r="K1079" i="6"/>
  <c r="J1079" i="6"/>
  <c r="V119" i="5" s="1"/>
  <c r="AF119" i="5" s="1"/>
  <c r="B1079" i="6"/>
  <c r="S1078" i="6"/>
  <c r="R1078" i="6"/>
  <c r="Q1078" i="6"/>
  <c r="AC119" i="5" s="1"/>
  <c r="AM119" i="5" s="1"/>
  <c r="P1078" i="6"/>
  <c r="O1078" i="6"/>
  <c r="N1078" i="6"/>
  <c r="M1078" i="6"/>
  <c r="Y119" i="5" s="1"/>
  <c r="AI119" i="5" s="1"/>
  <c r="L1078" i="6"/>
  <c r="K1078" i="6"/>
  <c r="J1078" i="6"/>
  <c r="B1078" i="6"/>
  <c r="S1077" i="6"/>
  <c r="R1077" i="6"/>
  <c r="Q1077" i="6"/>
  <c r="P1077" i="6"/>
  <c r="AB119" i="5" s="1"/>
  <c r="AL119" i="5" s="1"/>
  <c r="O1077" i="6"/>
  <c r="N1077" i="6"/>
  <c r="M1077" i="6"/>
  <c r="L1077" i="6"/>
  <c r="X119" i="5" s="1"/>
  <c r="AH119" i="5" s="1"/>
  <c r="K1077" i="6"/>
  <c r="J1077" i="6"/>
  <c r="B1077" i="6"/>
  <c r="S1076" i="6"/>
  <c r="AE119" i="5" s="1"/>
  <c r="AO119" i="5" s="1"/>
  <c r="R1076" i="6"/>
  <c r="Q1076" i="6"/>
  <c r="P1076" i="6"/>
  <c r="O1076" i="6"/>
  <c r="AA119" i="5" s="1"/>
  <c r="AK119" i="5" s="1"/>
  <c r="N1076" i="6"/>
  <c r="M1076" i="6"/>
  <c r="L1076" i="6"/>
  <c r="K1076" i="6"/>
  <c r="W119" i="5" s="1"/>
  <c r="AG119" i="5" s="1"/>
  <c r="J1076" i="6"/>
  <c r="B1076" i="6"/>
  <c r="S1075" i="6"/>
  <c r="R1075" i="6"/>
  <c r="Q1075" i="6"/>
  <c r="P1075" i="6"/>
  <c r="O1075" i="6"/>
  <c r="N1075" i="6"/>
  <c r="M1075" i="6"/>
  <c r="L1075" i="6"/>
  <c r="K1075" i="6"/>
  <c r="J1075" i="6"/>
  <c r="B1075" i="6"/>
  <c r="S1074" i="6"/>
  <c r="R1074" i="6"/>
  <c r="Q1074" i="6"/>
  <c r="P1074" i="6"/>
  <c r="O1074" i="6"/>
  <c r="N1074" i="6"/>
  <c r="M1074" i="6"/>
  <c r="L1074" i="6"/>
  <c r="K1074" i="6"/>
  <c r="J1074" i="6"/>
  <c r="B1074" i="6"/>
  <c r="S1073" i="6"/>
  <c r="R1073" i="6"/>
  <c r="Q1073" i="6"/>
  <c r="P1073" i="6"/>
  <c r="O1073" i="6"/>
  <c r="N1073" i="6"/>
  <c r="M1073" i="6"/>
  <c r="L1073" i="6"/>
  <c r="K1073" i="6"/>
  <c r="J1073" i="6"/>
  <c r="B1073" i="6"/>
  <c r="S1072" i="6"/>
  <c r="R1072" i="6"/>
  <c r="Q1072" i="6"/>
  <c r="P1072" i="6"/>
  <c r="O1072" i="6"/>
  <c r="N1072" i="6"/>
  <c r="M1072" i="6"/>
  <c r="L1072" i="6"/>
  <c r="K1072" i="6"/>
  <c r="J1072" i="6"/>
  <c r="B1072" i="6"/>
  <c r="S1071" i="6"/>
  <c r="R1071" i="6"/>
  <c r="AD118" i="5" s="1"/>
  <c r="AN118" i="5" s="1"/>
  <c r="Q1071" i="6"/>
  <c r="P1071" i="6"/>
  <c r="O1071" i="6"/>
  <c r="N1071" i="6"/>
  <c r="Z118" i="5" s="1"/>
  <c r="AJ118" i="5" s="1"/>
  <c r="M1071" i="6"/>
  <c r="L1071" i="6"/>
  <c r="K1071" i="6"/>
  <c r="J1071" i="6"/>
  <c r="V118" i="5" s="1"/>
  <c r="AF118" i="5" s="1"/>
  <c r="B1071" i="6"/>
  <c r="S1070" i="6"/>
  <c r="R1070" i="6"/>
  <c r="Q1070" i="6"/>
  <c r="AC118" i="5" s="1"/>
  <c r="AM118" i="5" s="1"/>
  <c r="P1070" i="6"/>
  <c r="O1070" i="6"/>
  <c r="N1070" i="6"/>
  <c r="M1070" i="6"/>
  <c r="Y118" i="5" s="1"/>
  <c r="AI118" i="5" s="1"/>
  <c r="L1070" i="6"/>
  <c r="K1070" i="6"/>
  <c r="J1070" i="6"/>
  <c r="B1070" i="6"/>
  <c r="S1069" i="6"/>
  <c r="R1069" i="6"/>
  <c r="Q1069" i="6"/>
  <c r="P1069" i="6"/>
  <c r="AB118" i="5" s="1"/>
  <c r="AL118" i="5" s="1"/>
  <c r="O1069" i="6"/>
  <c r="N1069" i="6"/>
  <c r="M1069" i="6"/>
  <c r="L1069" i="6"/>
  <c r="X118" i="5" s="1"/>
  <c r="AH118" i="5" s="1"/>
  <c r="K1069" i="6"/>
  <c r="J1069" i="6"/>
  <c r="B1069" i="6"/>
  <c r="S1068" i="6"/>
  <c r="AE118" i="5" s="1"/>
  <c r="AO118" i="5" s="1"/>
  <c r="R1068" i="6"/>
  <c r="Q1068" i="6"/>
  <c r="P1068" i="6"/>
  <c r="O1068" i="6"/>
  <c r="AA118" i="5" s="1"/>
  <c r="AK118" i="5" s="1"/>
  <c r="N1068" i="6"/>
  <c r="M1068" i="6"/>
  <c r="L1068" i="6"/>
  <c r="K1068" i="6"/>
  <c r="W118" i="5" s="1"/>
  <c r="AG118" i="5" s="1"/>
  <c r="J1068" i="6"/>
  <c r="B1068" i="6"/>
  <c r="S1067" i="6"/>
  <c r="R1067" i="6"/>
  <c r="Q1067" i="6"/>
  <c r="P1067" i="6"/>
  <c r="O1067" i="6"/>
  <c r="N1067" i="6"/>
  <c r="M1067" i="6"/>
  <c r="L1067" i="6"/>
  <c r="K1067" i="6"/>
  <c r="J1067" i="6"/>
  <c r="B1067" i="6"/>
  <c r="S1066" i="6"/>
  <c r="R1066" i="6"/>
  <c r="Q1066" i="6"/>
  <c r="P1066" i="6"/>
  <c r="O1066" i="6"/>
  <c r="N1066" i="6"/>
  <c r="M1066" i="6"/>
  <c r="L1066" i="6"/>
  <c r="K1066" i="6"/>
  <c r="J1066" i="6"/>
  <c r="B1066" i="6"/>
  <c r="S1065" i="6"/>
  <c r="R1065" i="6"/>
  <c r="Q1065" i="6"/>
  <c r="P1065" i="6"/>
  <c r="O1065" i="6"/>
  <c r="N1065" i="6"/>
  <c r="M1065" i="6"/>
  <c r="L1065" i="6"/>
  <c r="K1065" i="6"/>
  <c r="J1065" i="6"/>
  <c r="B1065" i="6"/>
  <c r="S1064" i="6"/>
  <c r="AE117" i="5" s="1"/>
  <c r="AO117" i="5" s="1"/>
  <c r="R1064" i="6"/>
  <c r="Q1064" i="6"/>
  <c r="P1064" i="6"/>
  <c r="O1064" i="6"/>
  <c r="AA117" i="5" s="1"/>
  <c r="AK117" i="5" s="1"/>
  <c r="N1064" i="6"/>
  <c r="M1064" i="6"/>
  <c r="L1064" i="6"/>
  <c r="K1064" i="6"/>
  <c r="W117" i="5" s="1"/>
  <c r="AG117" i="5" s="1"/>
  <c r="J1064" i="6"/>
  <c r="B1064" i="6"/>
  <c r="S1063" i="6"/>
  <c r="R1063" i="6"/>
  <c r="AD117" i="5" s="1"/>
  <c r="AN117" i="5" s="1"/>
  <c r="Q1063" i="6"/>
  <c r="P1063" i="6"/>
  <c r="O1063" i="6"/>
  <c r="N1063" i="6"/>
  <c r="Z117" i="5" s="1"/>
  <c r="AJ117" i="5" s="1"/>
  <c r="M1063" i="6"/>
  <c r="L1063" i="6"/>
  <c r="K1063" i="6"/>
  <c r="J1063" i="6"/>
  <c r="V117" i="5" s="1"/>
  <c r="AF117" i="5" s="1"/>
  <c r="B1063" i="6"/>
  <c r="S1062" i="6"/>
  <c r="R1062" i="6"/>
  <c r="Q1062" i="6"/>
  <c r="AC117" i="5" s="1"/>
  <c r="AM117" i="5" s="1"/>
  <c r="P1062" i="6"/>
  <c r="O1062" i="6"/>
  <c r="N1062" i="6"/>
  <c r="M1062" i="6"/>
  <c r="Y117" i="5" s="1"/>
  <c r="AI117" i="5" s="1"/>
  <c r="L1062" i="6"/>
  <c r="K1062" i="6"/>
  <c r="J1062" i="6"/>
  <c r="B1062" i="6"/>
  <c r="S1061" i="6"/>
  <c r="R1061" i="6"/>
  <c r="Q1061" i="6"/>
  <c r="P1061" i="6"/>
  <c r="AB117" i="5" s="1"/>
  <c r="AL117" i="5" s="1"/>
  <c r="O1061" i="6"/>
  <c r="N1061" i="6"/>
  <c r="M1061" i="6"/>
  <c r="L1061" i="6"/>
  <c r="X117" i="5" s="1"/>
  <c r="AH117" i="5" s="1"/>
  <c r="K1061" i="6"/>
  <c r="J1061" i="6"/>
  <c r="B1061" i="6"/>
  <c r="S1060" i="6"/>
  <c r="R1060" i="6"/>
  <c r="Q1060" i="6"/>
  <c r="P1060" i="6"/>
  <c r="O1060" i="6"/>
  <c r="N1060" i="6"/>
  <c r="M1060" i="6"/>
  <c r="L1060" i="6"/>
  <c r="K1060" i="6"/>
  <c r="J1060" i="6"/>
  <c r="B1060" i="6"/>
  <c r="S1059" i="6"/>
  <c r="R1059" i="6"/>
  <c r="Q1059" i="6"/>
  <c r="P1059" i="6"/>
  <c r="O1059" i="6"/>
  <c r="N1059" i="6"/>
  <c r="M1059" i="6"/>
  <c r="L1059" i="6"/>
  <c r="K1059" i="6"/>
  <c r="J1059" i="6"/>
  <c r="B1059" i="6"/>
  <c r="S1058" i="6"/>
  <c r="R1058" i="6"/>
  <c r="Q1058" i="6"/>
  <c r="P1058" i="6"/>
  <c r="O1058" i="6"/>
  <c r="N1058" i="6"/>
  <c r="M1058" i="6"/>
  <c r="L1058" i="6"/>
  <c r="K1058" i="6"/>
  <c r="J1058" i="6"/>
  <c r="B1058" i="6"/>
  <c r="S1057" i="6"/>
  <c r="R1057" i="6"/>
  <c r="Q1057" i="6"/>
  <c r="P1057" i="6"/>
  <c r="O1057" i="6"/>
  <c r="N1057" i="6"/>
  <c r="M1057" i="6"/>
  <c r="L1057" i="6"/>
  <c r="K1057" i="6"/>
  <c r="J1057" i="6"/>
  <c r="B1057" i="6"/>
  <c r="S1056" i="6"/>
  <c r="R1056" i="6"/>
  <c r="Q1056" i="6"/>
  <c r="P1056" i="6"/>
  <c r="O1056" i="6"/>
  <c r="N1056" i="6"/>
  <c r="M1056" i="6"/>
  <c r="L1056" i="6"/>
  <c r="K1056" i="6"/>
  <c r="J1056" i="6"/>
  <c r="B1056" i="6"/>
  <c r="S1055" i="6"/>
  <c r="R1055" i="6"/>
  <c r="AD116" i="5" s="1"/>
  <c r="AN116" i="5" s="1"/>
  <c r="Q1055" i="6"/>
  <c r="P1055" i="6"/>
  <c r="O1055" i="6"/>
  <c r="N1055" i="6"/>
  <c r="Z116" i="5" s="1"/>
  <c r="AJ116" i="5" s="1"/>
  <c r="M1055" i="6"/>
  <c r="L1055" i="6"/>
  <c r="K1055" i="6"/>
  <c r="J1055" i="6"/>
  <c r="V116" i="5" s="1"/>
  <c r="AF116" i="5" s="1"/>
  <c r="B1055" i="6"/>
  <c r="S1054" i="6"/>
  <c r="R1054" i="6"/>
  <c r="Q1054" i="6"/>
  <c r="AC116" i="5" s="1"/>
  <c r="AM116" i="5" s="1"/>
  <c r="P1054" i="6"/>
  <c r="O1054" i="6"/>
  <c r="N1054" i="6"/>
  <c r="M1054" i="6"/>
  <c r="Y116" i="5" s="1"/>
  <c r="AI116" i="5" s="1"/>
  <c r="L1054" i="6"/>
  <c r="K1054" i="6"/>
  <c r="J1054" i="6"/>
  <c r="B1054" i="6"/>
  <c r="S1053" i="6"/>
  <c r="R1053" i="6"/>
  <c r="Q1053" i="6"/>
  <c r="P1053" i="6"/>
  <c r="AB116" i="5" s="1"/>
  <c r="AL116" i="5" s="1"/>
  <c r="O1053" i="6"/>
  <c r="N1053" i="6"/>
  <c r="M1053" i="6"/>
  <c r="L1053" i="6"/>
  <c r="X116" i="5" s="1"/>
  <c r="AH116" i="5" s="1"/>
  <c r="K1053" i="6"/>
  <c r="J1053" i="6"/>
  <c r="B1053" i="6"/>
  <c r="S1052" i="6"/>
  <c r="AE116" i="5" s="1"/>
  <c r="AO116" i="5" s="1"/>
  <c r="R1052" i="6"/>
  <c r="Q1052" i="6"/>
  <c r="P1052" i="6"/>
  <c r="O1052" i="6"/>
  <c r="AA116" i="5" s="1"/>
  <c r="AK116" i="5" s="1"/>
  <c r="N1052" i="6"/>
  <c r="M1052" i="6"/>
  <c r="L1052" i="6"/>
  <c r="K1052" i="6"/>
  <c r="W116" i="5" s="1"/>
  <c r="AG116" i="5" s="1"/>
  <c r="J1052" i="6"/>
  <c r="B1052" i="6"/>
  <c r="S1051" i="6"/>
  <c r="R1051" i="6"/>
  <c r="Q1051" i="6"/>
  <c r="P1051" i="6"/>
  <c r="O1051" i="6"/>
  <c r="N1051" i="6"/>
  <c r="M1051" i="6"/>
  <c r="L1051" i="6"/>
  <c r="K1051" i="6"/>
  <c r="J1051" i="6"/>
  <c r="B1051" i="6"/>
  <c r="S1050" i="6"/>
  <c r="R1050" i="6"/>
  <c r="Q1050" i="6"/>
  <c r="P1050" i="6"/>
  <c r="O1050" i="6"/>
  <c r="N1050" i="6"/>
  <c r="M1050" i="6"/>
  <c r="L1050" i="6"/>
  <c r="K1050" i="6"/>
  <c r="J1050" i="6"/>
  <c r="B1050" i="6"/>
  <c r="S1049" i="6"/>
  <c r="R1049" i="6"/>
  <c r="Q1049" i="6"/>
  <c r="P1049" i="6"/>
  <c r="AB115" i="5" s="1"/>
  <c r="AL115" i="5" s="1"/>
  <c r="O1049" i="6"/>
  <c r="N1049" i="6"/>
  <c r="M1049" i="6"/>
  <c r="L1049" i="6"/>
  <c r="X115" i="5" s="1"/>
  <c r="AH115" i="5" s="1"/>
  <c r="K1049" i="6"/>
  <c r="J1049" i="6"/>
  <c r="B1049" i="6"/>
  <c r="S1048" i="6"/>
  <c r="AE115" i="5" s="1"/>
  <c r="AO115" i="5" s="1"/>
  <c r="R1048" i="6"/>
  <c r="Q1048" i="6"/>
  <c r="P1048" i="6"/>
  <c r="O1048" i="6"/>
  <c r="AA115" i="5" s="1"/>
  <c r="AK115" i="5" s="1"/>
  <c r="N1048" i="6"/>
  <c r="M1048" i="6"/>
  <c r="L1048" i="6"/>
  <c r="K1048" i="6"/>
  <c r="W115" i="5" s="1"/>
  <c r="AG115" i="5" s="1"/>
  <c r="J1048" i="6"/>
  <c r="B1048" i="6"/>
  <c r="S1047" i="6"/>
  <c r="R1047" i="6"/>
  <c r="AD115" i="5" s="1"/>
  <c r="AN115" i="5" s="1"/>
  <c r="Q1047" i="6"/>
  <c r="P1047" i="6"/>
  <c r="O1047" i="6"/>
  <c r="N1047" i="6"/>
  <c r="Z115" i="5" s="1"/>
  <c r="AJ115" i="5" s="1"/>
  <c r="M1047" i="6"/>
  <c r="L1047" i="6"/>
  <c r="K1047" i="6"/>
  <c r="J1047" i="6"/>
  <c r="V115" i="5" s="1"/>
  <c r="AF115" i="5" s="1"/>
  <c r="B1047" i="6"/>
  <c r="S1046" i="6"/>
  <c r="R1046" i="6"/>
  <c r="Q1046" i="6"/>
  <c r="AC115" i="5" s="1"/>
  <c r="AM115" i="5" s="1"/>
  <c r="P1046" i="6"/>
  <c r="O1046" i="6"/>
  <c r="N1046" i="6"/>
  <c r="M1046" i="6"/>
  <c r="Y115" i="5" s="1"/>
  <c r="AI115" i="5" s="1"/>
  <c r="L1046" i="6"/>
  <c r="K1046" i="6"/>
  <c r="J1046" i="6"/>
  <c r="B1046" i="6"/>
  <c r="S1045" i="6"/>
  <c r="R1045" i="6"/>
  <c r="Q1045" i="6"/>
  <c r="P1045" i="6"/>
  <c r="O1045" i="6"/>
  <c r="N1045" i="6"/>
  <c r="M1045" i="6"/>
  <c r="L1045" i="6"/>
  <c r="K1045" i="6"/>
  <c r="J1045" i="6"/>
  <c r="B1045" i="6"/>
  <c r="S1044" i="6"/>
  <c r="R1044" i="6"/>
  <c r="Q1044" i="6"/>
  <c r="P1044" i="6"/>
  <c r="O1044" i="6"/>
  <c r="N1044" i="6"/>
  <c r="M1044" i="6"/>
  <c r="L1044" i="6"/>
  <c r="K1044" i="6"/>
  <c r="J1044" i="6"/>
  <c r="B1044" i="6"/>
  <c r="S1043" i="6"/>
  <c r="R1043" i="6"/>
  <c r="Q1043" i="6"/>
  <c r="P1043" i="6"/>
  <c r="O1043" i="6"/>
  <c r="N1043" i="6"/>
  <c r="M1043" i="6"/>
  <c r="L1043" i="6"/>
  <c r="K1043" i="6"/>
  <c r="J1043" i="6"/>
  <c r="B1043" i="6"/>
  <c r="S1042" i="6"/>
  <c r="R1042" i="6"/>
  <c r="Q1042" i="6"/>
  <c r="AC114" i="5" s="1"/>
  <c r="AM114" i="5" s="1"/>
  <c r="P1042" i="6"/>
  <c r="O1042" i="6"/>
  <c r="N1042" i="6"/>
  <c r="M1042" i="6"/>
  <c r="Y114" i="5" s="1"/>
  <c r="AI114" i="5" s="1"/>
  <c r="L1042" i="6"/>
  <c r="K1042" i="6"/>
  <c r="J1042" i="6"/>
  <c r="B1042" i="6"/>
  <c r="S1041" i="6"/>
  <c r="R1041" i="6"/>
  <c r="Q1041" i="6"/>
  <c r="P1041" i="6"/>
  <c r="AB114" i="5" s="1"/>
  <c r="AL114" i="5" s="1"/>
  <c r="O1041" i="6"/>
  <c r="N1041" i="6"/>
  <c r="M1041" i="6"/>
  <c r="L1041" i="6"/>
  <c r="X114" i="5" s="1"/>
  <c r="AH114" i="5" s="1"/>
  <c r="K1041" i="6"/>
  <c r="J1041" i="6"/>
  <c r="B1041" i="6"/>
  <c r="S1040" i="6"/>
  <c r="AE114" i="5" s="1"/>
  <c r="AO114" i="5" s="1"/>
  <c r="R1040" i="6"/>
  <c r="Q1040" i="6"/>
  <c r="P1040" i="6"/>
  <c r="O1040" i="6"/>
  <c r="AA114" i="5" s="1"/>
  <c r="AK114" i="5" s="1"/>
  <c r="N1040" i="6"/>
  <c r="M1040" i="6"/>
  <c r="L1040" i="6"/>
  <c r="K1040" i="6"/>
  <c r="W114" i="5" s="1"/>
  <c r="AG114" i="5" s="1"/>
  <c r="J1040" i="6"/>
  <c r="B1040" i="6"/>
  <c r="S1039" i="6"/>
  <c r="R1039" i="6"/>
  <c r="AD114" i="5" s="1"/>
  <c r="AN114" i="5" s="1"/>
  <c r="Q1039" i="6"/>
  <c r="P1039" i="6"/>
  <c r="O1039" i="6"/>
  <c r="N1039" i="6"/>
  <c r="Z114" i="5" s="1"/>
  <c r="AJ114" i="5" s="1"/>
  <c r="M1039" i="6"/>
  <c r="L1039" i="6"/>
  <c r="K1039" i="6"/>
  <c r="J1039" i="6"/>
  <c r="V114" i="5" s="1"/>
  <c r="AF114" i="5" s="1"/>
  <c r="B1039" i="6"/>
  <c r="S1038" i="6"/>
  <c r="R1038" i="6"/>
  <c r="Q1038" i="6"/>
  <c r="P1038" i="6"/>
  <c r="O1038" i="6"/>
  <c r="N1038" i="6"/>
  <c r="M1038" i="6"/>
  <c r="L1038" i="6"/>
  <c r="K1038" i="6"/>
  <c r="J1038" i="6"/>
  <c r="B1038" i="6"/>
  <c r="S1037" i="6"/>
  <c r="R1037" i="6"/>
  <c r="Q1037" i="6"/>
  <c r="P1037" i="6"/>
  <c r="AB113" i="5" s="1"/>
  <c r="AL113" i="5" s="1"/>
  <c r="O1037" i="6"/>
  <c r="N1037" i="6"/>
  <c r="M1037" i="6"/>
  <c r="L1037" i="6"/>
  <c r="X113" i="5" s="1"/>
  <c r="AH113" i="5" s="1"/>
  <c r="K1037" i="6"/>
  <c r="J1037" i="6"/>
  <c r="B1037" i="6"/>
  <c r="S1036" i="6"/>
  <c r="AE113" i="5" s="1"/>
  <c r="AO113" i="5" s="1"/>
  <c r="R1036" i="6"/>
  <c r="Q1036" i="6"/>
  <c r="P1036" i="6"/>
  <c r="O1036" i="6"/>
  <c r="AA113" i="5" s="1"/>
  <c r="AK113" i="5" s="1"/>
  <c r="N1036" i="6"/>
  <c r="M1036" i="6"/>
  <c r="L1036" i="6"/>
  <c r="K1036" i="6"/>
  <c r="W113" i="5" s="1"/>
  <c r="AG113" i="5" s="1"/>
  <c r="J1036" i="6"/>
  <c r="B1036" i="6"/>
  <c r="S1035" i="6"/>
  <c r="R1035" i="6"/>
  <c r="AD113" i="5" s="1"/>
  <c r="AN113" i="5" s="1"/>
  <c r="Q1035" i="6"/>
  <c r="P1035" i="6"/>
  <c r="O1035" i="6"/>
  <c r="N1035" i="6"/>
  <c r="Z113" i="5" s="1"/>
  <c r="AJ113" i="5" s="1"/>
  <c r="M1035" i="6"/>
  <c r="L1035" i="6"/>
  <c r="K1035" i="6"/>
  <c r="J1035" i="6"/>
  <c r="V113" i="5" s="1"/>
  <c r="AF113" i="5" s="1"/>
  <c r="B1035" i="6"/>
  <c r="S1034" i="6"/>
  <c r="R1034" i="6"/>
  <c r="Q1034" i="6"/>
  <c r="AC113" i="5" s="1"/>
  <c r="AM113" i="5" s="1"/>
  <c r="P1034" i="6"/>
  <c r="O1034" i="6"/>
  <c r="N1034" i="6"/>
  <c r="M1034" i="6"/>
  <c r="Y113" i="5" s="1"/>
  <c r="AI113" i="5" s="1"/>
  <c r="L1034" i="6"/>
  <c r="K1034" i="6"/>
  <c r="J1034" i="6"/>
  <c r="B1034" i="6"/>
  <c r="S1033" i="6"/>
  <c r="R1033" i="6"/>
  <c r="Q1033" i="6"/>
  <c r="P1033" i="6"/>
  <c r="O1033" i="6"/>
  <c r="N1033" i="6"/>
  <c r="M1033" i="6"/>
  <c r="L1033" i="6"/>
  <c r="K1033" i="6"/>
  <c r="J1033" i="6"/>
  <c r="B1033" i="6"/>
  <c r="S1032" i="6"/>
  <c r="R1032" i="6"/>
  <c r="Q1032" i="6"/>
  <c r="P1032" i="6"/>
  <c r="O1032" i="6"/>
  <c r="N1032" i="6"/>
  <c r="M1032" i="6"/>
  <c r="L1032" i="6"/>
  <c r="K1032" i="6"/>
  <c r="J1032" i="6"/>
  <c r="B1032" i="6"/>
  <c r="S1031" i="6"/>
  <c r="R1031" i="6"/>
  <c r="Q1031" i="6"/>
  <c r="P1031" i="6"/>
  <c r="O1031" i="6"/>
  <c r="N1031" i="6"/>
  <c r="M1031" i="6"/>
  <c r="L1031" i="6"/>
  <c r="K1031" i="6"/>
  <c r="J1031" i="6"/>
  <c r="B1031" i="6"/>
  <c r="S1030" i="6"/>
  <c r="R1030" i="6"/>
  <c r="Q1030" i="6"/>
  <c r="P1030" i="6"/>
  <c r="O1030" i="6"/>
  <c r="N1030" i="6"/>
  <c r="M1030" i="6"/>
  <c r="L1030" i="6"/>
  <c r="K1030" i="6"/>
  <c r="J1030" i="6"/>
  <c r="B1030" i="6"/>
  <c r="S1029" i="6"/>
  <c r="R1029" i="6"/>
  <c r="Q1029" i="6"/>
  <c r="P1029" i="6"/>
  <c r="AB112" i="5" s="1"/>
  <c r="AL112" i="5" s="1"/>
  <c r="O1029" i="6"/>
  <c r="N1029" i="6"/>
  <c r="M1029" i="6"/>
  <c r="L1029" i="6"/>
  <c r="X112" i="5" s="1"/>
  <c r="AH112" i="5" s="1"/>
  <c r="K1029" i="6"/>
  <c r="J1029" i="6"/>
  <c r="B1029" i="6"/>
  <c r="S1028" i="6"/>
  <c r="AE112" i="5" s="1"/>
  <c r="AO112" i="5" s="1"/>
  <c r="R1028" i="6"/>
  <c r="Q1028" i="6"/>
  <c r="P1028" i="6"/>
  <c r="O1028" i="6"/>
  <c r="AA112" i="5" s="1"/>
  <c r="AK112" i="5" s="1"/>
  <c r="N1028" i="6"/>
  <c r="M1028" i="6"/>
  <c r="L1028" i="6"/>
  <c r="K1028" i="6"/>
  <c r="W112" i="5" s="1"/>
  <c r="AG112" i="5" s="1"/>
  <c r="J1028" i="6"/>
  <c r="B1028" i="6"/>
  <c r="S1027" i="6"/>
  <c r="R1027" i="6"/>
  <c r="AD112" i="5" s="1"/>
  <c r="AN112" i="5" s="1"/>
  <c r="Q1027" i="6"/>
  <c r="P1027" i="6"/>
  <c r="O1027" i="6"/>
  <c r="N1027" i="6"/>
  <c r="Z112" i="5" s="1"/>
  <c r="AJ112" i="5" s="1"/>
  <c r="M1027" i="6"/>
  <c r="L1027" i="6"/>
  <c r="K1027" i="6"/>
  <c r="J1027" i="6"/>
  <c r="V112" i="5" s="1"/>
  <c r="AF112" i="5" s="1"/>
  <c r="B1027" i="6"/>
  <c r="S1026" i="6"/>
  <c r="R1026" i="6"/>
  <c r="Q1026" i="6"/>
  <c r="AC112" i="5" s="1"/>
  <c r="AM112" i="5" s="1"/>
  <c r="P1026" i="6"/>
  <c r="O1026" i="6"/>
  <c r="N1026" i="6"/>
  <c r="M1026" i="6"/>
  <c r="Y112" i="5" s="1"/>
  <c r="AI112" i="5" s="1"/>
  <c r="L1026" i="6"/>
  <c r="K1026" i="6"/>
  <c r="J1026" i="6"/>
  <c r="B1026" i="6"/>
  <c r="S1025" i="6"/>
  <c r="R1025" i="6"/>
  <c r="Q1025" i="6"/>
  <c r="P1025" i="6"/>
  <c r="O1025" i="6"/>
  <c r="N1025" i="6"/>
  <c r="M1025" i="6"/>
  <c r="L1025" i="6"/>
  <c r="K1025" i="6"/>
  <c r="J1025" i="6"/>
  <c r="B1025" i="6"/>
  <c r="S1024" i="6"/>
  <c r="R1024" i="6"/>
  <c r="Q1024" i="6"/>
  <c r="P1024" i="6"/>
  <c r="O1024" i="6"/>
  <c r="N1024" i="6"/>
  <c r="M1024" i="6"/>
  <c r="L1024" i="6"/>
  <c r="K1024" i="6"/>
  <c r="J1024" i="6"/>
  <c r="B1024" i="6"/>
  <c r="S1023" i="6"/>
  <c r="R1023" i="6"/>
  <c r="Q1023" i="6"/>
  <c r="P1023" i="6"/>
  <c r="O1023" i="6"/>
  <c r="N1023" i="6"/>
  <c r="M1023" i="6"/>
  <c r="L1023" i="6"/>
  <c r="K1023" i="6"/>
  <c r="J1023" i="6"/>
  <c r="B1023" i="6"/>
  <c r="S1022" i="6"/>
  <c r="R1022" i="6"/>
  <c r="Q1022" i="6"/>
  <c r="P1022" i="6"/>
  <c r="O1022" i="6"/>
  <c r="N1022" i="6"/>
  <c r="M1022" i="6"/>
  <c r="L1022" i="6"/>
  <c r="K1022" i="6"/>
  <c r="J1022" i="6"/>
  <c r="B1022" i="6"/>
  <c r="S1021" i="6"/>
  <c r="R1021" i="6"/>
  <c r="Q1021" i="6"/>
  <c r="P1021" i="6"/>
  <c r="O1021" i="6"/>
  <c r="N1021" i="6"/>
  <c r="M1021" i="6"/>
  <c r="L1021" i="6"/>
  <c r="K1021" i="6"/>
  <c r="J1021" i="6"/>
  <c r="B1021" i="6"/>
  <c r="S1020" i="6"/>
  <c r="AE111" i="5" s="1"/>
  <c r="AO111" i="5" s="1"/>
  <c r="R1020" i="6"/>
  <c r="Q1020" i="6"/>
  <c r="P1020" i="6"/>
  <c r="O1020" i="6"/>
  <c r="AA111" i="5" s="1"/>
  <c r="AK111" i="5" s="1"/>
  <c r="N1020" i="6"/>
  <c r="M1020" i="6"/>
  <c r="L1020" i="6"/>
  <c r="K1020" i="6"/>
  <c r="W111" i="5" s="1"/>
  <c r="AG111" i="5" s="1"/>
  <c r="J1020" i="6"/>
  <c r="B1020" i="6"/>
  <c r="S1019" i="6"/>
  <c r="R1019" i="6"/>
  <c r="AD111" i="5" s="1"/>
  <c r="AN111" i="5" s="1"/>
  <c r="Q1019" i="6"/>
  <c r="P1019" i="6"/>
  <c r="O1019" i="6"/>
  <c r="N1019" i="6"/>
  <c r="Z111" i="5" s="1"/>
  <c r="AJ111" i="5" s="1"/>
  <c r="M1019" i="6"/>
  <c r="L1019" i="6"/>
  <c r="K1019" i="6"/>
  <c r="J1019" i="6"/>
  <c r="V111" i="5" s="1"/>
  <c r="AF111" i="5" s="1"/>
  <c r="B1019" i="6"/>
  <c r="S1018" i="6"/>
  <c r="R1018" i="6"/>
  <c r="Q1018" i="6"/>
  <c r="AC111" i="5" s="1"/>
  <c r="AM111" i="5" s="1"/>
  <c r="P1018" i="6"/>
  <c r="O1018" i="6"/>
  <c r="N1018" i="6"/>
  <c r="M1018" i="6"/>
  <c r="Y111" i="5" s="1"/>
  <c r="AI111" i="5" s="1"/>
  <c r="L1018" i="6"/>
  <c r="K1018" i="6"/>
  <c r="J1018" i="6"/>
  <c r="B1018" i="6"/>
  <c r="S1017" i="6"/>
  <c r="R1017" i="6"/>
  <c r="Q1017" i="6"/>
  <c r="P1017" i="6"/>
  <c r="AB111" i="5" s="1"/>
  <c r="AL111" i="5" s="1"/>
  <c r="O1017" i="6"/>
  <c r="N1017" i="6"/>
  <c r="M1017" i="6"/>
  <c r="L1017" i="6"/>
  <c r="X111" i="5" s="1"/>
  <c r="AH111" i="5" s="1"/>
  <c r="K1017" i="6"/>
  <c r="J1017" i="6"/>
  <c r="B1017" i="6"/>
  <c r="S1016" i="6"/>
  <c r="R1016" i="6"/>
  <c r="Q1016" i="6"/>
  <c r="P1016" i="6"/>
  <c r="O1016" i="6"/>
  <c r="N1016" i="6"/>
  <c r="M1016" i="6"/>
  <c r="L1016" i="6"/>
  <c r="K1016" i="6"/>
  <c r="J1016" i="6"/>
  <c r="B1016" i="6"/>
  <c r="S1015" i="6"/>
  <c r="R1015" i="6"/>
  <c r="Q1015" i="6"/>
  <c r="P1015" i="6"/>
  <c r="O1015" i="6"/>
  <c r="N1015" i="6"/>
  <c r="M1015" i="6"/>
  <c r="L1015" i="6"/>
  <c r="K1015" i="6"/>
  <c r="J1015" i="6"/>
  <c r="B1015" i="6"/>
  <c r="S1014" i="6"/>
  <c r="R1014" i="6"/>
  <c r="Q1014" i="6"/>
  <c r="P1014" i="6"/>
  <c r="O1014" i="6"/>
  <c r="N1014" i="6"/>
  <c r="M1014" i="6"/>
  <c r="L1014" i="6"/>
  <c r="K1014" i="6"/>
  <c r="J1014" i="6"/>
  <c r="B1014" i="6"/>
  <c r="S1013" i="6"/>
  <c r="R1013" i="6"/>
  <c r="Q1013" i="6"/>
  <c r="P1013" i="6"/>
  <c r="O1013" i="6"/>
  <c r="N1013" i="6"/>
  <c r="M1013" i="6"/>
  <c r="L1013" i="6"/>
  <c r="K1013" i="6"/>
  <c r="J1013" i="6"/>
  <c r="B1013" i="6"/>
  <c r="S1012" i="6"/>
  <c r="R1012" i="6"/>
  <c r="Q1012" i="6"/>
  <c r="P1012" i="6"/>
  <c r="O1012" i="6"/>
  <c r="N1012" i="6"/>
  <c r="M1012" i="6"/>
  <c r="L1012" i="6"/>
  <c r="K1012" i="6"/>
  <c r="J1012" i="6"/>
  <c r="B1012" i="6"/>
  <c r="S1011" i="6"/>
  <c r="R1011" i="6"/>
  <c r="Q1011" i="6"/>
  <c r="P1011" i="6"/>
  <c r="O1011" i="6"/>
  <c r="N1011" i="6"/>
  <c r="M1011" i="6"/>
  <c r="L1011" i="6"/>
  <c r="K1011" i="6"/>
  <c r="J1011" i="6"/>
  <c r="B1011" i="6"/>
  <c r="S1010" i="6"/>
  <c r="R1010" i="6"/>
  <c r="Q1010" i="6"/>
  <c r="P1010" i="6"/>
  <c r="O1010" i="6"/>
  <c r="N1010" i="6"/>
  <c r="M1010" i="6"/>
  <c r="L1010" i="6"/>
  <c r="K1010" i="6"/>
  <c r="J1010" i="6"/>
  <c r="B1010" i="6"/>
  <c r="S1009" i="6"/>
  <c r="R1009" i="6"/>
  <c r="Q1009" i="6"/>
  <c r="P1009" i="6"/>
  <c r="AB110" i="5" s="1"/>
  <c r="AL110" i="5" s="1"/>
  <c r="O1009" i="6"/>
  <c r="N1009" i="6"/>
  <c r="M1009" i="6"/>
  <c r="L1009" i="6"/>
  <c r="X110" i="5" s="1"/>
  <c r="AH110" i="5" s="1"/>
  <c r="K1009" i="6"/>
  <c r="J1009" i="6"/>
  <c r="B1009" i="6"/>
  <c r="S1008" i="6"/>
  <c r="AE110" i="5" s="1"/>
  <c r="AO110" i="5" s="1"/>
  <c r="R1008" i="6"/>
  <c r="Q1008" i="6"/>
  <c r="P1008" i="6"/>
  <c r="O1008" i="6"/>
  <c r="AA110" i="5" s="1"/>
  <c r="AK110" i="5" s="1"/>
  <c r="N1008" i="6"/>
  <c r="M1008" i="6"/>
  <c r="L1008" i="6"/>
  <c r="K1008" i="6"/>
  <c r="W110" i="5" s="1"/>
  <c r="AG110" i="5" s="1"/>
  <c r="J1008" i="6"/>
  <c r="B1008" i="6"/>
  <c r="S1007" i="6"/>
  <c r="R1007" i="6"/>
  <c r="AD110" i="5" s="1"/>
  <c r="AN110" i="5" s="1"/>
  <c r="Q1007" i="6"/>
  <c r="P1007" i="6"/>
  <c r="O1007" i="6"/>
  <c r="N1007" i="6"/>
  <c r="Z110" i="5" s="1"/>
  <c r="AJ110" i="5" s="1"/>
  <c r="M1007" i="6"/>
  <c r="L1007" i="6"/>
  <c r="K1007" i="6"/>
  <c r="J1007" i="6"/>
  <c r="V110" i="5" s="1"/>
  <c r="AF110" i="5" s="1"/>
  <c r="B1007" i="6"/>
  <c r="S1006" i="6"/>
  <c r="R1006" i="6"/>
  <c r="Q1006" i="6"/>
  <c r="AC110" i="5" s="1"/>
  <c r="AM110" i="5" s="1"/>
  <c r="P1006" i="6"/>
  <c r="O1006" i="6"/>
  <c r="N1006" i="6"/>
  <c r="M1006" i="6"/>
  <c r="Y110" i="5" s="1"/>
  <c r="AI110" i="5" s="1"/>
  <c r="L1006" i="6"/>
  <c r="K1006" i="6"/>
  <c r="J1006" i="6"/>
  <c r="B1006" i="6"/>
  <c r="S1005" i="6"/>
  <c r="R1005" i="6"/>
  <c r="Q1005" i="6"/>
  <c r="P1005" i="6"/>
  <c r="O1005" i="6"/>
  <c r="N1005" i="6"/>
  <c r="M1005" i="6"/>
  <c r="L1005" i="6"/>
  <c r="K1005" i="6"/>
  <c r="J1005" i="6"/>
  <c r="B1005" i="6"/>
  <c r="S1004" i="6"/>
  <c r="R1004" i="6"/>
  <c r="Q1004" i="6"/>
  <c r="P1004" i="6"/>
  <c r="O1004" i="6"/>
  <c r="N1004" i="6"/>
  <c r="M1004" i="6"/>
  <c r="L1004" i="6"/>
  <c r="K1004" i="6"/>
  <c r="J1004" i="6"/>
  <c r="B1004" i="6"/>
  <c r="S1003" i="6"/>
  <c r="R1003" i="6"/>
  <c r="AD109" i="5" s="1"/>
  <c r="AN109" i="5" s="1"/>
  <c r="Q1003" i="6"/>
  <c r="P1003" i="6"/>
  <c r="O1003" i="6"/>
  <c r="N1003" i="6"/>
  <c r="Z109" i="5" s="1"/>
  <c r="AJ109" i="5" s="1"/>
  <c r="M1003" i="6"/>
  <c r="L1003" i="6"/>
  <c r="K1003" i="6"/>
  <c r="J1003" i="6"/>
  <c r="V109" i="5" s="1"/>
  <c r="AF109" i="5" s="1"/>
  <c r="B1003" i="6"/>
  <c r="S1002" i="6"/>
  <c r="R1002" i="6"/>
  <c r="Q1002" i="6"/>
  <c r="AC109" i="5" s="1"/>
  <c r="AM109" i="5" s="1"/>
  <c r="P1002" i="6"/>
  <c r="O1002" i="6"/>
  <c r="N1002" i="6"/>
  <c r="M1002" i="6"/>
  <c r="Y109" i="5" s="1"/>
  <c r="AI109" i="5" s="1"/>
  <c r="L1002" i="6"/>
  <c r="K1002" i="6"/>
  <c r="J1002" i="6"/>
  <c r="B1002" i="6"/>
  <c r="S1001" i="6"/>
  <c r="R1001" i="6"/>
  <c r="Q1001" i="6"/>
  <c r="P1001" i="6"/>
  <c r="AB109" i="5" s="1"/>
  <c r="AL109" i="5" s="1"/>
  <c r="O1001" i="6"/>
  <c r="N1001" i="6"/>
  <c r="M1001" i="6"/>
  <c r="L1001" i="6"/>
  <c r="X109" i="5" s="1"/>
  <c r="AH109" i="5" s="1"/>
  <c r="K1001" i="6"/>
  <c r="J1001" i="6"/>
  <c r="B1001" i="6"/>
  <c r="S1000" i="6"/>
  <c r="AE109" i="5" s="1"/>
  <c r="AO109" i="5" s="1"/>
  <c r="R1000" i="6"/>
  <c r="Q1000" i="6"/>
  <c r="P1000" i="6"/>
  <c r="O1000" i="6"/>
  <c r="AA109" i="5" s="1"/>
  <c r="AK109" i="5" s="1"/>
  <c r="N1000" i="6"/>
  <c r="M1000" i="6"/>
  <c r="L1000" i="6"/>
  <c r="K1000" i="6"/>
  <c r="W109" i="5" s="1"/>
  <c r="AG109" i="5" s="1"/>
  <c r="J1000" i="6"/>
  <c r="B1000" i="6"/>
  <c r="S999" i="6"/>
  <c r="R999" i="6"/>
  <c r="Q999" i="6"/>
  <c r="P999" i="6"/>
  <c r="O999" i="6"/>
  <c r="N999" i="6"/>
  <c r="M999" i="6"/>
  <c r="L999" i="6"/>
  <c r="K999" i="6"/>
  <c r="J999" i="6"/>
  <c r="B999" i="6"/>
  <c r="S998" i="6"/>
  <c r="R998" i="6"/>
  <c r="Q998" i="6"/>
  <c r="P998" i="6"/>
  <c r="O998" i="6"/>
  <c r="N998" i="6"/>
  <c r="M998" i="6"/>
  <c r="L998" i="6"/>
  <c r="K998" i="6"/>
  <c r="J998" i="6"/>
  <c r="B998" i="6"/>
  <c r="S997" i="6"/>
  <c r="R997" i="6"/>
  <c r="Q997" i="6"/>
  <c r="P997" i="6"/>
  <c r="O997" i="6"/>
  <c r="N997" i="6"/>
  <c r="M997" i="6"/>
  <c r="L997" i="6"/>
  <c r="K997" i="6"/>
  <c r="J997" i="6"/>
  <c r="B997" i="6"/>
  <c r="S996" i="6"/>
  <c r="R996" i="6"/>
  <c r="Q996" i="6"/>
  <c r="P996" i="6"/>
  <c r="O996" i="6"/>
  <c r="N996" i="6"/>
  <c r="M996" i="6"/>
  <c r="L996" i="6"/>
  <c r="K996" i="6"/>
  <c r="J996" i="6"/>
  <c r="B996" i="6"/>
  <c r="S995" i="6"/>
  <c r="R995" i="6"/>
  <c r="Q995" i="6"/>
  <c r="P995" i="6"/>
  <c r="O995" i="6"/>
  <c r="N995" i="6"/>
  <c r="M995" i="6"/>
  <c r="L995" i="6"/>
  <c r="K995" i="6"/>
  <c r="J995" i="6"/>
  <c r="B995" i="6"/>
  <c r="S994" i="6"/>
  <c r="R994" i="6"/>
  <c r="Q994" i="6"/>
  <c r="P994" i="6"/>
  <c r="O994" i="6"/>
  <c r="N994" i="6"/>
  <c r="M994" i="6"/>
  <c r="L994" i="6"/>
  <c r="K994" i="6"/>
  <c r="J994" i="6"/>
  <c r="B994" i="6"/>
  <c r="S993" i="6"/>
  <c r="R993" i="6"/>
  <c r="Q993" i="6"/>
  <c r="P993" i="6"/>
  <c r="AB108" i="5" s="1"/>
  <c r="AL108" i="5" s="1"/>
  <c r="O993" i="6"/>
  <c r="N993" i="6"/>
  <c r="M993" i="6"/>
  <c r="L993" i="6"/>
  <c r="X108" i="5" s="1"/>
  <c r="AH108" i="5" s="1"/>
  <c r="K993" i="6"/>
  <c r="J993" i="6"/>
  <c r="B993" i="6"/>
  <c r="S992" i="6"/>
  <c r="AE108" i="5" s="1"/>
  <c r="AO108" i="5" s="1"/>
  <c r="R992" i="6"/>
  <c r="Q992" i="6"/>
  <c r="P992" i="6"/>
  <c r="O992" i="6"/>
  <c r="AA108" i="5" s="1"/>
  <c r="AK108" i="5" s="1"/>
  <c r="N992" i="6"/>
  <c r="M992" i="6"/>
  <c r="L992" i="6"/>
  <c r="K992" i="6"/>
  <c r="W108" i="5" s="1"/>
  <c r="AG108" i="5" s="1"/>
  <c r="J992" i="6"/>
  <c r="B992" i="6"/>
  <c r="S991" i="6"/>
  <c r="R991" i="6"/>
  <c r="AD108" i="5" s="1"/>
  <c r="AN108" i="5" s="1"/>
  <c r="Q991" i="6"/>
  <c r="P991" i="6"/>
  <c r="O991" i="6"/>
  <c r="N991" i="6"/>
  <c r="Z108" i="5" s="1"/>
  <c r="AJ108" i="5" s="1"/>
  <c r="M991" i="6"/>
  <c r="L991" i="6"/>
  <c r="K991" i="6"/>
  <c r="J991" i="6"/>
  <c r="V108" i="5" s="1"/>
  <c r="AF108" i="5" s="1"/>
  <c r="B991" i="6"/>
  <c r="S990" i="6"/>
  <c r="R990" i="6"/>
  <c r="Q990" i="6"/>
  <c r="AC108" i="5" s="1"/>
  <c r="AM108" i="5" s="1"/>
  <c r="P990" i="6"/>
  <c r="O990" i="6"/>
  <c r="N990" i="6"/>
  <c r="M990" i="6"/>
  <c r="Y108" i="5" s="1"/>
  <c r="AI108" i="5" s="1"/>
  <c r="L990" i="6"/>
  <c r="K990" i="6"/>
  <c r="J990" i="6"/>
  <c r="B990" i="6"/>
  <c r="S989" i="6"/>
  <c r="R989" i="6"/>
  <c r="Q989" i="6"/>
  <c r="P989" i="6"/>
  <c r="O989" i="6"/>
  <c r="N989" i="6"/>
  <c r="M989" i="6"/>
  <c r="L989" i="6"/>
  <c r="K989" i="6"/>
  <c r="J989" i="6"/>
  <c r="B989" i="6"/>
  <c r="S988" i="6"/>
  <c r="AE107" i="5" s="1"/>
  <c r="AO107" i="5" s="1"/>
  <c r="R988" i="6"/>
  <c r="Q988" i="6"/>
  <c r="P988" i="6"/>
  <c r="O988" i="6"/>
  <c r="AA107" i="5" s="1"/>
  <c r="AK107" i="5" s="1"/>
  <c r="N988" i="6"/>
  <c r="M988" i="6"/>
  <c r="L988" i="6"/>
  <c r="K988" i="6"/>
  <c r="W107" i="5" s="1"/>
  <c r="AG107" i="5" s="1"/>
  <c r="J988" i="6"/>
  <c r="B988" i="6"/>
  <c r="S987" i="6"/>
  <c r="R987" i="6"/>
  <c r="AD107" i="5" s="1"/>
  <c r="AN107" i="5" s="1"/>
  <c r="Q987" i="6"/>
  <c r="P987" i="6"/>
  <c r="O987" i="6"/>
  <c r="N987" i="6"/>
  <c r="Z107" i="5" s="1"/>
  <c r="AJ107" i="5" s="1"/>
  <c r="M987" i="6"/>
  <c r="L987" i="6"/>
  <c r="K987" i="6"/>
  <c r="J987" i="6"/>
  <c r="V107" i="5" s="1"/>
  <c r="AF107" i="5" s="1"/>
  <c r="B987" i="6"/>
  <c r="S986" i="6"/>
  <c r="R986" i="6"/>
  <c r="Q986" i="6"/>
  <c r="AC107" i="5" s="1"/>
  <c r="AM107" i="5" s="1"/>
  <c r="P986" i="6"/>
  <c r="O986" i="6"/>
  <c r="N986" i="6"/>
  <c r="M986" i="6"/>
  <c r="Y107" i="5" s="1"/>
  <c r="AI107" i="5" s="1"/>
  <c r="L986" i="6"/>
  <c r="K986" i="6"/>
  <c r="J986" i="6"/>
  <c r="B986" i="6"/>
  <c r="S985" i="6"/>
  <c r="R985" i="6"/>
  <c r="Q985" i="6"/>
  <c r="P985" i="6"/>
  <c r="AB107" i="5" s="1"/>
  <c r="AL107" i="5" s="1"/>
  <c r="O985" i="6"/>
  <c r="N985" i="6"/>
  <c r="M985" i="6"/>
  <c r="L985" i="6"/>
  <c r="X107" i="5" s="1"/>
  <c r="AH107" i="5" s="1"/>
  <c r="K985" i="6"/>
  <c r="J985" i="6"/>
  <c r="B985" i="6"/>
  <c r="S984" i="6"/>
  <c r="R984" i="6"/>
  <c r="Q984" i="6"/>
  <c r="P984" i="6"/>
  <c r="O984" i="6"/>
  <c r="N984" i="6"/>
  <c r="M984" i="6"/>
  <c r="L984" i="6"/>
  <c r="K984" i="6"/>
  <c r="J984" i="6"/>
  <c r="B984" i="6"/>
  <c r="S983" i="6"/>
  <c r="R983" i="6"/>
  <c r="Q983" i="6"/>
  <c r="P983" i="6"/>
  <c r="O983" i="6"/>
  <c r="N983" i="6"/>
  <c r="M983" i="6"/>
  <c r="L983" i="6"/>
  <c r="K983" i="6"/>
  <c r="J983" i="6"/>
  <c r="B983" i="6"/>
  <c r="S982" i="6"/>
  <c r="R982" i="6"/>
  <c r="Q982" i="6"/>
  <c r="P982" i="6"/>
  <c r="O982" i="6"/>
  <c r="N982" i="6"/>
  <c r="M982" i="6"/>
  <c r="L982" i="6"/>
  <c r="K982" i="6"/>
  <c r="J982" i="6"/>
  <c r="B982" i="6"/>
  <c r="S981" i="6"/>
  <c r="R981" i="6"/>
  <c r="Q981" i="6"/>
  <c r="P981" i="6"/>
  <c r="O981" i="6"/>
  <c r="N981" i="6"/>
  <c r="M981" i="6"/>
  <c r="L981" i="6"/>
  <c r="K981" i="6"/>
  <c r="J981" i="6"/>
  <c r="B981" i="6"/>
  <c r="S980" i="6"/>
  <c r="R980" i="6"/>
  <c r="Q980" i="6"/>
  <c r="P980" i="6"/>
  <c r="O980" i="6"/>
  <c r="N980" i="6"/>
  <c r="M980" i="6"/>
  <c r="L980" i="6"/>
  <c r="K980" i="6"/>
  <c r="J980" i="6"/>
  <c r="B980" i="6"/>
  <c r="S979" i="6"/>
  <c r="R979" i="6"/>
  <c r="Q979" i="6"/>
  <c r="P979" i="6"/>
  <c r="O979" i="6"/>
  <c r="N979" i="6"/>
  <c r="M979" i="6"/>
  <c r="L979" i="6"/>
  <c r="K979" i="6"/>
  <c r="J979" i="6"/>
  <c r="B979" i="6"/>
  <c r="S978" i="6"/>
  <c r="R978" i="6"/>
  <c r="Q978" i="6"/>
  <c r="AC106" i="5" s="1"/>
  <c r="AM106" i="5" s="1"/>
  <c r="P978" i="6"/>
  <c r="O978" i="6"/>
  <c r="N978" i="6"/>
  <c r="M978" i="6"/>
  <c r="Y106" i="5" s="1"/>
  <c r="AI106" i="5" s="1"/>
  <c r="L978" i="6"/>
  <c r="K978" i="6"/>
  <c r="J978" i="6"/>
  <c r="B978" i="6"/>
  <c r="S977" i="6"/>
  <c r="R977" i="6"/>
  <c r="Q977" i="6"/>
  <c r="P977" i="6"/>
  <c r="AB106" i="5" s="1"/>
  <c r="AL106" i="5" s="1"/>
  <c r="O977" i="6"/>
  <c r="N977" i="6"/>
  <c r="M977" i="6"/>
  <c r="L977" i="6"/>
  <c r="X106" i="5" s="1"/>
  <c r="AH106" i="5" s="1"/>
  <c r="K977" i="6"/>
  <c r="J977" i="6"/>
  <c r="B977" i="6"/>
  <c r="S976" i="6"/>
  <c r="AE106" i="5" s="1"/>
  <c r="AO106" i="5" s="1"/>
  <c r="R976" i="6"/>
  <c r="Q976" i="6"/>
  <c r="P976" i="6"/>
  <c r="O976" i="6"/>
  <c r="AA106" i="5" s="1"/>
  <c r="AK106" i="5" s="1"/>
  <c r="N976" i="6"/>
  <c r="M976" i="6"/>
  <c r="L976" i="6"/>
  <c r="K976" i="6"/>
  <c r="W106" i="5" s="1"/>
  <c r="AG106" i="5" s="1"/>
  <c r="J976" i="6"/>
  <c r="B976" i="6"/>
  <c r="S975" i="6"/>
  <c r="R975" i="6"/>
  <c r="AD106" i="5" s="1"/>
  <c r="AN106" i="5" s="1"/>
  <c r="Q975" i="6"/>
  <c r="P975" i="6"/>
  <c r="O975" i="6"/>
  <c r="N975" i="6"/>
  <c r="Z106" i="5" s="1"/>
  <c r="AJ106" i="5" s="1"/>
  <c r="M975" i="6"/>
  <c r="L975" i="6"/>
  <c r="K975" i="6"/>
  <c r="J975" i="6"/>
  <c r="V106" i="5" s="1"/>
  <c r="AF106" i="5" s="1"/>
  <c r="B975" i="6"/>
  <c r="S974" i="6"/>
  <c r="R974" i="6"/>
  <c r="Q974" i="6"/>
  <c r="P974" i="6"/>
  <c r="O974" i="6"/>
  <c r="N974" i="6"/>
  <c r="M974" i="6"/>
  <c r="L974" i="6"/>
  <c r="K974" i="6"/>
  <c r="J974" i="6"/>
  <c r="B974" i="6"/>
  <c r="S973" i="6"/>
  <c r="R973" i="6"/>
  <c r="Q973" i="6"/>
  <c r="P973" i="6"/>
  <c r="O973" i="6"/>
  <c r="N973" i="6"/>
  <c r="M973" i="6"/>
  <c r="L973" i="6"/>
  <c r="K973" i="6"/>
  <c r="J973" i="6"/>
  <c r="B973" i="6"/>
  <c r="S972" i="6"/>
  <c r="R972" i="6"/>
  <c r="Q972" i="6"/>
  <c r="P972" i="6"/>
  <c r="O972" i="6"/>
  <c r="N972" i="6"/>
  <c r="M972" i="6"/>
  <c r="L972" i="6"/>
  <c r="K972" i="6"/>
  <c r="J972" i="6"/>
  <c r="B972" i="6"/>
  <c r="S971" i="6"/>
  <c r="R971" i="6"/>
  <c r="Q971" i="6"/>
  <c r="P971" i="6"/>
  <c r="O971" i="6"/>
  <c r="N971" i="6"/>
  <c r="M971" i="6"/>
  <c r="L971" i="6"/>
  <c r="K971" i="6"/>
  <c r="J971" i="6"/>
  <c r="B971" i="6"/>
  <c r="S970" i="6"/>
  <c r="R970" i="6"/>
  <c r="Q970" i="6"/>
  <c r="P970" i="6"/>
  <c r="O970" i="6"/>
  <c r="N970" i="6"/>
  <c r="M970" i="6"/>
  <c r="L970" i="6"/>
  <c r="K970" i="6"/>
  <c r="J970" i="6"/>
  <c r="B970" i="6"/>
  <c r="S969" i="6"/>
  <c r="R969" i="6"/>
  <c r="Q969" i="6"/>
  <c r="P969" i="6"/>
  <c r="O969" i="6"/>
  <c r="N969" i="6"/>
  <c r="M969" i="6"/>
  <c r="L969" i="6"/>
  <c r="K969" i="6"/>
  <c r="J969" i="6"/>
  <c r="B969" i="6"/>
  <c r="S968" i="6"/>
  <c r="R968" i="6"/>
  <c r="Q968" i="6"/>
  <c r="P968" i="6"/>
  <c r="O968" i="6"/>
  <c r="N968" i="6"/>
  <c r="M968" i="6"/>
  <c r="L968" i="6"/>
  <c r="K968" i="6"/>
  <c r="J968" i="6"/>
  <c r="B968" i="6"/>
  <c r="S967" i="6"/>
  <c r="R967" i="6"/>
  <c r="AD105" i="5" s="1"/>
  <c r="AN105" i="5" s="1"/>
  <c r="Q967" i="6"/>
  <c r="P967" i="6"/>
  <c r="O967" i="6"/>
  <c r="N967" i="6"/>
  <c r="Z105" i="5" s="1"/>
  <c r="AJ105" i="5" s="1"/>
  <c r="M967" i="6"/>
  <c r="L967" i="6"/>
  <c r="K967" i="6"/>
  <c r="J967" i="6"/>
  <c r="V105" i="5" s="1"/>
  <c r="AF105" i="5" s="1"/>
  <c r="B967" i="6"/>
  <c r="S966" i="6"/>
  <c r="R966" i="6"/>
  <c r="Q966" i="6"/>
  <c r="AC105" i="5" s="1"/>
  <c r="AM105" i="5" s="1"/>
  <c r="P966" i="6"/>
  <c r="O966" i="6"/>
  <c r="N966" i="6"/>
  <c r="M966" i="6"/>
  <c r="Y105" i="5" s="1"/>
  <c r="AI105" i="5" s="1"/>
  <c r="L966" i="6"/>
  <c r="K966" i="6"/>
  <c r="J966" i="6"/>
  <c r="B966" i="6"/>
  <c r="S965" i="6"/>
  <c r="R965" i="6"/>
  <c r="Q965" i="6"/>
  <c r="P965" i="6"/>
  <c r="AB105" i="5" s="1"/>
  <c r="AL105" i="5" s="1"/>
  <c r="O965" i="6"/>
  <c r="N965" i="6"/>
  <c r="M965" i="6"/>
  <c r="L965" i="6"/>
  <c r="X105" i="5" s="1"/>
  <c r="AH105" i="5" s="1"/>
  <c r="K965" i="6"/>
  <c r="J965" i="6"/>
  <c r="B965" i="6"/>
  <c r="S964" i="6"/>
  <c r="AE105" i="5" s="1"/>
  <c r="AO105" i="5" s="1"/>
  <c r="R964" i="6"/>
  <c r="Q964" i="6"/>
  <c r="P964" i="6"/>
  <c r="O964" i="6"/>
  <c r="AA105" i="5" s="1"/>
  <c r="AK105" i="5" s="1"/>
  <c r="N964" i="6"/>
  <c r="M964" i="6"/>
  <c r="L964" i="6"/>
  <c r="K964" i="6"/>
  <c r="W105" i="5" s="1"/>
  <c r="AG105" i="5" s="1"/>
  <c r="J964" i="6"/>
  <c r="B964" i="6"/>
  <c r="S963" i="6"/>
  <c r="R963" i="6"/>
  <c r="Q963" i="6"/>
  <c r="P963" i="6"/>
  <c r="O963" i="6"/>
  <c r="N963" i="6"/>
  <c r="M963" i="6"/>
  <c r="L963" i="6"/>
  <c r="K963" i="6"/>
  <c r="J963" i="6"/>
  <c r="B963" i="6"/>
  <c r="S962" i="6"/>
  <c r="R962" i="6"/>
  <c r="Q962" i="6"/>
  <c r="P962" i="6"/>
  <c r="O962" i="6"/>
  <c r="N962" i="6"/>
  <c r="M962" i="6"/>
  <c r="L962" i="6"/>
  <c r="K962" i="6"/>
  <c r="J962" i="6"/>
  <c r="B962" i="6"/>
  <c r="S961" i="6"/>
  <c r="R961" i="6"/>
  <c r="Q961" i="6"/>
  <c r="P961" i="6"/>
  <c r="O961" i="6"/>
  <c r="N961" i="6"/>
  <c r="M961" i="6"/>
  <c r="L961" i="6"/>
  <c r="K961" i="6"/>
  <c r="J961" i="6"/>
  <c r="B961" i="6"/>
  <c r="S960" i="6"/>
  <c r="R960" i="6"/>
  <c r="Q960" i="6"/>
  <c r="P960" i="6"/>
  <c r="O960" i="6"/>
  <c r="N960" i="6"/>
  <c r="M960" i="6"/>
  <c r="L960" i="6"/>
  <c r="K960" i="6"/>
  <c r="J960" i="6"/>
  <c r="B960" i="6"/>
  <c r="S959" i="6"/>
  <c r="R959" i="6"/>
  <c r="Q959" i="6"/>
  <c r="P959" i="6"/>
  <c r="O959" i="6"/>
  <c r="N959" i="6"/>
  <c r="M959" i="6"/>
  <c r="L959" i="6"/>
  <c r="K959" i="6"/>
  <c r="J959" i="6"/>
  <c r="B959" i="6"/>
  <c r="S958" i="6"/>
  <c r="R958" i="6"/>
  <c r="Q958" i="6"/>
  <c r="AC104" i="5" s="1"/>
  <c r="AM104" i="5" s="1"/>
  <c r="P958" i="6"/>
  <c r="O958" i="6"/>
  <c r="N958" i="6"/>
  <c r="M958" i="6"/>
  <c r="Y104" i="5" s="1"/>
  <c r="AI104" i="5" s="1"/>
  <c r="L958" i="6"/>
  <c r="K958" i="6"/>
  <c r="J958" i="6"/>
  <c r="B958" i="6"/>
  <c r="S957" i="6"/>
  <c r="R957" i="6"/>
  <c r="Q957" i="6"/>
  <c r="P957" i="6"/>
  <c r="AB104" i="5" s="1"/>
  <c r="AL104" i="5" s="1"/>
  <c r="O957" i="6"/>
  <c r="N957" i="6"/>
  <c r="M957" i="6"/>
  <c r="L957" i="6"/>
  <c r="X104" i="5" s="1"/>
  <c r="AH104" i="5" s="1"/>
  <c r="K957" i="6"/>
  <c r="J957" i="6"/>
  <c r="B957" i="6"/>
  <c r="S956" i="6"/>
  <c r="AE104" i="5" s="1"/>
  <c r="AO104" i="5" s="1"/>
  <c r="R956" i="6"/>
  <c r="Q956" i="6"/>
  <c r="P956" i="6"/>
  <c r="O956" i="6"/>
  <c r="AA104" i="5" s="1"/>
  <c r="AK104" i="5" s="1"/>
  <c r="N956" i="6"/>
  <c r="M956" i="6"/>
  <c r="L956" i="6"/>
  <c r="K956" i="6"/>
  <c r="W104" i="5" s="1"/>
  <c r="AG104" i="5" s="1"/>
  <c r="J956" i="6"/>
  <c r="B956" i="6"/>
  <c r="S955" i="6"/>
  <c r="R955" i="6"/>
  <c r="AD104" i="5" s="1"/>
  <c r="AN104" i="5" s="1"/>
  <c r="Q955" i="6"/>
  <c r="P955" i="6"/>
  <c r="O955" i="6"/>
  <c r="N955" i="6"/>
  <c r="Z104" i="5" s="1"/>
  <c r="AJ104" i="5" s="1"/>
  <c r="M955" i="6"/>
  <c r="L955" i="6"/>
  <c r="K955" i="6"/>
  <c r="J955" i="6"/>
  <c r="V104" i="5" s="1"/>
  <c r="AF104" i="5" s="1"/>
  <c r="B955" i="6"/>
  <c r="S954" i="6"/>
  <c r="R954" i="6"/>
  <c r="Q954" i="6"/>
  <c r="P954" i="6"/>
  <c r="O954" i="6"/>
  <c r="N954" i="6"/>
  <c r="M954" i="6"/>
  <c r="L954" i="6"/>
  <c r="K954" i="6"/>
  <c r="J954" i="6"/>
  <c r="B954" i="6"/>
  <c r="S953" i="6"/>
  <c r="R953" i="6"/>
  <c r="Q953" i="6"/>
  <c r="P953" i="6"/>
  <c r="O953" i="6"/>
  <c r="N953" i="6"/>
  <c r="M953" i="6"/>
  <c r="L953" i="6"/>
  <c r="K953" i="6"/>
  <c r="J953" i="6"/>
  <c r="B953" i="6"/>
  <c r="S952" i="6"/>
  <c r="R952" i="6"/>
  <c r="Q952" i="6"/>
  <c r="P952" i="6"/>
  <c r="O952" i="6"/>
  <c r="N952" i="6"/>
  <c r="M952" i="6"/>
  <c r="L952" i="6"/>
  <c r="K952" i="6"/>
  <c r="J952" i="6"/>
  <c r="B952" i="6"/>
  <c r="S951" i="6"/>
  <c r="R951" i="6"/>
  <c r="Q951" i="6"/>
  <c r="P951" i="6"/>
  <c r="O951" i="6"/>
  <c r="N951" i="6"/>
  <c r="M951" i="6"/>
  <c r="L951" i="6"/>
  <c r="K951" i="6"/>
  <c r="J951" i="6"/>
  <c r="B951" i="6"/>
  <c r="S950" i="6"/>
  <c r="R950" i="6"/>
  <c r="Q950" i="6"/>
  <c r="P950" i="6"/>
  <c r="O950" i="6"/>
  <c r="N950" i="6"/>
  <c r="M950" i="6"/>
  <c r="L950" i="6"/>
  <c r="K950" i="6"/>
  <c r="J950" i="6"/>
  <c r="B950" i="6"/>
  <c r="S949" i="6"/>
  <c r="R949" i="6"/>
  <c r="Q949" i="6"/>
  <c r="P949" i="6"/>
  <c r="AB103" i="5" s="1"/>
  <c r="AL103" i="5" s="1"/>
  <c r="O949" i="6"/>
  <c r="N949" i="6"/>
  <c r="M949" i="6"/>
  <c r="L949" i="6"/>
  <c r="X103" i="5" s="1"/>
  <c r="AH103" i="5" s="1"/>
  <c r="K949" i="6"/>
  <c r="J949" i="6"/>
  <c r="B949" i="6"/>
  <c r="S948" i="6"/>
  <c r="AE103" i="5" s="1"/>
  <c r="AO103" i="5" s="1"/>
  <c r="R948" i="6"/>
  <c r="Q948" i="6"/>
  <c r="P948" i="6"/>
  <c r="O948" i="6"/>
  <c r="AA103" i="5" s="1"/>
  <c r="AK103" i="5" s="1"/>
  <c r="N948" i="6"/>
  <c r="M948" i="6"/>
  <c r="L948" i="6"/>
  <c r="K948" i="6"/>
  <c r="W103" i="5" s="1"/>
  <c r="AG103" i="5" s="1"/>
  <c r="J948" i="6"/>
  <c r="B948" i="6"/>
  <c r="S947" i="6"/>
  <c r="R947" i="6"/>
  <c r="AD103" i="5" s="1"/>
  <c r="AN103" i="5" s="1"/>
  <c r="Q947" i="6"/>
  <c r="P947" i="6"/>
  <c r="O947" i="6"/>
  <c r="N947" i="6"/>
  <c r="Z103" i="5" s="1"/>
  <c r="AJ103" i="5" s="1"/>
  <c r="M947" i="6"/>
  <c r="L947" i="6"/>
  <c r="K947" i="6"/>
  <c r="J947" i="6"/>
  <c r="V103" i="5" s="1"/>
  <c r="AF103" i="5" s="1"/>
  <c r="B947" i="6"/>
  <c r="S946" i="6"/>
  <c r="R946" i="6"/>
  <c r="Q946" i="6"/>
  <c r="AC103" i="5" s="1"/>
  <c r="AM103" i="5" s="1"/>
  <c r="P946" i="6"/>
  <c r="O946" i="6"/>
  <c r="N946" i="6"/>
  <c r="M946" i="6"/>
  <c r="Y103" i="5" s="1"/>
  <c r="AI103" i="5" s="1"/>
  <c r="L946" i="6"/>
  <c r="K946" i="6"/>
  <c r="J946" i="6"/>
  <c r="B946" i="6"/>
  <c r="S945" i="6"/>
  <c r="R945" i="6"/>
  <c r="Q945" i="6"/>
  <c r="P945" i="6"/>
  <c r="O945" i="6"/>
  <c r="N945" i="6"/>
  <c r="M945" i="6"/>
  <c r="L945" i="6"/>
  <c r="K945" i="6"/>
  <c r="J945" i="6"/>
  <c r="B945" i="6"/>
  <c r="S944" i="6"/>
  <c r="R944" i="6"/>
  <c r="Q944" i="6"/>
  <c r="P944" i="6"/>
  <c r="O944" i="6"/>
  <c r="N944" i="6"/>
  <c r="M944" i="6"/>
  <c r="L944" i="6"/>
  <c r="K944" i="6"/>
  <c r="J944" i="6"/>
  <c r="B944" i="6"/>
  <c r="S943" i="6"/>
  <c r="R943" i="6"/>
  <c r="Q943" i="6"/>
  <c r="P943" i="6"/>
  <c r="O943" i="6"/>
  <c r="N943" i="6"/>
  <c r="M943" i="6"/>
  <c r="L943" i="6"/>
  <c r="K943" i="6"/>
  <c r="J943" i="6"/>
  <c r="B943" i="6"/>
  <c r="S942" i="6"/>
  <c r="R942" i="6"/>
  <c r="Q942" i="6"/>
  <c r="P942" i="6"/>
  <c r="O942" i="6"/>
  <c r="N942" i="6"/>
  <c r="M942" i="6"/>
  <c r="L942" i="6"/>
  <c r="K942" i="6"/>
  <c r="J942" i="6"/>
  <c r="B942" i="6"/>
  <c r="S941" i="6"/>
  <c r="R941" i="6"/>
  <c r="Q941" i="6"/>
  <c r="P941" i="6"/>
  <c r="O941" i="6"/>
  <c r="N941" i="6"/>
  <c r="M941" i="6"/>
  <c r="L941" i="6"/>
  <c r="K941" i="6"/>
  <c r="J941" i="6"/>
  <c r="B941" i="6"/>
  <c r="S940" i="6"/>
  <c r="AE102" i="5" s="1"/>
  <c r="AO102" i="5" s="1"/>
  <c r="R940" i="6"/>
  <c r="Q940" i="6"/>
  <c r="P940" i="6"/>
  <c r="O940" i="6"/>
  <c r="AA102" i="5" s="1"/>
  <c r="AK102" i="5" s="1"/>
  <c r="N940" i="6"/>
  <c r="M940" i="6"/>
  <c r="L940" i="6"/>
  <c r="K940" i="6"/>
  <c r="W102" i="5" s="1"/>
  <c r="AG102" i="5" s="1"/>
  <c r="J940" i="6"/>
  <c r="B940" i="6"/>
  <c r="S939" i="6"/>
  <c r="R939" i="6"/>
  <c r="AD102" i="5" s="1"/>
  <c r="AN102" i="5" s="1"/>
  <c r="Q939" i="6"/>
  <c r="P939" i="6"/>
  <c r="O939" i="6"/>
  <c r="N939" i="6"/>
  <c r="Z102" i="5" s="1"/>
  <c r="AJ102" i="5" s="1"/>
  <c r="M939" i="6"/>
  <c r="L939" i="6"/>
  <c r="K939" i="6"/>
  <c r="J939" i="6"/>
  <c r="V102" i="5" s="1"/>
  <c r="AF102" i="5" s="1"/>
  <c r="B939" i="6"/>
  <c r="S938" i="6"/>
  <c r="R938" i="6"/>
  <c r="Q938" i="6"/>
  <c r="AC102" i="5" s="1"/>
  <c r="AM102" i="5" s="1"/>
  <c r="P938" i="6"/>
  <c r="O938" i="6"/>
  <c r="N938" i="6"/>
  <c r="M938" i="6"/>
  <c r="Y102" i="5" s="1"/>
  <c r="AI102" i="5" s="1"/>
  <c r="L938" i="6"/>
  <c r="K938" i="6"/>
  <c r="J938" i="6"/>
  <c r="B938" i="6"/>
  <c r="S937" i="6"/>
  <c r="R937" i="6"/>
  <c r="Q937" i="6"/>
  <c r="P937" i="6"/>
  <c r="AB102" i="5" s="1"/>
  <c r="AL102" i="5" s="1"/>
  <c r="O937" i="6"/>
  <c r="N937" i="6"/>
  <c r="M937" i="6"/>
  <c r="L937" i="6"/>
  <c r="X102" i="5" s="1"/>
  <c r="AH102" i="5" s="1"/>
  <c r="K937" i="6"/>
  <c r="J937" i="6"/>
  <c r="B937" i="6"/>
  <c r="S936" i="6"/>
  <c r="R936" i="6"/>
  <c r="Q936" i="6"/>
  <c r="P936" i="6"/>
  <c r="O936" i="6"/>
  <c r="N936" i="6"/>
  <c r="M936" i="6"/>
  <c r="L936" i="6"/>
  <c r="K936" i="6"/>
  <c r="J936" i="6"/>
  <c r="B936" i="6"/>
  <c r="S935" i="6"/>
  <c r="R935" i="6"/>
  <c r="Q935" i="6"/>
  <c r="P935" i="6"/>
  <c r="O935" i="6"/>
  <c r="N935" i="6"/>
  <c r="M935" i="6"/>
  <c r="L935" i="6"/>
  <c r="K935" i="6"/>
  <c r="J935" i="6"/>
  <c r="B935" i="6"/>
  <c r="S934" i="6"/>
  <c r="R934" i="6"/>
  <c r="Q934" i="6"/>
  <c r="P934" i="6"/>
  <c r="O934" i="6"/>
  <c r="N934" i="6"/>
  <c r="M934" i="6"/>
  <c r="L934" i="6"/>
  <c r="K934" i="6"/>
  <c r="J934" i="6"/>
  <c r="B934" i="6"/>
  <c r="S933" i="6"/>
  <c r="R933" i="6"/>
  <c r="Q933" i="6"/>
  <c r="P933" i="6"/>
  <c r="O933" i="6"/>
  <c r="N933" i="6"/>
  <c r="M933" i="6"/>
  <c r="L933" i="6"/>
  <c r="K933" i="6"/>
  <c r="J933" i="6"/>
  <c r="B933" i="6"/>
  <c r="S932" i="6"/>
  <c r="AE101" i="5" s="1"/>
  <c r="AO101" i="5" s="1"/>
  <c r="R932" i="6"/>
  <c r="Q932" i="6"/>
  <c r="P932" i="6"/>
  <c r="O932" i="6"/>
  <c r="AA101" i="5" s="1"/>
  <c r="AK101" i="5" s="1"/>
  <c r="N932" i="6"/>
  <c r="M932" i="6"/>
  <c r="L932" i="6"/>
  <c r="K932" i="6"/>
  <c r="W101" i="5" s="1"/>
  <c r="AG101" i="5" s="1"/>
  <c r="J932" i="6"/>
  <c r="B932" i="6"/>
  <c r="S931" i="6"/>
  <c r="R931" i="6"/>
  <c r="AD101" i="5" s="1"/>
  <c r="AN101" i="5" s="1"/>
  <c r="Q931" i="6"/>
  <c r="P931" i="6"/>
  <c r="O931" i="6"/>
  <c r="N931" i="6"/>
  <c r="Z101" i="5" s="1"/>
  <c r="AJ101" i="5" s="1"/>
  <c r="M931" i="6"/>
  <c r="L931" i="6"/>
  <c r="K931" i="6"/>
  <c r="J931" i="6"/>
  <c r="V101" i="5" s="1"/>
  <c r="AF101" i="5" s="1"/>
  <c r="B931" i="6"/>
  <c r="S930" i="6"/>
  <c r="R930" i="6"/>
  <c r="Q930" i="6"/>
  <c r="AC101" i="5" s="1"/>
  <c r="AM101" i="5" s="1"/>
  <c r="P930" i="6"/>
  <c r="O930" i="6"/>
  <c r="N930" i="6"/>
  <c r="M930" i="6"/>
  <c r="Y101" i="5" s="1"/>
  <c r="AI101" i="5" s="1"/>
  <c r="L930" i="6"/>
  <c r="K930" i="6"/>
  <c r="J930" i="6"/>
  <c r="B930" i="6"/>
  <c r="S929" i="6"/>
  <c r="R929" i="6"/>
  <c r="Q929" i="6"/>
  <c r="P929" i="6"/>
  <c r="AB101" i="5" s="1"/>
  <c r="AL101" i="5" s="1"/>
  <c r="O929" i="6"/>
  <c r="N929" i="6"/>
  <c r="M929" i="6"/>
  <c r="L929" i="6"/>
  <c r="X101" i="5" s="1"/>
  <c r="AH101" i="5" s="1"/>
  <c r="K929" i="6"/>
  <c r="J929" i="6"/>
  <c r="B929" i="6"/>
  <c r="S928" i="6"/>
  <c r="R928" i="6"/>
  <c r="Q928" i="6"/>
  <c r="P928" i="6"/>
  <c r="O928" i="6"/>
  <c r="N928" i="6"/>
  <c r="M928" i="6"/>
  <c r="L928" i="6"/>
  <c r="K928" i="6"/>
  <c r="J928" i="6"/>
  <c r="B928" i="6"/>
  <c r="S927" i="6"/>
  <c r="R927" i="6"/>
  <c r="Q927" i="6"/>
  <c r="P927" i="6"/>
  <c r="O927" i="6"/>
  <c r="N927" i="6"/>
  <c r="M927" i="6"/>
  <c r="L927" i="6"/>
  <c r="K927" i="6"/>
  <c r="J927" i="6"/>
  <c r="B927" i="6"/>
  <c r="S926" i="6"/>
  <c r="R926" i="6"/>
  <c r="Q926" i="6"/>
  <c r="P926" i="6"/>
  <c r="O926" i="6"/>
  <c r="N926" i="6"/>
  <c r="M926" i="6"/>
  <c r="L926" i="6"/>
  <c r="K926" i="6"/>
  <c r="J926" i="6"/>
  <c r="B926" i="6"/>
  <c r="S925" i="6"/>
  <c r="R925" i="6"/>
  <c r="Q925" i="6"/>
  <c r="P925" i="6"/>
  <c r="O925" i="6"/>
  <c r="N925" i="6"/>
  <c r="M925" i="6"/>
  <c r="L925" i="6"/>
  <c r="K925" i="6"/>
  <c r="J925" i="6"/>
  <c r="B925" i="6"/>
  <c r="S924" i="6"/>
  <c r="AE100" i="5" s="1"/>
  <c r="AO100" i="5" s="1"/>
  <c r="R924" i="6"/>
  <c r="Q924" i="6"/>
  <c r="P924" i="6"/>
  <c r="O924" i="6"/>
  <c r="AA100" i="5" s="1"/>
  <c r="AK100" i="5" s="1"/>
  <c r="N924" i="6"/>
  <c r="M924" i="6"/>
  <c r="L924" i="6"/>
  <c r="K924" i="6"/>
  <c r="W100" i="5" s="1"/>
  <c r="AG100" i="5" s="1"/>
  <c r="J924" i="6"/>
  <c r="B924" i="6"/>
  <c r="S923" i="6"/>
  <c r="R923" i="6"/>
  <c r="AD100" i="5" s="1"/>
  <c r="AN100" i="5" s="1"/>
  <c r="Q923" i="6"/>
  <c r="P923" i="6"/>
  <c r="O923" i="6"/>
  <c r="N923" i="6"/>
  <c r="Z100" i="5" s="1"/>
  <c r="AJ100" i="5" s="1"/>
  <c r="M923" i="6"/>
  <c r="L923" i="6"/>
  <c r="K923" i="6"/>
  <c r="J923" i="6"/>
  <c r="V100" i="5" s="1"/>
  <c r="AF100" i="5" s="1"/>
  <c r="B923" i="6"/>
  <c r="S922" i="6"/>
  <c r="R922" i="6"/>
  <c r="Q922" i="6"/>
  <c r="AC100" i="5" s="1"/>
  <c r="AM100" i="5" s="1"/>
  <c r="P922" i="6"/>
  <c r="O922" i="6"/>
  <c r="N922" i="6"/>
  <c r="M922" i="6"/>
  <c r="Y100" i="5" s="1"/>
  <c r="AI100" i="5" s="1"/>
  <c r="L922" i="6"/>
  <c r="K922" i="6"/>
  <c r="J922" i="6"/>
  <c r="B922" i="6"/>
  <c r="S921" i="6"/>
  <c r="R921" i="6"/>
  <c r="Q921" i="6"/>
  <c r="P921" i="6"/>
  <c r="AB100" i="5" s="1"/>
  <c r="AL100" i="5" s="1"/>
  <c r="O921" i="6"/>
  <c r="N921" i="6"/>
  <c r="M921" i="6"/>
  <c r="L921" i="6"/>
  <c r="X100" i="5" s="1"/>
  <c r="AH100" i="5" s="1"/>
  <c r="K921" i="6"/>
  <c r="J921" i="6"/>
  <c r="B921" i="6"/>
  <c r="S920" i="6"/>
  <c r="R920" i="6"/>
  <c r="Q920" i="6"/>
  <c r="P920" i="6"/>
  <c r="O920" i="6"/>
  <c r="N920" i="6"/>
  <c r="M920" i="6"/>
  <c r="L920" i="6"/>
  <c r="K920" i="6"/>
  <c r="J920" i="6"/>
  <c r="B920" i="6"/>
  <c r="S919" i="6"/>
  <c r="R919" i="6"/>
  <c r="Q919" i="6"/>
  <c r="P919" i="6"/>
  <c r="O919" i="6"/>
  <c r="N919" i="6"/>
  <c r="M919" i="6"/>
  <c r="L919" i="6"/>
  <c r="K919" i="6"/>
  <c r="J919" i="6"/>
  <c r="B919" i="6"/>
  <c r="S918" i="6"/>
  <c r="R918" i="6"/>
  <c r="Q918" i="6"/>
  <c r="P918" i="6"/>
  <c r="O918" i="6"/>
  <c r="N918" i="6"/>
  <c r="M918" i="6"/>
  <c r="L918" i="6"/>
  <c r="K918" i="6"/>
  <c r="J918" i="6"/>
  <c r="B918" i="6"/>
  <c r="S917" i="6"/>
  <c r="R917" i="6"/>
  <c r="Q917" i="6"/>
  <c r="P917" i="6"/>
  <c r="O917" i="6"/>
  <c r="N917" i="6"/>
  <c r="M917" i="6"/>
  <c r="L917" i="6"/>
  <c r="K917" i="6"/>
  <c r="J917" i="6"/>
  <c r="B917" i="6"/>
  <c r="S916" i="6"/>
  <c r="R916" i="6"/>
  <c r="Q916" i="6"/>
  <c r="P916" i="6"/>
  <c r="O916" i="6"/>
  <c r="N916" i="6"/>
  <c r="M916" i="6"/>
  <c r="L916" i="6"/>
  <c r="K916" i="6"/>
  <c r="J916" i="6"/>
  <c r="B916" i="6"/>
  <c r="S915" i="6"/>
  <c r="R915" i="6"/>
  <c r="Q915" i="6"/>
  <c r="P915" i="6"/>
  <c r="O915" i="6"/>
  <c r="N915" i="6"/>
  <c r="M915" i="6"/>
  <c r="L915" i="6"/>
  <c r="K915" i="6"/>
  <c r="J915" i="6"/>
  <c r="B915" i="6"/>
  <c r="S914" i="6"/>
  <c r="R914" i="6"/>
  <c r="Q914" i="6"/>
  <c r="AC99" i="5" s="1"/>
  <c r="AM99" i="5" s="1"/>
  <c r="P914" i="6"/>
  <c r="O914" i="6"/>
  <c r="N914" i="6"/>
  <c r="M914" i="6"/>
  <c r="Y99" i="5" s="1"/>
  <c r="AI99" i="5" s="1"/>
  <c r="L914" i="6"/>
  <c r="K914" i="6"/>
  <c r="J914" i="6"/>
  <c r="B914" i="6"/>
  <c r="S913" i="6"/>
  <c r="R913" i="6"/>
  <c r="Q913" i="6"/>
  <c r="P913" i="6"/>
  <c r="AB99" i="5" s="1"/>
  <c r="AL99" i="5" s="1"/>
  <c r="O913" i="6"/>
  <c r="N913" i="6"/>
  <c r="M913" i="6"/>
  <c r="L913" i="6"/>
  <c r="X99" i="5" s="1"/>
  <c r="AH99" i="5" s="1"/>
  <c r="K913" i="6"/>
  <c r="J913" i="6"/>
  <c r="B913" i="6"/>
  <c r="S912" i="6"/>
  <c r="AE99" i="5" s="1"/>
  <c r="AO99" i="5" s="1"/>
  <c r="R912" i="6"/>
  <c r="Q912" i="6"/>
  <c r="P912" i="6"/>
  <c r="O912" i="6"/>
  <c r="AA99" i="5" s="1"/>
  <c r="AK99" i="5" s="1"/>
  <c r="N912" i="6"/>
  <c r="M912" i="6"/>
  <c r="L912" i="6"/>
  <c r="K912" i="6"/>
  <c r="W99" i="5" s="1"/>
  <c r="AG99" i="5" s="1"/>
  <c r="J912" i="6"/>
  <c r="B912" i="6"/>
  <c r="S911" i="6"/>
  <c r="R911" i="6"/>
  <c r="AD99" i="5" s="1"/>
  <c r="AN99" i="5" s="1"/>
  <c r="Q911" i="6"/>
  <c r="P911" i="6"/>
  <c r="O911" i="6"/>
  <c r="N911" i="6"/>
  <c r="Z99" i="5" s="1"/>
  <c r="AJ99" i="5" s="1"/>
  <c r="M911" i="6"/>
  <c r="L911" i="6"/>
  <c r="K911" i="6"/>
  <c r="J911" i="6"/>
  <c r="V99" i="5" s="1"/>
  <c r="AF99" i="5" s="1"/>
  <c r="B911" i="6"/>
  <c r="S910" i="6"/>
  <c r="R910" i="6"/>
  <c r="Q910" i="6"/>
  <c r="P910" i="6"/>
  <c r="O910" i="6"/>
  <c r="N910" i="6"/>
  <c r="M910" i="6"/>
  <c r="L910" i="6"/>
  <c r="K910" i="6"/>
  <c r="J910" i="6"/>
  <c r="B910" i="6"/>
  <c r="S909" i="6"/>
  <c r="R909" i="6"/>
  <c r="Q909" i="6"/>
  <c r="P909" i="6"/>
  <c r="O909" i="6"/>
  <c r="N909" i="6"/>
  <c r="M909" i="6"/>
  <c r="L909" i="6"/>
  <c r="K909" i="6"/>
  <c r="J909" i="6"/>
  <c r="B909" i="6"/>
  <c r="S908" i="6"/>
  <c r="R908" i="6"/>
  <c r="Q908" i="6"/>
  <c r="P908" i="6"/>
  <c r="O908" i="6"/>
  <c r="N908" i="6"/>
  <c r="M908" i="6"/>
  <c r="L908" i="6"/>
  <c r="K908" i="6"/>
  <c r="J908" i="6"/>
  <c r="B908" i="6"/>
  <c r="S907" i="6"/>
  <c r="R907" i="6"/>
  <c r="Q907" i="6"/>
  <c r="P907" i="6"/>
  <c r="O907" i="6"/>
  <c r="N907" i="6"/>
  <c r="M907" i="6"/>
  <c r="L907" i="6"/>
  <c r="K907" i="6"/>
  <c r="J907" i="6"/>
  <c r="B907" i="6"/>
  <c r="S906" i="6"/>
  <c r="R906" i="6"/>
  <c r="Q906" i="6"/>
  <c r="P906" i="6"/>
  <c r="O906" i="6"/>
  <c r="N906" i="6"/>
  <c r="M906" i="6"/>
  <c r="L906" i="6"/>
  <c r="K906" i="6"/>
  <c r="J906" i="6"/>
  <c r="B906" i="6"/>
  <c r="S905" i="6"/>
  <c r="R905" i="6"/>
  <c r="Q905" i="6"/>
  <c r="P905" i="6"/>
  <c r="O905" i="6"/>
  <c r="N905" i="6"/>
  <c r="M905" i="6"/>
  <c r="L905" i="6"/>
  <c r="K905" i="6"/>
  <c r="J905" i="6"/>
  <c r="B905" i="6"/>
  <c r="S904" i="6"/>
  <c r="R904" i="6"/>
  <c r="Q904" i="6"/>
  <c r="P904" i="6"/>
  <c r="O904" i="6"/>
  <c r="N904" i="6"/>
  <c r="M904" i="6"/>
  <c r="L904" i="6"/>
  <c r="K904" i="6"/>
  <c r="J904" i="6"/>
  <c r="B904" i="6"/>
  <c r="S903" i="6"/>
  <c r="R903" i="6"/>
  <c r="Q903" i="6"/>
  <c r="P903" i="6"/>
  <c r="O903" i="6"/>
  <c r="N903" i="6"/>
  <c r="M903" i="6"/>
  <c r="L903" i="6"/>
  <c r="K903" i="6"/>
  <c r="J903" i="6"/>
  <c r="B903" i="6"/>
  <c r="S902" i="6"/>
  <c r="R902" i="6"/>
  <c r="Q902" i="6"/>
  <c r="AC98" i="5" s="1"/>
  <c r="AM98" i="5" s="1"/>
  <c r="P902" i="6"/>
  <c r="O902" i="6"/>
  <c r="N902" i="6"/>
  <c r="M902" i="6"/>
  <c r="Y98" i="5" s="1"/>
  <c r="AI98" i="5" s="1"/>
  <c r="L902" i="6"/>
  <c r="K902" i="6"/>
  <c r="J902" i="6"/>
  <c r="B902" i="6"/>
  <c r="S901" i="6"/>
  <c r="R901" i="6"/>
  <c r="Q901" i="6"/>
  <c r="P901" i="6"/>
  <c r="AB98" i="5" s="1"/>
  <c r="AL98" i="5" s="1"/>
  <c r="O901" i="6"/>
  <c r="N901" i="6"/>
  <c r="M901" i="6"/>
  <c r="L901" i="6"/>
  <c r="X98" i="5" s="1"/>
  <c r="AH98" i="5" s="1"/>
  <c r="K901" i="6"/>
  <c r="J901" i="6"/>
  <c r="B901" i="6"/>
  <c r="S900" i="6"/>
  <c r="AE98" i="5" s="1"/>
  <c r="AO98" i="5" s="1"/>
  <c r="R900" i="6"/>
  <c r="Q900" i="6"/>
  <c r="P900" i="6"/>
  <c r="O900" i="6"/>
  <c r="AA98" i="5" s="1"/>
  <c r="AK98" i="5" s="1"/>
  <c r="N900" i="6"/>
  <c r="M900" i="6"/>
  <c r="L900" i="6"/>
  <c r="K900" i="6"/>
  <c r="W98" i="5" s="1"/>
  <c r="AG98" i="5" s="1"/>
  <c r="J900" i="6"/>
  <c r="B900" i="6"/>
  <c r="S899" i="6"/>
  <c r="R899" i="6"/>
  <c r="AD98" i="5" s="1"/>
  <c r="AN98" i="5" s="1"/>
  <c r="Q899" i="6"/>
  <c r="P899" i="6"/>
  <c r="O899" i="6"/>
  <c r="N899" i="6"/>
  <c r="Z98" i="5" s="1"/>
  <c r="AJ98" i="5" s="1"/>
  <c r="M899" i="6"/>
  <c r="L899" i="6"/>
  <c r="K899" i="6"/>
  <c r="J899" i="6"/>
  <c r="V98" i="5" s="1"/>
  <c r="AF98" i="5" s="1"/>
  <c r="B899" i="6"/>
  <c r="S898" i="6"/>
  <c r="R898" i="6"/>
  <c r="Q898" i="6"/>
  <c r="P898" i="6"/>
  <c r="O898" i="6"/>
  <c r="N898" i="6"/>
  <c r="M898" i="6"/>
  <c r="L898" i="6"/>
  <c r="K898" i="6"/>
  <c r="J898" i="6"/>
  <c r="B898" i="6"/>
  <c r="S897" i="6"/>
  <c r="R897" i="6"/>
  <c r="Q897" i="6"/>
  <c r="P897" i="6"/>
  <c r="O897" i="6"/>
  <c r="N897" i="6"/>
  <c r="M897" i="6"/>
  <c r="L897" i="6"/>
  <c r="K897" i="6"/>
  <c r="J897" i="6"/>
  <c r="B897" i="6"/>
  <c r="S896" i="6"/>
  <c r="R896" i="6"/>
  <c r="Q896" i="6"/>
  <c r="P896" i="6"/>
  <c r="O896" i="6"/>
  <c r="N896" i="6"/>
  <c r="M896" i="6"/>
  <c r="L896" i="6"/>
  <c r="K896" i="6"/>
  <c r="J896" i="6"/>
  <c r="B896" i="6"/>
  <c r="S895" i="6"/>
  <c r="R895" i="6"/>
  <c r="Q895" i="6"/>
  <c r="P895" i="6"/>
  <c r="O895" i="6"/>
  <c r="N895" i="6"/>
  <c r="M895" i="6"/>
  <c r="L895" i="6"/>
  <c r="K895" i="6"/>
  <c r="J895" i="6"/>
  <c r="B895" i="6"/>
  <c r="S894" i="6"/>
  <c r="R894" i="6"/>
  <c r="Q894" i="6"/>
  <c r="P894" i="6"/>
  <c r="O894" i="6"/>
  <c r="N894" i="6"/>
  <c r="M894" i="6"/>
  <c r="L894" i="6"/>
  <c r="K894" i="6"/>
  <c r="J894" i="6"/>
  <c r="B894" i="6"/>
  <c r="S893" i="6"/>
  <c r="R893" i="6"/>
  <c r="Q893" i="6"/>
  <c r="P893" i="6"/>
  <c r="O893" i="6"/>
  <c r="N893" i="6"/>
  <c r="M893" i="6"/>
  <c r="L893" i="6"/>
  <c r="K893" i="6"/>
  <c r="J893" i="6"/>
  <c r="B893" i="6"/>
  <c r="S892" i="6"/>
  <c r="R892" i="6"/>
  <c r="Q892" i="6"/>
  <c r="P892" i="6"/>
  <c r="O892" i="6"/>
  <c r="N892" i="6"/>
  <c r="M892" i="6"/>
  <c r="L892" i="6"/>
  <c r="K892" i="6"/>
  <c r="J892" i="6"/>
  <c r="B892" i="6"/>
  <c r="S891" i="6"/>
  <c r="R891" i="6"/>
  <c r="Q891" i="6"/>
  <c r="P891" i="6"/>
  <c r="O891" i="6"/>
  <c r="N891" i="6"/>
  <c r="M891" i="6"/>
  <c r="L891" i="6"/>
  <c r="K891" i="6"/>
  <c r="J891" i="6"/>
  <c r="B891" i="6"/>
  <c r="S890" i="6"/>
  <c r="R890" i="6"/>
  <c r="Q890" i="6"/>
  <c r="AC97" i="5" s="1"/>
  <c r="AM97" i="5" s="1"/>
  <c r="P890" i="6"/>
  <c r="O890" i="6"/>
  <c r="N890" i="6"/>
  <c r="M890" i="6"/>
  <c r="Y97" i="5" s="1"/>
  <c r="AI97" i="5" s="1"/>
  <c r="L890" i="6"/>
  <c r="K890" i="6"/>
  <c r="J890" i="6"/>
  <c r="B890" i="6"/>
  <c r="S889" i="6"/>
  <c r="R889" i="6"/>
  <c r="Q889" i="6"/>
  <c r="P889" i="6"/>
  <c r="AB97" i="5" s="1"/>
  <c r="AL97" i="5" s="1"/>
  <c r="O889" i="6"/>
  <c r="N889" i="6"/>
  <c r="M889" i="6"/>
  <c r="L889" i="6"/>
  <c r="X97" i="5" s="1"/>
  <c r="AH97" i="5" s="1"/>
  <c r="K889" i="6"/>
  <c r="J889" i="6"/>
  <c r="B889" i="6"/>
  <c r="S888" i="6"/>
  <c r="AE97" i="5" s="1"/>
  <c r="AO97" i="5" s="1"/>
  <c r="R888" i="6"/>
  <c r="Q888" i="6"/>
  <c r="P888" i="6"/>
  <c r="O888" i="6"/>
  <c r="AA97" i="5" s="1"/>
  <c r="AK97" i="5" s="1"/>
  <c r="N888" i="6"/>
  <c r="M888" i="6"/>
  <c r="L888" i="6"/>
  <c r="K888" i="6"/>
  <c r="W97" i="5" s="1"/>
  <c r="AG97" i="5" s="1"/>
  <c r="J888" i="6"/>
  <c r="B888" i="6"/>
  <c r="S887" i="6"/>
  <c r="R887" i="6"/>
  <c r="AD97" i="5" s="1"/>
  <c r="AN97" i="5" s="1"/>
  <c r="Q887" i="6"/>
  <c r="P887" i="6"/>
  <c r="O887" i="6"/>
  <c r="N887" i="6"/>
  <c r="Z97" i="5" s="1"/>
  <c r="AJ97" i="5" s="1"/>
  <c r="M887" i="6"/>
  <c r="L887" i="6"/>
  <c r="K887" i="6"/>
  <c r="J887" i="6"/>
  <c r="V97" i="5" s="1"/>
  <c r="AF97" i="5" s="1"/>
  <c r="B887" i="6"/>
  <c r="S886" i="6"/>
  <c r="R886" i="6"/>
  <c r="Q886" i="6"/>
  <c r="P886" i="6"/>
  <c r="O886" i="6"/>
  <c r="N886" i="6"/>
  <c r="M886" i="6"/>
  <c r="L886" i="6"/>
  <c r="K886" i="6"/>
  <c r="J886" i="6"/>
  <c r="B886" i="6"/>
  <c r="S885" i="6"/>
  <c r="R885" i="6"/>
  <c r="Q885" i="6"/>
  <c r="P885" i="6"/>
  <c r="O885" i="6"/>
  <c r="N885" i="6"/>
  <c r="M885" i="6"/>
  <c r="L885" i="6"/>
  <c r="K885" i="6"/>
  <c r="J885" i="6"/>
  <c r="B885" i="6"/>
  <c r="S884" i="6"/>
  <c r="R884" i="6"/>
  <c r="Q884" i="6"/>
  <c r="P884" i="6"/>
  <c r="O884" i="6"/>
  <c r="N884" i="6"/>
  <c r="M884" i="6"/>
  <c r="L884" i="6"/>
  <c r="K884" i="6"/>
  <c r="J884" i="6"/>
  <c r="B884" i="6"/>
  <c r="S883" i="6"/>
  <c r="R883" i="6"/>
  <c r="Q883" i="6"/>
  <c r="P883" i="6"/>
  <c r="O883" i="6"/>
  <c r="N883" i="6"/>
  <c r="M883" i="6"/>
  <c r="L883" i="6"/>
  <c r="K883" i="6"/>
  <c r="J883" i="6"/>
  <c r="B883" i="6"/>
  <c r="S882" i="6"/>
  <c r="R882" i="6"/>
  <c r="Q882" i="6"/>
  <c r="P882" i="6"/>
  <c r="O882" i="6"/>
  <c r="N882" i="6"/>
  <c r="M882" i="6"/>
  <c r="L882" i="6"/>
  <c r="K882" i="6"/>
  <c r="J882" i="6"/>
  <c r="B882" i="6"/>
  <c r="S881" i="6"/>
  <c r="R881" i="6"/>
  <c r="Q881" i="6"/>
  <c r="P881" i="6"/>
  <c r="O881" i="6"/>
  <c r="N881" i="6"/>
  <c r="M881" i="6"/>
  <c r="L881" i="6"/>
  <c r="K881" i="6"/>
  <c r="J881" i="6"/>
  <c r="B881" i="6"/>
  <c r="S880" i="6"/>
  <c r="AE96" i="5" s="1"/>
  <c r="AO96" i="5" s="1"/>
  <c r="R880" i="6"/>
  <c r="Q880" i="6"/>
  <c r="P880" i="6"/>
  <c r="O880" i="6"/>
  <c r="AA96" i="5" s="1"/>
  <c r="AK96" i="5" s="1"/>
  <c r="N880" i="6"/>
  <c r="M880" i="6"/>
  <c r="L880" i="6"/>
  <c r="K880" i="6"/>
  <c r="W96" i="5" s="1"/>
  <c r="AG96" i="5" s="1"/>
  <c r="J880" i="6"/>
  <c r="B880" i="6"/>
  <c r="S879" i="6"/>
  <c r="R879" i="6"/>
  <c r="AD96" i="5" s="1"/>
  <c r="AN96" i="5" s="1"/>
  <c r="Q879" i="6"/>
  <c r="P879" i="6"/>
  <c r="O879" i="6"/>
  <c r="N879" i="6"/>
  <c r="Z96" i="5" s="1"/>
  <c r="AJ96" i="5" s="1"/>
  <c r="M879" i="6"/>
  <c r="L879" i="6"/>
  <c r="K879" i="6"/>
  <c r="J879" i="6"/>
  <c r="V96" i="5" s="1"/>
  <c r="AF96" i="5" s="1"/>
  <c r="B879" i="6"/>
  <c r="S878" i="6"/>
  <c r="R878" i="6"/>
  <c r="Q878" i="6"/>
  <c r="AC96" i="5" s="1"/>
  <c r="AM96" i="5" s="1"/>
  <c r="P878" i="6"/>
  <c r="O878" i="6"/>
  <c r="N878" i="6"/>
  <c r="M878" i="6"/>
  <c r="Y96" i="5" s="1"/>
  <c r="AI96" i="5" s="1"/>
  <c r="L878" i="6"/>
  <c r="K878" i="6"/>
  <c r="J878" i="6"/>
  <c r="B878" i="6"/>
  <c r="S877" i="6"/>
  <c r="R877" i="6"/>
  <c r="Q877" i="6"/>
  <c r="P877" i="6"/>
  <c r="AB96" i="5" s="1"/>
  <c r="AL96" i="5" s="1"/>
  <c r="O877" i="6"/>
  <c r="N877" i="6"/>
  <c r="M877" i="6"/>
  <c r="L877" i="6"/>
  <c r="X96" i="5" s="1"/>
  <c r="AH96" i="5" s="1"/>
  <c r="K877" i="6"/>
  <c r="J877" i="6"/>
  <c r="B877" i="6"/>
  <c r="S876" i="6"/>
  <c r="R876" i="6"/>
  <c r="Q876" i="6"/>
  <c r="P876" i="6"/>
  <c r="O876" i="6"/>
  <c r="N876" i="6"/>
  <c r="M876" i="6"/>
  <c r="L876" i="6"/>
  <c r="K876" i="6"/>
  <c r="J876" i="6"/>
  <c r="B876" i="6"/>
  <c r="S875" i="6"/>
  <c r="R875" i="6"/>
  <c r="Q875" i="6"/>
  <c r="P875" i="6"/>
  <c r="O875" i="6"/>
  <c r="N875" i="6"/>
  <c r="M875" i="6"/>
  <c r="L875" i="6"/>
  <c r="K875" i="6"/>
  <c r="J875" i="6"/>
  <c r="B875" i="6"/>
  <c r="S874" i="6"/>
  <c r="R874" i="6"/>
  <c r="Q874" i="6"/>
  <c r="P874" i="6"/>
  <c r="O874" i="6"/>
  <c r="N874" i="6"/>
  <c r="M874" i="6"/>
  <c r="L874" i="6"/>
  <c r="K874" i="6"/>
  <c r="J874" i="6"/>
  <c r="B874" i="6"/>
  <c r="S873" i="6"/>
  <c r="R873" i="6"/>
  <c r="Q873" i="6"/>
  <c r="P873" i="6"/>
  <c r="O873" i="6"/>
  <c r="N873" i="6"/>
  <c r="M873" i="6"/>
  <c r="L873" i="6"/>
  <c r="K873" i="6"/>
  <c r="J873" i="6"/>
  <c r="B873" i="6"/>
  <c r="S872" i="6"/>
  <c r="R872" i="6"/>
  <c r="Q872" i="6"/>
  <c r="P872" i="6"/>
  <c r="O872" i="6"/>
  <c r="N872" i="6"/>
  <c r="M872" i="6"/>
  <c r="L872" i="6"/>
  <c r="K872" i="6"/>
  <c r="J872" i="6"/>
  <c r="B872" i="6"/>
  <c r="S871" i="6"/>
  <c r="R871" i="6"/>
  <c r="Q871" i="6"/>
  <c r="P871" i="6"/>
  <c r="O871" i="6"/>
  <c r="N871" i="6"/>
  <c r="M871" i="6"/>
  <c r="L871" i="6"/>
  <c r="K871" i="6"/>
  <c r="J871" i="6"/>
  <c r="B871" i="6"/>
  <c r="S870" i="6"/>
  <c r="R870" i="6"/>
  <c r="Q870" i="6"/>
  <c r="AC95" i="5" s="1"/>
  <c r="AM95" i="5" s="1"/>
  <c r="P870" i="6"/>
  <c r="O870" i="6"/>
  <c r="N870" i="6"/>
  <c r="M870" i="6"/>
  <c r="Y95" i="5" s="1"/>
  <c r="AI95" i="5" s="1"/>
  <c r="L870" i="6"/>
  <c r="K870" i="6"/>
  <c r="J870" i="6"/>
  <c r="B870" i="6"/>
  <c r="S869" i="6"/>
  <c r="R869" i="6"/>
  <c r="Q869" i="6"/>
  <c r="P869" i="6"/>
  <c r="AB95" i="5" s="1"/>
  <c r="AL95" i="5" s="1"/>
  <c r="O869" i="6"/>
  <c r="N869" i="6"/>
  <c r="M869" i="6"/>
  <c r="L869" i="6"/>
  <c r="X95" i="5" s="1"/>
  <c r="AH95" i="5" s="1"/>
  <c r="K869" i="6"/>
  <c r="J869" i="6"/>
  <c r="B869" i="6"/>
  <c r="S868" i="6"/>
  <c r="AE95" i="5" s="1"/>
  <c r="AO95" i="5" s="1"/>
  <c r="R868" i="6"/>
  <c r="Q868" i="6"/>
  <c r="P868" i="6"/>
  <c r="O868" i="6"/>
  <c r="AA95" i="5" s="1"/>
  <c r="AK95" i="5" s="1"/>
  <c r="N868" i="6"/>
  <c r="M868" i="6"/>
  <c r="L868" i="6"/>
  <c r="K868" i="6"/>
  <c r="W95" i="5" s="1"/>
  <c r="AG95" i="5" s="1"/>
  <c r="J868" i="6"/>
  <c r="B868" i="6"/>
  <c r="S867" i="6"/>
  <c r="R867" i="6"/>
  <c r="AD95" i="5" s="1"/>
  <c r="AN95" i="5" s="1"/>
  <c r="Q867" i="6"/>
  <c r="P867" i="6"/>
  <c r="O867" i="6"/>
  <c r="N867" i="6"/>
  <c r="Z95" i="5" s="1"/>
  <c r="AJ95" i="5" s="1"/>
  <c r="M867" i="6"/>
  <c r="L867" i="6"/>
  <c r="K867" i="6"/>
  <c r="J867" i="6"/>
  <c r="V95" i="5" s="1"/>
  <c r="AF95" i="5" s="1"/>
  <c r="AP95" i="5" s="1"/>
  <c r="B867" i="6"/>
  <c r="S866" i="6"/>
  <c r="R866" i="6"/>
  <c r="Q866" i="6"/>
  <c r="P866" i="6"/>
  <c r="O866" i="6"/>
  <c r="N866" i="6"/>
  <c r="M866" i="6"/>
  <c r="L866" i="6"/>
  <c r="K866" i="6"/>
  <c r="J866" i="6"/>
  <c r="B866" i="6"/>
  <c r="S865" i="6"/>
  <c r="R865" i="6"/>
  <c r="Q865" i="6"/>
  <c r="P865" i="6"/>
  <c r="O865" i="6"/>
  <c r="N865" i="6"/>
  <c r="M865" i="6"/>
  <c r="L865" i="6"/>
  <c r="K865" i="6"/>
  <c r="J865" i="6"/>
  <c r="B865" i="6"/>
  <c r="S864" i="6"/>
  <c r="R864" i="6"/>
  <c r="Q864" i="6"/>
  <c r="P864" i="6"/>
  <c r="O864" i="6"/>
  <c r="N864" i="6"/>
  <c r="M864" i="6"/>
  <c r="L864" i="6"/>
  <c r="K864" i="6"/>
  <c r="J864" i="6"/>
  <c r="B864" i="6"/>
  <c r="S863" i="6"/>
  <c r="R863" i="6"/>
  <c r="Q863" i="6"/>
  <c r="P863" i="6"/>
  <c r="O863" i="6"/>
  <c r="N863" i="6"/>
  <c r="M863" i="6"/>
  <c r="L863" i="6"/>
  <c r="K863" i="6"/>
  <c r="J863" i="6"/>
  <c r="B863" i="6"/>
  <c r="S862" i="6"/>
  <c r="R862" i="6"/>
  <c r="Q862" i="6"/>
  <c r="P862" i="6"/>
  <c r="O862" i="6"/>
  <c r="N862" i="6"/>
  <c r="M862" i="6"/>
  <c r="L862" i="6"/>
  <c r="K862" i="6"/>
  <c r="J862" i="6"/>
  <c r="B862" i="6"/>
  <c r="S861" i="6"/>
  <c r="R861" i="6"/>
  <c r="Q861" i="6"/>
  <c r="P861" i="6"/>
  <c r="AB94" i="5" s="1"/>
  <c r="AL94" i="5" s="1"/>
  <c r="O861" i="6"/>
  <c r="N861" i="6"/>
  <c r="M861" i="6"/>
  <c r="L861" i="6"/>
  <c r="X94" i="5" s="1"/>
  <c r="AH94" i="5" s="1"/>
  <c r="K861" i="6"/>
  <c r="J861" i="6"/>
  <c r="B861" i="6"/>
  <c r="S860" i="6"/>
  <c r="AE94" i="5" s="1"/>
  <c r="AO94" i="5" s="1"/>
  <c r="R860" i="6"/>
  <c r="Q860" i="6"/>
  <c r="P860" i="6"/>
  <c r="O860" i="6"/>
  <c r="AA94" i="5" s="1"/>
  <c r="AK94" i="5" s="1"/>
  <c r="N860" i="6"/>
  <c r="M860" i="6"/>
  <c r="L860" i="6"/>
  <c r="K860" i="6"/>
  <c r="W94" i="5" s="1"/>
  <c r="AG94" i="5" s="1"/>
  <c r="J860" i="6"/>
  <c r="B860" i="6"/>
  <c r="S859" i="6"/>
  <c r="R859" i="6"/>
  <c r="AD94" i="5" s="1"/>
  <c r="AN94" i="5" s="1"/>
  <c r="Q859" i="6"/>
  <c r="P859" i="6"/>
  <c r="O859" i="6"/>
  <c r="N859" i="6"/>
  <c r="Z94" i="5" s="1"/>
  <c r="AJ94" i="5" s="1"/>
  <c r="M859" i="6"/>
  <c r="L859" i="6"/>
  <c r="K859" i="6"/>
  <c r="J859" i="6"/>
  <c r="V94" i="5" s="1"/>
  <c r="AF94" i="5" s="1"/>
  <c r="B859" i="6"/>
  <c r="S858" i="6"/>
  <c r="R858" i="6"/>
  <c r="Q858" i="6"/>
  <c r="AC94" i="5" s="1"/>
  <c r="AM94" i="5" s="1"/>
  <c r="P858" i="6"/>
  <c r="O858" i="6"/>
  <c r="N858" i="6"/>
  <c r="M858" i="6"/>
  <c r="Y94" i="5" s="1"/>
  <c r="AI94" i="5" s="1"/>
  <c r="L858" i="6"/>
  <c r="K858" i="6"/>
  <c r="J858" i="6"/>
  <c r="B858" i="6"/>
  <c r="S857" i="6"/>
  <c r="R857" i="6"/>
  <c r="Q857" i="6"/>
  <c r="P857" i="6"/>
  <c r="O857" i="6"/>
  <c r="N857" i="6"/>
  <c r="M857" i="6"/>
  <c r="L857" i="6"/>
  <c r="K857" i="6"/>
  <c r="J857" i="6"/>
  <c r="B857" i="6"/>
  <c r="S856" i="6"/>
  <c r="R856" i="6"/>
  <c r="Q856" i="6"/>
  <c r="P856" i="6"/>
  <c r="O856" i="6"/>
  <c r="N856" i="6"/>
  <c r="M856" i="6"/>
  <c r="L856" i="6"/>
  <c r="K856" i="6"/>
  <c r="J856" i="6"/>
  <c r="B856" i="6"/>
  <c r="S855" i="6"/>
  <c r="R855" i="6"/>
  <c r="Q855" i="6"/>
  <c r="P855" i="6"/>
  <c r="O855" i="6"/>
  <c r="N855" i="6"/>
  <c r="M855" i="6"/>
  <c r="L855" i="6"/>
  <c r="K855" i="6"/>
  <c r="J855" i="6"/>
  <c r="B855" i="6"/>
  <c r="S854" i="6"/>
  <c r="R854" i="6"/>
  <c r="Q854" i="6"/>
  <c r="P854" i="6"/>
  <c r="O854" i="6"/>
  <c r="N854" i="6"/>
  <c r="M854" i="6"/>
  <c r="L854" i="6"/>
  <c r="K854" i="6"/>
  <c r="J854" i="6"/>
  <c r="B854" i="6"/>
  <c r="S853" i="6"/>
  <c r="R853" i="6"/>
  <c r="Q853" i="6"/>
  <c r="P853" i="6"/>
  <c r="AB93" i="5" s="1"/>
  <c r="AL93" i="5" s="1"/>
  <c r="O853" i="6"/>
  <c r="N853" i="6"/>
  <c r="M853" i="6"/>
  <c r="L853" i="6"/>
  <c r="X93" i="5" s="1"/>
  <c r="AH93" i="5" s="1"/>
  <c r="K853" i="6"/>
  <c r="J853" i="6"/>
  <c r="B853" i="6"/>
  <c r="S852" i="6"/>
  <c r="AE93" i="5" s="1"/>
  <c r="AO93" i="5" s="1"/>
  <c r="R852" i="6"/>
  <c r="Q852" i="6"/>
  <c r="P852" i="6"/>
  <c r="O852" i="6"/>
  <c r="AA93" i="5" s="1"/>
  <c r="AK93" i="5" s="1"/>
  <c r="N852" i="6"/>
  <c r="M852" i="6"/>
  <c r="L852" i="6"/>
  <c r="K852" i="6"/>
  <c r="W93" i="5" s="1"/>
  <c r="AG93" i="5" s="1"/>
  <c r="J852" i="6"/>
  <c r="B852" i="6"/>
  <c r="S851" i="6"/>
  <c r="R851" i="6"/>
  <c r="AD93" i="5" s="1"/>
  <c r="AN93" i="5" s="1"/>
  <c r="Q851" i="6"/>
  <c r="P851" i="6"/>
  <c r="O851" i="6"/>
  <c r="N851" i="6"/>
  <c r="Z93" i="5" s="1"/>
  <c r="AJ93" i="5" s="1"/>
  <c r="M851" i="6"/>
  <c r="L851" i="6"/>
  <c r="K851" i="6"/>
  <c r="J851" i="6"/>
  <c r="V93" i="5" s="1"/>
  <c r="AF93" i="5" s="1"/>
  <c r="B851" i="6"/>
  <c r="S850" i="6"/>
  <c r="R850" i="6"/>
  <c r="Q850" i="6"/>
  <c r="AC93" i="5" s="1"/>
  <c r="AM93" i="5" s="1"/>
  <c r="P850" i="6"/>
  <c r="O850" i="6"/>
  <c r="N850" i="6"/>
  <c r="M850" i="6"/>
  <c r="Y93" i="5" s="1"/>
  <c r="AI93" i="5" s="1"/>
  <c r="L850" i="6"/>
  <c r="K850" i="6"/>
  <c r="J850" i="6"/>
  <c r="B850" i="6"/>
  <c r="S849" i="6"/>
  <c r="R849" i="6"/>
  <c r="Q849" i="6"/>
  <c r="P849" i="6"/>
  <c r="O849" i="6"/>
  <c r="N849" i="6"/>
  <c r="M849" i="6"/>
  <c r="L849" i="6"/>
  <c r="K849" i="6"/>
  <c r="J849" i="6"/>
  <c r="B849" i="6"/>
  <c r="S848" i="6"/>
  <c r="R848" i="6"/>
  <c r="Q848" i="6"/>
  <c r="P848" i="6"/>
  <c r="O848" i="6"/>
  <c r="N848" i="6"/>
  <c r="M848" i="6"/>
  <c r="L848" i="6"/>
  <c r="K848" i="6"/>
  <c r="J848" i="6"/>
  <c r="B848" i="6"/>
  <c r="S847" i="6"/>
  <c r="R847" i="6"/>
  <c r="Q847" i="6"/>
  <c r="P847" i="6"/>
  <c r="O847" i="6"/>
  <c r="N847" i="6"/>
  <c r="M847" i="6"/>
  <c r="L847" i="6"/>
  <c r="K847" i="6"/>
  <c r="J847" i="6"/>
  <c r="B847" i="6"/>
  <c r="S846" i="6"/>
  <c r="R846" i="6"/>
  <c r="Q846" i="6"/>
  <c r="P846" i="6"/>
  <c r="O846" i="6"/>
  <c r="N846" i="6"/>
  <c r="M846" i="6"/>
  <c r="L846" i="6"/>
  <c r="K846" i="6"/>
  <c r="J846" i="6"/>
  <c r="B846" i="6"/>
  <c r="S845" i="6"/>
  <c r="R845" i="6"/>
  <c r="Q845" i="6"/>
  <c r="P845" i="6"/>
  <c r="AB92" i="5" s="1"/>
  <c r="AL92" i="5" s="1"/>
  <c r="O845" i="6"/>
  <c r="N845" i="6"/>
  <c r="M845" i="6"/>
  <c r="L845" i="6"/>
  <c r="X92" i="5" s="1"/>
  <c r="AH92" i="5" s="1"/>
  <c r="K845" i="6"/>
  <c r="J845" i="6"/>
  <c r="B845" i="6"/>
  <c r="S844" i="6"/>
  <c r="AE92" i="5" s="1"/>
  <c r="AO92" i="5" s="1"/>
  <c r="R844" i="6"/>
  <c r="Q844" i="6"/>
  <c r="P844" i="6"/>
  <c r="O844" i="6"/>
  <c r="AA92" i="5" s="1"/>
  <c r="AK92" i="5" s="1"/>
  <c r="N844" i="6"/>
  <c r="M844" i="6"/>
  <c r="L844" i="6"/>
  <c r="K844" i="6"/>
  <c r="W92" i="5" s="1"/>
  <c r="AG92" i="5" s="1"/>
  <c r="J844" i="6"/>
  <c r="B844" i="6"/>
  <c r="S843" i="6"/>
  <c r="R843" i="6"/>
  <c r="AD92" i="5" s="1"/>
  <c r="AN92" i="5" s="1"/>
  <c r="Q843" i="6"/>
  <c r="P843" i="6"/>
  <c r="O843" i="6"/>
  <c r="N843" i="6"/>
  <c r="Z92" i="5" s="1"/>
  <c r="AJ92" i="5" s="1"/>
  <c r="M843" i="6"/>
  <c r="L843" i="6"/>
  <c r="K843" i="6"/>
  <c r="J843" i="6"/>
  <c r="V92" i="5" s="1"/>
  <c r="AF92" i="5" s="1"/>
  <c r="B843" i="6"/>
  <c r="S842" i="6"/>
  <c r="R842" i="6"/>
  <c r="Q842" i="6"/>
  <c r="AC92" i="5" s="1"/>
  <c r="AM92" i="5" s="1"/>
  <c r="P842" i="6"/>
  <c r="O842" i="6"/>
  <c r="N842" i="6"/>
  <c r="M842" i="6"/>
  <c r="Y92" i="5" s="1"/>
  <c r="AI92" i="5" s="1"/>
  <c r="L842" i="6"/>
  <c r="K842" i="6"/>
  <c r="J842" i="6"/>
  <c r="B842" i="6"/>
  <c r="S841" i="6"/>
  <c r="R841" i="6"/>
  <c r="Q841" i="6"/>
  <c r="P841" i="6"/>
  <c r="O841" i="6"/>
  <c r="N841" i="6"/>
  <c r="M841" i="6"/>
  <c r="L841" i="6"/>
  <c r="K841" i="6"/>
  <c r="J841" i="6"/>
  <c r="B841" i="6"/>
  <c r="S840" i="6"/>
  <c r="R840" i="6"/>
  <c r="Q840" i="6"/>
  <c r="P840" i="6"/>
  <c r="O840" i="6"/>
  <c r="N840" i="6"/>
  <c r="M840" i="6"/>
  <c r="L840" i="6"/>
  <c r="K840" i="6"/>
  <c r="J840" i="6"/>
  <c r="B840" i="6"/>
  <c r="S839" i="6"/>
  <c r="R839" i="6"/>
  <c r="Q839" i="6"/>
  <c r="P839" i="6"/>
  <c r="O839" i="6"/>
  <c r="N839" i="6"/>
  <c r="M839" i="6"/>
  <c r="L839" i="6"/>
  <c r="K839" i="6"/>
  <c r="J839" i="6"/>
  <c r="B839" i="6"/>
  <c r="S838" i="6"/>
  <c r="R838" i="6"/>
  <c r="Q838" i="6"/>
  <c r="AC91" i="5" s="1"/>
  <c r="AM91" i="5" s="1"/>
  <c r="P838" i="6"/>
  <c r="O838" i="6"/>
  <c r="N838" i="6"/>
  <c r="M838" i="6"/>
  <c r="Y91" i="5" s="1"/>
  <c r="AI91" i="5" s="1"/>
  <c r="L838" i="6"/>
  <c r="K838" i="6"/>
  <c r="J838" i="6"/>
  <c r="B838" i="6"/>
  <c r="S837" i="6"/>
  <c r="R837" i="6"/>
  <c r="Q837" i="6"/>
  <c r="P837" i="6"/>
  <c r="AB91" i="5" s="1"/>
  <c r="AL91" i="5" s="1"/>
  <c r="O837" i="6"/>
  <c r="N837" i="6"/>
  <c r="M837" i="6"/>
  <c r="L837" i="6"/>
  <c r="X91" i="5" s="1"/>
  <c r="AH91" i="5" s="1"/>
  <c r="K837" i="6"/>
  <c r="J837" i="6"/>
  <c r="B837" i="6"/>
  <c r="S836" i="6"/>
  <c r="AE91" i="5" s="1"/>
  <c r="AO91" i="5" s="1"/>
  <c r="R836" i="6"/>
  <c r="Q836" i="6"/>
  <c r="P836" i="6"/>
  <c r="O836" i="6"/>
  <c r="AA91" i="5" s="1"/>
  <c r="AK91" i="5" s="1"/>
  <c r="N836" i="6"/>
  <c r="M836" i="6"/>
  <c r="L836" i="6"/>
  <c r="K836" i="6"/>
  <c r="W91" i="5" s="1"/>
  <c r="AG91" i="5" s="1"/>
  <c r="J836" i="6"/>
  <c r="B836" i="6"/>
  <c r="S835" i="6"/>
  <c r="R835" i="6"/>
  <c r="AD91" i="5" s="1"/>
  <c r="AN91" i="5" s="1"/>
  <c r="Q835" i="6"/>
  <c r="P835" i="6"/>
  <c r="O835" i="6"/>
  <c r="N835" i="6"/>
  <c r="Z91" i="5" s="1"/>
  <c r="AJ91" i="5" s="1"/>
  <c r="M835" i="6"/>
  <c r="L835" i="6"/>
  <c r="K835" i="6"/>
  <c r="J835" i="6"/>
  <c r="V91" i="5" s="1"/>
  <c r="AF91" i="5" s="1"/>
  <c r="B835" i="6"/>
  <c r="S834" i="6"/>
  <c r="R834" i="6"/>
  <c r="Q834" i="6"/>
  <c r="P834" i="6"/>
  <c r="O834" i="6"/>
  <c r="N834" i="6"/>
  <c r="M834" i="6"/>
  <c r="L834" i="6"/>
  <c r="K834" i="6"/>
  <c r="J834" i="6"/>
  <c r="B834" i="6"/>
  <c r="S833" i="6"/>
  <c r="R833" i="6"/>
  <c r="Q833" i="6"/>
  <c r="P833" i="6"/>
  <c r="O833" i="6"/>
  <c r="N833" i="6"/>
  <c r="M833" i="6"/>
  <c r="L833" i="6"/>
  <c r="K833" i="6"/>
  <c r="J833" i="6"/>
  <c r="B833" i="6"/>
  <c r="S832" i="6"/>
  <c r="R832" i="6"/>
  <c r="Q832" i="6"/>
  <c r="P832" i="6"/>
  <c r="O832" i="6"/>
  <c r="N832" i="6"/>
  <c r="M832" i="6"/>
  <c r="L832" i="6"/>
  <c r="K832" i="6"/>
  <c r="J832" i="6"/>
  <c r="B832" i="6"/>
  <c r="S831" i="6"/>
  <c r="R831" i="6"/>
  <c r="Q831" i="6"/>
  <c r="P831" i="6"/>
  <c r="O831" i="6"/>
  <c r="N831" i="6"/>
  <c r="M831" i="6"/>
  <c r="L831" i="6"/>
  <c r="K831" i="6"/>
  <c r="J831" i="6"/>
  <c r="B831" i="6"/>
  <c r="S830" i="6"/>
  <c r="R830" i="6"/>
  <c r="Q830" i="6"/>
  <c r="P830" i="6"/>
  <c r="O830" i="6"/>
  <c r="N830" i="6"/>
  <c r="M830" i="6"/>
  <c r="L830" i="6"/>
  <c r="K830" i="6"/>
  <c r="J830" i="6"/>
  <c r="B830" i="6"/>
  <c r="S829" i="6"/>
  <c r="R829" i="6"/>
  <c r="Q829" i="6"/>
  <c r="P829" i="6"/>
  <c r="O829" i="6"/>
  <c r="N829" i="6"/>
  <c r="M829" i="6"/>
  <c r="L829" i="6"/>
  <c r="K829" i="6"/>
  <c r="J829" i="6"/>
  <c r="B829" i="6"/>
  <c r="S828" i="6"/>
  <c r="AE90" i="5" s="1"/>
  <c r="AO90" i="5" s="1"/>
  <c r="R828" i="6"/>
  <c r="Q828" i="6"/>
  <c r="P828" i="6"/>
  <c r="O828" i="6"/>
  <c r="AA90" i="5" s="1"/>
  <c r="AK90" i="5" s="1"/>
  <c r="N828" i="6"/>
  <c r="M828" i="6"/>
  <c r="L828" i="6"/>
  <c r="K828" i="6"/>
  <c r="W90" i="5" s="1"/>
  <c r="AG90" i="5" s="1"/>
  <c r="J828" i="6"/>
  <c r="B828" i="6"/>
  <c r="S827" i="6"/>
  <c r="R827" i="6"/>
  <c r="AD90" i="5" s="1"/>
  <c r="AN90" i="5" s="1"/>
  <c r="Q827" i="6"/>
  <c r="P827" i="6"/>
  <c r="O827" i="6"/>
  <c r="N827" i="6"/>
  <c r="Z90" i="5" s="1"/>
  <c r="AJ90" i="5" s="1"/>
  <c r="M827" i="6"/>
  <c r="L827" i="6"/>
  <c r="K827" i="6"/>
  <c r="J827" i="6"/>
  <c r="V90" i="5" s="1"/>
  <c r="AF90" i="5" s="1"/>
  <c r="B827" i="6"/>
  <c r="S826" i="6"/>
  <c r="R826" i="6"/>
  <c r="Q826" i="6"/>
  <c r="AC90" i="5" s="1"/>
  <c r="AM90" i="5" s="1"/>
  <c r="P826" i="6"/>
  <c r="O826" i="6"/>
  <c r="N826" i="6"/>
  <c r="M826" i="6"/>
  <c r="Y90" i="5" s="1"/>
  <c r="AI90" i="5" s="1"/>
  <c r="L826" i="6"/>
  <c r="K826" i="6"/>
  <c r="J826" i="6"/>
  <c r="B826" i="6"/>
  <c r="S825" i="6"/>
  <c r="R825" i="6"/>
  <c r="Q825" i="6"/>
  <c r="P825" i="6"/>
  <c r="AB90" i="5" s="1"/>
  <c r="AL90" i="5" s="1"/>
  <c r="O825" i="6"/>
  <c r="N825" i="6"/>
  <c r="M825" i="6"/>
  <c r="L825" i="6"/>
  <c r="X90" i="5" s="1"/>
  <c r="AH90" i="5" s="1"/>
  <c r="K825" i="6"/>
  <c r="J825" i="6"/>
  <c r="B825" i="6"/>
  <c r="S824" i="6"/>
  <c r="R824" i="6"/>
  <c r="Q824" i="6"/>
  <c r="P824" i="6"/>
  <c r="O824" i="6"/>
  <c r="N824" i="6"/>
  <c r="M824" i="6"/>
  <c r="L824" i="6"/>
  <c r="K824" i="6"/>
  <c r="J824" i="6"/>
  <c r="B824" i="6"/>
  <c r="S823" i="6"/>
  <c r="R823" i="6"/>
  <c r="Q823" i="6"/>
  <c r="P823" i="6"/>
  <c r="O823" i="6"/>
  <c r="N823" i="6"/>
  <c r="M823" i="6"/>
  <c r="L823" i="6"/>
  <c r="K823" i="6"/>
  <c r="J823" i="6"/>
  <c r="B823" i="6"/>
  <c r="S822" i="6"/>
  <c r="R822" i="6"/>
  <c r="Q822" i="6"/>
  <c r="P822" i="6"/>
  <c r="O822" i="6"/>
  <c r="N822" i="6"/>
  <c r="M822" i="6"/>
  <c r="L822" i="6"/>
  <c r="K822" i="6"/>
  <c r="J822" i="6"/>
  <c r="B822" i="6"/>
  <c r="S821" i="6"/>
  <c r="R821" i="6"/>
  <c r="Q821" i="6"/>
  <c r="P821" i="6"/>
  <c r="AB89" i="5" s="1"/>
  <c r="AL89" i="5" s="1"/>
  <c r="O821" i="6"/>
  <c r="N821" i="6"/>
  <c r="M821" i="6"/>
  <c r="L821" i="6"/>
  <c r="X89" i="5" s="1"/>
  <c r="AH89" i="5" s="1"/>
  <c r="K821" i="6"/>
  <c r="J821" i="6"/>
  <c r="B821" i="6"/>
  <c r="S820" i="6"/>
  <c r="AE89" i="5" s="1"/>
  <c r="AO89" i="5" s="1"/>
  <c r="R820" i="6"/>
  <c r="Q820" i="6"/>
  <c r="P820" i="6"/>
  <c r="O820" i="6"/>
  <c r="AA89" i="5" s="1"/>
  <c r="AK89" i="5" s="1"/>
  <c r="N820" i="6"/>
  <c r="M820" i="6"/>
  <c r="L820" i="6"/>
  <c r="K820" i="6"/>
  <c r="W89" i="5" s="1"/>
  <c r="AG89" i="5" s="1"/>
  <c r="J820" i="6"/>
  <c r="B820" i="6"/>
  <c r="S819" i="6"/>
  <c r="R819" i="6"/>
  <c r="AD89" i="5" s="1"/>
  <c r="AN89" i="5" s="1"/>
  <c r="Q819" i="6"/>
  <c r="P819" i="6"/>
  <c r="O819" i="6"/>
  <c r="N819" i="6"/>
  <c r="Z89" i="5" s="1"/>
  <c r="AJ89" i="5" s="1"/>
  <c r="M819" i="6"/>
  <c r="L819" i="6"/>
  <c r="K819" i="6"/>
  <c r="J819" i="6"/>
  <c r="V89" i="5" s="1"/>
  <c r="AF89" i="5" s="1"/>
  <c r="B819" i="6"/>
  <c r="S818" i="6"/>
  <c r="R818" i="6"/>
  <c r="Q818" i="6"/>
  <c r="AC89" i="5" s="1"/>
  <c r="AM89" i="5" s="1"/>
  <c r="P818" i="6"/>
  <c r="O818" i="6"/>
  <c r="N818" i="6"/>
  <c r="M818" i="6"/>
  <c r="Y89" i="5" s="1"/>
  <c r="AI89" i="5" s="1"/>
  <c r="L818" i="6"/>
  <c r="K818" i="6"/>
  <c r="J818" i="6"/>
  <c r="B818" i="6"/>
  <c r="S817" i="6"/>
  <c r="R817" i="6"/>
  <c r="Q817" i="6"/>
  <c r="P817" i="6"/>
  <c r="O817" i="6"/>
  <c r="N817" i="6"/>
  <c r="M817" i="6"/>
  <c r="L817" i="6"/>
  <c r="K817" i="6"/>
  <c r="J817" i="6"/>
  <c r="B817" i="6"/>
  <c r="S816" i="6"/>
  <c r="R816" i="6"/>
  <c r="Q816" i="6"/>
  <c r="P816" i="6"/>
  <c r="O816" i="6"/>
  <c r="N816" i="6"/>
  <c r="M816" i="6"/>
  <c r="L816" i="6"/>
  <c r="K816" i="6"/>
  <c r="J816" i="6"/>
  <c r="B816" i="6"/>
  <c r="S815" i="6"/>
  <c r="R815" i="6"/>
  <c r="Q815" i="6"/>
  <c r="P815" i="6"/>
  <c r="O815" i="6"/>
  <c r="N815" i="6"/>
  <c r="M815" i="6"/>
  <c r="L815" i="6"/>
  <c r="K815" i="6"/>
  <c r="J815" i="6"/>
  <c r="B815" i="6"/>
  <c r="S814" i="6"/>
  <c r="R814" i="6"/>
  <c r="Q814" i="6"/>
  <c r="P814" i="6"/>
  <c r="O814" i="6"/>
  <c r="N814" i="6"/>
  <c r="M814" i="6"/>
  <c r="L814" i="6"/>
  <c r="K814" i="6"/>
  <c r="J814" i="6"/>
  <c r="B814" i="6"/>
  <c r="S813" i="6"/>
  <c r="R813" i="6"/>
  <c r="Q813" i="6"/>
  <c r="P813" i="6"/>
  <c r="O813" i="6"/>
  <c r="N813" i="6"/>
  <c r="M813" i="6"/>
  <c r="L813" i="6"/>
  <c r="K813" i="6"/>
  <c r="J813" i="6"/>
  <c r="B813" i="6"/>
  <c r="S812" i="6"/>
  <c r="R812" i="6"/>
  <c r="Q812" i="6"/>
  <c r="P812" i="6"/>
  <c r="O812" i="6"/>
  <c r="N812" i="6"/>
  <c r="M812" i="6"/>
  <c r="L812" i="6"/>
  <c r="K812" i="6"/>
  <c r="J812" i="6"/>
  <c r="B812" i="6"/>
  <c r="S811" i="6"/>
  <c r="R811" i="6"/>
  <c r="Q811" i="6"/>
  <c r="P811" i="6"/>
  <c r="O811" i="6"/>
  <c r="N811" i="6"/>
  <c r="M811" i="6"/>
  <c r="L811" i="6"/>
  <c r="K811" i="6"/>
  <c r="J811" i="6"/>
  <c r="B811" i="6"/>
  <c r="S810" i="6"/>
  <c r="R810" i="6"/>
  <c r="Q810" i="6"/>
  <c r="AC88" i="5" s="1"/>
  <c r="AM88" i="5" s="1"/>
  <c r="P810" i="6"/>
  <c r="O810" i="6"/>
  <c r="N810" i="6"/>
  <c r="M810" i="6"/>
  <c r="Y88" i="5" s="1"/>
  <c r="AI88" i="5" s="1"/>
  <c r="L810" i="6"/>
  <c r="K810" i="6"/>
  <c r="J810" i="6"/>
  <c r="B810" i="6"/>
  <c r="S809" i="6"/>
  <c r="R809" i="6"/>
  <c r="Q809" i="6"/>
  <c r="P809" i="6"/>
  <c r="AB88" i="5" s="1"/>
  <c r="AL88" i="5" s="1"/>
  <c r="O809" i="6"/>
  <c r="N809" i="6"/>
  <c r="M809" i="6"/>
  <c r="L809" i="6"/>
  <c r="X88" i="5" s="1"/>
  <c r="AH88" i="5" s="1"/>
  <c r="K809" i="6"/>
  <c r="J809" i="6"/>
  <c r="B809" i="6"/>
  <c r="S808" i="6"/>
  <c r="AE88" i="5" s="1"/>
  <c r="AO88" i="5" s="1"/>
  <c r="R808" i="6"/>
  <c r="Q808" i="6"/>
  <c r="P808" i="6"/>
  <c r="O808" i="6"/>
  <c r="AA88" i="5" s="1"/>
  <c r="AK88" i="5" s="1"/>
  <c r="N808" i="6"/>
  <c r="M808" i="6"/>
  <c r="L808" i="6"/>
  <c r="K808" i="6"/>
  <c r="W88" i="5" s="1"/>
  <c r="AG88" i="5" s="1"/>
  <c r="J808" i="6"/>
  <c r="B808" i="6"/>
  <c r="S807" i="6"/>
  <c r="R807" i="6"/>
  <c r="AD88" i="5" s="1"/>
  <c r="AN88" i="5" s="1"/>
  <c r="Q807" i="6"/>
  <c r="P807" i="6"/>
  <c r="O807" i="6"/>
  <c r="N807" i="6"/>
  <c r="Z88" i="5" s="1"/>
  <c r="AJ88" i="5" s="1"/>
  <c r="M807" i="6"/>
  <c r="L807" i="6"/>
  <c r="K807" i="6"/>
  <c r="J807" i="6"/>
  <c r="V88" i="5" s="1"/>
  <c r="AF88" i="5" s="1"/>
  <c r="B807" i="6"/>
  <c r="S806" i="6"/>
  <c r="R806" i="6"/>
  <c r="Q806" i="6"/>
  <c r="P806" i="6"/>
  <c r="O806" i="6"/>
  <c r="N806" i="6"/>
  <c r="M806" i="6"/>
  <c r="L806" i="6"/>
  <c r="K806" i="6"/>
  <c r="J806" i="6"/>
  <c r="B806" i="6"/>
  <c r="S805" i="6"/>
  <c r="R805" i="6"/>
  <c r="Q805" i="6"/>
  <c r="P805" i="6"/>
  <c r="O805" i="6"/>
  <c r="N805" i="6"/>
  <c r="M805" i="6"/>
  <c r="L805" i="6"/>
  <c r="K805" i="6"/>
  <c r="J805" i="6"/>
  <c r="B805" i="6"/>
  <c r="S804" i="6"/>
  <c r="R804" i="6"/>
  <c r="Q804" i="6"/>
  <c r="P804" i="6"/>
  <c r="O804" i="6"/>
  <c r="N804" i="6"/>
  <c r="M804" i="6"/>
  <c r="L804" i="6"/>
  <c r="K804" i="6"/>
  <c r="J804" i="6"/>
  <c r="B804" i="6"/>
  <c r="S803" i="6"/>
  <c r="R803" i="6"/>
  <c r="Q803" i="6"/>
  <c r="P803" i="6"/>
  <c r="O803" i="6"/>
  <c r="N803" i="6"/>
  <c r="M803" i="6"/>
  <c r="L803" i="6"/>
  <c r="K803" i="6"/>
  <c r="J803" i="6"/>
  <c r="B803" i="6"/>
  <c r="S802" i="6"/>
  <c r="R802" i="6"/>
  <c r="Q802" i="6"/>
  <c r="P802" i="6"/>
  <c r="O802" i="6"/>
  <c r="N802" i="6"/>
  <c r="M802" i="6"/>
  <c r="L802" i="6"/>
  <c r="K802" i="6"/>
  <c r="J802" i="6"/>
  <c r="B802" i="6"/>
  <c r="S801" i="6"/>
  <c r="R801" i="6"/>
  <c r="Q801" i="6"/>
  <c r="P801" i="6"/>
  <c r="AB87" i="5" s="1"/>
  <c r="AL87" i="5" s="1"/>
  <c r="O801" i="6"/>
  <c r="N801" i="6"/>
  <c r="M801" i="6"/>
  <c r="L801" i="6"/>
  <c r="X87" i="5" s="1"/>
  <c r="AH87" i="5" s="1"/>
  <c r="K801" i="6"/>
  <c r="J801" i="6"/>
  <c r="B801" i="6"/>
  <c r="S800" i="6"/>
  <c r="AE87" i="5" s="1"/>
  <c r="AO87" i="5" s="1"/>
  <c r="R800" i="6"/>
  <c r="Q800" i="6"/>
  <c r="P800" i="6"/>
  <c r="O800" i="6"/>
  <c r="AA87" i="5" s="1"/>
  <c r="AK87" i="5" s="1"/>
  <c r="N800" i="6"/>
  <c r="M800" i="6"/>
  <c r="L800" i="6"/>
  <c r="K800" i="6"/>
  <c r="W87" i="5" s="1"/>
  <c r="AG87" i="5" s="1"/>
  <c r="J800" i="6"/>
  <c r="B800" i="6"/>
  <c r="S799" i="6"/>
  <c r="R799" i="6"/>
  <c r="AD87" i="5" s="1"/>
  <c r="AN87" i="5" s="1"/>
  <c r="Q799" i="6"/>
  <c r="P799" i="6"/>
  <c r="O799" i="6"/>
  <c r="N799" i="6"/>
  <c r="Z87" i="5" s="1"/>
  <c r="AJ87" i="5" s="1"/>
  <c r="M799" i="6"/>
  <c r="L799" i="6"/>
  <c r="K799" i="6"/>
  <c r="J799" i="6"/>
  <c r="V87" i="5" s="1"/>
  <c r="AF87" i="5" s="1"/>
  <c r="B799" i="6"/>
  <c r="S798" i="6"/>
  <c r="R798" i="6"/>
  <c r="Q798" i="6"/>
  <c r="AC87" i="5" s="1"/>
  <c r="AM87" i="5" s="1"/>
  <c r="P798" i="6"/>
  <c r="O798" i="6"/>
  <c r="N798" i="6"/>
  <c r="M798" i="6"/>
  <c r="Y87" i="5" s="1"/>
  <c r="AI87" i="5" s="1"/>
  <c r="L798" i="6"/>
  <c r="K798" i="6"/>
  <c r="J798" i="6"/>
  <c r="B798" i="6"/>
  <c r="S797" i="6"/>
  <c r="R797" i="6"/>
  <c r="Q797" i="6"/>
  <c r="P797" i="6"/>
  <c r="O797" i="6"/>
  <c r="N797" i="6"/>
  <c r="M797" i="6"/>
  <c r="L797" i="6"/>
  <c r="K797" i="6"/>
  <c r="J797" i="6"/>
  <c r="B797" i="6"/>
  <c r="S796" i="6"/>
  <c r="R796" i="6"/>
  <c r="Q796" i="6"/>
  <c r="P796" i="6"/>
  <c r="O796" i="6"/>
  <c r="N796" i="6"/>
  <c r="M796" i="6"/>
  <c r="L796" i="6"/>
  <c r="K796" i="6"/>
  <c r="J796" i="6"/>
  <c r="B796" i="6"/>
  <c r="S795" i="6"/>
  <c r="R795" i="6"/>
  <c r="Q795" i="6"/>
  <c r="P795" i="6"/>
  <c r="O795" i="6"/>
  <c r="N795" i="6"/>
  <c r="M795" i="6"/>
  <c r="L795" i="6"/>
  <c r="K795" i="6"/>
  <c r="J795" i="6"/>
  <c r="B795" i="6"/>
  <c r="S794" i="6"/>
  <c r="R794" i="6"/>
  <c r="Q794" i="6"/>
  <c r="P794" i="6"/>
  <c r="O794" i="6"/>
  <c r="N794" i="6"/>
  <c r="M794" i="6"/>
  <c r="L794" i="6"/>
  <c r="K794" i="6"/>
  <c r="J794" i="6"/>
  <c r="B794" i="6"/>
  <c r="S793" i="6"/>
  <c r="R793" i="6"/>
  <c r="Q793" i="6"/>
  <c r="P793" i="6"/>
  <c r="O793" i="6"/>
  <c r="N793" i="6"/>
  <c r="M793" i="6"/>
  <c r="L793" i="6"/>
  <c r="K793" i="6"/>
  <c r="J793" i="6"/>
  <c r="B793" i="6"/>
  <c r="S792" i="6"/>
  <c r="AE86" i="5" s="1"/>
  <c r="AO86" i="5" s="1"/>
  <c r="R792" i="6"/>
  <c r="Q792" i="6"/>
  <c r="P792" i="6"/>
  <c r="O792" i="6"/>
  <c r="AA86" i="5" s="1"/>
  <c r="AK86" i="5" s="1"/>
  <c r="N792" i="6"/>
  <c r="M792" i="6"/>
  <c r="L792" i="6"/>
  <c r="K792" i="6"/>
  <c r="W86" i="5" s="1"/>
  <c r="AG86" i="5" s="1"/>
  <c r="J792" i="6"/>
  <c r="B792" i="6"/>
  <c r="S791" i="6"/>
  <c r="R791" i="6"/>
  <c r="AD86" i="5" s="1"/>
  <c r="AN86" i="5" s="1"/>
  <c r="Q791" i="6"/>
  <c r="P791" i="6"/>
  <c r="O791" i="6"/>
  <c r="N791" i="6"/>
  <c r="Z86" i="5" s="1"/>
  <c r="AJ86" i="5" s="1"/>
  <c r="M791" i="6"/>
  <c r="L791" i="6"/>
  <c r="K791" i="6"/>
  <c r="J791" i="6"/>
  <c r="V86" i="5" s="1"/>
  <c r="AF86" i="5" s="1"/>
  <c r="B791" i="6"/>
  <c r="S790" i="6"/>
  <c r="R790" i="6"/>
  <c r="Q790" i="6"/>
  <c r="AC86" i="5" s="1"/>
  <c r="AM86" i="5" s="1"/>
  <c r="P790" i="6"/>
  <c r="O790" i="6"/>
  <c r="N790" i="6"/>
  <c r="M790" i="6"/>
  <c r="Y86" i="5" s="1"/>
  <c r="AI86" i="5" s="1"/>
  <c r="L790" i="6"/>
  <c r="K790" i="6"/>
  <c r="J790" i="6"/>
  <c r="B790" i="6"/>
  <c r="S789" i="6"/>
  <c r="R789" i="6"/>
  <c r="Q789" i="6"/>
  <c r="P789" i="6"/>
  <c r="AB86" i="5" s="1"/>
  <c r="AL86" i="5" s="1"/>
  <c r="O789" i="6"/>
  <c r="N789" i="6"/>
  <c r="M789" i="6"/>
  <c r="L789" i="6"/>
  <c r="X86" i="5" s="1"/>
  <c r="AH86" i="5" s="1"/>
  <c r="K789" i="6"/>
  <c r="J789" i="6"/>
  <c r="B789" i="6"/>
  <c r="S788" i="6"/>
  <c r="R788" i="6"/>
  <c r="Q788" i="6"/>
  <c r="P788" i="6"/>
  <c r="O788" i="6"/>
  <c r="N788" i="6"/>
  <c r="M788" i="6"/>
  <c r="L788" i="6"/>
  <c r="K788" i="6"/>
  <c r="J788" i="6"/>
  <c r="B788" i="6"/>
  <c r="S787" i="6"/>
  <c r="R787" i="6"/>
  <c r="Q787" i="6"/>
  <c r="P787" i="6"/>
  <c r="O787" i="6"/>
  <c r="N787" i="6"/>
  <c r="M787" i="6"/>
  <c r="L787" i="6"/>
  <c r="K787" i="6"/>
  <c r="J787" i="6"/>
  <c r="B787" i="6"/>
  <c r="S786" i="6"/>
  <c r="R786" i="6"/>
  <c r="Q786" i="6"/>
  <c r="P786" i="6"/>
  <c r="O786" i="6"/>
  <c r="N786" i="6"/>
  <c r="M786" i="6"/>
  <c r="L786" i="6"/>
  <c r="K786" i="6"/>
  <c r="J786" i="6"/>
  <c r="B786" i="6"/>
  <c r="S785" i="6"/>
  <c r="R785" i="6"/>
  <c r="Q785" i="6"/>
  <c r="P785" i="6"/>
  <c r="O785" i="6"/>
  <c r="N785" i="6"/>
  <c r="M785" i="6"/>
  <c r="L785" i="6"/>
  <c r="K785" i="6"/>
  <c r="J785" i="6"/>
  <c r="B785" i="6"/>
  <c r="S784" i="6"/>
  <c r="R784" i="6"/>
  <c r="Q784" i="6"/>
  <c r="P784" i="6"/>
  <c r="O784" i="6"/>
  <c r="N784" i="6"/>
  <c r="M784" i="6"/>
  <c r="L784" i="6"/>
  <c r="K784" i="6"/>
  <c r="J784" i="6"/>
  <c r="B784" i="6"/>
  <c r="S783" i="6"/>
  <c r="R783" i="6"/>
  <c r="Q783" i="6"/>
  <c r="P783" i="6"/>
  <c r="O783" i="6"/>
  <c r="N783" i="6"/>
  <c r="M783" i="6"/>
  <c r="L783" i="6"/>
  <c r="K783" i="6"/>
  <c r="J783" i="6"/>
  <c r="B783" i="6"/>
  <c r="S782" i="6"/>
  <c r="R782" i="6"/>
  <c r="Q782" i="6"/>
  <c r="AC85" i="5" s="1"/>
  <c r="AM85" i="5" s="1"/>
  <c r="P782" i="6"/>
  <c r="O782" i="6"/>
  <c r="N782" i="6"/>
  <c r="M782" i="6"/>
  <c r="Y85" i="5" s="1"/>
  <c r="AI85" i="5" s="1"/>
  <c r="L782" i="6"/>
  <c r="K782" i="6"/>
  <c r="J782" i="6"/>
  <c r="B782" i="6"/>
  <c r="S781" i="6"/>
  <c r="R781" i="6"/>
  <c r="Q781" i="6"/>
  <c r="P781" i="6"/>
  <c r="AB85" i="5" s="1"/>
  <c r="AL85" i="5" s="1"/>
  <c r="O781" i="6"/>
  <c r="N781" i="6"/>
  <c r="M781" i="6"/>
  <c r="L781" i="6"/>
  <c r="X85" i="5" s="1"/>
  <c r="AH85" i="5" s="1"/>
  <c r="K781" i="6"/>
  <c r="J781" i="6"/>
  <c r="B781" i="6"/>
  <c r="S780" i="6"/>
  <c r="AE85" i="5" s="1"/>
  <c r="AO85" i="5" s="1"/>
  <c r="R780" i="6"/>
  <c r="Q780" i="6"/>
  <c r="P780" i="6"/>
  <c r="O780" i="6"/>
  <c r="AA85" i="5" s="1"/>
  <c r="AK85" i="5" s="1"/>
  <c r="N780" i="6"/>
  <c r="M780" i="6"/>
  <c r="L780" i="6"/>
  <c r="K780" i="6"/>
  <c r="W85" i="5" s="1"/>
  <c r="AG85" i="5" s="1"/>
  <c r="J780" i="6"/>
  <c r="B780" i="6"/>
  <c r="S779" i="6"/>
  <c r="R779" i="6"/>
  <c r="AD85" i="5" s="1"/>
  <c r="AN85" i="5" s="1"/>
  <c r="Q779" i="6"/>
  <c r="P779" i="6"/>
  <c r="O779" i="6"/>
  <c r="N779" i="6"/>
  <c r="Z85" i="5" s="1"/>
  <c r="AJ85" i="5" s="1"/>
  <c r="M779" i="6"/>
  <c r="L779" i="6"/>
  <c r="K779" i="6"/>
  <c r="J779" i="6"/>
  <c r="V85" i="5" s="1"/>
  <c r="AF85" i="5" s="1"/>
  <c r="B779" i="6"/>
  <c r="S778" i="6"/>
  <c r="R778" i="6"/>
  <c r="Q778" i="6"/>
  <c r="P778" i="6"/>
  <c r="O778" i="6"/>
  <c r="N778" i="6"/>
  <c r="M778" i="6"/>
  <c r="L778" i="6"/>
  <c r="K778" i="6"/>
  <c r="J778" i="6"/>
  <c r="B778" i="6"/>
  <c r="S777" i="6"/>
  <c r="R777" i="6"/>
  <c r="Q777" i="6"/>
  <c r="P777" i="6"/>
  <c r="O777" i="6"/>
  <c r="N777" i="6"/>
  <c r="M777" i="6"/>
  <c r="L777" i="6"/>
  <c r="K777" i="6"/>
  <c r="J777" i="6"/>
  <c r="B777" i="6"/>
  <c r="S776" i="6"/>
  <c r="R776" i="6"/>
  <c r="Q776" i="6"/>
  <c r="P776" i="6"/>
  <c r="O776" i="6"/>
  <c r="N776" i="6"/>
  <c r="M776" i="6"/>
  <c r="L776" i="6"/>
  <c r="K776" i="6"/>
  <c r="J776" i="6"/>
  <c r="B776" i="6"/>
  <c r="S775" i="6"/>
  <c r="R775" i="6"/>
  <c r="Q775" i="6"/>
  <c r="P775" i="6"/>
  <c r="O775" i="6"/>
  <c r="N775" i="6"/>
  <c r="M775" i="6"/>
  <c r="L775" i="6"/>
  <c r="K775" i="6"/>
  <c r="J775" i="6"/>
  <c r="B775" i="6"/>
  <c r="S774" i="6"/>
  <c r="R774" i="6"/>
  <c r="Q774" i="6"/>
  <c r="P774" i="6"/>
  <c r="O774" i="6"/>
  <c r="N774" i="6"/>
  <c r="M774" i="6"/>
  <c r="L774" i="6"/>
  <c r="K774" i="6"/>
  <c r="J774" i="6"/>
  <c r="B774" i="6"/>
  <c r="S773" i="6"/>
  <c r="R773" i="6"/>
  <c r="Q773" i="6"/>
  <c r="P773" i="6"/>
  <c r="O773" i="6"/>
  <c r="N773" i="6"/>
  <c r="M773" i="6"/>
  <c r="L773" i="6"/>
  <c r="K773" i="6"/>
  <c r="J773" i="6"/>
  <c r="B773" i="6"/>
  <c r="S772" i="6"/>
  <c r="R772" i="6"/>
  <c r="Q772" i="6"/>
  <c r="P772" i="6"/>
  <c r="O772" i="6"/>
  <c r="N772" i="6"/>
  <c r="M772" i="6"/>
  <c r="L772" i="6"/>
  <c r="K772" i="6"/>
  <c r="J772" i="6"/>
  <c r="B772" i="6"/>
  <c r="S771" i="6"/>
  <c r="R771" i="6"/>
  <c r="AD84" i="5" s="1"/>
  <c r="AN84" i="5" s="1"/>
  <c r="Q771" i="6"/>
  <c r="P771" i="6"/>
  <c r="O771" i="6"/>
  <c r="N771" i="6"/>
  <c r="Z84" i="5" s="1"/>
  <c r="AJ84" i="5" s="1"/>
  <c r="M771" i="6"/>
  <c r="L771" i="6"/>
  <c r="K771" i="6"/>
  <c r="J771" i="6"/>
  <c r="V84" i="5" s="1"/>
  <c r="AF84" i="5" s="1"/>
  <c r="B771" i="6"/>
  <c r="S770" i="6"/>
  <c r="R770" i="6"/>
  <c r="Q770" i="6"/>
  <c r="AC84" i="5" s="1"/>
  <c r="AM84" i="5" s="1"/>
  <c r="P770" i="6"/>
  <c r="O770" i="6"/>
  <c r="N770" i="6"/>
  <c r="M770" i="6"/>
  <c r="Y84" i="5" s="1"/>
  <c r="AI84" i="5" s="1"/>
  <c r="L770" i="6"/>
  <c r="K770" i="6"/>
  <c r="J770" i="6"/>
  <c r="B770" i="6"/>
  <c r="S769" i="6"/>
  <c r="R769" i="6"/>
  <c r="Q769" i="6"/>
  <c r="P769" i="6"/>
  <c r="AB84" i="5" s="1"/>
  <c r="AL84" i="5" s="1"/>
  <c r="O769" i="6"/>
  <c r="N769" i="6"/>
  <c r="M769" i="6"/>
  <c r="L769" i="6"/>
  <c r="X84" i="5" s="1"/>
  <c r="AH84" i="5" s="1"/>
  <c r="K769" i="6"/>
  <c r="J769" i="6"/>
  <c r="B769" i="6"/>
  <c r="S768" i="6"/>
  <c r="AE84" i="5" s="1"/>
  <c r="AO84" i="5" s="1"/>
  <c r="R768" i="6"/>
  <c r="Q768" i="6"/>
  <c r="P768" i="6"/>
  <c r="O768" i="6"/>
  <c r="AA84" i="5" s="1"/>
  <c r="AK84" i="5" s="1"/>
  <c r="N768" i="6"/>
  <c r="M768" i="6"/>
  <c r="L768" i="6"/>
  <c r="K768" i="6"/>
  <c r="W84" i="5" s="1"/>
  <c r="AG84" i="5" s="1"/>
  <c r="J768" i="6"/>
  <c r="B768" i="6"/>
  <c r="S767" i="6"/>
  <c r="R767" i="6"/>
  <c r="Q767" i="6"/>
  <c r="P767" i="6"/>
  <c r="O767" i="6"/>
  <c r="N767" i="6"/>
  <c r="M767" i="6"/>
  <c r="L767" i="6"/>
  <c r="K767" i="6"/>
  <c r="J767" i="6"/>
  <c r="B767" i="6"/>
  <c r="S766" i="6"/>
  <c r="R766" i="6"/>
  <c r="Q766" i="6"/>
  <c r="P766" i="6"/>
  <c r="O766" i="6"/>
  <c r="N766" i="6"/>
  <c r="M766" i="6"/>
  <c r="L766" i="6"/>
  <c r="K766" i="6"/>
  <c r="J766" i="6"/>
  <c r="B766" i="6"/>
  <c r="S765" i="6"/>
  <c r="R765" i="6"/>
  <c r="Q765" i="6"/>
  <c r="P765" i="6"/>
  <c r="O765" i="6"/>
  <c r="N765" i="6"/>
  <c r="M765" i="6"/>
  <c r="L765" i="6"/>
  <c r="K765" i="6"/>
  <c r="J765" i="6"/>
  <c r="B765" i="6"/>
  <c r="S764" i="6"/>
  <c r="R764" i="6"/>
  <c r="Q764" i="6"/>
  <c r="P764" i="6"/>
  <c r="O764" i="6"/>
  <c r="N764" i="6"/>
  <c r="M764" i="6"/>
  <c r="L764" i="6"/>
  <c r="K764" i="6"/>
  <c r="J764" i="6"/>
  <c r="B764" i="6"/>
  <c r="S763" i="6"/>
  <c r="R763" i="6"/>
  <c r="Q763" i="6"/>
  <c r="P763" i="6"/>
  <c r="O763" i="6"/>
  <c r="N763" i="6"/>
  <c r="M763" i="6"/>
  <c r="L763" i="6"/>
  <c r="K763" i="6"/>
  <c r="J763" i="6"/>
  <c r="B763" i="6"/>
  <c r="S762" i="6"/>
  <c r="R762" i="6"/>
  <c r="Q762" i="6"/>
  <c r="P762" i="6"/>
  <c r="O762" i="6"/>
  <c r="N762" i="6"/>
  <c r="M762" i="6"/>
  <c r="L762" i="6"/>
  <c r="K762" i="6"/>
  <c r="J762" i="6"/>
  <c r="B762" i="6"/>
  <c r="S761" i="6"/>
  <c r="R761" i="6"/>
  <c r="Q761" i="6"/>
  <c r="P761" i="6"/>
  <c r="O761" i="6"/>
  <c r="N761" i="6"/>
  <c r="M761" i="6"/>
  <c r="L761" i="6"/>
  <c r="K761" i="6"/>
  <c r="J761" i="6"/>
  <c r="B761" i="6"/>
  <c r="S760" i="6"/>
  <c r="R760" i="6"/>
  <c r="Q760" i="6"/>
  <c r="P760" i="6"/>
  <c r="O760" i="6"/>
  <c r="N760" i="6"/>
  <c r="M760" i="6"/>
  <c r="L760" i="6"/>
  <c r="K760" i="6"/>
  <c r="J760" i="6"/>
  <c r="B760" i="6"/>
  <c r="S759" i="6"/>
  <c r="R759" i="6"/>
  <c r="AD83" i="5" s="1"/>
  <c r="AN83" i="5" s="1"/>
  <c r="Q759" i="6"/>
  <c r="P759" i="6"/>
  <c r="O759" i="6"/>
  <c r="N759" i="6"/>
  <c r="Z83" i="5" s="1"/>
  <c r="AJ83" i="5" s="1"/>
  <c r="M759" i="6"/>
  <c r="L759" i="6"/>
  <c r="K759" i="6"/>
  <c r="J759" i="6"/>
  <c r="V83" i="5" s="1"/>
  <c r="AF83" i="5" s="1"/>
  <c r="B759" i="6"/>
  <c r="S758" i="6"/>
  <c r="R758" i="6"/>
  <c r="Q758" i="6"/>
  <c r="AC83" i="5" s="1"/>
  <c r="AM83" i="5" s="1"/>
  <c r="P758" i="6"/>
  <c r="O758" i="6"/>
  <c r="N758" i="6"/>
  <c r="M758" i="6"/>
  <c r="Y83" i="5" s="1"/>
  <c r="AI83" i="5" s="1"/>
  <c r="L758" i="6"/>
  <c r="K758" i="6"/>
  <c r="J758" i="6"/>
  <c r="B758" i="6"/>
  <c r="S757" i="6"/>
  <c r="R757" i="6"/>
  <c r="Q757" i="6"/>
  <c r="P757" i="6"/>
  <c r="AB83" i="5" s="1"/>
  <c r="AL83" i="5" s="1"/>
  <c r="O757" i="6"/>
  <c r="N757" i="6"/>
  <c r="M757" i="6"/>
  <c r="L757" i="6"/>
  <c r="X83" i="5" s="1"/>
  <c r="AH83" i="5" s="1"/>
  <c r="K757" i="6"/>
  <c r="J757" i="6"/>
  <c r="B757" i="6"/>
  <c r="S756" i="6"/>
  <c r="AE83" i="5" s="1"/>
  <c r="AO83" i="5" s="1"/>
  <c r="R756" i="6"/>
  <c r="Q756" i="6"/>
  <c r="P756" i="6"/>
  <c r="O756" i="6"/>
  <c r="AA83" i="5" s="1"/>
  <c r="AK83" i="5" s="1"/>
  <c r="N756" i="6"/>
  <c r="M756" i="6"/>
  <c r="L756" i="6"/>
  <c r="K756" i="6"/>
  <c r="W83" i="5" s="1"/>
  <c r="AG83" i="5" s="1"/>
  <c r="J756" i="6"/>
  <c r="B756" i="6"/>
  <c r="S755" i="6"/>
  <c r="R755" i="6"/>
  <c r="Q755" i="6"/>
  <c r="P755" i="6"/>
  <c r="O755" i="6"/>
  <c r="N755" i="6"/>
  <c r="M755" i="6"/>
  <c r="L755" i="6"/>
  <c r="K755" i="6"/>
  <c r="J755" i="6"/>
  <c r="B755" i="6"/>
  <c r="S754" i="6"/>
  <c r="R754" i="6"/>
  <c r="Q754" i="6"/>
  <c r="P754" i="6"/>
  <c r="O754" i="6"/>
  <c r="N754" i="6"/>
  <c r="M754" i="6"/>
  <c r="L754" i="6"/>
  <c r="K754" i="6"/>
  <c r="J754" i="6"/>
  <c r="B754" i="6"/>
  <c r="S753" i="6"/>
  <c r="R753" i="6"/>
  <c r="Q753" i="6"/>
  <c r="P753" i="6"/>
  <c r="O753" i="6"/>
  <c r="N753" i="6"/>
  <c r="M753" i="6"/>
  <c r="L753" i="6"/>
  <c r="K753" i="6"/>
  <c r="J753" i="6"/>
  <c r="B753" i="6"/>
  <c r="S752" i="6"/>
  <c r="R752" i="6"/>
  <c r="Q752" i="6"/>
  <c r="P752" i="6"/>
  <c r="O752" i="6"/>
  <c r="N752" i="6"/>
  <c r="M752" i="6"/>
  <c r="L752" i="6"/>
  <c r="K752" i="6"/>
  <c r="J752" i="6"/>
  <c r="B752" i="6"/>
  <c r="S751" i="6"/>
  <c r="R751" i="6"/>
  <c r="Q751" i="6"/>
  <c r="P751" i="6"/>
  <c r="O751" i="6"/>
  <c r="N751" i="6"/>
  <c r="M751" i="6"/>
  <c r="L751" i="6"/>
  <c r="K751" i="6"/>
  <c r="J751" i="6"/>
  <c r="B751" i="6"/>
  <c r="S750" i="6"/>
  <c r="R750" i="6"/>
  <c r="Q750" i="6"/>
  <c r="P750" i="6"/>
  <c r="O750" i="6"/>
  <c r="N750" i="6"/>
  <c r="M750" i="6"/>
  <c r="L750" i="6"/>
  <c r="K750" i="6"/>
  <c r="J750" i="6"/>
  <c r="B750" i="6"/>
  <c r="S749" i="6"/>
  <c r="R749" i="6"/>
  <c r="Q749" i="6"/>
  <c r="P749" i="6"/>
  <c r="AB82" i="5" s="1"/>
  <c r="AL82" i="5" s="1"/>
  <c r="O749" i="6"/>
  <c r="N749" i="6"/>
  <c r="M749" i="6"/>
  <c r="L749" i="6"/>
  <c r="X82" i="5" s="1"/>
  <c r="AH82" i="5" s="1"/>
  <c r="K749" i="6"/>
  <c r="J749" i="6"/>
  <c r="B749" i="6"/>
  <c r="S748" i="6"/>
  <c r="AE82" i="5" s="1"/>
  <c r="AO82" i="5" s="1"/>
  <c r="R748" i="6"/>
  <c r="Q748" i="6"/>
  <c r="P748" i="6"/>
  <c r="O748" i="6"/>
  <c r="AA82" i="5" s="1"/>
  <c r="AK82" i="5" s="1"/>
  <c r="N748" i="6"/>
  <c r="M748" i="6"/>
  <c r="L748" i="6"/>
  <c r="K748" i="6"/>
  <c r="W82" i="5" s="1"/>
  <c r="AG82" i="5" s="1"/>
  <c r="J748" i="6"/>
  <c r="B748" i="6"/>
  <c r="S747" i="6"/>
  <c r="R747" i="6"/>
  <c r="AD82" i="5" s="1"/>
  <c r="AN82" i="5" s="1"/>
  <c r="Q747" i="6"/>
  <c r="P747" i="6"/>
  <c r="O747" i="6"/>
  <c r="N747" i="6"/>
  <c r="Z82" i="5" s="1"/>
  <c r="AJ82" i="5" s="1"/>
  <c r="M747" i="6"/>
  <c r="L747" i="6"/>
  <c r="K747" i="6"/>
  <c r="J747" i="6"/>
  <c r="V82" i="5" s="1"/>
  <c r="AF82" i="5" s="1"/>
  <c r="B747" i="6"/>
  <c r="S746" i="6"/>
  <c r="R746" i="6"/>
  <c r="Q746" i="6"/>
  <c r="AC82" i="5" s="1"/>
  <c r="AM82" i="5" s="1"/>
  <c r="P746" i="6"/>
  <c r="O746" i="6"/>
  <c r="N746" i="6"/>
  <c r="M746" i="6"/>
  <c r="Y82" i="5" s="1"/>
  <c r="AI82" i="5" s="1"/>
  <c r="L746" i="6"/>
  <c r="K746" i="6"/>
  <c r="J746" i="6"/>
  <c r="B746" i="6"/>
  <c r="S745" i="6"/>
  <c r="R745" i="6"/>
  <c r="Q745" i="6"/>
  <c r="P745" i="6"/>
  <c r="O745" i="6"/>
  <c r="N745" i="6"/>
  <c r="M745" i="6"/>
  <c r="L745" i="6"/>
  <c r="K745" i="6"/>
  <c r="J745" i="6"/>
  <c r="B745" i="6"/>
  <c r="S744" i="6"/>
  <c r="R744" i="6"/>
  <c r="Q744" i="6"/>
  <c r="P744" i="6"/>
  <c r="O744" i="6"/>
  <c r="N744" i="6"/>
  <c r="M744" i="6"/>
  <c r="L744" i="6"/>
  <c r="K744" i="6"/>
  <c r="J744" i="6"/>
  <c r="B744" i="6"/>
  <c r="S743" i="6"/>
  <c r="R743" i="6"/>
  <c r="Q743" i="6"/>
  <c r="P743" i="6"/>
  <c r="O743" i="6"/>
  <c r="N743" i="6"/>
  <c r="M743" i="6"/>
  <c r="L743" i="6"/>
  <c r="K743" i="6"/>
  <c r="J743" i="6"/>
  <c r="B743" i="6"/>
  <c r="S742" i="6"/>
  <c r="R742" i="6"/>
  <c r="Q742" i="6"/>
  <c r="AC81" i="5" s="1"/>
  <c r="AM81" i="5" s="1"/>
  <c r="P742" i="6"/>
  <c r="O742" i="6"/>
  <c r="N742" i="6"/>
  <c r="M742" i="6"/>
  <c r="Y81" i="5" s="1"/>
  <c r="AI81" i="5" s="1"/>
  <c r="L742" i="6"/>
  <c r="K742" i="6"/>
  <c r="J742" i="6"/>
  <c r="B742" i="6"/>
  <c r="S741" i="6"/>
  <c r="R741" i="6"/>
  <c r="Q741" i="6"/>
  <c r="P741" i="6"/>
  <c r="AB81" i="5" s="1"/>
  <c r="AL81" i="5" s="1"/>
  <c r="O741" i="6"/>
  <c r="N741" i="6"/>
  <c r="M741" i="6"/>
  <c r="L741" i="6"/>
  <c r="X81" i="5" s="1"/>
  <c r="AH81" i="5" s="1"/>
  <c r="K741" i="6"/>
  <c r="J741" i="6"/>
  <c r="B741" i="6"/>
  <c r="S740" i="6"/>
  <c r="AE81" i="5" s="1"/>
  <c r="AO81" i="5" s="1"/>
  <c r="R740" i="6"/>
  <c r="Q740" i="6"/>
  <c r="P740" i="6"/>
  <c r="O740" i="6"/>
  <c r="AA81" i="5" s="1"/>
  <c r="AK81" i="5" s="1"/>
  <c r="N740" i="6"/>
  <c r="M740" i="6"/>
  <c r="L740" i="6"/>
  <c r="K740" i="6"/>
  <c r="W81" i="5" s="1"/>
  <c r="AG81" i="5" s="1"/>
  <c r="J740" i="6"/>
  <c r="B740" i="6"/>
  <c r="S739" i="6"/>
  <c r="R739" i="6"/>
  <c r="AD81" i="5" s="1"/>
  <c r="AN81" i="5" s="1"/>
  <c r="Q739" i="6"/>
  <c r="P739" i="6"/>
  <c r="O739" i="6"/>
  <c r="N739" i="6"/>
  <c r="Z81" i="5" s="1"/>
  <c r="AJ81" i="5" s="1"/>
  <c r="M739" i="6"/>
  <c r="L739" i="6"/>
  <c r="K739" i="6"/>
  <c r="J739" i="6"/>
  <c r="V81" i="5" s="1"/>
  <c r="AF81" i="5" s="1"/>
  <c r="B739" i="6"/>
  <c r="S738" i="6"/>
  <c r="R738" i="6"/>
  <c r="Q738" i="6"/>
  <c r="P738" i="6"/>
  <c r="O738" i="6"/>
  <c r="N738" i="6"/>
  <c r="M738" i="6"/>
  <c r="L738" i="6"/>
  <c r="K738" i="6"/>
  <c r="J738" i="6"/>
  <c r="B738" i="6"/>
  <c r="S737" i="6"/>
  <c r="R737" i="6"/>
  <c r="Q737" i="6"/>
  <c r="P737" i="6"/>
  <c r="O737" i="6"/>
  <c r="N737" i="6"/>
  <c r="M737" i="6"/>
  <c r="L737" i="6"/>
  <c r="K737" i="6"/>
  <c r="J737" i="6"/>
  <c r="B737" i="6"/>
  <c r="S736" i="6"/>
  <c r="R736" i="6"/>
  <c r="Q736" i="6"/>
  <c r="P736" i="6"/>
  <c r="O736" i="6"/>
  <c r="N736" i="6"/>
  <c r="M736" i="6"/>
  <c r="L736" i="6"/>
  <c r="K736" i="6"/>
  <c r="J736" i="6"/>
  <c r="B736" i="6"/>
  <c r="S735" i="6"/>
  <c r="R735" i="6"/>
  <c r="Q735" i="6"/>
  <c r="P735" i="6"/>
  <c r="O735" i="6"/>
  <c r="N735" i="6"/>
  <c r="M735" i="6"/>
  <c r="L735" i="6"/>
  <c r="K735" i="6"/>
  <c r="J735" i="6"/>
  <c r="B735" i="6"/>
  <c r="S734" i="6"/>
  <c r="R734" i="6"/>
  <c r="Q734" i="6"/>
  <c r="P734" i="6"/>
  <c r="O734" i="6"/>
  <c r="N734" i="6"/>
  <c r="M734" i="6"/>
  <c r="L734" i="6"/>
  <c r="K734" i="6"/>
  <c r="J734" i="6"/>
  <c r="B734" i="6"/>
  <c r="S733" i="6"/>
  <c r="R733" i="6"/>
  <c r="Q733" i="6"/>
  <c r="P733" i="6"/>
  <c r="O733" i="6"/>
  <c r="N733" i="6"/>
  <c r="M733" i="6"/>
  <c r="L733" i="6"/>
  <c r="K733" i="6"/>
  <c r="J733" i="6"/>
  <c r="B733" i="6"/>
  <c r="S732" i="6"/>
  <c r="R732" i="6"/>
  <c r="Q732" i="6"/>
  <c r="P732" i="6"/>
  <c r="O732" i="6"/>
  <c r="N732" i="6"/>
  <c r="M732" i="6"/>
  <c r="L732" i="6"/>
  <c r="K732" i="6"/>
  <c r="J732" i="6"/>
  <c r="B732" i="6"/>
  <c r="S731" i="6"/>
  <c r="R731" i="6"/>
  <c r="Q731" i="6"/>
  <c r="P731" i="6"/>
  <c r="O731" i="6"/>
  <c r="N731" i="6"/>
  <c r="M731" i="6"/>
  <c r="L731" i="6"/>
  <c r="K731" i="6"/>
  <c r="J731" i="6"/>
  <c r="B731" i="6"/>
  <c r="S730" i="6"/>
  <c r="R730" i="6"/>
  <c r="Q730" i="6"/>
  <c r="AC80" i="5" s="1"/>
  <c r="AM80" i="5" s="1"/>
  <c r="P730" i="6"/>
  <c r="O730" i="6"/>
  <c r="N730" i="6"/>
  <c r="M730" i="6"/>
  <c r="Y80" i="5" s="1"/>
  <c r="AI80" i="5" s="1"/>
  <c r="L730" i="6"/>
  <c r="K730" i="6"/>
  <c r="J730" i="6"/>
  <c r="B730" i="6"/>
  <c r="S729" i="6"/>
  <c r="R729" i="6"/>
  <c r="Q729" i="6"/>
  <c r="P729" i="6"/>
  <c r="AB80" i="5" s="1"/>
  <c r="AL80" i="5" s="1"/>
  <c r="O729" i="6"/>
  <c r="N729" i="6"/>
  <c r="M729" i="6"/>
  <c r="L729" i="6"/>
  <c r="X80" i="5" s="1"/>
  <c r="AH80" i="5" s="1"/>
  <c r="K729" i="6"/>
  <c r="J729" i="6"/>
  <c r="B729" i="6"/>
  <c r="S728" i="6"/>
  <c r="AE80" i="5" s="1"/>
  <c r="AO80" i="5" s="1"/>
  <c r="R728" i="6"/>
  <c r="Q728" i="6"/>
  <c r="P728" i="6"/>
  <c r="O728" i="6"/>
  <c r="AA80" i="5" s="1"/>
  <c r="AK80" i="5" s="1"/>
  <c r="N728" i="6"/>
  <c r="M728" i="6"/>
  <c r="L728" i="6"/>
  <c r="K728" i="6"/>
  <c r="W80" i="5" s="1"/>
  <c r="AG80" i="5" s="1"/>
  <c r="J728" i="6"/>
  <c r="B728" i="6"/>
  <c r="S727" i="6"/>
  <c r="R727" i="6"/>
  <c r="AD80" i="5" s="1"/>
  <c r="AN80" i="5" s="1"/>
  <c r="Q727" i="6"/>
  <c r="P727" i="6"/>
  <c r="O727" i="6"/>
  <c r="N727" i="6"/>
  <c r="Z80" i="5" s="1"/>
  <c r="AJ80" i="5" s="1"/>
  <c r="M727" i="6"/>
  <c r="L727" i="6"/>
  <c r="K727" i="6"/>
  <c r="J727" i="6"/>
  <c r="V80" i="5" s="1"/>
  <c r="AF80" i="5" s="1"/>
  <c r="B727" i="6"/>
  <c r="S726" i="6"/>
  <c r="R726" i="6"/>
  <c r="Q726" i="6"/>
  <c r="P726" i="6"/>
  <c r="O726" i="6"/>
  <c r="N726" i="6"/>
  <c r="M726" i="6"/>
  <c r="L726" i="6"/>
  <c r="K726" i="6"/>
  <c r="J726" i="6"/>
  <c r="B726" i="6"/>
  <c r="S725" i="6"/>
  <c r="R725" i="6"/>
  <c r="Q725" i="6"/>
  <c r="P725" i="6"/>
  <c r="O725" i="6"/>
  <c r="N725" i="6"/>
  <c r="M725" i="6"/>
  <c r="L725" i="6"/>
  <c r="K725" i="6"/>
  <c r="J725" i="6"/>
  <c r="B725" i="6"/>
  <c r="S724" i="6"/>
  <c r="R724" i="6"/>
  <c r="Q724" i="6"/>
  <c r="P724" i="6"/>
  <c r="O724" i="6"/>
  <c r="N724" i="6"/>
  <c r="M724" i="6"/>
  <c r="L724" i="6"/>
  <c r="K724" i="6"/>
  <c r="J724" i="6"/>
  <c r="B724" i="6"/>
  <c r="S723" i="6"/>
  <c r="R723" i="6"/>
  <c r="Q723" i="6"/>
  <c r="P723" i="6"/>
  <c r="O723" i="6"/>
  <c r="N723" i="6"/>
  <c r="M723" i="6"/>
  <c r="L723" i="6"/>
  <c r="K723" i="6"/>
  <c r="J723" i="6"/>
  <c r="B723" i="6"/>
  <c r="S722" i="6"/>
  <c r="R722" i="6"/>
  <c r="Q722" i="6"/>
  <c r="AC79" i="5" s="1"/>
  <c r="AM79" i="5" s="1"/>
  <c r="P722" i="6"/>
  <c r="O722" i="6"/>
  <c r="N722" i="6"/>
  <c r="M722" i="6"/>
  <c r="Y79" i="5" s="1"/>
  <c r="AI79" i="5" s="1"/>
  <c r="L722" i="6"/>
  <c r="K722" i="6"/>
  <c r="J722" i="6"/>
  <c r="B722" i="6"/>
  <c r="S721" i="6"/>
  <c r="R721" i="6"/>
  <c r="Q721" i="6"/>
  <c r="P721" i="6"/>
  <c r="AB79" i="5" s="1"/>
  <c r="AL79" i="5" s="1"/>
  <c r="O721" i="6"/>
  <c r="N721" i="6"/>
  <c r="M721" i="6"/>
  <c r="L721" i="6"/>
  <c r="X79" i="5" s="1"/>
  <c r="AH79" i="5" s="1"/>
  <c r="K721" i="6"/>
  <c r="J721" i="6"/>
  <c r="B721" i="6"/>
  <c r="S720" i="6"/>
  <c r="AE79" i="5" s="1"/>
  <c r="AO79" i="5" s="1"/>
  <c r="R720" i="6"/>
  <c r="Q720" i="6"/>
  <c r="P720" i="6"/>
  <c r="O720" i="6"/>
  <c r="AA79" i="5" s="1"/>
  <c r="AK79" i="5" s="1"/>
  <c r="N720" i="6"/>
  <c r="M720" i="6"/>
  <c r="L720" i="6"/>
  <c r="K720" i="6"/>
  <c r="W79" i="5" s="1"/>
  <c r="AG79" i="5" s="1"/>
  <c r="J720" i="6"/>
  <c r="B720" i="6"/>
  <c r="S719" i="6"/>
  <c r="R719" i="6"/>
  <c r="AD79" i="5" s="1"/>
  <c r="AN79" i="5" s="1"/>
  <c r="Q719" i="6"/>
  <c r="P719" i="6"/>
  <c r="O719" i="6"/>
  <c r="N719" i="6"/>
  <c r="Z79" i="5" s="1"/>
  <c r="AJ79" i="5" s="1"/>
  <c r="M719" i="6"/>
  <c r="L719" i="6"/>
  <c r="K719" i="6"/>
  <c r="J719" i="6"/>
  <c r="V79" i="5" s="1"/>
  <c r="AF79" i="5" s="1"/>
  <c r="B719" i="6"/>
  <c r="S718" i="6"/>
  <c r="R718" i="6"/>
  <c r="Q718" i="6"/>
  <c r="P718" i="6"/>
  <c r="O718" i="6"/>
  <c r="N718" i="6"/>
  <c r="M718" i="6"/>
  <c r="L718" i="6"/>
  <c r="K718" i="6"/>
  <c r="J718" i="6"/>
  <c r="B718" i="6"/>
  <c r="S717" i="6"/>
  <c r="R717" i="6"/>
  <c r="Q717" i="6"/>
  <c r="P717" i="6"/>
  <c r="O717" i="6"/>
  <c r="N717" i="6"/>
  <c r="M717" i="6"/>
  <c r="L717" i="6"/>
  <c r="K717" i="6"/>
  <c r="J717" i="6"/>
  <c r="B717" i="6"/>
  <c r="S716" i="6"/>
  <c r="R716" i="6"/>
  <c r="Q716" i="6"/>
  <c r="P716" i="6"/>
  <c r="O716" i="6"/>
  <c r="N716" i="6"/>
  <c r="M716" i="6"/>
  <c r="L716" i="6"/>
  <c r="K716" i="6"/>
  <c r="J716" i="6"/>
  <c r="B716" i="6"/>
  <c r="S715" i="6"/>
  <c r="R715" i="6"/>
  <c r="Q715" i="6"/>
  <c r="P715" i="6"/>
  <c r="O715" i="6"/>
  <c r="N715" i="6"/>
  <c r="M715" i="6"/>
  <c r="L715" i="6"/>
  <c r="K715" i="6"/>
  <c r="J715" i="6"/>
  <c r="B715" i="6"/>
  <c r="S714" i="6"/>
  <c r="R714" i="6"/>
  <c r="Q714" i="6"/>
  <c r="P714" i="6"/>
  <c r="O714" i="6"/>
  <c r="N714" i="6"/>
  <c r="M714" i="6"/>
  <c r="L714" i="6"/>
  <c r="K714" i="6"/>
  <c r="J714" i="6"/>
  <c r="B714" i="6"/>
  <c r="S713" i="6"/>
  <c r="R713" i="6"/>
  <c r="Q713" i="6"/>
  <c r="P713" i="6"/>
  <c r="AB78" i="5" s="1"/>
  <c r="AL78" i="5" s="1"/>
  <c r="O713" i="6"/>
  <c r="N713" i="6"/>
  <c r="M713" i="6"/>
  <c r="L713" i="6"/>
  <c r="X78" i="5" s="1"/>
  <c r="AH78" i="5" s="1"/>
  <c r="K713" i="6"/>
  <c r="J713" i="6"/>
  <c r="B713" i="6"/>
  <c r="S712" i="6"/>
  <c r="AE78" i="5" s="1"/>
  <c r="AO78" i="5" s="1"/>
  <c r="R712" i="6"/>
  <c r="Q712" i="6"/>
  <c r="P712" i="6"/>
  <c r="O712" i="6"/>
  <c r="AA78" i="5" s="1"/>
  <c r="AK78" i="5" s="1"/>
  <c r="N712" i="6"/>
  <c r="M712" i="6"/>
  <c r="L712" i="6"/>
  <c r="K712" i="6"/>
  <c r="W78" i="5" s="1"/>
  <c r="AG78" i="5" s="1"/>
  <c r="J712" i="6"/>
  <c r="B712" i="6"/>
  <c r="S711" i="6"/>
  <c r="R711" i="6"/>
  <c r="AD78" i="5" s="1"/>
  <c r="AN78" i="5" s="1"/>
  <c r="Q711" i="6"/>
  <c r="P711" i="6"/>
  <c r="O711" i="6"/>
  <c r="N711" i="6"/>
  <c r="Z78" i="5" s="1"/>
  <c r="AJ78" i="5" s="1"/>
  <c r="M711" i="6"/>
  <c r="L711" i="6"/>
  <c r="K711" i="6"/>
  <c r="J711" i="6"/>
  <c r="V78" i="5" s="1"/>
  <c r="AF78" i="5" s="1"/>
  <c r="B711" i="6"/>
  <c r="S710" i="6"/>
  <c r="R710" i="6"/>
  <c r="Q710" i="6"/>
  <c r="AC78" i="5" s="1"/>
  <c r="AM78" i="5" s="1"/>
  <c r="P710" i="6"/>
  <c r="O710" i="6"/>
  <c r="N710" i="6"/>
  <c r="M710" i="6"/>
  <c r="Y78" i="5" s="1"/>
  <c r="AI78" i="5" s="1"/>
  <c r="L710" i="6"/>
  <c r="K710" i="6"/>
  <c r="J710" i="6"/>
  <c r="B710" i="6"/>
  <c r="S709" i="6"/>
  <c r="R709" i="6"/>
  <c r="Q709" i="6"/>
  <c r="P709" i="6"/>
  <c r="O709" i="6"/>
  <c r="N709" i="6"/>
  <c r="M709" i="6"/>
  <c r="L709" i="6"/>
  <c r="K709" i="6"/>
  <c r="J709" i="6"/>
  <c r="B709" i="6"/>
  <c r="S708" i="6"/>
  <c r="R708" i="6"/>
  <c r="Q708" i="6"/>
  <c r="P708" i="6"/>
  <c r="O708" i="6"/>
  <c r="N708" i="6"/>
  <c r="M708" i="6"/>
  <c r="L708" i="6"/>
  <c r="K708" i="6"/>
  <c r="J708" i="6"/>
  <c r="B708" i="6"/>
  <c r="S707" i="6"/>
  <c r="R707" i="6"/>
  <c r="Q707" i="6"/>
  <c r="P707" i="6"/>
  <c r="O707" i="6"/>
  <c r="N707" i="6"/>
  <c r="M707" i="6"/>
  <c r="L707" i="6"/>
  <c r="K707" i="6"/>
  <c r="J707" i="6"/>
  <c r="B707" i="6"/>
  <c r="S706" i="6"/>
  <c r="R706" i="6"/>
  <c r="Q706" i="6"/>
  <c r="P706" i="6"/>
  <c r="O706" i="6"/>
  <c r="N706" i="6"/>
  <c r="M706" i="6"/>
  <c r="L706" i="6"/>
  <c r="K706" i="6"/>
  <c r="J706" i="6"/>
  <c r="B706" i="6"/>
  <c r="S705" i="6"/>
  <c r="R705" i="6"/>
  <c r="Q705" i="6"/>
  <c r="P705" i="6"/>
  <c r="AB77" i="5" s="1"/>
  <c r="AL77" i="5" s="1"/>
  <c r="O705" i="6"/>
  <c r="N705" i="6"/>
  <c r="M705" i="6"/>
  <c r="L705" i="6"/>
  <c r="X77" i="5" s="1"/>
  <c r="AH77" i="5" s="1"/>
  <c r="K705" i="6"/>
  <c r="J705" i="6"/>
  <c r="B705" i="6"/>
  <c r="S704" i="6"/>
  <c r="AE77" i="5" s="1"/>
  <c r="AO77" i="5" s="1"/>
  <c r="R704" i="6"/>
  <c r="Q704" i="6"/>
  <c r="P704" i="6"/>
  <c r="O704" i="6"/>
  <c r="AA77" i="5" s="1"/>
  <c r="AK77" i="5" s="1"/>
  <c r="N704" i="6"/>
  <c r="M704" i="6"/>
  <c r="L704" i="6"/>
  <c r="K704" i="6"/>
  <c r="W77" i="5" s="1"/>
  <c r="AG77" i="5" s="1"/>
  <c r="J704" i="6"/>
  <c r="B704" i="6"/>
  <c r="S703" i="6"/>
  <c r="R703" i="6"/>
  <c r="AD77" i="5" s="1"/>
  <c r="AN77" i="5" s="1"/>
  <c r="Q703" i="6"/>
  <c r="P703" i="6"/>
  <c r="O703" i="6"/>
  <c r="N703" i="6"/>
  <c r="Z77" i="5" s="1"/>
  <c r="AJ77" i="5" s="1"/>
  <c r="M703" i="6"/>
  <c r="L703" i="6"/>
  <c r="K703" i="6"/>
  <c r="J703" i="6"/>
  <c r="V77" i="5" s="1"/>
  <c r="AF77" i="5" s="1"/>
  <c r="B703" i="6"/>
  <c r="S702" i="6"/>
  <c r="R702" i="6"/>
  <c r="Q702" i="6"/>
  <c r="AC77" i="5" s="1"/>
  <c r="AM77" i="5" s="1"/>
  <c r="P702" i="6"/>
  <c r="O702" i="6"/>
  <c r="N702" i="6"/>
  <c r="M702" i="6"/>
  <c r="Y77" i="5" s="1"/>
  <c r="AI77" i="5" s="1"/>
  <c r="L702" i="6"/>
  <c r="K702" i="6"/>
  <c r="J702" i="6"/>
  <c r="B702" i="6"/>
  <c r="S701" i="6"/>
  <c r="R701" i="6"/>
  <c r="Q701" i="6"/>
  <c r="P701" i="6"/>
  <c r="O701" i="6"/>
  <c r="N701" i="6"/>
  <c r="M701" i="6"/>
  <c r="L701" i="6"/>
  <c r="K701" i="6"/>
  <c r="J701" i="6"/>
  <c r="B701" i="6"/>
  <c r="S700" i="6"/>
  <c r="R700" i="6"/>
  <c r="Q700" i="6"/>
  <c r="P700" i="6"/>
  <c r="O700" i="6"/>
  <c r="N700" i="6"/>
  <c r="M700" i="6"/>
  <c r="L700" i="6"/>
  <c r="K700" i="6"/>
  <c r="J700" i="6"/>
  <c r="B700" i="6"/>
  <c r="S699" i="6"/>
  <c r="R699" i="6"/>
  <c r="Q699" i="6"/>
  <c r="P699" i="6"/>
  <c r="O699" i="6"/>
  <c r="N699" i="6"/>
  <c r="M699" i="6"/>
  <c r="L699" i="6"/>
  <c r="K699" i="6"/>
  <c r="J699" i="6"/>
  <c r="B699" i="6"/>
  <c r="S698" i="6"/>
  <c r="R698" i="6"/>
  <c r="Q698" i="6"/>
  <c r="P698" i="6"/>
  <c r="O698" i="6"/>
  <c r="N698" i="6"/>
  <c r="M698" i="6"/>
  <c r="L698" i="6"/>
  <c r="K698" i="6"/>
  <c r="J698" i="6"/>
  <c r="B698" i="6"/>
  <c r="S697" i="6"/>
  <c r="R697" i="6"/>
  <c r="Q697" i="6"/>
  <c r="P697" i="6"/>
  <c r="AB76" i="5" s="1"/>
  <c r="AL76" i="5" s="1"/>
  <c r="O697" i="6"/>
  <c r="N697" i="6"/>
  <c r="M697" i="6"/>
  <c r="L697" i="6"/>
  <c r="X76" i="5" s="1"/>
  <c r="AH76" i="5" s="1"/>
  <c r="K697" i="6"/>
  <c r="J697" i="6"/>
  <c r="B697" i="6"/>
  <c r="S696" i="6"/>
  <c r="AE76" i="5" s="1"/>
  <c r="AO76" i="5" s="1"/>
  <c r="R696" i="6"/>
  <c r="Q696" i="6"/>
  <c r="P696" i="6"/>
  <c r="O696" i="6"/>
  <c r="AA76" i="5" s="1"/>
  <c r="AK76" i="5" s="1"/>
  <c r="N696" i="6"/>
  <c r="M696" i="6"/>
  <c r="L696" i="6"/>
  <c r="K696" i="6"/>
  <c r="W76" i="5" s="1"/>
  <c r="AG76" i="5" s="1"/>
  <c r="J696" i="6"/>
  <c r="B696" i="6"/>
  <c r="S695" i="6"/>
  <c r="R695" i="6"/>
  <c r="AD76" i="5" s="1"/>
  <c r="AN76" i="5" s="1"/>
  <c r="Q695" i="6"/>
  <c r="P695" i="6"/>
  <c r="O695" i="6"/>
  <c r="N695" i="6"/>
  <c r="Z76" i="5" s="1"/>
  <c r="AJ76" i="5" s="1"/>
  <c r="M695" i="6"/>
  <c r="L695" i="6"/>
  <c r="K695" i="6"/>
  <c r="J695" i="6"/>
  <c r="V76" i="5" s="1"/>
  <c r="AF76" i="5" s="1"/>
  <c r="B695" i="6"/>
  <c r="S694" i="6"/>
  <c r="R694" i="6"/>
  <c r="Q694" i="6"/>
  <c r="AC76" i="5" s="1"/>
  <c r="AM76" i="5" s="1"/>
  <c r="P694" i="6"/>
  <c r="O694" i="6"/>
  <c r="N694" i="6"/>
  <c r="M694" i="6"/>
  <c r="Y76" i="5" s="1"/>
  <c r="AI76" i="5" s="1"/>
  <c r="L694" i="6"/>
  <c r="K694" i="6"/>
  <c r="J694" i="6"/>
  <c r="B694" i="6"/>
  <c r="S693" i="6"/>
  <c r="R693" i="6"/>
  <c r="Q693" i="6"/>
  <c r="P693" i="6"/>
  <c r="O693" i="6"/>
  <c r="N693" i="6"/>
  <c r="M693" i="6"/>
  <c r="L693" i="6"/>
  <c r="K693" i="6"/>
  <c r="J693" i="6"/>
  <c r="B693" i="6"/>
  <c r="S692" i="6"/>
  <c r="R692" i="6"/>
  <c r="Q692" i="6"/>
  <c r="P692" i="6"/>
  <c r="O692" i="6"/>
  <c r="N692" i="6"/>
  <c r="M692" i="6"/>
  <c r="L692" i="6"/>
  <c r="K692" i="6"/>
  <c r="J692" i="6"/>
  <c r="B692" i="6"/>
  <c r="S691" i="6"/>
  <c r="R691" i="6"/>
  <c r="Q691" i="6"/>
  <c r="P691" i="6"/>
  <c r="O691" i="6"/>
  <c r="N691" i="6"/>
  <c r="M691" i="6"/>
  <c r="L691" i="6"/>
  <c r="K691" i="6"/>
  <c r="J691" i="6"/>
  <c r="B691" i="6"/>
  <c r="S690" i="6"/>
  <c r="R690" i="6"/>
  <c r="Q690" i="6"/>
  <c r="P690" i="6"/>
  <c r="O690" i="6"/>
  <c r="N690" i="6"/>
  <c r="M690" i="6"/>
  <c r="L690" i="6"/>
  <c r="K690" i="6"/>
  <c r="J690" i="6"/>
  <c r="B690" i="6"/>
  <c r="S689" i="6"/>
  <c r="R689" i="6"/>
  <c r="Q689" i="6"/>
  <c r="P689" i="6"/>
  <c r="AB75" i="5" s="1"/>
  <c r="AL75" i="5" s="1"/>
  <c r="O689" i="6"/>
  <c r="N689" i="6"/>
  <c r="M689" i="6"/>
  <c r="L689" i="6"/>
  <c r="X75" i="5" s="1"/>
  <c r="AH75" i="5" s="1"/>
  <c r="K689" i="6"/>
  <c r="J689" i="6"/>
  <c r="B689" i="6"/>
  <c r="S688" i="6"/>
  <c r="AE75" i="5" s="1"/>
  <c r="AO75" i="5" s="1"/>
  <c r="R688" i="6"/>
  <c r="Q688" i="6"/>
  <c r="P688" i="6"/>
  <c r="O688" i="6"/>
  <c r="AA75" i="5" s="1"/>
  <c r="AK75" i="5" s="1"/>
  <c r="N688" i="6"/>
  <c r="M688" i="6"/>
  <c r="L688" i="6"/>
  <c r="K688" i="6"/>
  <c r="W75" i="5" s="1"/>
  <c r="AG75" i="5" s="1"/>
  <c r="J688" i="6"/>
  <c r="B688" i="6"/>
  <c r="S687" i="6"/>
  <c r="R687" i="6"/>
  <c r="AD75" i="5" s="1"/>
  <c r="AN75" i="5" s="1"/>
  <c r="Q687" i="6"/>
  <c r="P687" i="6"/>
  <c r="O687" i="6"/>
  <c r="N687" i="6"/>
  <c r="Z75" i="5" s="1"/>
  <c r="AJ75" i="5" s="1"/>
  <c r="M687" i="6"/>
  <c r="L687" i="6"/>
  <c r="K687" i="6"/>
  <c r="J687" i="6"/>
  <c r="V75" i="5" s="1"/>
  <c r="AF75" i="5" s="1"/>
  <c r="B687" i="6"/>
  <c r="S686" i="6"/>
  <c r="R686" i="6"/>
  <c r="Q686" i="6"/>
  <c r="AC75" i="5" s="1"/>
  <c r="AM75" i="5" s="1"/>
  <c r="P686" i="6"/>
  <c r="O686" i="6"/>
  <c r="N686" i="6"/>
  <c r="M686" i="6"/>
  <c r="Y75" i="5" s="1"/>
  <c r="L686" i="6"/>
  <c r="K686" i="6"/>
  <c r="J686" i="6"/>
  <c r="B686" i="6"/>
  <c r="S685" i="6"/>
  <c r="R685" i="6"/>
  <c r="Q685" i="6"/>
  <c r="P685" i="6"/>
  <c r="O685" i="6"/>
  <c r="N685" i="6"/>
  <c r="M685" i="6"/>
  <c r="L685" i="6"/>
  <c r="K685" i="6"/>
  <c r="J685" i="6"/>
  <c r="B685" i="6"/>
  <c r="S684" i="6"/>
  <c r="R684" i="6"/>
  <c r="Q684" i="6"/>
  <c r="P684" i="6"/>
  <c r="O684" i="6"/>
  <c r="N684" i="6"/>
  <c r="M684" i="6"/>
  <c r="L684" i="6"/>
  <c r="K684" i="6"/>
  <c r="J684" i="6"/>
  <c r="B684" i="6"/>
  <c r="S683" i="6"/>
  <c r="R683" i="6"/>
  <c r="Q683" i="6"/>
  <c r="P683" i="6"/>
  <c r="O683" i="6"/>
  <c r="N683" i="6"/>
  <c r="M683" i="6"/>
  <c r="L683" i="6"/>
  <c r="K683" i="6"/>
  <c r="J683" i="6"/>
  <c r="B683" i="6"/>
  <c r="S682" i="6"/>
  <c r="R682" i="6"/>
  <c r="Q682" i="6"/>
  <c r="P682" i="6"/>
  <c r="O682" i="6"/>
  <c r="N682" i="6"/>
  <c r="M682" i="6"/>
  <c r="L682" i="6"/>
  <c r="K682" i="6"/>
  <c r="J682" i="6"/>
  <c r="B682" i="6"/>
  <c r="S681" i="6"/>
  <c r="R681" i="6"/>
  <c r="Q681" i="6"/>
  <c r="P681" i="6"/>
  <c r="AB74" i="5" s="1"/>
  <c r="AL74" i="5" s="1"/>
  <c r="O681" i="6"/>
  <c r="N681" i="6"/>
  <c r="M681" i="6"/>
  <c r="L681" i="6"/>
  <c r="X74" i="5" s="1"/>
  <c r="AH74" i="5" s="1"/>
  <c r="K681" i="6"/>
  <c r="J681" i="6"/>
  <c r="B681" i="6"/>
  <c r="S680" i="6"/>
  <c r="AE74" i="5" s="1"/>
  <c r="AO74" i="5" s="1"/>
  <c r="R680" i="6"/>
  <c r="Q680" i="6"/>
  <c r="P680" i="6"/>
  <c r="O680" i="6"/>
  <c r="AA74" i="5" s="1"/>
  <c r="AK74" i="5" s="1"/>
  <c r="N680" i="6"/>
  <c r="M680" i="6"/>
  <c r="L680" i="6"/>
  <c r="K680" i="6"/>
  <c r="W74" i="5" s="1"/>
  <c r="AG74" i="5" s="1"/>
  <c r="J680" i="6"/>
  <c r="B680" i="6"/>
  <c r="S679" i="6"/>
  <c r="R679" i="6"/>
  <c r="AD74" i="5" s="1"/>
  <c r="AN74" i="5" s="1"/>
  <c r="Q679" i="6"/>
  <c r="P679" i="6"/>
  <c r="O679" i="6"/>
  <c r="N679" i="6"/>
  <c r="Z74" i="5" s="1"/>
  <c r="AJ74" i="5" s="1"/>
  <c r="M679" i="6"/>
  <c r="L679" i="6"/>
  <c r="K679" i="6"/>
  <c r="J679" i="6"/>
  <c r="V74" i="5" s="1"/>
  <c r="AF74" i="5" s="1"/>
  <c r="B679" i="6"/>
  <c r="S678" i="6"/>
  <c r="R678" i="6"/>
  <c r="Q678" i="6"/>
  <c r="AC74" i="5" s="1"/>
  <c r="AM74" i="5" s="1"/>
  <c r="P678" i="6"/>
  <c r="O678" i="6"/>
  <c r="N678" i="6"/>
  <c r="M678" i="6"/>
  <c r="Y74" i="5" s="1"/>
  <c r="AI74" i="5" s="1"/>
  <c r="L678" i="6"/>
  <c r="K678" i="6"/>
  <c r="J678" i="6"/>
  <c r="B678" i="6"/>
  <c r="S677" i="6"/>
  <c r="R677" i="6"/>
  <c r="Q677" i="6"/>
  <c r="P677" i="6"/>
  <c r="O677" i="6"/>
  <c r="N677" i="6"/>
  <c r="M677" i="6"/>
  <c r="L677" i="6"/>
  <c r="K677" i="6"/>
  <c r="J677" i="6"/>
  <c r="B677" i="6"/>
  <c r="S676" i="6"/>
  <c r="R676" i="6"/>
  <c r="Q676" i="6"/>
  <c r="P676" i="6"/>
  <c r="O676" i="6"/>
  <c r="N676" i="6"/>
  <c r="M676" i="6"/>
  <c r="L676" i="6"/>
  <c r="K676" i="6"/>
  <c r="J676" i="6"/>
  <c r="B676" i="6"/>
  <c r="S675" i="6"/>
  <c r="R675" i="6"/>
  <c r="Q675" i="6"/>
  <c r="P675" i="6"/>
  <c r="O675" i="6"/>
  <c r="N675" i="6"/>
  <c r="M675" i="6"/>
  <c r="L675" i="6"/>
  <c r="K675" i="6"/>
  <c r="J675" i="6"/>
  <c r="B675" i="6"/>
  <c r="S674" i="6"/>
  <c r="R674" i="6"/>
  <c r="Q674" i="6"/>
  <c r="AC73" i="5" s="1"/>
  <c r="AM73" i="5" s="1"/>
  <c r="P674" i="6"/>
  <c r="O674" i="6"/>
  <c r="N674" i="6"/>
  <c r="M674" i="6"/>
  <c r="Y73" i="5" s="1"/>
  <c r="AI73" i="5" s="1"/>
  <c r="L674" i="6"/>
  <c r="K674" i="6"/>
  <c r="J674" i="6"/>
  <c r="B674" i="6"/>
  <c r="S673" i="6"/>
  <c r="R673" i="6"/>
  <c r="Q673" i="6"/>
  <c r="P673" i="6"/>
  <c r="AB73" i="5" s="1"/>
  <c r="AL73" i="5" s="1"/>
  <c r="O673" i="6"/>
  <c r="N673" i="6"/>
  <c r="M673" i="6"/>
  <c r="L673" i="6"/>
  <c r="X73" i="5" s="1"/>
  <c r="AH73" i="5" s="1"/>
  <c r="K673" i="6"/>
  <c r="J673" i="6"/>
  <c r="B673" i="6"/>
  <c r="S672" i="6"/>
  <c r="AE73" i="5" s="1"/>
  <c r="AO73" i="5" s="1"/>
  <c r="R672" i="6"/>
  <c r="Q672" i="6"/>
  <c r="P672" i="6"/>
  <c r="O672" i="6"/>
  <c r="AA73" i="5" s="1"/>
  <c r="AK73" i="5" s="1"/>
  <c r="N672" i="6"/>
  <c r="M672" i="6"/>
  <c r="L672" i="6"/>
  <c r="K672" i="6"/>
  <c r="W73" i="5" s="1"/>
  <c r="AG73" i="5" s="1"/>
  <c r="J672" i="6"/>
  <c r="B672" i="6"/>
  <c r="S671" i="6"/>
  <c r="R671" i="6"/>
  <c r="AD73" i="5" s="1"/>
  <c r="AN73" i="5" s="1"/>
  <c r="Q671" i="6"/>
  <c r="P671" i="6"/>
  <c r="O671" i="6"/>
  <c r="N671" i="6"/>
  <c r="Z73" i="5" s="1"/>
  <c r="AJ73" i="5" s="1"/>
  <c r="M671" i="6"/>
  <c r="L671" i="6"/>
  <c r="K671" i="6"/>
  <c r="J671" i="6"/>
  <c r="V73" i="5" s="1"/>
  <c r="AF73" i="5" s="1"/>
  <c r="B671" i="6"/>
  <c r="S670" i="6"/>
  <c r="R670" i="6"/>
  <c r="Q670" i="6"/>
  <c r="P670" i="6"/>
  <c r="O670" i="6"/>
  <c r="N670" i="6"/>
  <c r="M670" i="6"/>
  <c r="L670" i="6"/>
  <c r="K670" i="6"/>
  <c r="J670" i="6"/>
  <c r="B670" i="6"/>
  <c r="S669" i="6"/>
  <c r="R669" i="6"/>
  <c r="Q669" i="6"/>
  <c r="P669" i="6"/>
  <c r="O669" i="6"/>
  <c r="N669" i="6"/>
  <c r="M669" i="6"/>
  <c r="L669" i="6"/>
  <c r="K669" i="6"/>
  <c r="J669" i="6"/>
  <c r="B669" i="6"/>
  <c r="S668" i="6"/>
  <c r="R668" i="6"/>
  <c r="Q668" i="6"/>
  <c r="P668" i="6"/>
  <c r="O668" i="6"/>
  <c r="N668" i="6"/>
  <c r="M668" i="6"/>
  <c r="L668" i="6"/>
  <c r="K668" i="6"/>
  <c r="J668" i="6"/>
  <c r="B668" i="6"/>
  <c r="S667" i="6"/>
  <c r="R667" i="6"/>
  <c r="Q667" i="6"/>
  <c r="P667" i="6"/>
  <c r="O667" i="6"/>
  <c r="N667" i="6"/>
  <c r="M667" i="6"/>
  <c r="L667" i="6"/>
  <c r="K667" i="6"/>
  <c r="J667" i="6"/>
  <c r="B667" i="6"/>
  <c r="S666" i="6"/>
  <c r="R666" i="6"/>
  <c r="Q666" i="6"/>
  <c r="AC72" i="5" s="1"/>
  <c r="AM72" i="5" s="1"/>
  <c r="P666" i="6"/>
  <c r="O666" i="6"/>
  <c r="N666" i="6"/>
  <c r="M666" i="6"/>
  <c r="Y72" i="5" s="1"/>
  <c r="AI72" i="5" s="1"/>
  <c r="L666" i="6"/>
  <c r="K666" i="6"/>
  <c r="J666" i="6"/>
  <c r="B666" i="6"/>
  <c r="S665" i="6"/>
  <c r="R665" i="6"/>
  <c r="Q665" i="6"/>
  <c r="P665" i="6"/>
  <c r="AB72" i="5" s="1"/>
  <c r="AL72" i="5" s="1"/>
  <c r="O665" i="6"/>
  <c r="N665" i="6"/>
  <c r="M665" i="6"/>
  <c r="L665" i="6"/>
  <c r="X72" i="5" s="1"/>
  <c r="AH72" i="5" s="1"/>
  <c r="K665" i="6"/>
  <c r="J665" i="6"/>
  <c r="B665" i="6"/>
  <c r="S664" i="6"/>
  <c r="AE72" i="5" s="1"/>
  <c r="AO72" i="5" s="1"/>
  <c r="R664" i="6"/>
  <c r="Q664" i="6"/>
  <c r="P664" i="6"/>
  <c r="O664" i="6"/>
  <c r="AA72" i="5" s="1"/>
  <c r="AK72" i="5" s="1"/>
  <c r="N664" i="6"/>
  <c r="M664" i="6"/>
  <c r="L664" i="6"/>
  <c r="K664" i="6"/>
  <c r="W72" i="5" s="1"/>
  <c r="J664" i="6"/>
  <c r="B664" i="6"/>
  <c r="S663" i="6"/>
  <c r="R663" i="6"/>
  <c r="AD72" i="5" s="1"/>
  <c r="AN72" i="5" s="1"/>
  <c r="Q663" i="6"/>
  <c r="P663" i="6"/>
  <c r="O663" i="6"/>
  <c r="N663" i="6"/>
  <c r="Z72" i="5" s="1"/>
  <c r="AJ72" i="5" s="1"/>
  <c r="M663" i="6"/>
  <c r="L663" i="6"/>
  <c r="K663" i="6"/>
  <c r="J663" i="6"/>
  <c r="V72" i="5" s="1"/>
  <c r="AF72" i="5" s="1"/>
  <c r="B663" i="6"/>
  <c r="S662" i="6"/>
  <c r="R662" i="6"/>
  <c r="Q662" i="6"/>
  <c r="P662" i="6"/>
  <c r="O662" i="6"/>
  <c r="N662" i="6"/>
  <c r="M662" i="6"/>
  <c r="L662" i="6"/>
  <c r="K662" i="6"/>
  <c r="J662" i="6"/>
  <c r="B662" i="6"/>
  <c r="S661" i="6"/>
  <c r="R661" i="6"/>
  <c r="Q661" i="6"/>
  <c r="P661" i="6"/>
  <c r="O661" i="6"/>
  <c r="N661" i="6"/>
  <c r="M661" i="6"/>
  <c r="L661" i="6"/>
  <c r="K661" i="6"/>
  <c r="J661" i="6"/>
  <c r="B661" i="6"/>
  <c r="S660" i="6"/>
  <c r="R660" i="6"/>
  <c r="Q660" i="6"/>
  <c r="P660" i="6"/>
  <c r="O660" i="6"/>
  <c r="N660" i="6"/>
  <c r="M660" i="6"/>
  <c r="L660" i="6"/>
  <c r="K660" i="6"/>
  <c r="J660" i="6"/>
  <c r="B660" i="6"/>
  <c r="S659" i="6"/>
  <c r="R659" i="6"/>
  <c r="Q659" i="6"/>
  <c r="P659" i="6"/>
  <c r="O659" i="6"/>
  <c r="N659" i="6"/>
  <c r="M659" i="6"/>
  <c r="L659" i="6"/>
  <c r="K659" i="6"/>
  <c r="J659" i="6"/>
  <c r="B659" i="6"/>
  <c r="S658" i="6"/>
  <c r="R658" i="6"/>
  <c r="Q658" i="6"/>
  <c r="AC71" i="5" s="1"/>
  <c r="AM71" i="5" s="1"/>
  <c r="P658" i="6"/>
  <c r="O658" i="6"/>
  <c r="N658" i="6"/>
  <c r="M658" i="6"/>
  <c r="Y71" i="5" s="1"/>
  <c r="AI71" i="5" s="1"/>
  <c r="L658" i="6"/>
  <c r="K658" i="6"/>
  <c r="J658" i="6"/>
  <c r="B658" i="6"/>
  <c r="S657" i="6"/>
  <c r="R657" i="6"/>
  <c r="Q657" i="6"/>
  <c r="P657" i="6"/>
  <c r="AB71" i="5" s="1"/>
  <c r="AL71" i="5" s="1"/>
  <c r="O657" i="6"/>
  <c r="N657" i="6"/>
  <c r="M657" i="6"/>
  <c r="L657" i="6"/>
  <c r="X71" i="5" s="1"/>
  <c r="AH71" i="5" s="1"/>
  <c r="K657" i="6"/>
  <c r="J657" i="6"/>
  <c r="B657" i="6"/>
  <c r="S656" i="6"/>
  <c r="AE71" i="5" s="1"/>
  <c r="AO71" i="5" s="1"/>
  <c r="R656" i="6"/>
  <c r="Q656" i="6"/>
  <c r="P656" i="6"/>
  <c r="O656" i="6"/>
  <c r="AA71" i="5" s="1"/>
  <c r="AK71" i="5" s="1"/>
  <c r="N656" i="6"/>
  <c r="M656" i="6"/>
  <c r="L656" i="6"/>
  <c r="K656" i="6"/>
  <c r="W71" i="5" s="1"/>
  <c r="AG71" i="5" s="1"/>
  <c r="J656" i="6"/>
  <c r="B656" i="6"/>
  <c r="S655" i="6"/>
  <c r="R655" i="6"/>
  <c r="AD71" i="5" s="1"/>
  <c r="AN71" i="5" s="1"/>
  <c r="Q655" i="6"/>
  <c r="P655" i="6"/>
  <c r="O655" i="6"/>
  <c r="N655" i="6"/>
  <c r="Z71" i="5" s="1"/>
  <c r="AJ71" i="5" s="1"/>
  <c r="M655" i="6"/>
  <c r="L655" i="6"/>
  <c r="K655" i="6"/>
  <c r="J655" i="6"/>
  <c r="V71" i="5" s="1"/>
  <c r="AF71" i="5" s="1"/>
  <c r="B655" i="6"/>
  <c r="S654" i="6"/>
  <c r="R654" i="6"/>
  <c r="Q654" i="6"/>
  <c r="P654" i="6"/>
  <c r="O654" i="6"/>
  <c r="N654" i="6"/>
  <c r="M654" i="6"/>
  <c r="L654" i="6"/>
  <c r="K654" i="6"/>
  <c r="J654" i="6"/>
  <c r="B654" i="6"/>
  <c r="S653" i="6"/>
  <c r="R653" i="6"/>
  <c r="Q653" i="6"/>
  <c r="P653" i="6"/>
  <c r="O653" i="6"/>
  <c r="N653" i="6"/>
  <c r="M653" i="6"/>
  <c r="L653" i="6"/>
  <c r="K653" i="6"/>
  <c r="J653" i="6"/>
  <c r="B653" i="6"/>
  <c r="S652" i="6"/>
  <c r="R652" i="6"/>
  <c r="Q652" i="6"/>
  <c r="P652" i="6"/>
  <c r="O652" i="6"/>
  <c r="N652" i="6"/>
  <c r="M652" i="6"/>
  <c r="L652" i="6"/>
  <c r="K652" i="6"/>
  <c r="J652" i="6"/>
  <c r="B652" i="6"/>
  <c r="S651" i="6"/>
  <c r="R651" i="6"/>
  <c r="AD70" i="5" s="1"/>
  <c r="AN70" i="5" s="1"/>
  <c r="Q651" i="6"/>
  <c r="P651" i="6"/>
  <c r="O651" i="6"/>
  <c r="N651" i="6"/>
  <c r="Z70" i="5" s="1"/>
  <c r="AJ70" i="5" s="1"/>
  <c r="M651" i="6"/>
  <c r="L651" i="6"/>
  <c r="K651" i="6"/>
  <c r="J651" i="6"/>
  <c r="V70" i="5" s="1"/>
  <c r="AF70" i="5" s="1"/>
  <c r="B651" i="6"/>
  <c r="S650" i="6"/>
  <c r="R650" i="6"/>
  <c r="Q650" i="6"/>
  <c r="AC70" i="5" s="1"/>
  <c r="AM70" i="5" s="1"/>
  <c r="P650" i="6"/>
  <c r="O650" i="6"/>
  <c r="N650" i="6"/>
  <c r="M650" i="6"/>
  <c r="Y70" i="5" s="1"/>
  <c r="AI70" i="5" s="1"/>
  <c r="L650" i="6"/>
  <c r="K650" i="6"/>
  <c r="J650" i="6"/>
  <c r="B650" i="6"/>
  <c r="S649" i="6"/>
  <c r="R649" i="6"/>
  <c r="Q649" i="6"/>
  <c r="P649" i="6"/>
  <c r="AB70" i="5" s="1"/>
  <c r="AL70" i="5" s="1"/>
  <c r="O649" i="6"/>
  <c r="N649" i="6"/>
  <c r="M649" i="6"/>
  <c r="L649" i="6"/>
  <c r="X70" i="5" s="1"/>
  <c r="AH70" i="5" s="1"/>
  <c r="K649" i="6"/>
  <c r="J649" i="6"/>
  <c r="B649" i="6"/>
  <c r="S648" i="6"/>
  <c r="AE70" i="5" s="1"/>
  <c r="AO70" i="5" s="1"/>
  <c r="R648" i="6"/>
  <c r="Q648" i="6"/>
  <c r="P648" i="6"/>
  <c r="O648" i="6"/>
  <c r="AA70" i="5" s="1"/>
  <c r="AK70" i="5" s="1"/>
  <c r="N648" i="6"/>
  <c r="M648" i="6"/>
  <c r="L648" i="6"/>
  <c r="K648" i="6"/>
  <c r="W70" i="5" s="1"/>
  <c r="AG70" i="5" s="1"/>
  <c r="J648" i="6"/>
  <c r="B648" i="6"/>
  <c r="S647" i="6"/>
  <c r="R647" i="6"/>
  <c r="Q647" i="6"/>
  <c r="P647" i="6"/>
  <c r="O647" i="6"/>
  <c r="N647" i="6"/>
  <c r="M647" i="6"/>
  <c r="L647" i="6"/>
  <c r="K647" i="6"/>
  <c r="J647" i="6"/>
  <c r="B647" i="6"/>
  <c r="S646" i="6"/>
  <c r="R646" i="6"/>
  <c r="Q646" i="6"/>
  <c r="P646" i="6"/>
  <c r="O646" i="6"/>
  <c r="N646" i="6"/>
  <c r="M646" i="6"/>
  <c r="L646" i="6"/>
  <c r="K646" i="6"/>
  <c r="J646" i="6"/>
  <c r="B646" i="6"/>
  <c r="S645" i="6"/>
  <c r="R645" i="6"/>
  <c r="Q645" i="6"/>
  <c r="P645" i="6"/>
  <c r="O645" i="6"/>
  <c r="N645" i="6"/>
  <c r="M645" i="6"/>
  <c r="L645" i="6"/>
  <c r="K645" i="6"/>
  <c r="J645" i="6"/>
  <c r="B645" i="6"/>
  <c r="S644" i="6"/>
  <c r="R644" i="6"/>
  <c r="Q644" i="6"/>
  <c r="P644" i="6"/>
  <c r="O644" i="6"/>
  <c r="N644" i="6"/>
  <c r="M644" i="6"/>
  <c r="L644" i="6"/>
  <c r="K644" i="6"/>
  <c r="J644" i="6"/>
  <c r="B644" i="6"/>
  <c r="S643" i="6"/>
  <c r="R643" i="6"/>
  <c r="Q643" i="6"/>
  <c r="P643" i="6"/>
  <c r="O643" i="6"/>
  <c r="N643" i="6"/>
  <c r="M643" i="6"/>
  <c r="L643" i="6"/>
  <c r="K643" i="6"/>
  <c r="J643" i="6"/>
  <c r="B643" i="6"/>
  <c r="S642" i="6"/>
  <c r="R642" i="6"/>
  <c r="Q642" i="6"/>
  <c r="AC69" i="5" s="1"/>
  <c r="AM69" i="5" s="1"/>
  <c r="P642" i="6"/>
  <c r="O642" i="6"/>
  <c r="N642" i="6"/>
  <c r="M642" i="6"/>
  <c r="Y69" i="5" s="1"/>
  <c r="AI69" i="5" s="1"/>
  <c r="L642" i="6"/>
  <c r="K642" i="6"/>
  <c r="J642" i="6"/>
  <c r="B642" i="6"/>
  <c r="S641" i="6"/>
  <c r="R641" i="6"/>
  <c r="Q641" i="6"/>
  <c r="P641" i="6"/>
  <c r="AB69" i="5" s="1"/>
  <c r="AL69" i="5" s="1"/>
  <c r="O641" i="6"/>
  <c r="N641" i="6"/>
  <c r="M641" i="6"/>
  <c r="L641" i="6"/>
  <c r="X69" i="5" s="1"/>
  <c r="AH69" i="5" s="1"/>
  <c r="K641" i="6"/>
  <c r="J641" i="6"/>
  <c r="B641" i="6"/>
  <c r="S640" i="6"/>
  <c r="AE69" i="5" s="1"/>
  <c r="AO69" i="5" s="1"/>
  <c r="R640" i="6"/>
  <c r="Q640" i="6"/>
  <c r="P640" i="6"/>
  <c r="O640" i="6"/>
  <c r="AA69" i="5" s="1"/>
  <c r="AK69" i="5" s="1"/>
  <c r="N640" i="6"/>
  <c r="M640" i="6"/>
  <c r="L640" i="6"/>
  <c r="K640" i="6"/>
  <c r="W69" i="5" s="1"/>
  <c r="AG69" i="5" s="1"/>
  <c r="J640" i="6"/>
  <c r="B640" i="6"/>
  <c r="S639" i="6"/>
  <c r="R639" i="6"/>
  <c r="AD69" i="5" s="1"/>
  <c r="AN69" i="5" s="1"/>
  <c r="Q639" i="6"/>
  <c r="P639" i="6"/>
  <c r="O639" i="6"/>
  <c r="N639" i="6"/>
  <c r="Z69" i="5" s="1"/>
  <c r="AJ69" i="5" s="1"/>
  <c r="M639" i="6"/>
  <c r="L639" i="6"/>
  <c r="K639" i="6"/>
  <c r="J639" i="6"/>
  <c r="V69" i="5" s="1"/>
  <c r="AF69" i="5" s="1"/>
  <c r="B639" i="6"/>
  <c r="S638" i="6"/>
  <c r="R638" i="6"/>
  <c r="Q638" i="6"/>
  <c r="P638" i="6"/>
  <c r="O638" i="6"/>
  <c r="N638" i="6"/>
  <c r="M638" i="6"/>
  <c r="L638" i="6"/>
  <c r="K638" i="6"/>
  <c r="J638" i="6"/>
  <c r="B638" i="6"/>
  <c r="S637" i="6"/>
  <c r="R637" i="6"/>
  <c r="Q637" i="6"/>
  <c r="P637" i="6"/>
  <c r="O637" i="6"/>
  <c r="N637" i="6"/>
  <c r="M637" i="6"/>
  <c r="L637" i="6"/>
  <c r="K637" i="6"/>
  <c r="J637" i="6"/>
  <c r="B637" i="6"/>
  <c r="S636" i="6"/>
  <c r="R636" i="6"/>
  <c r="Q636" i="6"/>
  <c r="P636" i="6"/>
  <c r="O636" i="6"/>
  <c r="N636" i="6"/>
  <c r="M636" i="6"/>
  <c r="L636" i="6"/>
  <c r="K636" i="6"/>
  <c r="J636" i="6"/>
  <c r="B636" i="6"/>
  <c r="S635" i="6"/>
  <c r="R635" i="6"/>
  <c r="Q635" i="6"/>
  <c r="P635" i="6"/>
  <c r="O635" i="6"/>
  <c r="N635" i="6"/>
  <c r="M635" i="6"/>
  <c r="L635" i="6"/>
  <c r="K635" i="6"/>
  <c r="J635" i="6"/>
  <c r="B635" i="6"/>
  <c r="S634" i="6"/>
  <c r="R634" i="6"/>
  <c r="Q634" i="6"/>
  <c r="P634" i="6"/>
  <c r="O634" i="6"/>
  <c r="N634" i="6"/>
  <c r="M634" i="6"/>
  <c r="L634" i="6"/>
  <c r="K634" i="6"/>
  <c r="J634" i="6"/>
  <c r="B634" i="6"/>
  <c r="S633" i="6"/>
  <c r="R633" i="6"/>
  <c r="Q633" i="6"/>
  <c r="P633" i="6"/>
  <c r="O633" i="6"/>
  <c r="N633" i="6"/>
  <c r="M633" i="6"/>
  <c r="L633" i="6"/>
  <c r="K633" i="6"/>
  <c r="J633" i="6"/>
  <c r="B633" i="6"/>
  <c r="S632" i="6"/>
  <c r="R632" i="6"/>
  <c r="Q632" i="6"/>
  <c r="P632" i="6"/>
  <c r="O632" i="6"/>
  <c r="N632" i="6"/>
  <c r="M632" i="6"/>
  <c r="L632" i="6"/>
  <c r="K632" i="6"/>
  <c r="J632" i="6"/>
  <c r="B632" i="6"/>
  <c r="S631" i="6"/>
  <c r="R631" i="6"/>
  <c r="AD68" i="5" s="1"/>
  <c r="AN68" i="5" s="1"/>
  <c r="Q631" i="6"/>
  <c r="P631" i="6"/>
  <c r="O631" i="6"/>
  <c r="N631" i="6"/>
  <c r="Z68" i="5" s="1"/>
  <c r="AJ68" i="5" s="1"/>
  <c r="M631" i="6"/>
  <c r="L631" i="6"/>
  <c r="K631" i="6"/>
  <c r="J631" i="6"/>
  <c r="V68" i="5" s="1"/>
  <c r="AF68" i="5" s="1"/>
  <c r="B631" i="6"/>
  <c r="S630" i="6"/>
  <c r="R630" i="6"/>
  <c r="Q630" i="6"/>
  <c r="AC68" i="5" s="1"/>
  <c r="AM68" i="5" s="1"/>
  <c r="P630" i="6"/>
  <c r="O630" i="6"/>
  <c r="N630" i="6"/>
  <c r="M630" i="6"/>
  <c r="Y68" i="5" s="1"/>
  <c r="AI68" i="5" s="1"/>
  <c r="L630" i="6"/>
  <c r="K630" i="6"/>
  <c r="J630" i="6"/>
  <c r="B630" i="6"/>
  <c r="S629" i="6"/>
  <c r="R629" i="6"/>
  <c r="Q629" i="6"/>
  <c r="P629" i="6"/>
  <c r="AB68" i="5" s="1"/>
  <c r="AL68" i="5" s="1"/>
  <c r="O629" i="6"/>
  <c r="N629" i="6"/>
  <c r="M629" i="6"/>
  <c r="L629" i="6"/>
  <c r="X68" i="5" s="1"/>
  <c r="AH68" i="5" s="1"/>
  <c r="K629" i="6"/>
  <c r="J629" i="6"/>
  <c r="B629" i="6"/>
  <c r="S628" i="6"/>
  <c r="AE68" i="5" s="1"/>
  <c r="AO68" i="5" s="1"/>
  <c r="R628" i="6"/>
  <c r="Q628" i="6"/>
  <c r="P628" i="6"/>
  <c r="O628" i="6"/>
  <c r="AA68" i="5" s="1"/>
  <c r="AK68" i="5" s="1"/>
  <c r="N628" i="6"/>
  <c r="M628" i="6"/>
  <c r="L628" i="6"/>
  <c r="K628" i="6"/>
  <c r="W68" i="5" s="1"/>
  <c r="AG68" i="5" s="1"/>
  <c r="J628" i="6"/>
  <c r="B628" i="6"/>
  <c r="S627" i="6"/>
  <c r="R627" i="6"/>
  <c r="Q627" i="6"/>
  <c r="P627" i="6"/>
  <c r="O627" i="6"/>
  <c r="N627" i="6"/>
  <c r="M627" i="6"/>
  <c r="L627" i="6"/>
  <c r="K627" i="6"/>
  <c r="J627" i="6"/>
  <c r="B627" i="6"/>
  <c r="S626" i="6"/>
  <c r="R626" i="6"/>
  <c r="Q626" i="6"/>
  <c r="P626" i="6"/>
  <c r="O626" i="6"/>
  <c r="N626" i="6"/>
  <c r="M626" i="6"/>
  <c r="L626" i="6"/>
  <c r="K626" i="6"/>
  <c r="J626" i="6"/>
  <c r="B626" i="6"/>
  <c r="S625" i="6"/>
  <c r="R625" i="6"/>
  <c r="Q625" i="6"/>
  <c r="P625" i="6"/>
  <c r="O625" i="6"/>
  <c r="N625" i="6"/>
  <c r="M625" i="6"/>
  <c r="L625" i="6"/>
  <c r="K625" i="6"/>
  <c r="J625" i="6"/>
  <c r="B625" i="6"/>
  <c r="S624" i="6"/>
  <c r="R624" i="6"/>
  <c r="Q624" i="6"/>
  <c r="P624" i="6"/>
  <c r="O624" i="6"/>
  <c r="N624" i="6"/>
  <c r="M624" i="6"/>
  <c r="L624" i="6"/>
  <c r="K624" i="6"/>
  <c r="J624" i="6"/>
  <c r="B624" i="6"/>
  <c r="S623" i="6"/>
  <c r="R623" i="6"/>
  <c r="Q623" i="6"/>
  <c r="P623" i="6"/>
  <c r="O623" i="6"/>
  <c r="N623" i="6"/>
  <c r="M623" i="6"/>
  <c r="L623" i="6"/>
  <c r="K623" i="6"/>
  <c r="J623" i="6"/>
  <c r="B623" i="6"/>
  <c r="S622" i="6"/>
  <c r="R622" i="6"/>
  <c r="Q622" i="6"/>
  <c r="P622" i="6"/>
  <c r="O622" i="6"/>
  <c r="N622" i="6"/>
  <c r="M622" i="6"/>
  <c r="L622" i="6"/>
  <c r="K622" i="6"/>
  <c r="J622" i="6"/>
  <c r="B622" i="6"/>
  <c r="S621" i="6"/>
  <c r="R621" i="6"/>
  <c r="Q621" i="6"/>
  <c r="P621" i="6"/>
  <c r="AB67" i="5" s="1"/>
  <c r="AL67" i="5" s="1"/>
  <c r="O621" i="6"/>
  <c r="N621" i="6"/>
  <c r="M621" i="6"/>
  <c r="L621" i="6"/>
  <c r="X67" i="5" s="1"/>
  <c r="AH67" i="5" s="1"/>
  <c r="K621" i="6"/>
  <c r="J621" i="6"/>
  <c r="B621" i="6"/>
  <c r="S620" i="6"/>
  <c r="AE67" i="5" s="1"/>
  <c r="AO67" i="5" s="1"/>
  <c r="R620" i="6"/>
  <c r="Q620" i="6"/>
  <c r="P620" i="6"/>
  <c r="O620" i="6"/>
  <c r="AA67" i="5" s="1"/>
  <c r="AK67" i="5" s="1"/>
  <c r="N620" i="6"/>
  <c r="M620" i="6"/>
  <c r="L620" i="6"/>
  <c r="K620" i="6"/>
  <c r="W67" i="5" s="1"/>
  <c r="AG67" i="5" s="1"/>
  <c r="J620" i="6"/>
  <c r="B620" i="6"/>
  <c r="S619" i="6"/>
  <c r="R619" i="6"/>
  <c r="AD67" i="5" s="1"/>
  <c r="AN67" i="5" s="1"/>
  <c r="Q619" i="6"/>
  <c r="P619" i="6"/>
  <c r="O619" i="6"/>
  <c r="N619" i="6"/>
  <c r="Z67" i="5" s="1"/>
  <c r="AJ67" i="5" s="1"/>
  <c r="M619" i="6"/>
  <c r="L619" i="6"/>
  <c r="K619" i="6"/>
  <c r="J619" i="6"/>
  <c r="V67" i="5" s="1"/>
  <c r="AF67" i="5" s="1"/>
  <c r="B619" i="6"/>
  <c r="S618" i="6"/>
  <c r="R618" i="6"/>
  <c r="Q618" i="6"/>
  <c r="AC67" i="5" s="1"/>
  <c r="AM67" i="5" s="1"/>
  <c r="P618" i="6"/>
  <c r="O618" i="6"/>
  <c r="N618" i="6"/>
  <c r="M618" i="6"/>
  <c r="Y67" i="5" s="1"/>
  <c r="AI67" i="5" s="1"/>
  <c r="L618" i="6"/>
  <c r="K618" i="6"/>
  <c r="J618" i="6"/>
  <c r="B618" i="6"/>
  <c r="S617" i="6"/>
  <c r="R617" i="6"/>
  <c r="Q617" i="6"/>
  <c r="P617" i="6"/>
  <c r="O617" i="6"/>
  <c r="N617" i="6"/>
  <c r="M617" i="6"/>
  <c r="L617" i="6"/>
  <c r="K617" i="6"/>
  <c r="J617" i="6"/>
  <c r="B617" i="6"/>
  <c r="S616" i="6"/>
  <c r="R616" i="6"/>
  <c r="Q616" i="6"/>
  <c r="P616" i="6"/>
  <c r="O616" i="6"/>
  <c r="N616" i="6"/>
  <c r="M616" i="6"/>
  <c r="L616" i="6"/>
  <c r="K616" i="6"/>
  <c r="J616" i="6"/>
  <c r="B616" i="6"/>
  <c r="S615" i="6"/>
  <c r="R615" i="6"/>
  <c r="Q615" i="6"/>
  <c r="P615" i="6"/>
  <c r="O615" i="6"/>
  <c r="N615" i="6"/>
  <c r="M615" i="6"/>
  <c r="L615" i="6"/>
  <c r="K615" i="6"/>
  <c r="J615" i="6"/>
  <c r="B615" i="6"/>
  <c r="S614" i="6"/>
  <c r="R614" i="6"/>
  <c r="Q614" i="6"/>
  <c r="P614" i="6"/>
  <c r="O614" i="6"/>
  <c r="N614" i="6"/>
  <c r="M614" i="6"/>
  <c r="L614" i="6"/>
  <c r="K614" i="6"/>
  <c r="J614" i="6"/>
  <c r="B614" i="6"/>
  <c r="S613" i="6"/>
  <c r="R613" i="6"/>
  <c r="Q613" i="6"/>
  <c r="P613" i="6"/>
  <c r="O613" i="6"/>
  <c r="N613" i="6"/>
  <c r="M613" i="6"/>
  <c r="L613" i="6"/>
  <c r="K613" i="6"/>
  <c r="J613" i="6"/>
  <c r="B613" i="6"/>
  <c r="S612" i="6"/>
  <c r="AE66" i="5" s="1"/>
  <c r="AO66" i="5" s="1"/>
  <c r="R612" i="6"/>
  <c r="Q612" i="6"/>
  <c r="P612" i="6"/>
  <c r="O612" i="6"/>
  <c r="AA66" i="5" s="1"/>
  <c r="AK66" i="5" s="1"/>
  <c r="N612" i="6"/>
  <c r="M612" i="6"/>
  <c r="L612" i="6"/>
  <c r="K612" i="6"/>
  <c r="W66" i="5" s="1"/>
  <c r="AG66" i="5" s="1"/>
  <c r="J612" i="6"/>
  <c r="B612" i="6"/>
  <c r="S611" i="6"/>
  <c r="R611" i="6"/>
  <c r="AD66" i="5" s="1"/>
  <c r="AN66" i="5" s="1"/>
  <c r="Q611" i="6"/>
  <c r="P611" i="6"/>
  <c r="O611" i="6"/>
  <c r="N611" i="6"/>
  <c r="Z66" i="5" s="1"/>
  <c r="AJ66" i="5" s="1"/>
  <c r="M611" i="6"/>
  <c r="L611" i="6"/>
  <c r="K611" i="6"/>
  <c r="J611" i="6"/>
  <c r="V66" i="5" s="1"/>
  <c r="AF66" i="5" s="1"/>
  <c r="B611" i="6"/>
  <c r="S610" i="6"/>
  <c r="R610" i="6"/>
  <c r="Q610" i="6"/>
  <c r="AC66" i="5" s="1"/>
  <c r="AM66" i="5" s="1"/>
  <c r="P610" i="6"/>
  <c r="O610" i="6"/>
  <c r="N610" i="6"/>
  <c r="M610" i="6"/>
  <c r="Y66" i="5" s="1"/>
  <c r="AI66" i="5" s="1"/>
  <c r="L610" i="6"/>
  <c r="K610" i="6"/>
  <c r="J610" i="6"/>
  <c r="B610" i="6"/>
  <c r="S609" i="6"/>
  <c r="R609" i="6"/>
  <c r="Q609" i="6"/>
  <c r="P609" i="6"/>
  <c r="AB66" i="5" s="1"/>
  <c r="AL66" i="5" s="1"/>
  <c r="O609" i="6"/>
  <c r="N609" i="6"/>
  <c r="M609" i="6"/>
  <c r="L609" i="6"/>
  <c r="X66" i="5" s="1"/>
  <c r="AH66" i="5" s="1"/>
  <c r="K609" i="6"/>
  <c r="J609" i="6"/>
  <c r="B609" i="6"/>
  <c r="S608" i="6"/>
  <c r="R608" i="6"/>
  <c r="Q608" i="6"/>
  <c r="P608" i="6"/>
  <c r="O608" i="6"/>
  <c r="N608" i="6"/>
  <c r="M608" i="6"/>
  <c r="L608" i="6"/>
  <c r="K608" i="6"/>
  <c r="J608" i="6"/>
  <c r="B608" i="6"/>
  <c r="S607" i="6"/>
  <c r="R607" i="6"/>
  <c r="Q607" i="6"/>
  <c r="P607" i="6"/>
  <c r="O607" i="6"/>
  <c r="N607" i="6"/>
  <c r="M607" i="6"/>
  <c r="L607" i="6"/>
  <c r="K607" i="6"/>
  <c r="J607" i="6"/>
  <c r="B607" i="6"/>
  <c r="S606" i="6"/>
  <c r="R606" i="6"/>
  <c r="Q606" i="6"/>
  <c r="P606" i="6"/>
  <c r="O606" i="6"/>
  <c r="N606" i="6"/>
  <c r="M606" i="6"/>
  <c r="L606" i="6"/>
  <c r="K606" i="6"/>
  <c r="J606" i="6"/>
  <c r="B606" i="6"/>
  <c r="S605" i="6"/>
  <c r="R605" i="6"/>
  <c r="Q605" i="6"/>
  <c r="P605" i="6"/>
  <c r="O605" i="6"/>
  <c r="N605" i="6"/>
  <c r="M605" i="6"/>
  <c r="L605" i="6"/>
  <c r="K605" i="6"/>
  <c r="J605" i="6"/>
  <c r="B605" i="6"/>
  <c r="S604" i="6"/>
  <c r="R604" i="6"/>
  <c r="Q604" i="6"/>
  <c r="P604" i="6"/>
  <c r="O604" i="6"/>
  <c r="N604" i="6"/>
  <c r="M604" i="6"/>
  <c r="L604" i="6"/>
  <c r="K604" i="6"/>
  <c r="J604" i="6"/>
  <c r="B604" i="6"/>
  <c r="S603" i="6"/>
  <c r="R603" i="6"/>
  <c r="Q603" i="6"/>
  <c r="P603" i="6"/>
  <c r="O603" i="6"/>
  <c r="N603" i="6"/>
  <c r="M603" i="6"/>
  <c r="L603" i="6"/>
  <c r="K603" i="6"/>
  <c r="J603" i="6"/>
  <c r="B603" i="6"/>
  <c r="S602" i="6"/>
  <c r="R602" i="6"/>
  <c r="Q602" i="6"/>
  <c r="AC65" i="5" s="1"/>
  <c r="AM65" i="5" s="1"/>
  <c r="P602" i="6"/>
  <c r="O602" i="6"/>
  <c r="N602" i="6"/>
  <c r="M602" i="6"/>
  <c r="Y65" i="5" s="1"/>
  <c r="AI65" i="5" s="1"/>
  <c r="L602" i="6"/>
  <c r="K602" i="6"/>
  <c r="J602" i="6"/>
  <c r="B602" i="6"/>
  <c r="S601" i="6"/>
  <c r="R601" i="6"/>
  <c r="Q601" i="6"/>
  <c r="P601" i="6"/>
  <c r="AB65" i="5" s="1"/>
  <c r="AL65" i="5" s="1"/>
  <c r="O601" i="6"/>
  <c r="N601" i="6"/>
  <c r="M601" i="6"/>
  <c r="L601" i="6"/>
  <c r="X65" i="5" s="1"/>
  <c r="AH65" i="5" s="1"/>
  <c r="K601" i="6"/>
  <c r="J601" i="6"/>
  <c r="B601" i="6"/>
  <c r="S600" i="6"/>
  <c r="AE65" i="5" s="1"/>
  <c r="AO65" i="5" s="1"/>
  <c r="R600" i="6"/>
  <c r="Q600" i="6"/>
  <c r="P600" i="6"/>
  <c r="O600" i="6"/>
  <c r="AA65" i="5" s="1"/>
  <c r="AK65" i="5" s="1"/>
  <c r="N600" i="6"/>
  <c r="M600" i="6"/>
  <c r="L600" i="6"/>
  <c r="K600" i="6"/>
  <c r="J600" i="6"/>
  <c r="B600" i="6"/>
  <c r="S599" i="6"/>
  <c r="R599" i="6"/>
  <c r="AD65" i="5" s="1"/>
  <c r="AN65" i="5" s="1"/>
  <c r="Q599" i="6"/>
  <c r="P599" i="6"/>
  <c r="O599" i="6"/>
  <c r="N599" i="6"/>
  <c r="Z65" i="5" s="1"/>
  <c r="AJ65" i="5" s="1"/>
  <c r="M599" i="6"/>
  <c r="L599" i="6"/>
  <c r="K599" i="6"/>
  <c r="J599" i="6"/>
  <c r="V65" i="5" s="1"/>
  <c r="AF65" i="5" s="1"/>
  <c r="B599" i="6"/>
  <c r="S598" i="6"/>
  <c r="R598" i="6"/>
  <c r="Q598" i="6"/>
  <c r="P598" i="6"/>
  <c r="O598" i="6"/>
  <c r="N598" i="6"/>
  <c r="M598" i="6"/>
  <c r="L598" i="6"/>
  <c r="K598" i="6"/>
  <c r="J598" i="6"/>
  <c r="B598" i="6"/>
  <c r="S597" i="6"/>
  <c r="R597" i="6"/>
  <c r="Q597" i="6"/>
  <c r="P597" i="6"/>
  <c r="O597" i="6"/>
  <c r="N597" i="6"/>
  <c r="M597" i="6"/>
  <c r="L597" i="6"/>
  <c r="K597" i="6"/>
  <c r="J597" i="6"/>
  <c r="B597" i="6"/>
  <c r="S596" i="6"/>
  <c r="R596" i="6"/>
  <c r="Q596" i="6"/>
  <c r="P596" i="6"/>
  <c r="O596" i="6"/>
  <c r="N596" i="6"/>
  <c r="M596" i="6"/>
  <c r="L596" i="6"/>
  <c r="K596" i="6"/>
  <c r="J596" i="6"/>
  <c r="B596" i="6"/>
  <c r="S595" i="6"/>
  <c r="R595" i="6"/>
  <c r="Q595" i="6"/>
  <c r="P595" i="6"/>
  <c r="O595" i="6"/>
  <c r="N595" i="6"/>
  <c r="M595" i="6"/>
  <c r="L595" i="6"/>
  <c r="K595" i="6"/>
  <c r="J595" i="6"/>
  <c r="B595" i="6"/>
  <c r="S594" i="6"/>
  <c r="R594" i="6"/>
  <c r="Q594" i="6"/>
  <c r="P594" i="6"/>
  <c r="O594" i="6"/>
  <c r="N594" i="6"/>
  <c r="M594" i="6"/>
  <c r="L594" i="6"/>
  <c r="K594" i="6"/>
  <c r="J594" i="6"/>
  <c r="B594" i="6"/>
  <c r="S593" i="6"/>
  <c r="R593" i="6"/>
  <c r="Q593" i="6"/>
  <c r="P593" i="6"/>
  <c r="O593" i="6"/>
  <c r="N593" i="6"/>
  <c r="M593" i="6"/>
  <c r="L593" i="6"/>
  <c r="K593" i="6"/>
  <c r="J593" i="6"/>
  <c r="B593" i="6"/>
  <c r="S592" i="6"/>
  <c r="AE64" i="5" s="1"/>
  <c r="AO64" i="5" s="1"/>
  <c r="R592" i="6"/>
  <c r="Q592" i="6"/>
  <c r="P592" i="6"/>
  <c r="O592" i="6"/>
  <c r="AA64" i="5" s="1"/>
  <c r="AK64" i="5" s="1"/>
  <c r="N592" i="6"/>
  <c r="M592" i="6"/>
  <c r="L592" i="6"/>
  <c r="K592" i="6"/>
  <c r="W64" i="5" s="1"/>
  <c r="AG64" i="5" s="1"/>
  <c r="J592" i="6"/>
  <c r="B592" i="6"/>
  <c r="S591" i="6"/>
  <c r="R591" i="6"/>
  <c r="AD64" i="5" s="1"/>
  <c r="AN64" i="5" s="1"/>
  <c r="Q591" i="6"/>
  <c r="P591" i="6"/>
  <c r="O591" i="6"/>
  <c r="N591" i="6"/>
  <c r="Z64" i="5" s="1"/>
  <c r="AJ64" i="5" s="1"/>
  <c r="M591" i="6"/>
  <c r="L591" i="6"/>
  <c r="K591" i="6"/>
  <c r="J591" i="6"/>
  <c r="V64" i="5" s="1"/>
  <c r="AF64" i="5" s="1"/>
  <c r="B591" i="6"/>
  <c r="S590" i="6"/>
  <c r="R590" i="6"/>
  <c r="Q590" i="6"/>
  <c r="AC64" i="5" s="1"/>
  <c r="AM64" i="5" s="1"/>
  <c r="P590" i="6"/>
  <c r="O590" i="6"/>
  <c r="N590" i="6"/>
  <c r="M590" i="6"/>
  <c r="Y64" i="5" s="1"/>
  <c r="AI64" i="5" s="1"/>
  <c r="L590" i="6"/>
  <c r="K590" i="6"/>
  <c r="J590" i="6"/>
  <c r="B590" i="6"/>
  <c r="S589" i="6"/>
  <c r="R589" i="6"/>
  <c r="Q589" i="6"/>
  <c r="P589" i="6"/>
  <c r="AB64" i="5" s="1"/>
  <c r="AL64" i="5" s="1"/>
  <c r="O589" i="6"/>
  <c r="N589" i="6"/>
  <c r="M589" i="6"/>
  <c r="L589" i="6"/>
  <c r="X64" i="5" s="1"/>
  <c r="AH64" i="5" s="1"/>
  <c r="K589" i="6"/>
  <c r="J589" i="6"/>
  <c r="B589" i="6"/>
  <c r="S588" i="6"/>
  <c r="R588" i="6"/>
  <c r="Q588" i="6"/>
  <c r="P588" i="6"/>
  <c r="O588" i="6"/>
  <c r="N588" i="6"/>
  <c r="M588" i="6"/>
  <c r="L588" i="6"/>
  <c r="K588" i="6"/>
  <c r="J588" i="6"/>
  <c r="B588" i="6"/>
  <c r="S587" i="6"/>
  <c r="R587" i="6"/>
  <c r="Q587" i="6"/>
  <c r="P587" i="6"/>
  <c r="O587" i="6"/>
  <c r="N587" i="6"/>
  <c r="M587" i="6"/>
  <c r="L587" i="6"/>
  <c r="K587" i="6"/>
  <c r="J587" i="6"/>
  <c r="B587" i="6"/>
  <c r="S586" i="6"/>
  <c r="R586" i="6"/>
  <c r="Q586" i="6"/>
  <c r="P586" i="6"/>
  <c r="O586" i="6"/>
  <c r="N586" i="6"/>
  <c r="M586" i="6"/>
  <c r="L586" i="6"/>
  <c r="K586" i="6"/>
  <c r="J586" i="6"/>
  <c r="B586" i="6"/>
  <c r="S585" i="6"/>
  <c r="R585" i="6"/>
  <c r="Q585" i="6"/>
  <c r="P585" i="6"/>
  <c r="O585" i="6"/>
  <c r="N585" i="6"/>
  <c r="M585" i="6"/>
  <c r="L585" i="6"/>
  <c r="K585" i="6"/>
  <c r="J585" i="6"/>
  <c r="B585" i="6"/>
  <c r="S584" i="6"/>
  <c r="R584" i="6"/>
  <c r="Q584" i="6"/>
  <c r="P584" i="6"/>
  <c r="O584" i="6"/>
  <c r="N584" i="6"/>
  <c r="M584" i="6"/>
  <c r="L584" i="6"/>
  <c r="K584" i="6"/>
  <c r="J584" i="6"/>
  <c r="B584" i="6"/>
  <c r="S583" i="6"/>
  <c r="R583" i="6"/>
  <c r="Q583" i="6"/>
  <c r="P583" i="6"/>
  <c r="O583" i="6"/>
  <c r="N583" i="6"/>
  <c r="M583" i="6"/>
  <c r="L583" i="6"/>
  <c r="K583" i="6"/>
  <c r="J583" i="6"/>
  <c r="B583" i="6"/>
  <c r="S582" i="6"/>
  <c r="R582" i="6"/>
  <c r="Q582" i="6"/>
  <c r="P582" i="6"/>
  <c r="O582" i="6"/>
  <c r="N582" i="6"/>
  <c r="M582" i="6"/>
  <c r="L582" i="6"/>
  <c r="K582" i="6"/>
  <c r="J582" i="6"/>
  <c r="B582" i="6"/>
  <c r="S581" i="6"/>
  <c r="R581" i="6"/>
  <c r="Q581" i="6"/>
  <c r="P581" i="6"/>
  <c r="O581" i="6"/>
  <c r="N581" i="6"/>
  <c r="M581" i="6"/>
  <c r="L581" i="6"/>
  <c r="K581" i="6"/>
  <c r="J581" i="6"/>
  <c r="B581" i="6"/>
  <c r="S580" i="6"/>
  <c r="R580" i="6"/>
  <c r="Q580" i="6"/>
  <c r="P580" i="6"/>
  <c r="O580" i="6"/>
  <c r="N580" i="6"/>
  <c r="M580" i="6"/>
  <c r="L580" i="6"/>
  <c r="K580" i="6"/>
  <c r="J580" i="6"/>
  <c r="B580" i="6"/>
  <c r="S579" i="6"/>
  <c r="R579" i="6"/>
  <c r="AD63" i="5" s="1"/>
  <c r="AN63" i="5" s="1"/>
  <c r="Q579" i="6"/>
  <c r="P579" i="6"/>
  <c r="O579" i="6"/>
  <c r="N579" i="6"/>
  <c r="Z63" i="5" s="1"/>
  <c r="AJ63" i="5" s="1"/>
  <c r="M579" i="6"/>
  <c r="L579" i="6"/>
  <c r="K579" i="6"/>
  <c r="J579" i="6"/>
  <c r="V63" i="5" s="1"/>
  <c r="AF63" i="5" s="1"/>
  <c r="B579" i="6"/>
  <c r="S578" i="6"/>
  <c r="R578" i="6"/>
  <c r="Q578" i="6"/>
  <c r="AC63" i="5" s="1"/>
  <c r="AM63" i="5" s="1"/>
  <c r="P578" i="6"/>
  <c r="O578" i="6"/>
  <c r="N578" i="6"/>
  <c r="M578" i="6"/>
  <c r="Y63" i="5" s="1"/>
  <c r="AI63" i="5" s="1"/>
  <c r="L578" i="6"/>
  <c r="K578" i="6"/>
  <c r="J578" i="6"/>
  <c r="B578" i="6"/>
  <c r="S577" i="6"/>
  <c r="R577" i="6"/>
  <c r="Q577" i="6"/>
  <c r="P577" i="6"/>
  <c r="AB63" i="5" s="1"/>
  <c r="AL63" i="5" s="1"/>
  <c r="O577" i="6"/>
  <c r="N577" i="6"/>
  <c r="M577" i="6"/>
  <c r="L577" i="6"/>
  <c r="X63" i="5" s="1"/>
  <c r="AH63" i="5" s="1"/>
  <c r="K577" i="6"/>
  <c r="J577" i="6"/>
  <c r="B577" i="6"/>
  <c r="S576" i="6"/>
  <c r="AE63" i="5" s="1"/>
  <c r="AO63" i="5" s="1"/>
  <c r="R576" i="6"/>
  <c r="Q576" i="6"/>
  <c r="P576" i="6"/>
  <c r="O576" i="6"/>
  <c r="AA63" i="5" s="1"/>
  <c r="AK63" i="5" s="1"/>
  <c r="N576" i="6"/>
  <c r="M576" i="6"/>
  <c r="L576" i="6"/>
  <c r="K576" i="6"/>
  <c r="W63" i="5" s="1"/>
  <c r="AG63" i="5" s="1"/>
  <c r="J576" i="6"/>
  <c r="B576" i="6"/>
  <c r="S575" i="6"/>
  <c r="R575" i="6"/>
  <c r="Q575" i="6"/>
  <c r="P575" i="6"/>
  <c r="O575" i="6"/>
  <c r="N575" i="6"/>
  <c r="M575" i="6"/>
  <c r="L575" i="6"/>
  <c r="K575" i="6"/>
  <c r="J575" i="6"/>
  <c r="B575" i="6"/>
  <c r="S574" i="6"/>
  <c r="R574" i="6"/>
  <c r="Q574" i="6"/>
  <c r="P574" i="6"/>
  <c r="O574" i="6"/>
  <c r="N574" i="6"/>
  <c r="M574" i="6"/>
  <c r="L574" i="6"/>
  <c r="K574" i="6"/>
  <c r="J574" i="6"/>
  <c r="B574" i="6"/>
  <c r="S573" i="6"/>
  <c r="R573" i="6"/>
  <c r="Q573" i="6"/>
  <c r="P573" i="6"/>
  <c r="O573" i="6"/>
  <c r="N573" i="6"/>
  <c r="M573" i="6"/>
  <c r="L573" i="6"/>
  <c r="K573" i="6"/>
  <c r="J573" i="6"/>
  <c r="B573" i="6"/>
  <c r="S572" i="6"/>
  <c r="R572" i="6"/>
  <c r="Q572" i="6"/>
  <c r="P572" i="6"/>
  <c r="O572" i="6"/>
  <c r="N572" i="6"/>
  <c r="M572" i="6"/>
  <c r="L572" i="6"/>
  <c r="K572" i="6"/>
  <c r="J572" i="6"/>
  <c r="B572" i="6"/>
  <c r="S571" i="6"/>
  <c r="R571" i="6"/>
  <c r="Q571" i="6"/>
  <c r="P571" i="6"/>
  <c r="O571" i="6"/>
  <c r="N571" i="6"/>
  <c r="M571" i="6"/>
  <c r="L571" i="6"/>
  <c r="K571" i="6"/>
  <c r="J571" i="6"/>
  <c r="B571" i="6"/>
  <c r="S570" i="6"/>
  <c r="R570" i="6"/>
  <c r="Q570" i="6"/>
  <c r="P570" i="6"/>
  <c r="O570" i="6"/>
  <c r="N570" i="6"/>
  <c r="M570" i="6"/>
  <c r="L570" i="6"/>
  <c r="K570" i="6"/>
  <c r="J570" i="6"/>
  <c r="B570" i="6"/>
  <c r="S569" i="6"/>
  <c r="R569" i="6"/>
  <c r="Q569" i="6"/>
  <c r="P569" i="6"/>
  <c r="O569" i="6"/>
  <c r="N569" i="6"/>
  <c r="M569" i="6"/>
  <c r="L569" i="6"/>
  <c r="K569" i="6"/>
  <c r="J569" i="6"/>
  <c r="B569" i="6"/>
  <c r="S568" i="6"/>
  <c r="AE62" i="5" s="1"/>
  <c r="AO62" i="5" s="1"/>
  <c r="R568" i="6"/>
  <c r="Q568" i="6"/>
  <c r="P568" i="6"/>
  <c r="O568" i="6"/>
  <c r="AA62" i="5" s="1"/>
  <c r="AK62" i="5" s="1"/>
  <c r="N568" i="6"/>
  <c r="M568" i="6"/>
  <c r="L568" i="6"/>
  <c r="K568" i="6"/>
  <c r="W62" i="5" s="1"/>
  <c r="AG62" i="5" s="1"/>
  <c r="J568" i="6"/>
  <c r="B568" i="6"/>
  <c r="S567" i="6"/>
  <c r="R567" i="6"/>
  <c r="AD62" i="5" s="1"/>
  <c r="AN62" i="5" s="1"/>
  <c r="Q567" i="6"/>
  <c r="P567" i="6"/>
  <c r="O567" i="6"/>
  <c r="N567" i="6"/>
  <c r="Z62" i="5" s="1"/>
  <c r="AJ62" i="5" s="1"/>
  <c r="M567" i="6"/>
  <c r="L567" i="6"/>
  <c r="K567" i="6"/>
  <c r="J567" i="6"/>
  <c r="V62" i="5" s="1"/>
  <c r="AF62" i="5" s="1"/>
  <c r="B567" i="6"/>
  <c r="S566" i="6"/>
  <c r="R566" i="6"/>
  <c r="Q566" i="6"/>
  <c r="AC62" i="5" s="1"/>
  <c r="AM62" i="5" s="1"/>
  <c r="P566" i="6"/>
  <c r="O566" i="6"/>
  <c r="N566" i="6"/>
  <c r="M566" i="6"/>
  <c r="Y62" i="5" s="1"/>
  <c r="AI62" i="5" s="1"/>
  <c r="L566" i="6"/>
  <c r="K566" i="6"/>
  <c r="J566" i="6"/>
  <c r="B566" i="6"/>
  <c r="S565" i="6"/>
  <c r="R565" i="6"/>
  <c r="Q565" i="6"/>
  <c r="P565" i="6"/>
  <c r="AB62" i="5" s="1"/>
  <c r="AL62" i="5" s="1"/>
  <c r="O565" i="6"/>
  <c r="N565" i="6"/>
  <c r="M565" i="6"/>
  <c r="L565" i="6"/>
  <c r="X62" i="5" s="1"/>
  <c r="AH62" i="5" s="1"/>
  <c r="K565" i="6"/>
  <c r="J565" i="6"/>
  <c r="B565" i="6"/>
  <c r="S564" i="6"/>
  <c r="R564" i="6"/>
  <c r="Q564" i="6"/>
  <c r="P564" i="6"/>
  <c r="O564" i="6"/>
  <c r="N564" i="6"/>
  <c r="M564" i="6"/>
  <c r="L564" i="6"/>
  <c r="K564" i="6"/>
  <c r="J564" i="6"/>
  <c r="B564" i="6"/>
  <c r="S563" i="6"/>
  <c r="R563" i="6"/>
  <c r="Q563" i="6"/>
  <c r="P563" i="6"/>
  <c r="O563" i="6"/>
  <c r="N563" i="6"/>
  <c r="M563" i="6"/>
  <c r="L563" i="6"/>
  <c r="K563" i="6"/>
  <c r="J563" i="6"/>
  <c r="B563" i="6"/>
  <c r="S562" i="6"/>
  <c r="R562" i="6"/>
  <c r="Q562" i="6"/>
  <c r="P562" i="6"/>
  <c r="O562" i="6"/>
  <c r="N562" i="6"/>
  <c r="M562" i="6"/>
  <c r="L562" i="6"/>
  <c r="K562" i="6"/>
  <c r="J562" i="6"/>
  <c r="B562" i="6"/>
  <c r="S561" i="6"/>
  <c r="R561" i="6"/>
  <c r="Q561" i="6"/>
  <c r="P561" i="6"/>
  <c r="O561" i="6"/>
  <c r="N561" i="6"/>
  <c r="M561" i="6"/>
  <c r="L561" i="6"/>
  <c r="K561" i="6"/>
  <c r="J561" i="6"/>
  <c r="B561" i="6"/>
  <c r="S560" i="6"/>
  <c r="R560" i="6"/>
  <c r="Q560" i="6"/>
  <c r="P560" i="6"/>
  <c r="O560" i="6"/>
  <c r="N560" i="6"/>
  <c r="M560" i="6"/>
  <c r="L560" i="6"/>
  <c r="K560" i="6"/>
  <c r="J560" i="6"/>
  <c r="B560" i="6"/>
  <c r="S559" i="6"/>
  <c r="R559" i="6"/>
  <c r="Q559" i="6"/>
  <c r="P559" i="6"/>
  <c r="O559" i="6"/>
  <c r="N559" i="6"/>
  <c r="M559" i="6"/>
  <c r="L559" i="6"/>
  <c r="K559" i="6"/>
  <c r="J559" i="6"/>
  <c r="B559" i="6"/>
  <c r="S558" i="6"/>
  <c r="R558" i="6"/>
  <c r="Q558" i="6"/>
  <c r="AC61" i="5" s="1"/>
  <c r="AM61" i="5" s="1"/>
  <c r="P558" i="6"/>
  <c r="O558" i="6"/>
  <c r="N558" i="6"/>
  <c r="M558" i="6"/>
  <c r="Y61" i="5" s="1"/>
  <c r="AI61" i="5" s="1"/>
  <c r="L558" i="6"/>
  <c r="K558" i="6"/>
  <c r="J558" i="6"/>
  <c r="B558" i="6"/>
  <c r="S557" i="6"/>
  <c r="R557" i="6"/>
  <c r="Q557" i="6"/>
  <c r="P557" i="6"/>
  <c r="AB61" i="5" s="1"/>
  <c r="AL61" i="5" s="1"/>
  <c r="O557" i="6"/>
  <c r="N557" i="6"/>
  <c r="M557" i="6"/>
  <c r="L557" i="6"/>
  <c r="X61" i="5" s="1"/>
  <c r="AH61" i="5" s="1"/>
  <c r="K557" i="6"/>
  <c r="J557" i="6"/>
  <c r="B557" i="6"/>
  <c r="S556" i="6"/>
  <c r="AE61" i="5" s="1"/>
  <c r="AO61" i="5" s="1"/>
  <c r="R556" i="6"/>
  <c r="Q556" i="6"/>
  <c r="P556" i="6"/>
  <c r="O556" i="6"/>
  <c r="AA61" i="5" s="1"/>
  <c r="AK61" i="5" s="1"/>
  <c r="N556" i="6"/>
  <c r="M556" i="6"/>
  <c r="L556" i="6"/>
  <c r="K556" i="6"/>
  <c r="W61" i="5" s="1"/>
  <c r="AG61" i="5" s="1"/>
  <c r="J556" i="6"/>
  <c r="B556" i="6"/>
  <c r="S555" i="6"/>
  <c r="R555" i="6"/>
  <c r="AD61" i="5" s="1"/>
  <c r="AN61" i="5" s="1"/>
  <c r="Q555" i="6"/>
  <c r="P555" i="6"/>
  <c r="O555" i="6"/>
  <c r="N555" i="6"/>
  <c r="Z61" i="5" s="1"/>
  <c r="AJ61" i="5" s="1"/>
  <c r="M555" i="6"/>
  <c r="L555" i="6"/>
  <c r="K555" i="6"/>
  <c r="J555" i="6"/>
  <c r="V61" i="5" s="1"/>
  <c r="AF61" i="5" s="1"/>
  <c r="B555" i="6"/>
  <c r="S554" i="6"/>
  <c r="R554" i="6"/>
  <c r="Q554" i="6"/>
  <c r="P554" i="6"/>
  <c r="O554" i="6"/>
  <c r="N554" i="6"/>
  <c r="M554" i="6"/>
  <c r="L554" i="6"/>
  <c r="K554" i="6"/>
  <c r="J554" i="6"/>
  <c r="B554" i="6"/>
  <c r="S553" i="6"/>
  <c r="R553" i="6"/>
  <c r="Q553" i="6"/>
  <c r="P553" i="6"/>
  <c r="O553" i="6"/>
  <c r="N553" i="6"/>
  <c r="M553" i="6"/>
  <c r="L553" i="6"/>
  <c r="K553" i="6"/>
  <c r="J553" i="6"/>
  <c r="B553" i="6"/>
  <c r="S552" i="6"/>
  <c r="R552" i="6"/>
  <c r="Q552" i="6"/>
  <c r="P552" i="6"/>
  <c r="O552" i="6"/>
  <c r="N552" i="6"/>
  <c r="M552" i="6"/>
  <c r="L552" i="6"/>
  <c r="K552" i="6"/>
  <c r="J552" i="6"/>
  <c r="B552" i="6"/>
  <c r="S551" i="6"/>
  <c r="R551" i="6"/>
  <c r="Q551" i="6"/>
  <c r="P551" i="6"/>
  <c r="O551" i="6"/>
  <c r="N551" i="6"/>
  <c r="M551" i="6"/>
  <c r="L551" i="6"/>
  <c r="K551" i="6"/>
  <c r="J551" i="6"/>
  <c r="B551" i="6"/>
  <c r="S550" i="6"/>
  <c r="R550" i="6"/>
  <c r="Q550" i="6"/>
  <c r="P550" i="6"/>
  <c r="O550" i="6"/>
  <c r="N550" i="6"/>
  <c r="M550" i="6"/>
  <c r="L550" i="6"/>
  <c r="K550" i="6"/>
  <c r="J550" i="6"/>
  <c r="B550" i="6"/>
  <c r="S549" i="6"/>
  <c r="R549" i="6"/>
  <c r="Q549" i="6"/>
  <c r="P549" i="6"/>
  <c r="O549" i="6"/>
  <c r="N549" i="6"/>
  <c r="M549" i="6"/>
  <c r="L549" i="6"/>
  <c r="K549" i="6"/>
  <c r="J549" i="6"/>
  <c r="B549" i="6"/>
  <c r="S548" i="6"/>
  <c r="R548" i="6"/>
  <c r="Q548" i="6"/>
  <c r="P548" i="6"/>
  <c r="O548" i="6"/>
  <c r="N548" i="6"/>
  <c r="M548" i="6"/>
  <c r="L548" i="6"/>
  <c r="K548" i="6"/>
  <c r="J548" i="6"/>
  <c r="B548" i="6"/>
  <c r="S547" i="6"/>
  <c r="R547" i="6"/>
  <c r="Q547" i="6"/>
  <c r="P547" i="6"/>
  <c r="O547" i="6"/>
  <c r="N547" i="6"/>
  <c r="M547" i="6"/>
  <c r="L547" i="6"/>
  <c r="K547" i="6"/>
  <c r="J547" i="6"/>
  <c r="B547" i="6"/>
  <c r="S546" i="6"/>
  <c r="R546" i="6"/>
  <c r="Q546" i="6"/>
  <c r="AC60" i="5" s="1"/>
  <c r="AM60" i="5" s="1"/>
  <c r="P546" i="6"/>
  <c r="O546" i="6"/>
  <c r="N546" i="6"/>
  <c r="M546" i="6"/>
  <c r="Y60" i="5" s="1"/>
  <c r="AI60" i="5" s="1"/>
  <c r="L546" i="6"/>
  <c r="K546" i="6"/>
  <c r="J546" i="6"/>
  <c r="B546" i="6"/>
  <c r="S545" i="6"/>
  <c r="R545" i="6"/>
  <c r="Q545" i="6"/>
  <c r="P545" i="6"/>
  <c r="AB60" i="5" s="1"/>
  <c r="AL60" i="5" s="1"/>
  <c r="O545" i="6"/>
  <c r="N545" i="6"/>
  <c r="M545" i="6"/>
  <c r="L545" i="6"/>
  <c r="X60" i="5" s="1"/>
  <c r="AH60" i="5" s="1"/>
  <c r="K545" i="6"/>
  <c r="J545" i="6"/>
  <c r="B545" i="6"/>
  <c r="S544" i="6"/>
  <c r="AE60" i="5" s="1"/>
  <c r="AO60" i="5" s="1"/>
  <c r="R544" i="6"/>
  <c r="Q544" i="6"/>
  <c r="P544" i="6"/>
  <c r="O544" i="6"/>
  <c r="AA60" i="5" s="1"/>
  <c r="AK60" i="5" s="1"/>
  <c r="N544" i="6"/>
  <c r="M544" i="6"/>
  <c r="L544" i="6"/>
  <c r="K544" i="6"/>
  <c r="W60" i="5" s="1"/>
  <c r="AG60" i="5" s="1"/>
  <c r="J544" i="6"/>
  <c r="B544" i="6"/>
  <c r="S543" i="6"/>
  <c r="R543" i="6"/>
  <c r="AD60" i="5" s="1"/>
  <c r="AN60" i="5" s="1"/>
  <c r="Q543" i="6"/>
  <c r="P543" i="6"/>
  <c r="O543" i="6"/>
  <c r="N543" i="6"/>
  <c r="Z60" i="5" s="1"/>
  <c r="AJ60" i="5" s="1"/>
  <c r="M543" i="6"/>
  <c r="L543" i="6"/>
  <c r="K543" i="6"/>
  <c r="J543" i="6"/>
  <c r="V60" i="5" s="1"/>
  <c r="AF60" i="5" s="1"/>
  <c r="B543" i="6"/>
  <c r="S542" i="6"/>
  <c r="R542" i="6"/>
  <c r="Q542" i="6"/>
  <c r="P542" i="6"/>
  <c r="O542" i="6"/>
  <c r="N542" i="6"/>
  <c r="M542" i="6"/>
  <c r="L542" i="6"/>
  <c r="K542" i="6"/>
  <c r="J542" i="6"/>
  <c r="B542" i="6"/>
  <c r="S541" i="6"/>
  <c r="R541" i="6"/>
  <c r="Q541" i="6"/>
  <c r="P541" i="6"/>
  <c r="O541" i="6"/>
  <c r="N541" i="6"/>
  <c r="M541" i="6"/>
  <c r="L541" i="6"/>
  <c r="K541" i="6"/>
  <c r="J541" i="6"/>
  <c r="B541" i="6"/>
  <c r="S540" i="6"/>
  <c r="R540" i="6"/>
  <c r="Q540" i="6"/>
  <c r="P540" i="6"/>
  <c r="O540" i="6"/>
  <c r="N540" i="6"/>
  <c r="M540" i="6"/>
  <c r="L540" i="6"/>
  <c r="K540" i="6"/>
  <c r="J540" i="6"/>
  <c r="B540" i="6"/>
  <c r="S539" i="6"/>
  <c r="R539" i="6"/>
  <c r="Q539" i="6"/>
  <c r="P539" i="6"/>
  <c r="O539" i="6"/>
  <c r="N539" i="6"/>
  <c r="M539" i="6"/>
  <c r="L539" i="6"/>
  <c r="K539" i="6"/>
  <c r="J539" i="6"/>
  <c r="B539" i="6"/>
  <c r="S538" i="6"/>
  <c r="R538" i="6"/>
  <c r="Q538" i="6"/>
  <c r="P538" i="6"/>
  <c r="O538" i="6"/>
  <c r="N538" i="6"/>
  <c r="M538" i="6"/>
  <c r="L538" i="6"/>
  <c r="K538" i="6"/>
  <c r="J538" i="6"/>
  <c r="B538" i="6"/>
  <c r="S537" i="6"/>
  <c r="R537" i="6"/>
  <c r="Q537" i="6"/>
  <c r="P537" i="6"/>
  <c r="O537" i="6"/>
  <c r="N537" i="6"/>
  <c r="M537" i="6"/>
  <c r="L537" i="6"/>
  <c r="K537" i="6"/>
  <c r="J537" i="6"/>
  <c r="B537" i="6"/>
  <c r="S536" i="6"/>
  <c r="R536" i="6"/>
  <c r="Q536" i="6"/>
  <c r="P536" i="6"/>
  <c r="O536" i="6"/>
  <c r="N536" i="6"/>
  <c r="M536" i="6"/>
  <c r="L536" i="6"/>
  <c r="K536" i="6"/>
  <c r="J536" i="6"/>
  <c r="B536" i="6"/>
  <c r="S535" i="6"/>
  <c r="R535" i="6"/>
  <c r="Q535" i="6"/>
  <c r="P535" i="6"/>
  <c r="O535" i="6"/>
  <c r="N535" i="6"/>
  <c r="M535" i="6"/>
  <c r="L535" i="6"/>
  <c r="K535" i="6"/>
  <c r="J535" i="6"/>
  <c r="B535" i="6"/>
  <c r="S534" i="6"/>
  <c r="R534" i="6"/>
  <c r="Q534" i="6"/>
  <c r="AC59" i="5" s="1"/>
  <c r="AM59" i="5" s="1"/>
  <c r="P534" i="6"/>
  <c r="O534" i="6"/>
  <c r="N534" i="6"/>
  <c r="M534" i="6"/>
  <c r="Y59" i="5" s="1"/>
  <c r="AI59" i="5" s="1"/>
  <c r="L534" i="6"/>
  <c r="K534" i="6"/>
  <c r="J534" i="6"/>
  <c r="B534" i="6"/>
  <c r="S533" i="6"/>
  <c r="R533" i="6"/>
  <c r="Q533" i="6"/>
  <c r="P533" i="6"/>
  <c r="AB59" i="5" s="1"/>
  <c r="AL59" i="5" s="1"/>
  <c r="O533" i="6"/>
  <c r="N533" i="6"/>
  <c r="M533" i="6"/>
  <c r="L533" i="6"/>
  <c r="X59" i="5" s="1"/>
  <c r="AH59" i="5" s="1"/>
  <c r="K533" i="6"/>
  <c r="J533" i="6"/>
  <c r="B533" i="6"/>
  <c r="S532" i="6"/>
  <c r="AE59" i="5" s="1"/>
  <c r="AO59" i="5" s="1"/>
  <c r="R532" i="6"/>
  <c r="Q532" i="6"/>
  <c r="P532" i="6"/>
  <c r="O532" i="6"/>
  <c r="AA59" i="5" s="1"/>
  <c r="AK59" i="5" s="1"/>
  <c r="N532" i="6"/>
  <c r="M532" i="6"/>
  <c r="L532" i="6"/>
  <c r="K532" i="6"/>
  <c r="W59" i="5" s="1"/>
  <c r="AG59" i="5" s="1"/>
  <c r="J532" i="6"/>
  <c r="B532" i="6"/>
  <c r="S531" i="6"/>
  <c r="R531" i="6"/>
  <c r="AD59" i="5" s="1"/>
  <c r="AN59" i="5" s="1"/>
  <c r="Q531" i="6"/>
  <c r="P531" i="6"/>
  <c r="O531" i="6"/>
  <c r="N531" i="6"/>
  <c r="Z59" i="5" s="1"/>
  <c r="AJ59" i="5" s="1"/>
  <c r="M531" i="6"/>
  <c r="L531" i="6"/>
  <c r="K531" i="6"/>
  <c r="J531" i="6"/>
  <c r="V59" i="5" s="1"/>
  <c r="AF59" i="5" s="1"/>
  <c r="B531" i="6"/>
  <c r="S530" i="6"/>
  <c r="R530" i="6"/>
  <c r="Q530" i="6"/>
  <c r="P530" i="6"/>
  <c r="O530" i="6"/>
  <c r="N530" i="6"/>
  <c r="M530" i="6"/>
  <c r="L530" i="6"/>
  <c r="K530" i="6"/>
  <c r="J530" i="6"/>
  <c r="B530" i="6"/>
  <c r="S529" i="6"/>
  <c r="R529" i="6"/>
  <c r="Q529" i="6"/>
  <c r="P529" i="6"/>
  <c r="O529" i="6"/>
  <c r="N529" i="6"/>
  <c r="M529" i="6"/>
  <c r="L529" i="6"/>
  <c r="K529" i="6"/>
  <c r="J529" i="6"/>
  <c r="B529" i="6"/>
  <c r="S528" i="6"/>
  <c r="R528" i="6"/>
  <c r="Q528" i="6"/>
  <c r="P528" i="6"/>
  <c r="O528" i="6"/>
  <c r="N528" i="6"/>
  <c r="M528" i="6"/>
  <c r="L528" i="6"/>
  <c r="K528" i="6"/>
  <c r="J528" i="6"/>
  <c r="B528" i="6"/>
  <c r="S527" i="6"/>
  <c r="R527" i="6"/>
  <c r="Q527" i="6"/>
  <c r="P527" i="6"/>
  <c r="O527" i="6"/>
  <c r="N527" i="6"/>
  <c r="M527" i="6"/>
  <c r="L527" i="6"/>
  <c r="K527" i="6"/>
  <c r="J527" i="6"/>
  <c r="B527" i="6"/>
  <c r="S526" i="6"/>
  <c r="R526" i="6"/>
  <c r="Q526" i="6"/>
  <c r="P526" i="6"/>
  <c r="O526" i="6"/>
  <c r="N526" i="6"/>
  <c r="M526" i="6"/>
  <c r="L526" i="6"/>
  <c r="K526" i="6"/>
  <c r="J526" i="6"/>
  <c r="B526" i="6"/>
  <c r="S525" i="6"/>
  <c r="R525" i="6"/>
  <c r="Q525" i="6"/>
  <c r="P525" i="6"/>
  <c r="O525" i="6"/>
  <c r="N525" i="6"/>
  <c r="M525" i="6"/>
  <c r="L525" i="6"/>
  <c r="K525" i="6"/>
  <c r="J525" i="6"/>
  <c r="B525" i="6"/>
  <c r="S524" i="6"/>
  <c r="R524" i="6"/>
  <c r="Q524" i="6"/>
  <c r="P524" i="6"/>
  <c r="O524" i="6"/>
  <c r="N524" i="6"/>
  <c r="M524" i="6"/>
  <c r="L524" i="6"/>
  <c r="K524" i="6"/>
  <c r="J524" i="6"/>
  <c r="B524" i="6"/>
  <c r="S523" i="6"/>
  <c r="R523" i="6"/>
  <c r="AD58" i="5" s="1"/>
  <c r="AN58" i="5" s="1"/>
  <c r="Q523" i="6"/>
  <c r="P523" i="6"/>
  <c r="O523" i="6"/>
  <c r="N523" i="6"/>
  <c r="Z58" i="5" s="1"/>
  <c r="AJ58" i="5" s="1"/>
  <c r="M523" i="6"/>
  <c r="L523" i="6"/>
  <c r="K523" i="6"/>
  <c r="J523" i="6"/>
  <c r="V58" i="5" s="1"/>
  <c r="AF58" i="5" s="1"/>
  <c r="B523" i="6"/>
  <c r="S522" i="6"/>
  <c r="R522" i="6"/>
  <c r="Q522" i="6"/>
  <c r="AC58" i="5" s="1"/>
  <c r="AM58" i="5" s="1"/>
  <c r="P522" i="6"/>
  <c r="O522" i="6"/>
  <c r="N522" i="6"/>
  <c r="M522" i="6"/>
  <c r="Y58" i="5" s="1"/>
  <c r="AI58" i="5" s="1"/>
  <c r="L522" i="6"/>
  <c r="K522" i="6"/>
  <c r="J522" i="6"/>
  <c r="B522" i="6"/>
  <c r="S521" i="6"/>
  <c r="R521" i="6"/>
  <c r="Q521" i="6"/>
  <c r="P521" i="6"/>
  <c r="AB58" i="5" s="1"/>
  <c r="AL58" i="5" s="1"/>
  <c r="O521" i="6"/>
  <c r="N521" i="6"/>
  <c r="M521" i="6"/>
  <c r="L521" i="6"/>
  <c r="X58" i="5" s="1"/>
  <c r="AH58" i="5" s="1"/>
  <c r="K521" i="6"/>
  <c r="J521" i="6"/>
  <c r="B521" i="6"/>
  <c r="S520" i="6"/>
  <c r="AE58" i="5" s="1"/>
  <c r="AO58" i="5" s="1"/>
  <c r="R520" i="6"/>
  <c r="Q520" i="6"/>
  <c r="P520" i="6"/>
  <c r="O520" i="6"/>
  <c r="AA58" i="5" s="1"/>
  <c r="AK58" i="5" s="1"/>
  <c r="N520" i="6"/>
  <c r="M520" i="6"/>
  <c r="L520" i="6"/>
  <c r="K520" i="6"/>
  <c r="W58" i="5" s="1"/>
  <c r="AG58" i="5" s="1"/>
  <c r="J520" i="6"/>
  <c r="B520" i="6"/>
  <c r="S519" i="6"/>
  <c r="R519" i="6"/>
  <c r="Q519" i="6"/>
  <c r="P519" i="6"/>
  <c r="O519" i="6"/>
  <c r="N519" i="6"/>
  <c r="M519" i="6"/>
  <c r="L519" i="6"/>
  <c r="K519" i="6"/>
  <c r="J519" i="6"/>
  <c r="B519" i="6"/>
  <c r="S518" i="6"/>
  <c r="R518" i="6"/>
  <c r="Q518" i="6"/>
  <c r="P518" i="6"/>
  <c r="O518" i="6"/>
  <c r="N518" i="6"/>
  <c r="M518" i="6"/>
  <c r="L518" i="6"/>
  <c r="K518" i="6"/>
  <c r="J518" i="6"/>
  <c r="B518" i="6"/>
  <c r="S517" i="6"/>
  <c r="R517" i="6"/>
  <c r="Q517" i="6"/>
  <c r="P517" i="6"/>
  <c r="O517" i="6"/>
  <c r="N517" i="6"/>
  <c r="M517" i="6"/>
  <c r="L517" i="6"/>
  <c r="K517" i="6"/>
  <c r="J517" i="6"/>
  <c r="B517" i="6"/>
  <c r="S516" i="6"/>
  <c r="R516" i="6"/>
  <c r="Q516" i="6"/>
  <c r="P516" i="6"/>
  <c r="O516" i="6"/>
  <c r="N516" i="6"/>
  <c r="M516" i="6"/>
  <c r="L516" i="6"/>
  <c r="K516" i="6"/>
  <c r="J516" i="6"/>
  <c r="B516" i="6"/>
  <c r="S515" i="6"/>
  <c r="R515" i="6"/>
  <c r="Q515" i="6"/>
  <c r="P515" i="6"/>
  <c r="O515" i="6"/>
  <c r="N515" i="6"/>
  <c r="M515" i="6"/>
  <c r="L515" i="6"/>
  <c r="K515" i="6"/>
  <c r="J515" i="6"/>
  <c r="B515" i="6"/>
  <c r="S514" i="6"/>
  <c r="R514" i="6"/>
  <c r="Q514" i="6"/>
  <c r="P514" i="6"/>
  <c r="O514" i="6"/>
  <c r="N514" i="6"/>
  <c r="M514" i="6"/>
  <c r="L514" i="6"/>
  <c r="K514" i="6"/>
  <c r="J514" i="6"/>
  <c r="B514" i="6"/>
  <c r="S513" i="6"/>
  <c r="R513" i="6"/>
  <c r="Q513" i="6"/>
  <c r="P513" i="6"/>
  <c r="AB57" i="5" s="1"/>
  <c r="AL57" i="5" s="1"/>
  <c r="O513" i="6"/>
  <c r="N513" i="6"/>
  <c r="M513" i="6"/>
  <c r="L513" i="6"/>
  <c r="X57" i="5" s="1"/>
  <c r="AH57" i="5" s="1"/>
  <c r="K513" i="6"/>
  <c r="J513" i="6"/>
  <c r="B513" i="6"/>
  <c r="S512" i="6"/>
  <c r="AE57" i="5" s="1"/>
  <c r="AO57" i="5" s="1"/>
  <c r="R512" i="6"/>
  <c r="Q512" i="6"/>
  <c r="P512" i="6"/>
  <c r="O512" i="6"/>
  <c r="AA57" i="5" s="1"/>
  <c r="AK57" i="5" s="1"/>
  <c r="N512" i="6"/>
  <c r="M512" i="6"/>
  <c r="L512" i="6"/>
  <c r="K512" i="6"/>
  <c r="W57" i="5" s="1"/>
  <c r="AG57" i="5" s="1"/>
  <c r="J512" i="6"/>
  <c r="B512" i="6"/>
  <c r="S511" i="6"/>
  <c r="R511" i="6"/>
  <c r="AD57" i="5" s="1"/>
  <c r="AN57" i="5" s="1"/>
  <c r="Q511" i="6"/>
  <c r="P511" i="6"/>
  <c r="O511" i="6"/>
  <c r="N511" i="6"/>
  <c r="Z57" i="5" s="1"/>
  <c r="AJ57" i="5" s="1"/>
  <c r="M511" i="6"/>
  <c r="L511" i="6"/>
  <c r="K511" i="6"/>
  <c r="J511" i="6"/>
  <c r="V57" i="5" s="1"/>
  <c r="AF57" i="5" s="1"/>
  <c r="B511" i="6"/>
  <c r="S510" i="6"/>
  <c r="R510" i="6"/>
  <c r="Q510" i="6"/>
  <c r="AC57" i="5" s="1"/>
  <c r="AM57" i="5" s="1"/>
  <c r="P510" i="6"/>
  <c r="O510" i="6"/>
  <c r="N510" i="6"/>
  <c r="M510" i="6"/>
  <c r="Y57" i="5" s="1"/>
  <c r="AI57" i="5" s="1"/>
  <c r="L510" i="6"/>
  <c r="K510" i="6"/>
  <c r="J510" i="6"/>
  <c r="B510" i="6"/>
  <c r="S509" i="6"/>
  <c r="R509" i="6"/>
  <c r="Q509" i="6"/>
  <c r="P509" i="6"/>
  <c r="O509" i="6"/>
  <c r="N509" i="6"/>
  <c r="M509" i="6"/>
  <c r="L509" i="6"/>
  <c r="K509" i="6"/>
  <c r="J509" i="6"/>
  <c r="B509" i="6"/>
  <c r="S508" i="6"/>
  <c r="R508" i="6"/>
  <c r="Q508" i="6"/>
  <c r="P508" i="6"/>
  <c r="O508" i="6"/>
  <c r="N508" i="6"/>
  <c r="M508" i="6"/>
  <c r="L508" i="6"/>
  <c r="K508" i="6"/>
  <c r="J508" i="6"/>
  <c r="B508" i="6"/>
  <c r="S507" i="6"/>
  <c r="R507" i="6"/>
  <c r="Q507" i="6"/>
  <c r="P507" i="6"/>
  <c r="O507" i="6"/>
  <c r="N507" i="6"/>
  <c r="M507" i="6"/>
  <c r="L507" i="6"/>
  <c r="K507" i="6"/>
  <c r="J507" i="6"/>
  <c r="B507" i="6"/>
  <c r="S506" i="6"/>
  <c r="R506" i="6"/>
  <c r="Q506" i="6"/>
  <c r="P506" i="6"/>
  <c r="O506" i="6"/>
  <c r="N506" i="6"/>
  <c r="M506" i="6"/>
  <c r="L506" i="6"/>
  <c r="K506" i="6"/>
  <c r="J506" i="6"/>
  <c r="B506" i="6"/>
  <c r="S505" i="6"/>
  <c r="R505" i="6"/>
  <c r="Q505" i="6"/>
  <c r="P505" i="6"/>
  <c r="O505" i="6"/>
  <c r="N505" i="6"/>
  <c r="M505" i="6"/>
  <c r="L505" i="6"/>
  <c r="K505" i="6"/>
  <c r="J505" i="6"/>
  <c r="B505" i="6"/>
  <c r="S504" i="6"/>
  <c r="R504" i="6"/>
  <c r="Q504" i="6"/>
  <c r="P504" i="6"/>
  <c r="O504" i="6"/>
  <c r="N504" i="6"/>
  <c r="M504" i="6"/>
  <c r="L504" i="6"/>
  <c r="K504" i="6"/>
  <c r="J504" i="6"/>
  <c r="B504" i="6"/>
  <c r="S503" i="6"/>
  <c r="R503" i="6"/>
  <c r="Q503" i="6"/>
  <c r="P503" i="6"/>
  <c r="O503" i="6"/>
  <c r="N503" i="6"/>
  <c r="M503" i="6"/>
  <c r="L503" i="6"/>
  <c r="K503" i="6"/>
  <c r="J503" i="6"/>
  <c r="B503" i="6"/>
  <c r="S502" i="6"/>
  <c r="R502" i="6"/>
  <c r="Q502" i="6"/>
  <c r="AC56" i="5" s="1"/>
  <c r="AM56" i="5" s="1"/>
  <c r="P502" i="6"/>
  <c r="O502" i="6"/>
  <c r="N502" i="6"/>
  <c r="M502" i="6"/>
  <c r="Y56" i="5" s="1"/>
  <c r="AI56" i="5" s="1"/>
  <c r="L502" i="6"/>
  <c r="K502" i="6"/>
  <c r="J502" i="6"/>
  <c r="B502" i="6"/>
  <c r="S501" i="6"/>
  <c r="R501" i="6"/>
  <c r="Q501" i="6"/>
  <c r="P501" i="6"/>
  <c r="AB56" i="5" s="1"/>
  <c r="AL56" i="5" s="1"/>
  <c r="O501" i="6"/>
  <c r="N501" i="6"/>
  <c r="M501" i="6"/>
  <c r="L501" i="6"/>
  <c r="X56" i="5" s="1"/>
  <c r="AH56" i="5" s="1"/>
  <c r="K501" i="6"/>
  <c r="J501" i="6"/>
  <c r="B501" i="6"/>
  <c r="S500" i="6"/>
  <c r="AE56" i="5" s="1"/>
  <c r="AO56" i="5" s="1"/>
  <c r="R500" i="6"/>
  <c r="Q500" i="6"/>
  <c r="P500" i="6"/>
  <c r="O500" i="6"/>
  <c r="AA56" i="5" s="1"/>
  <c r="AK56" i="5" s="1"/>
  <c r="N500" i="6"/>
  <c r="M500" i="6"/>
  <c r="L500" i="6"/>
  <c r="K500" i="6"/>
  <c r="W56" i="5" s="1"/>
  <c r="AG56" i="5" s="1"/>
  <c r="J500" i="6"/>
  <c r="B500" i="6"/>
  <c r="S499" i="6"/>
  <c r="R499" i="6"/>
  <c r="AD56" i="5" s="1"/>
  <c r="AN56" i="5" s="1"/>
  <c r="Q499" i="6"/>
  <c r="P499" i="6"/>
  <c r="O499" i="6"/>
  <c r="N499" i="6"/>
  <c r="Z56" i="5" s="1"/>
  <c r="AJ56" i="5" s="1"/>
  <c r="M499" i="6"/>
  <c r="L499" i="6"/>
  <c r="K499" i="6"/>
  <c r="J499" i="6"/>
  <c r="V56" i="5" s="1"/>
  <c r="AF56" i="5" s="1"/>
  <c r="B499" i="6"/>
  <c r="S498" i="6"/>
  <c r="R498" i="6"/>
  <c r="Q498" i="6"/>
  <c r="P498" i="6"/>
  <c r="O498" i="6"/>
  <c r="N498" i="6"/>
  <c r="M498" i="6"/>
  <c r="L498" i="6"/>
  <c r="K498" i="6"/>
  <c r="J498" i="6"/>
  <c r="B498" i="6"/>
  <c r="S497" i="6"/>
  <c r="R497" i="6"/>
  <c r="Q497" i="6"/>
  <c r="P497" i="6"/>
  <c r="O497" i="6"/>
  <c r="N497" i="6"/>
  <c r="M497" i="6"/>
  <c r="L497" i="6"/>
  <c r="K497" i="6"/>
  <c r="J497" i="6"/>
  <c r="B497" i="6"/>
  <c r="S496" i="6"/>
  <c r="R496" i="6"/>
  <c r="Q496" i="6"/>
  <c r="P496" i="6"/>
  <c r="O496" i="6"/>
  <c r="N496" i="6"/>
  <c r="M496" i="6"/>
  <c r="L496" i="6"/>
  <c r="K496" i="6"/>
  <c r="J496" i="6"/>
  <c r="B496" i="6"/>
  <c r="S495" i="6"/>
  <c r="R495" i="6"/>
  <c r="Q495" i="6"/>
  <c r="P495" i="6"/>
  <c r="O495" i="6"/>
  <c r="N495" i="6"/>
  <c r="M495" i="6"/>
  <c r="L495" i="6"/>
  <c r="K495" i="6"/>
  <c r="J495" i="6"/>
  <c r="B495" i="6"/>
  <c r="S494" i="6"/>
  <c r="R494" i="6"/>
  <c r="Q494" i="6"/>
  <c r="P494" i="6"/>
  <c r="O494" i="6"/>
  <c r="N494" i="6"/>
  <c r="M494" i="6"/>
  <c r="L494" i="6"/>
  <c r="K494" i="6"/>
  <c r="J494" i="6"/>
  <c r="B494" i="6"/>
  <c r="S493" i="6"/>
  <c r="R493" i="6"/>
  <c r="Q493" i="6"/>
  <c r="P493" i="6"/>
  <c r="O493" i="6"/>
  <c r="N493" i="6"/>
  <c r="M493" i="6"/>
  <c r="L493" i="6"/>
  <c r="K493" i="6"/>
  <c r="J493" i="6"/>
  <c r="B493" i="6"/>
  <c r="S492" i="6"/>
  <c r="R492" i="6"/>
  <c r="Q492" i="6"/>
  <c r="P492" i="6"/>
  <c r="O492" i="6"/>
  <c r="N492" i="6"/>
  <c r="M492" i="6"/>
  <c r="L492" i="6"/>
  <c r="K492" i="6"/>
  <c r="J492" i="6"/>
  <c r="B492" i="6"/>
  <c r="S491" i="6"/>
  <c r="R491" i="6"/>
  <c r="Q491" i="6"/>
  <c r="P491" i="6"/>
  <c r="O491" i="6"/>
  <c r="N491" i="6"/>
  <c r="M491" i="6"/>
  <c r="L491" i="6"/>
  <c r="K491" i="6"/>
  <c r="J491" i="6"/>
  <c r="B491" i="6"/>
  <c r="S490" i="6"/>
  <c r="R490" i="6"/>
  <c r="Q490" i="6"/>
  <c r="P490" i="6"/>
  <c r="O490" i="6"/>
  <c r="N490" i="6"/>
  <c r="M490" i="6"/>
  <c r="L490" i="6"/>
  <c r="K490" i="6"/>
  <c r="J490" i="6"/>
  <c r="B490" i="6"/>
  <c r="S489" i="6"/>
  <c r="R489" i="6"/>
  <c r="Q489" i="6"/>
  <c r="P489" i="6"/>
  <c r="O489" i="6"/>
  <c r="N489" i="6"/>
  <c r="M489" i="6"/>
  <c r="L489" i="6"/>
  <c r="K489" i="6"/>
  <c r="J489" i="6"/>
  <c r="B489" i="6"/>
  <c r="S488" i="6"/>
  <c r="AE55" i="5" s="1"/>
  <c r="AO55" i="5" s="1"/>
  <c r="R488" i="6"/>
  <c r="Q488" i="6"/>
  <c r="P488" i="6"/>
  <c r="O488" i="6"/>
  <c r="AA55" i="5" s="1"/>
  <c r="AK55" i="5" s="1"/>
  <c r="N488" i="6"/>
  <c r="M488" i="6"/>
  <c r="L488" i="6"/>
  <c r="K488" i="6"/>
  <c r="W55" i="5" s="1"/>
  <c r="AG55" i="5" s="1"/>
  <c r="J488" i="6"/>
  <c r="B488" i="6"/>
  <c r="S487" i="6"/>
  <c r="R487" i="6"/>
  <c r="AD55" i="5" s="1"/>
  <c r="AN55" i="5" s="1"/>
  <c r="Q487" i="6"/>
  <c r="P487" i="6"/>
  <c r="O487" i="6"/>
  <c r="N487" i="6"/>
  <c r="Z55" i="5" s="1"/>
  <c r="AJ55" i="5" s="1"/>
  <c r="M487" i="6"/>
  <c r="L487" i="6"/>
  <c r="K487" i="6"/>
  <c r="J487" i="6"/>
  <c r="V55" i="5" s="1"/>
  <c r="AF55" i="5" s="1"/>
  <c r="B487" i="6"/>
  <c r="S486" i="6"/>
  <c r="R486" i="6"/>
  <c r="Q486" i="6"/>
  <c r="AC55" i="5" s="1"/>
  <c r="AM55" i="5" s="1"/>
  <c r="P486" i="6"/>
  <c r="O486" i="6"/>
  <c r="N486" i="6"/>
  <c r="M486" i="6"/>
  <c r="Y55" i="5" s="1"/>
  <c r="AI55" i="5" s="1"/>
  <c r="L486" i="6"/>
  <c r="K486" i="6"/>
  <c r="J486" i="6"/>
  <c r="B486" i="6"/>
  <c r="S485" i="6"/>
  <c r="R485" i="6"/>
  <c r="Q485" i="6"/>
  <c r="P485" i="6"/>
  <c r="AB55" i="5" s="1"/>
  <c r="AL55" i="5" s="1"/>
  <c r="O485" i="6"/>
  <c r="N485" i="6"/>
  <c r="M485" i="6"/>
  <c r="L485" i="6"/>
  <c r="X55" i="5" s="1"/>
  <c r="AH55" i="5" s="1"/>
  <c r="K485" i="6"/>
  <c r="J485" i="6"/>
  <c r="B485" i="6"/>
  <c r="S484" i="6"/>
  <c r="R484" i="6"/>
  <c r="Q484" i="6"/>
  <c r="P484" i="6"/>
  <c r="O484" i="6"/>
  <c r="N484" i="6"/>
  <c r="M484" i="6"/>
  <c r="L484" i="6"/>
  <c r="K484" i="6"/>
  <c r="J484" i="6"/>
  <c r="B484" i="6"/>
  <c r="S483" i="6"/>
  <c r="R483" i="6"/>
  <c r="Q483" i="6"/>
  <c r="P483" i="6"/>
  <c r="O483" i="6"/>
  <c r="N483" i="6"/>
  <c r="M483" i="6"/>
  <c r="L483" i="6"/>
  <c r="K483" i="6"/>
  <c r="J483" i="6"/>
  <c r="B483" i="6"/>
  <c r="S482" i="6"/>
  <c r="R482" i="6"/>
  <c r="Q482" i="6"/>
  <c r="P482" i="6"/>
  <c r="O482" i="6"/>
  <c r="N482" i="6"/>
  <c r="M482" i="6"/>
  <c r="L482" i="6"/>
  <c r="K482" i="6"/>
  <c r="J482" i="6"/>
  <c r="B482" i="6"/>
  <c r="S481" i="6"/>
  <c r="R481" i="6"/>
  <c r="Q481" i="6"/>
  <c r="P481" i="6"/>
  <c r="O481" i="6"/>
  <c r="N481" i="6"/>
  <c r="M481" i="6"/>
  <c r="L481" i="6"/>
  <c r="K481" i="6"/>
  <c r="J481" i="6"/>
  <c r="B481" i="6"/>
  <c r="S480" i="6"/>
  <c r="R480" i="6"/>
  <c r="Q480" i="6"/>
  <c r="P480" i="6"/>
  <c r="O480" i="6"/>
  <c r="N480" i="6"/>
  <c r="M480" i="6"/>
  <c r="L480" i="6"/>
  <c r="K480" i="6"/>
  <c r="J480" i="6"/>
  <c r="B480" i="6"/>
  <c r="S479" i="6"/>
  <c r="R479" i="6"/>
  <c r="Q479" i="6"/>
  <c r="P479" i="6"/>
  <c r="O479" i="6"/>
  <c r="N479" i="6"/>
  <c r="M479" i="6"/>
  <c r="L479" i="6"/>
  <c r="K479" i="6"/>
  <c r="J479" i="6"/>
  <c r="B479" i="6"/>
  <c r="S478" i="6"/>
  <c r="R478" i="6"/>
  <c r="Q478" i="6"/>
  <c r="P478" i="6"/>
  <c r="O478" i="6"/>
  <c r="N478" i="6"/>
  <c r="M478" i="6"/>
  <c r="L478" i="6"/>
  <c r="K478" i="6"/>
  <c r="J478" i="6"/>
  <c r="B478" i="6"/>
  <c r="S477" i="6"/>
  <c r="R477" i="6"/>
  <c r="Q477" i="6"/>
  <c r="P477" i="6"/>
  <c r="O477" i="6"/>
  <c r="N477" i="6"/>
  <c r="M477" i="6"/>
  <c r="L477" i="6"/>
  <c r="K477" i="6"/>
  <c r="J477" i="6"/>
  <c r="B477" i="6"/>
  <c r="S476" i="6"/>
  <c r="AE54" i="5" s="1"/>
  <c r="AO54" i="5" s="1"/>
  <c r="R476" i="6"/>
  <c r="Q476" i="6"/>
  <c r="P476" i="6"/>
  <c r="O476" i="6"/>
  <c r="AA54" i="5" s="1"/>
  <c r="AK54" i="5" s="1"/>
  <c r="N476" i="6"/>
  <c r="M476" i="6"/>
  <c r="L476" i="6"/>
  <c r="K476" i="6"/>
  <c r="W54" i="5" s="1"/>
  <c r="AG54" i="5" s="1"/>
  <c r="J476" i="6"/>
  <c r="B476" i="6"/>
  <c r="S475" i="6"/>
  <c r="R475" i="6"/>
  <c r="AD54" i="5" s="1"/>
  <c r="AN54" i="5" s="1"/>
  <c r="Q475" i="6"/>
  <c r="P475" i="6"/>
  <c r="O475" i="6"/>
  <c r="N475" i="6"/>
  <c r="Z54" i="5" s="1"/>
  <c r="AJ54" i="5" s="1"/>
  <c r="M475" i="6"/>
  <c r="L475" i="6"/>
  <c r="K475" i="6"/>
  <c r="J475" i="6"/>
  <c r="V54" i="5" s="1"/>
  <c r="AF54" i="5" s="1"/>
  <c r="B475" i="6"/>
  <c r="S474" i="6"/>
  <c r="R474" i="6"/>
  <c r="Q474" i="6"/>
  <c r="AC54" i="5" s="1"/>
  <c r="AM54" i="5" s="1"/>
  <c r="P474" i="6"/>
  <c r="O474" i="6"/>
  <c r="N474" i="6"/>
  <c r="M474" i="6"/>
  <c r="Y54" i="5" s="1"/>
  <c r="AI54" i="5" s="1"/>
  <c r="L474" i="6"/>
  <c r="K474" i="6"/>
  <c r="J474" i="6"/>
  <c r="B474" i="6"/>
  <c r="S473" i="6"/>
  <c r="R473" i="6"/>
  <c r="Q473" i="6"/>
  <c r="P473" i="6"/>
  <c r="AB54" i="5" s="1"/>
  <c r="AL54" i="5" s="1"/>
  <c r="O473" i="6"/>
  <c r="N473" i="6"/>
  <c r="M473" i="6"/>
  <c r="L473" i="6"/>
  <c r="X54" i="5" s="1"/>
  <c r="AH54" i="5" s="1"/>
  <c r="K473" i="6"/>
  <c r="J473" i="6"/>
  <c r="B473" i="6"/>
  <c r="S472" i="6"/>
  <c r="R472" i="6"/>
  <c r="Q472" i="6"/>
  <c r="P472" i="6"/>
  <c r="O472" i="6"/>
  <c r="N472" i="6"/>
  <c r="M472" i="6"/>
  <c r="L472" i="6"/>
  <c r="K472" i="6"/>
  <c r="J472" i="6"/>
  <c r="B472" i="6"/>
  <c r="S471" i="6"/>
  <c r="R471" i="6"/>
  <c r="Q471" i="6"/>
  <c r="P471" i="6"/>
  <c r="O471" i="6"/>
  <c r="N471" i="6"/>
  <c r="M471" i="6"/>
  <c r="L471" i="6"/>
  <c r="K471" i="6"/>
  <c r="J471" i="6"/>
  <c r="B471" i="6"/>
  <c r="S470" i="6"/>
  <c r="R470" i="6"/>
  <c r="Q470" i="6"/>
  <c r="AC53" i="5" s="1"/>
  <c r="AM53" i="5" s="1"/>
  <c r="P470" i="6"/>
  <c r="O470" i="6"/>
  <c r="N470" i="6"/>
  <c r="M470" i="6"/>
  <c r="Y53" i="5" s="1"/>
  <c r="AI53" i="5" s="1"/>
  <c r="L470" i="6"/>
  <c r="K470" i="6"/>
  <c r="J470" i="6"/>
  <c r="B470" i="6"/>
  <c r="S469" i="6"/>
  <c r="R469" i="6"/>
  <c r="Q469" i="6"/>
  <c r="P469" i="6"/>
  <c r="AB53" i="5" s="1"/>
  <c r="AL53" i="5" s="1"/>
  <c r="O469" i="6"/>
  <c r="N469" i="6"/>
  <c r="M469" i="6"/>
  <c r="L469" i="6"/>
  <c r="X53" i="5" s="1"/>
  <c r="AH53" i="5" s="1"/>
  <c r="K469" i="6"/>
  <c r="J469" i="6"/>
  <c r="B469" i="6"/>
  <c r="S468" i="6"/>
  <c r="AE53" i="5" s="1"/>
  <c r="AO53" i="5" s="1"/>
  <c r="R468" i="6"/>
  <c r="Q468" i="6"/>
  <c r="P468" i="6"/>
  <c r="O468" i="6"/>
  <c r="AA53" i="5" s="1"/>
  <c r="AK53" i="5" s="1"/>
  <c r="N468" i="6"/>
  <c r="M468" i="6"/>
  <c r="L468" i="6"/>
  <c r="K468" i="6"/>
  <c r="W53" i="5" s="1"/>
  <c r="AG53" i="5" s="1"/>
  <c r="J468" i="6"/>
  <c r="B468" i="6"/>
  <c r="S467" i="6"/>
  <c r="R467" i="6"/>
  <c r="AD53" i="5" s="1"/>
  <c r="AN53" i="5" s="1"/>
  <c r="Q467" i="6"/>
  <c r="P467" i="6"/>
  <c r="O467" i="6"/>
  <c r="N467" i="6"/>
  <c r="Z53" i="5" s="1"/>
  <c r="AJ53" i="5" s="1"/>
  <c r="M467" i="6"/>
  <c r="L467" i="6"/>
  <c r="K467" i="6"/>
  <c r="J467" i="6"/>
  <c r="V53" i="5" s="1"/>
  <c r="AF53" i="5" s="1"/>
  <c r="B467" i="6"/>
  <c r="S466" i="6"/>
  <c r="R466" i="6"/>
  <c r="Q466" i="6"/>
  <c r="P466" i="6"/>
  <c r="O466" i="6"/>
  <c r="N466" i="6"/>
  <c r="M466" i="6"/>
  <c r="L466" i="6"/>
  <c r="K466" i="6"/>
  <c r="J466" i="6"/>
  <c r="B466" i="6"/>
  <c r="S465" i="6"/>
  <c r="R465" i="6"/>
  <c r="Q465" i="6"/>
  <c r="P465" i="6"/>
  <c r="O465" i="6"/>
  <c r="N465" i="6"/>
  <c r="M465" i="6"/>
  <c r="L465" i="6"/>
  <c r="K465" i="6"/>
  <c r="J465" i="6"/>
  <c r="B465" i="6"/>
  <c r="S464" i="6"/>
  <c r="R464" i="6"/>
  <c r="Q464" i="6"/>
  <c r="P464" i="6"/>
  <c r="O464" i="6"/>
  <c r="N464" i="6"/>
  <c r="M464" i="6"/>
  <c r="L464" i="6"/>
  <c r="K464" i="6"/>
  <c r="J464" i="6"/>
  <c r="B464" i="6"/>
  <c r="S463" i="6"/>
  <c r="R463" i="6"/>
  <c r="Q463" i="6"/>
  <c r="P463" i="6"/>
  <c r="O463" i="6"/>
  <c r="N463" i="6"/>
  <c r="M463" i="6"/>
  <c r="L463" i="6"/>
  <c r="K463" i="6"/>
  <c r="J463" i="6"/>
  <c r="B463" i="6"/>
  <c r="S462" i="6"/>
  <c r="R462" i="6"/>
  <c r="Q462" i="6"/>
  <c r="P462" i="6"/>
  <c r="O462" i="6"/>
  <c r="N462" i="6"/>
  <c r="M462" i="6"/>
  <c r="L462" i="6"/>
  <c r="K462" i="6"/>
  <c r="J462" i="6"/>
  <c r="B462" i="6"/>
  <c r="S461" i="6"/>
  <c r="R461" i="6"/>
  <c r="Q461" i="6"/>
  <c r="P461" i="6"/>
  <c r="O461" i="6"/>
  <c r="N461" i="6"/>
  <c r="M461" i="6"/>
  <c r="L461" i="6"/>
  <c r="K461" i="6"/>
  <c r="J461" i="6"/>
  <c r="B461" i="6"/>
  <c r="S460" i="6"/>
  <c r="AE52" i="5" s="1"/>
  <c r="AO52" i="5" s="1"/>
  <c r="R460" i="6"/>
  <c r="Q460" i="6"/>
  <c r="P460" i="6"/>
  <c r="O460" i="6"/>
  <c r="AA52" i="5" s="1"/>
  <c r="AK52" i="5" s="1"/>
  <c r="N460" i="6"/>
  <c r="M460" i="6"/>
  <c r="L460" i="6"/>
  <c r="K460" i="6"/>
  <c r="W52" i="5" s="1"/>
  <c r="AG52" i="5" s="1"/>
  <c r="J460" i="6"/>
  <c r="B460" i="6"/>
  <c r="S459" i="6"/>
  <c r="R459" i="6"/>
  <c r="AD52" i="5" s="1"/>
  <c r="AN52" i="5" s="1"/>
  <c r="Q459" i="6"/>
  <c r="P459" i="6"/>
  <c r="O459" i="6"/>
  <c r="N459" i="6"/>
  <c r="Z52" i="5" s="1"/>
  <c r="AJ52" i="5" s="1"/>
  <c r="M459" i="6"/>
  <c r="L459" i="6"/>
  <c r="K459" i="6"/>
  <c r="J459" i="6"/>
  <c r="V52" i="5" s="1"/>
  <c r="AF52" i="5" s="1"/>
  <c r="B459" i="6"/>
  <c r="S458" i="6"/>
  <c r="R458" i="6"/>
  <c r="Q458" i="6"/>
  <c r="AC52" i="5" s="1"/>
  <c r="AM52" i="5" s="1"/>
  <c r="P458" i="6"/>
  <c r="O458" i="6"/>
  <c r="N458" i="6"/>
  <c r="M458" i="6"/>
  <c r="Y52" i="5" s="1"/>
  <c r="AI52" i="5" s="1"/>
  <c r="L458" i="6"/>
  <c r="K458" i="6"/>
  <c r="J458" i="6"/>
  <c r="B458" i="6"/>
  <c r="S457" i="6"/>
  <c r="R457" i="6"/>
  <c r="Q457" i="6"/>
  <c r="P457" i="6"/>
  <c r="AB52" i="5" s="1"/>
  <c r="AL52" i="5" s="1"/>
  <c r="O457" i="6"/>
  <c r="N457" i="6"/>
  <c r="M457" i="6"/>
  <c r="L457" i="6"/>
  <c r="X52" i="5" s="1"/>
  <c r="AH52" i="5" s="1"/>
  <c r="K457" i="6"/>
  <c r="J457" i="6"/>
  <c r="B457" i="6"/>
  <c r="S456" i="6"/>
  <c r="R456" i="6"/>
  <c r="Q456" i="6"/>
  <c r="P456" i="6"/>
  <c r="O456" i="6"/>
  <c r="N456" i="6"/>
  <c r="M456" i="6"/>
  <c r="L456" i="6"/>
  <c r="K456" i="6"/>
  <c r="J456" i="6"/>
  <c r="B456" i="6"/>
  <c r="S455" i="6"/>
  <c r="R455" i="6"/>
  <c r="Q455" i="6"/>
  <c r="P455" i="6"/>
  <c r="O455" i="6"/>
  <c r="N455" i="6"/>
  <c r="M455" i="6"/>
  <c r="L455" i="6"/>
  <c r="K455" i="6"/>
  <c r="J455" i="6"/>
  <c r="B455" i="6"/>
  <c r="S454" i="6"/>
  <c r="R454" i="6"/>
  <c r="Q454" i="6"/>
  <c r="P454" i="6"/>
  <c r="O454" i="6"/>
  <c r="N454" i="6"/>
  <c r="M454" i="6"/>
  <c r="L454" i="6"/>
  <c r="K454" i="6"/>
  <c r="J454" i="6"/>
  <c r="B454" i="6"/>
  <c r="S453" i="6"/>
  <c r="R453" i="6"/>
  <c r="Q453" i="6"/>
  <c r="P453" i="6"/>
  <c r="O453" i="6"/>
  <c r="N453" i="6"/>
  <c r="M453" i="6"/>
  <c r="L453" i="6"/>
  <c r="K453" i="6"/>
  <c r="J453" i="6"/>
  <c r="B453" i="6"/>
  <c r="S452" i="6"/>
  <c r="AE51" i="5" s="1"/>
  <c r="AO51" i="5" s="1"/>
  <c r="R452" i="6"/>
  <c r="Q452" i="6"/>
  <c r="P452" i="6"/>
  <c r="O452" i="6"/>
  <c r="AA51" i="5" s="1"/>
  <c r="AK51" i="5" s="1"/>
  <c r="N452" i="6"/>
  <c r="M452" i="6"/>
  <c r="L452" i="6"/>
  <c r="K452" i="6"/>
  <c r="W51" i="5" s="1"/>
  <c r="AG51" i="5" s="1"/>
  <c r="J452" i="6"/>
  <c r="B452" i="6"/>
  <c r="S451" i="6"/>
  <c r="R451" i="6"/>
  <c r="AD51" i="5" s="1"/>
  <c r="AN51" i="5" s="1"/>
  <c r="Q451" i="6"/>
  <c r="P451" i="6"/>
  <c r="O451" i="6"/>
  <c r="N451" i="6"/>
  <c r="Z51" i="5" s="1"/>
  <c r="AJ51" i="5" s="1"/>
  <c r="M451" i="6"/>
  <c r="L451" i="6"/>
  <c r="K451" i="6"/>
  <c r="J451" i="6"/>
  <c r="V51" i="5" s="1"/>
  <c r="AF51" i="5" s="1"/>
  <c r="B451" i="6"/>
  <c r="S450" i="6"/>
  <c r="R450" i="6"/>
  <c r="Q450" i="6"/>
  <c r="AC51" i="5" s="1"/>
  <c r="AM51" i="5" s="1"/>
  <c r="P450" i="6"/>
  <c r="O450" i="6"/>
  <c r="N450" i="6"/>
  <c r="M450" i="6"/>
  <c r="Y51" i="5" s="1"/>
  <c r="AI51" i="5" s="1"/>
  <c r="L450" i="6"/>
  <c r="K450" i="6"/>
  <c r="J450" i="6"/>
  <c r="B450" i="6"/>
  <c r="S449" i="6"/>
  <c r="R449" i="6"/>
  <c r="Q449" i="6"/>
  <c r="P449" i="6"/>
  <c r="AB51" i="5" s="1"/>
  <c r="AL51" i="5" s="1"/>
  <c r="O449" i="6"/>
  <c r="N449" i="6"/>
  <c r="M449" i="6"/>
  <c r="L449" i="6"/>
  <c r="X51" i="5" s="1"/>
  <c r="AH51" i="5" s="1"/>
  <c r="K449" i="6"/>
  <c r="J449" i="6"/>
  <c r="B449" i="6"/>
  <c r="S448" i="6"/>
  <c r="R448" i="6"/>
  <c r="Q448" i="6"/>
  <c r="P448" i="6"/>
  <c r="O448" i="6"/>
  <c r="N448" i="6"/>
  <c r="M448" i="6"/>
  <c r="L448" i="6"/>
  <c r="K448" i="6"/>
  <c r="J448" i="6"/>
  <c r="B448" i="6"/>
  <c r="S447" i="6"/>
  <c r="R447" i="6"/>
  <c r="Q447" i="6"/>
  <c r="P447" i="6"/>
  <c r="O447" i="6"/>
  <c r="N447" i="6"/>
  <c r="M447" i="6"/>
  <c r="L447" i="6"/>
  <c r="K447" i="6"/>
  <c r="J447" i="6"/>
  <c r="B447" i="6"/>
  <c r="S446" i="6"/>
  <c r="R446" i="6"/>
  <c r="Q446" i="6"/>
  <c r="P446" i="6"/>
  <c r="O446" i="6"/>
  <c r="N446" i="6"/>
  <c r="M446" i="6"/>
  <c r="L446" i="6"/>
  <c r="K446" i="6"/>
  <c r="J446" i="6"/>
  <c r="B446" i="6"/>
  <c r="S445" i="6"/>
  <c r="R445" i="6"/>
  <c r="Q445" i="6"/>
  <c r="P445" i="6"/>
  <c r="O445" i="6"/>
  <c r="N445" i="6"/>
  <c r="M445" i="6"/>
  <c r="L445" i="6"/>
  <c r="K445" i="6"/>
  <c r="J445" i="6"/>
  <c r="B445" i="6"/>
  <c r="S444" i="6"/>
  <c r="R444" i="6"/>
  <c r="Q444" i="6"/>
  <c r="P444" i="6"/>
  <c r="O444" i="6"/>
  <c r="N444" i="6"/>
  <c r="M444" i="6"/>
  <c r="L444" i="6"/>
  <c r="K444" i="6"/>
  <c r="J444" i="6"/>
  <c r="B444" i="6"/>
  <c r="S443" i="6"/>
  <c r="R443" i="6"/>
  <c r="Q443" i="6"/>
  <c r="P443" i="6"/>
  <c r="O443" i="6"/>
  <c r="N443" i="6"/>
  <c r="M443" i="6"/>
  <c r="L443" i="6"/>
  <c r="K443" i="6"/>
  <c r="J443" i="6"/>
  <c r="B443" i="6"/>
  <c r="S442" i="6"/>
  <c r="R442" i="6"/>
  <c r="Q442" i="6"/>
  <c r="AC50" i="5" s="1"/>
  <c r="AM50" i="5" s="1"/>
  <c r="P442" i="6"/>
  <c r="O442" i="6"/>
  <c r="N442" i="6"/>
  <c r="M442" i="6"/>
  <c r="Y50" i="5" s="1"/>
  <c r="AI50" i="5" s="1"/>
  <c r="L442" i="6"/>
  <c r="K442" i="6"/>
  <c r="J442" i="6"/>
  <c r="B442" i="6"/>
  <c r="S441" i="6"/>
  <c r="R441" i="6"/>
  <c r="Q441" i="6"/>
  <c r="P441" i="6"/>
  <c r="AB50" i="5" s="1"/>
  <c r="AL50" i="5" s="1"/>
  <c r="O441" i="6"/>
  <c r="N441" i="6"/>
  <c r="M441" i="6"/>
  <c r="L441" i="6"/>
  <c r="X50" i="5" s="1"/>
  <c r="AH50" i="5" s="1"/>
  <c r="K441" i="6"/>
  <c r="J441" i="6"/>
  <c r="B441" i="6"/>
  <c r="S440" i="6"/>
  <c r="AE50" i="5" s="1"/>
  <c r="AO50" i="5" s="1"/>
  <c r="R440" i="6"/>
  <c r="Q440" i="6"/>
  <c r="P440" i="6"/>
  <c r="O440" i="6"/>
  <c r="AA50" i="5" s="1"/>
  <c r="AK50" i="5" s="1"/>
  <c r="N440" i="6"/>
  <c r="M440" i="6"/>
  <c r="L440" i="6"/>
  <c r="K440" i="6"/>
  <c r="W50" i="5" s="1"/>
  <c r="AG50" i="5" s="1"/>
  <c r="J440" i="6"/>
  <c r="B440" i="6"/>
  <c r="S439" i="6"/>
  <c r="R439" i="6"/>
  <c r="AD50" i="5" s="1"/>
  <c r="AN50" i="5" s="1"/>
  <c r="Q439" i="6"/>
  <c r="P439" i="6"/>
  <c r="O439" i="6"/>
  <c r="N439" i="6"/>
  <c r="Z50" i="5" s="1"/>
  <c r="AJ50" i="5" s="1"/>
  <c r="M439" i="6"/>
  <c r="L439" i="6"/>
  <c r="K439" i="6"/>
  <c r="J439" i="6"/>
  <c r="V50" i="5" s="1"/>
  <c r="AF50" i="5" s="1"/>
  <c r="B439" i="6"/>
  <c r="S438" i="6"/>
  <c r="R438" i="6"/>
  <c r="Q438" i="6"/>
  <c r="P438" i="6"/>
  <c r="O438" i="6"/>
  <c r="N438" i="6"/>
  <c r="M438" i="6"/>
  <c r="L438" i="6"/>
  <c r="K438" i="6"/>
  <c r="J438" i="6"/>
  <c r="B438" i="6"/>
  <c r="S437" i="6"/>
  <c r="R437" i="6"/>
  <c r="Q437" i="6"/>
  <c r="P437" i="6"/>
  <c r="O437" i="6"/>
  <c r="N437" i="6"/>
  <c r="M437" i="6"/>
  <c r="L437" i="6"/>
  <c r="K437" i="6"/>
  <c r="J437" i="6"/>
  <c r="B437" i="6"/>
  <c r="S436" i="6"/>
  <c r="R436" i="6"/>
  <c r="Q436" i="6"/>
  <c r="P436" i="6"/>
  <c r="O436" i="6"/>
  <c r="N436" i="6"/>
  <c r="M436" i="6"/>
  <c r="L436" i="6"/>
  <c r="K436" i="6"/>
  <c r="J436" i="6"/>
  <c r="B436" i="6"/>
  <c r="S435" i="6"/>
  <c r="R435" i="6"/>
  <c r="Q435" i="6"/>
  <c r="P435" i="6"/>
  <c r="O435" i="6"/>
  <c r="N435" i="6"/>
  <c r="M435" i="6"/>
  <c r="L435" i="6"/>
  <c r="K435" i="6"/>
  <c r="J435" i="6"/>
  <c r="B435" i="6"/>
  <c r="S434" i="6"/>
  <c r="R434" i="6"/>
  <c r="Q434" i="6"/>
  <c r="P434" i="6"/>
  <c r="O434" i="6"/>
  <c r="N434" i="6"/>
  <c r="M434" i="6"/>
  <c r="L434" i="6"/>
  <c r="K434" i="6"/>
  <c r="J434" i="6"/>
  <c r="B434" i="6"/>
  <c r="S433" i="6"/>
  <c r="R433" i="6"/>
  <c r="Q433" i="6"/>
  <c r="P433" i="6"/>
  <c r="O433" i="6"/>
  <c r="N433" i="6"/>
  <c r="M433" i="6"/>
  <c r="L433" i="6"/>
  <c r="K433" i="6"/>
  <c r="J433" i="6"/>
  <c r="B433" i="6"/>
  <c r="S432" i="6"/>
  <c r="R432" i="6"/>
  <c r="Q432" i="6"/>
  <c r="P432" i="6"/>
  <c r="O432" i="6"/>
  <c r="N432" i="6"/>
  <c r="M432" i="6"/>
  <c r="L432" i="6"/>
  <c r="K432" i="6"/>
  <c r="J432" i="6"/>
  <c r="B432" i="6"/>
  <c r="S431" i="6"/>
  <c r="R431" i="6"/>
  <c r="AD49" i="5" s="1"/>
  <c r="AN49" i="5" s="1"/>
  <c r="Q431" i="6"/>
  <c r="P431" i="6"/>
  <c r="O431" i="6"/>
  <c r="N431" i="6"/>
  <c r="Z49" i="5" s="1"/>
  <c r="AJ49" i="5" s="1"/>
  <c r="M431" i="6"/>
  <c r="L431" i="6"/>
  <c r="K431" i="6"/>
  <c r="J431" i="6"/>
  <c r="V49" i="5" s="1"/>
  <c r="AF49" i="5" s="1"/>
  <c r="B431" i="6"/>
  <c r="S430" i="6"/>
  <c r="R430" i="6"/>
  <c r="Q430" i="6"/>
  <c r="AC49" i="5" s="1"/>
  <c r="AM49" i="5" s="1"/>
  <c r="P430" i="6"/>
  <c r="O430" i="6"/>
  <c r="N430" i="6"/>
  <c r="M430" i="6"/>
  <c r="Y49" i="5" s="1"/>
  <c r="L430" i="6"/>
  <c r="K430" i="6"/>
  <c r="J430" i="6"/>
  <c r="B430" i="6"/>
  <c r="S429" i="6"/>
  <c r="R429" i="6"/>
  <c r="Q429" i="6"/>
  <c r="P429" i="6"/>
  <c r="AB49" i="5" s="1"/>
  <c r="AL49" i="5" s="1"/>
  <c r="O429" i="6"/>
  <c r="N429" i="6"/>
  <c r="M429" i="6"/>
  <c r="L429" i="6"/>
  <c r="X49" i="5" s="1"/>
  <c r="AH49" i="5" s="1"/>
  <c r="K429" i="6"/>
  <c r="J429" i="6"/>
  <c r="B429" i="6"/>
  <c r="S428" i="6"/>
  <c r="AE49" i="5" s="1"/>
  <c r="AO49" i="5" s="1"/>
  <c r="R428" i="6"/>
  <c r="Q428" i="6"/>
  <c r="P428" i="6"/>
  <c r="O428" i="6"/>
  <c r="AA49" i="5" s="1"/>
  <c r="AK49" i="5" s="1"/>
  <c r="N428" i="6"/>
  <c r="M428" i="6"/>
  <c r="L428" i="6"/>
  <c r="K428" i="6"/>
  <c r="W49" i="5" s="1"/>
  <c r="AG49" i="5" s="1"/>
  <c r="J428" i="6"/>
  <c r="B428" i="6"/>
  <c r="S427" i="6"/>
  <c r="R427" i="6"/>
  <c r="Q427" i="6"/>
  <c r="P427" i="6"/>
  <c r="O427" i="6"/>
  <c r="N427" i="6"/>
  <c r="M427" i="6"/>
  <c r="L427" i="6"/>
  <c r="K427" i="6"/>
  <c r="J427" i="6"/>
  <c r="B427" i="6"/>
  <c r="S426" i="6"/>
  <c r="R426" i="6"/>
  <c r="Q426" i="6"/>
  <c r="P426" i="6"/>
  <c r="O426" i="6"/>
  <c r="N426" i="6"/>
  <c r="M426" i="6"/>
  <c r="L426" i="6"/>
  <c r="K426" i="6"/>
  <c r="J426" i="6"/>
  <c r="B426" i="6"/>
  <c r="S425" i="6"/>
  <c r="R425" i="6"/>
  <c r="Q425" i="6"/>
  <c r="P425" i="6"/>
  <c r="O425" i="6"/>
  <c r="N425" i="6"/>
  <c r="M425" i="6"/>
  <c r="L425" i="6"/>
  <c r="K425" i="6"/>
  <c r="J425" i="6"/>
  <c r="B425" i="6"/>
  <c r="S424" i="6"/>
  <c r="R424" i="6"/>
  <c r="Q424" i="6"/>
  <c r="P424" i="6"/>
  <c r="O424" i="6"/>
  <c r="N424" i="6"/>
  <c r="M424" i="6"/>
  <c r="L424" i="6"/>
  <c r="K424" i="6"/>
  <c r="J424" i="6"/>
  <c r="B424" i="6"/>
  <c r="S423" i="6"/>
  <c r="R423" i="6"/>
  <c r="Q423" i="6"/>
  <c r="P423" i="6"/>
  <c r="O423" i="6"/>
  <c r="N423" i="6"/>
  <c r="M423" i="6"/>
  <c r="L423" i="6"/>
  <c r="K423" i="6"/>
  <c r="J423" i="6"/>
  <c r="B423" i="6"/>
  <c r="S422" i="6"/>
  <c r="R422" i="6"/>
  <c r="Q422" i="6"/>
  <c r="P422" i="6"/>
  <c r="O422" i="6"/>
  <c r="N422" i="6"/>
  <c r="M422" i="6"/>
  <c r="L422" i="6"/>
  <c r="K422" i="6"/>
  <c r="J422" i="6"/>
  <c r="B422" i="6"/>
  <c r="S421" i="6"/>
  <c r="R421" i="6"/>
  <c r="Q421" i="6"/>
  <c r="P421" i="6"/>
  <c r="AB48" i="5" s="1"/>
  <c r="AL48" i="5" s="1"/>
  <c r="O421" i="6"/>
  <c r="N421" i="6"/>
  <c r="M421" i="6"/>
  <c r="L421" i="6"/>
  <c r="X48" i="5" s="1"/>
  <c r="AH48" i="5" s="1"/>
  <c r="K421" i="6"/>
  <c r="J421" i="6"/>
  <c r="B421" i="6"/>
  <c r="S420" i="6"/>
  <c r="AE48" i="5" s="1"/>
  <c r="AO48" i="5" s="1"/>
  <c r="R420" i="6"/>
  <c r="Q420" i="6"/>
  <c r="P420" i="6"/>
  <c r="O420" i="6"/>
  <c r="AA48" i="5" s="1"/>
  <c r="AK48" i="5" s="1"/>
  <c r="N420" i="6"/>
  <c r="M420" i="6"/>
  <c r="L420" i="6"/>
  <c r="K420" i="6"/>
  <c r="W48" i="5" s="1"/>
  <c r="AG48" i="5" s="1"/>
  <c r="J420" i="6"/>
  <c r="B420" i="6"/>
  <c r="S419" i="6"/>
  <c r="R419" i="6"/>
  <c r="AD48" i="5" s="1"/>
  <c r="AN48" i="5" s="1"/>
  <c r="Q419" i="6"/>
  <c r="P419" i="6"/>
  <c r="O419" i="6"/>
  <c r="N419" i="6"/>
  <c r="Z48" i="5" s="1"/>
  <c r="AJ48" i="5" s="1"/>
  <c r="M419" i="6"/>
  <c r="L419" i="6"/>
  <c r="K419" i="6"/>
  <c r="J419" i="6"/>
  <c r="V48" i="5" s="1"/>
  <c r="AF48" i="5" s="1"/>
  <c r="B419" i="6"/>
  <c r="S418" i="6"/>
  <c r="R418" i="6"/>
  <c r="Q418" i="6"/>
  <c r="AC48" i="5" s="1"/>
  <c r="AM48" i="5" s="1"/>
  <c r="P418" i="6"/>
  <c r="O418" i="6"/>
  <c r="N418" i="6"/>
  <c r="M418" i="6"/>
  <c r="Y48" i="5" s="1"/>
  <c r="AI48" i="5" s="1"/>
  <c r="L418" i="6"/>
  <c r="K418" i="6"/>
  <c r="J418" i="6"/>
  <c r="B418" i="6"/>
  <c r="S417" i="6"/>
  <c r="R417" i="6"/>
  <c r="Q417" i="6"/>
  <c r="P417" i="6"/>
  <c r="O417" i="6"/>
  <c r="N417" i="6"/>
  <c r="M417" i="6"/>
  <c r="L417" i="6"/>
  <c r="K417" i="6"/>
  <c r="J417" i="6"/>
  <c r="B417" i="6"/>
  <c r="S416" i="6"/>
  <c r="R416" i="6"/>
  <c r="Q416" i="6"/>
  <c r="P416" i="6"/>
  <c r="O416" i="6"/>
  <c r="N416" i="6"/>
  <c r="M416" i="6"/>
  <c r="L416" i="6"/>
  <c r="K416" i="6"/>
  <c r="J416" i="6"/>
  <c r="B416" i="6"/>
  <c r="S415" i="6"/>
  <c r="R415" i="6"/>
  <c r="Q415" i="6"/>
  <c r="P415" i="6"/>
  <c r="O415" i="6"/>
  <c r="N415" i="6"/>
  <c r="M415" i="6"/>
  <c r="L415" i="6"/>
  <c r="K415" i="6"/>
  <c r="J415" i="6"/>
  <c r="B415" i="6"/>
  <c r="S414" i="6"/>
  <c r="R414" i="6"/>
  <c r="Q414" i="6"/>
  <c r="P414" i="6"/>
  <c r="O414" i="6"/>
  <c r="N414" i="6"/>
  <c r="M414" i="6"/>
  <c r="L414" i="6"/>
  <c r="K414" i="6"/>
  <c r="J414" i="6"/>
  <c r="B414" i="6"/>
  <c r="S413" i="6"/>
  <c r="R413" i="6"/>
  <c r="Q413" i="6"/>
  <c r="P413" i="6"/>
  <c r="AB47" i="5" s="1"/>
  <c r="AL47" i="5" s="1"/>
  <c r="O413" i="6"/>
  <c r="N413" i="6"/>
  <c r="M413" i="6"/>
  <c r="L413" i="6"/>
  <c r="X47" i="5" s="1"/>
  <c r="AH47" i="5" s="1"/>
  <c r="K413" i="6"/>
  <c r="J413" i="6"/>
  <c r="B413" i="6"/>
  <c r="S412" i="6"/>
  <c r="AE47" i="5" s="1"/>
  <c r="AO47" i="5" s="1"/>
  <c r="R412" i="6"/>
  <c r="Q412" i="6"/>
  <c r="P412" i="6"/>
  <c r="O412" i="6"/>
  <c r="AA47" i="5" s="1"/>
  <c r="AK47" i="5" s="1"/>
  <c r="N412" i="6"/>
  <c r="M412" i="6"/>
  <c r="L412" i="6"/>
  <c r="K412" i="6"/>
  <c r="W47" i="5" s="1"/>
  <c r="AG47" i="5" s="1"/>
  <c r="J412" i="6"/>
  <c r="B412" i="6"/>
  <c r="S411" i="6"/>
  <c r="R411" i="6"/>
  <c r="AD47" i="5" s="1"/>
  <c r="AN47" i="5" s="1"/>
  <c r="Q411" i="6"/>
  <c r="P411" i="6"/>
  <c r="O411" i="6"/>
  <c r="N411" i="6"/>
  <c r="Z47" i="5" s="1"/>
  <c r="AJ47" i="5" s="1"/>
  <c r="M411" i="6"/>
  <c r="L411" i="6"/>
  <c r="K411" i="6"/>
  <c r="J411" i="6"/>
  <c r="V47" i="5" s="1"/>
  <c r="AF47" i="5" s="1"/>
  <c r="B411" i="6"/>
  <c r="S410" i="6"/>
  <c r="R410" i="6"/>
  <c r="Q410" i="6"/>
  <c r="AC47" i="5" s="1"/>
  <c r="AM47" i="5" s="1"/>
  <c r="P410" i="6"/>
  <c r="O410" i="6"/>
  <c r="N410" i="6"/>
  <c r="M410" i="6"/>
  <c r="Y47" i="5" s="1"/>
  <c r="AI47" i="5" s="1"/>
  <c r="L410" i="6"/>
  <c r="K410" i="6"/>
  <c r="J410" i="6"/>
  <c r="B410" i="6"/>
  <c r="S409" i="6"/>
  <c r="R409" i="6"/>
  <c r="Q409" i="6"/>
  <c r="P409" i="6"/>
  <c r="O409" i="6"/>
  <c r="N409" i="6"/>
  <c r="M409" i="6"/>
  <c r="L409" i="6"/>
  <c r="K409" i="6"/>
  <c r="J409" i="6"/>
  <c r="B409" i="6"/>
  <c r="S408" i="6"/>
  <c r="R408" i="6"/>
  <c r="Q408" i="6"/>
  <c r="P408" i="6"/>
  <c r="O408" i="6"/>
  <c r="N408" i="6"/>
  <c r="M408" i="6"/>
  <c r="L408" i="6"/>
  <c r="K408" i="6"/>
  <c r="J408" i="6"/>
  <c r="B408" i="6"/>
  <c r="S407" i="6"/>
  <c r="R407" i="6"/>
  <c r="Q407" i="6"/>
  <c r="P407" i="6"/>
  <c r="O407" i="6"/>
  <c r="N407" i="6"/>
  <c r="M407" i="6"/>
  <c r="L407" i="6"/>
  <c r="K407" i="6"/>
  <c r="J407" i="6"/>
  <c r="B407" i="6"/>
  <c r="S406" i="6"/>
  <c r="R406" i="6"/>
  <c r="Q406" i="6"/>
  <c r="P406" i="6"/>
  <c r="O406" i="6"/>
  <c r="N406" i="6"/>
  <c r="M406" i="6"/>
  <c r="L406" i="6"/>
  <c r="K406" i="6"/>
  <c r="J406" i="6"/>
  <c r="B406" i="6"/>
  <c r="S405" i="6"/>
  <c r="R405" i="6"/>
  <c r="Q405" i="6"/>
  <c r="P405" i="6"/>
  <c r="O405" i="6"/>
  <c r="N405" i="6"/>
  <c r="M405" i="6"/>
  <c r="L405" i="6"/>
  <c r="K405" i="6"/>
  <c r="J405" i="6"/>
  <c r="B405" i="6"/>
  <c r="S404" i="6"/>
  <c r="R404" i="6"/>
  <c r="Q404" i="6"/>
  <c r="P404" i="6"/>
  <c r="O404" i="6"/>
  <c r="N404" i="6"/>
  <c r="M404" i="6"/>
  <c r="L404" i="6"/>
  <c r="K404" i="6"/>
  <c r="J404" i="6"/>
  <c r="B404" i="6"/>
  <c r="S403" i="6"/>
  <c r="R403" i="6"/>
  <c r="Q403" i="6"/>
  <c r="P403" i="6"/>
  <c r="O403" i="6"/>
  <c r="N403" i="6"/>
  <c r="M403" i="6"/>
  <c r="L403" i="6"/>
  <c r="K403" i="6"/>
  <c r="J403" i="6"/>
  <c r="B403" i="6"/>
  <c r="S402" i="6"/>
  <c r="R402" i="6"/>
  <c r="Q402" i="6"/>
  <c r="AC46" i="5" s="1"/>
  <c r="AM46" i="5" s="1"/>
  <c r="P402" i="6"/>
  <c r="O402" i="6"/>
  <c r="N402" i="6"/>
  <c r="M402" i="6"/>
  <c r="Y46" i="5" s="1"/>
  <c r="AI46" i="5" s="1"/>
  <c r="L402" i="6"/>
  <c r="K402" i="6"/>
  <c r="J402" i="6"/>
  <c r="B402" i="6"/>
  <c r="S401" i="6"/>
  <c r="R401" i="6"/>
  <c r="Q401" i="6"/>
  <c r="P401" i="6"/>
  <c r="AB46" i="5" s="1"/>
  <c r="AL46" i="5" s="1"/>
  <c r="O401" i="6"/>
  <c r="N401" i="6"/>
  <c r="M401" i="6"/>
  <c r="L401" i="6"/>
  <c r="X46" i="5" s="1"/>
  <c r="AH46" i="5" s="1"/>
  <c r="K401" i="6"/>
  <c r="J401" i="6"/>
  <c r="B401" i="6"/>
  <c r="S400" i="6"/>
  <c r="AE46" i="5" s="1"/>
  <c r="AO46" i="5" s="1"/>
  <c r="R400" i="6"/>
  <c r="Q400" i="6"/>
  <c r="P400" i="6"/>
  <c r="O400" i="6"/>
  <c r="AA46" i="5" s="1"/>
  <c r="AK46" i="5" s="1"/>
  <c r="N400" i="6"/>
  <c r="M400" i="6"/>
  <c r="L400" i="6"/>
  <c r="K400" i="6"/>
  <c r="W46" i="5" s="1"/>
  <c r="AG46" i="5" s="1"/>
  <c r="J400" i="6"/>
  <c r="B400" i="6"/>
  <c r="S399" i="6"/>
  <c r="R399" i="6"/>
  <c r="AD46" i="5" s="1"/>
  <c r="AN46" i="5" s="1"/>
  <c r="Q399" i="6"/>
  <c r="P399" i="6"/>
  <c r="O399" i="6"/>
  <c r="N399" i="6"/>
  <c r="Z46" i="5" s="1"/>
  <c r="AJ46" i="5" s="1"/>
  <c r="M399" i="6"/>
  <c r="L399" i="6"/>
  <c r="K399" i="6"/>
  <c r="J399" i="6"/>
  <c r="V46" i="5" s="1"/>
  <c r="AF46" i="5" s="1"/>
  <c r="B399" i="6"/>
  <c r="S398" i="6"/>
  <c r="R398" i="6"/>
  <c r="Q398" i="6"/>
  <c r="P398" i="6"/>
  <c r="O398" i="6"/>
  <c r="N398" i="6"/>
  <c r="M398" i="6"/>
  <c r="L398" i="6"/>
  <c r="K398" i="6"/>
  <c r="J398" i="6"/>
  <c r="B398" i="6"/>
  <c r="S397" i="6"/>
  <c r="R397" i="6"/>
  <c r="Q397" i="6"/>
  <c r="P397" i="6"/>
  <c r="O397" i="6"/>
  <c r="N397" i="6"/>
  <c r="M397" i="6"/>
  <c r="L397" i="6"/>
  <c r="K397" i="6"/>
  <c r="J397" i="6"/>
  <c r="B397" i="6"/>
  <c r="S396" i="6"/>
  <c r="R396" i="6"/>
  <c r="Q396" i="6"/>
  <c r="P396" i="6"/>
  <c r="O396" i="6"/>
  <c r="N396" i="6"/>
  <c r="M396" i="6"/>
  <c r="L396" i="6"/>
  <c r="K396" i="6"/>
  <c r="J396" i="6"/>
  <c r="B396" i="6"/>
  <c r="S395" i="6"/>
  <c r="R395" i="6"/>
  <c r="Q395" i="6"/>
  <c r="P395" i="6"/>
  <c r="O395" i="6"/>
  <c r="N395" i="6"/>
  <c r="M395" i="6"/>
  <c r="L395" i="6"/>
  <c r="K395" i="6"/>
  <c r="J395" i="6"/>
  <c r="B395" i="6"/>
  <c r="S394" i="6"/>
  <c r="R394" i="6"/>
  <c r="Q394" i="6"/>
  <c r="P394" i="6"/>
  <c r="O394" i="6"/>
  <c r="N394" i="6"/>
  <c r="M394" i="6"/>
  <c r="L394" i="6"/>
  <c r="K394" i="6"/>
  <c r="J394" i="6"/>
  <c r="B394" i="6"/>
  <c r="S393" i="6"/>
  <c r="R393" i="6"/>
  <c r="Q393" i="6"/>
  <c r="P393" i="6"/>
  <c r="O393" i="6"/>
  <c r="N393" i="6"/>
  <c r="M393" i="6"/>
  <c r="L393" i="6"/>
  <c r="K393" i="6"/>
  <c r="J393" i="6"/>
  <c r="B393" i="6"/>
  <c r="S392" i="6"/>
  <c r="R392" i="6"/>
  <c r="Q392" i="6"/>
  <c r="P392" i="6"/>
  <c r="O392" i="6"/>
  <c r="N392" i="6"/>
  <c r="M392" i="6"/>
  <c r="L392" i="6"/>
  <c r="K392" i="6"/>
  <c r="J392" i="6"/>
  <c r="B392" i="6"/>
  <c r="S391" i="6"/>
  <c r="R391" i="6"/>
  <c r="AD45" i="5" s="1"/>
  <c r="AN45" i="5" s="1"/>
  <c r="Q391" i="6"/>
  <c r="P391" i="6"/>
  <c r="O391" i="6"/>
  <c r="N391" i="6"/>
  <c r="Z45" i="5" s="1"/>
  <c r="AJ45" i="5" s="1"/>
  <c r="M391" i="6"/>
  <c r="L391" i="6"/>
  <c r="K391" i="6"/>
  <c r="J391" i="6"/>
  <c r="V45" i="5" s="1"/>
  <c r="AF45" i="5" s="1"/>
  <c r="B391" i="6"/>
  <c r="S390" i="6"/>
  <c r="R390" i="6"/>
  <c r="Q390" i="6"/>
  <c r="AC45" i="5" s="1"/>
  <c r="AM45" i="5" s="1"/>
  <c r="P390" i="6"/>
  <c r="O390" i="6"/>
  <c r="N390" i="6"/>
  <c r="M390" i="6"/>
  <c r="Y45" i="5" s="1"/>
  <c r="L390" i="6"/>
  <c r="K390" i="6"/>
  <c r="J390" i="6"/>
  <c r="B390" i="6"/>
  <c r="S389" i="6"/>
  <c r="R389" i="6"/>
  <c r="Q389" i="6"/>
  <c r="P389" i="6"/>
  <c r="AB45" i="5" s="1"/>
  <c r="AL45" i="5" s="1"/>
  <c r="O389" i="6"/>
  <c r="N389" i="6"/>
  <c r="M389" i="6"/>
  <c r="L389" i="6"/>
  <c r="X45" i="5" s="1"/>
  <c r="AH45" i="5" s="1"/>
  <c r="K389" i="6"/>
  <c r="J389" i="6"/>
  <c r="B389" i="6"/>
  <c r="S388" i="6"/>
  <c r="AE45" i="5" s="1"/>
  <c r="AO45" i="5" s="1"/>
  <c r="R388" i="6"/>
  <c r="Q388" i="6"/>
  <c r="P388" i="6"/>
  <c r="O388" i="6"/>
  <c r="AA45" i="5" s="1"/>
  <c r="AK45" i="5" s="1"/>
  <c r="N388" i="6"/>
  <c r="M388" i="6"/>
  <c r="L388" i="6"/>
  <c r="K388" i="6"/>
  <c r="W45" i="5" s="1"/>
  <c r="AG45" i="5" s="1"/>
  <c r="J388" i="6"/>
  <c r="B388" i="6"/>
  <c r="S387" i="6"/>
  <c r="R387" i="6"/>
  <c r="Q387" i="6"/>
  <c r="P387" i="6"/>
  <c r="O387" i="6"/>
  <c r="N387" i="6"/>
  <c r="M387" i="6"/>
  <c r="L387" i="6"/>
  <c r="K387" i="6"/>
  <c r="J387" i="6"/>
  <c r="B387" i="6"/>
  <c r="S386" i="6"/>
  <c r="R386" i="6"/>
  <c r="Q386" i="6"/>
  <c r="P386" i="6"/>
  <c r="O386" i="6"/>
  <c r="N386" i="6"/>
  <c r="M386" i="6"/>
  <c r="L386" i="6"/>
  <c r="K386" i="6"/>
  <c r="J386" i="6"/>
  <c r="B386" i="6"/>
  <c r="S385" i="6"/>
  <c r="R385" i="6"/>
  <c r="Q385" i="6"/>
  <c r="P385" i="6"/>
  <c r="O385" i="6"/>
  <c r="N385" i="6"/>
  <c r="M385" i="6"/>
  <c r="L385" i="6"/>
  <c r="K385" i="6"/>
  <c r="J385" i="6"/>
  <c r="B385" i="6"/>
  <c r="S384" i="6"/>
  <c r="R384" i="6"/>
  <c r="Q384" i="6"/>
  <c r="P384" i="6"/>
  <c r="O384" i="6"/>
  <c r="N384" i="6"/>
  <c r="M384" i="6"/>
  <c r="L384" i="6"/>
  <c r="K384" i="6"/>
  <c r="J384" i="6"/>
  <c r="B384" i="6"/>
  <c r="S383" i="6"/>
  <c r="R383" i="6"/>
  <c r="Q383" i="6"/>
  <c r="P383" i="6"/>
  <c r="O383" i="6"/>
  <c r="N383" i="6"/>
  <c r="M383" i="6"/>
  <c r="L383" i="6"/>
  <c r="K383" i="6"/>
  <c r="J383" i="6"/>
  <c r="B383" i="6"/>
  <c r="S382" i="6"/>
  <c r="R382" i="6"/>
  <c r="Q382" i="6"/>
  <c r="P382" i="6"/>
  <c r="O382" i="6"/>
  <c r="N382" i="6"/>
  <c r="M382" i="6"/>
  <c r="L382" i="6"/>
  <c r="K382" i="6"/>
  <c r="J382" i="6"/>
  <c r="B382" i="6"/>
  <c r="S381" i="6"/>
  <c r="R381" i="6"/>
  <c r="Q381" i="6"/>
  <c r="P381" i="6"/>
  <c r="O381" i="6"/>
  <c r="N381" i="6"/>
  <c r="M381" i="6"/>
  <c r="L381" i="6"/>
  <c r="K381" i="6"/>
  <c r="J381" i="6"/>
  <c r="B381" i="6"/>
  <c r="S380" i="6"/>
  <c r="R380" i="6"/>
  <c r="Q380" i="6"/>
  <c r="P380" i="6"/>
  <c r="O380" i="6"/>
  <c r="N380" i="6"/>
  <c r="M380" i="6"/>
  <c r="L380" i="6"/>
  <c r="K380" i="6"/>
  <c r="J380" i="6"/>
  <c r="B380" i="6"/>
  <c r="S379" i="6"/>
  <c r="R379" i="6"/>
  <c r="AD44" i="5" s="1"/>
  <c r="AN44" i="5" s="1"/>
  <c r="Q379" i="6"/>
  <c r="P379" i="6"/>
  <c r="O379" i="6"/>
  <c r="N379" i="6"/>
  <c r="Z44" i="5" s="1"/>
  <c r="AJ44" i="5" s="1"/>
  <c r="M379" i="6"/>
  <c r="L379" i="6"/>
  <c r="K379" i="6"/>
  <c r="J379" i="6"/>
  <c r="V44" i="5" s="1"/>
  <c r="AF44" i="5" s="1"/>
  <c r="B379" i="6"/>
  <c r="S378" i="6"/>
  <c r="R378" i="6"/>
  <c r="Q378" i="6"/>
  <c r="AC44" i="5" s="1"/>
  <c r="AM44" i="5" s="1"/>
  <c r="P378" i="6"/>
  <c r="O378" i="6"/>
  <c r="N378" i="6"/>
  <c r="M378" i="6"/>
  <c r="Y44" i="5" s="1"/>
  <c r="AI44" i="5" s="1"/>
  <c r="L378" i="6"/>
  <c r="K378" i="6"/>
  <c r="J378" i="6"/>
  <c r="B378" i="6"/>
  <c r="S377" i="6"/>
  <c r="R377" i="6"/>
  <c r="Q377" i="6"/>
  <c r="P377" i="6"/>
  <c r="AB44" i="5" s="1"/>
  <c r="AL44" i="5" s="1"/>
  <c r="O377" i="6"/>
  <c r="N377" i="6"/>
  <c r="M377" i="6"/>
  <c r="L377" i="6"/>
  <c r="X44" i="5" s="1"/>
  <c r="AH44" i="5" s="1"/>
  <c r="K377" i="6"/>
  <c r="J377" i="6"/>
  <c r="B377" i="6"/>
  <c r="S376" i="6"/>
  <c r="AE44" i="5" s="1"/>
  <c r="AO44" i="5" s="1"/>
  <c r="R376" i="6"/>
  <c r="Q376" i="6"/>
  <c r="P376" i="6"/>
  <c r="O376" i="6"/>
  <c r="AA44" i="5" s="1"/>
  <c r="AK44" i="5" s="1"/>
  <c r="N376" i="6"/>
  <c r="M376" i="6"/>
  <c r="L376" i="6"/>
  <c r="K376" i="6"/>
  <c r="W44" i="5" s="1"/>
  <c r="AG44" i="5" s="1"/>
  <c r="J376" i="6"/>
  <c r="B376" i="6"/>
  <c r="S375" i="6"/>
  <c r="R375" i="6"/>
  <c r="Q375" i="6"/>
  <c r="P375" i="6"/>
  <c r="O375" i="6"/>
  <c r="N375" i="6"/>
  <c r="M375" i="6"/>
  <c r="L375" i="6"/>
  <c r="K375" i="6"/>
  <c r="J375" i="6"/>
  <c r="B375" i="6"/>
  <c r="S374" i="6"/>
  <c r="R374" i="6"/>
  <c r="Q374" i="6"/>
  <c r="P374" i="6"/>
  <c r="O374" i="6"/>
  <c r="N374" i="6"/>
  <c r="M374" i="6"/>
  <c r="L374" i="6"/>
  <c r="K374" i="6"/>
  <c r="J374" i="6"/>
  <c r="B374" i="6"/>
  <c r="S373" i="6"/>
  <c r="R373" i="6"/>
  <c r="Q373" i="6"/>
  <c r="P373" i="6"/>
  <c r="O373" i="6"/>
  <c r="N373" i="6"/>
  <c r="M373" i="6"/>
  <c r="L373" i="6"/>
  <c r="K373" i="6"/>
  <c r="J373" i="6"/>
  <c r="B373" i="6"/>
  <c r="S372" i="6"/>
  <c r="R372" i="6"/>
  <c r="Q372" i="6"/>
  <c r="P372" i="6"/>
  <c r="O372" i="6"/>
  <c r="N372" i="6"/>
  <c r="M372" i="6"/>
  <c r="L372" i="6"/>
  <c r="K372" i="6"/>
  <c r="J372" i="6"/>
  <c r="B372" i="6"/>
  <c r="S371" i="6"/>
  <c r="R371" i="6"/>
  <c r="Q371" i="6"/>
  <c r="P371" i="6"/>
  <c r="O371" i="6"/>
  <c r="N371" i="6"/>
  <c r="M371" i="6"/>
  <c r="L371" i="6"/>
  <c r="K371" i="6"/>
  <c r="J371" i="6"/>
  <c r="B371" i="6"/>
  <c r="S370" i="6"/>
  <c r="R370" i="6"/>
  <c r="Q370" i="6"/>
  <c r="P370" i="6"/>
  <c r="O370" i="6"/>
  <c r="N370" i="6"/>
  <c r="M370" i="6"/>
  <c r="L370" i="6"/>
  <c r="K370" i="6"/>
  <c r="J370" i="6"/>
  <c r="B370" i="6"/>
  <c r="S369" i="6"/>
  <c r="R369" i="6"/>
  <c r="Q369" i="6"/>
  <c r="P369" i="6"/>
  <c r="O369" i="6"/>
  <c r="N369" i="6"/>
  <c r="M369" i="6"/>
  <c r="L369" i="6"/>
  <c r="K369" i="6"/>
  <c r="J369" i="6"/>
  <c r="B369" i="6"/>
  <c r="S368" i="6"/>
  <c r="R368" i="6"/>
  <c r="Q368" i="6"/>
  <c r="P368" i="6"/>
  <c r="O368" i="6"/>
  <c r="AA43" i="5" s="1"/>
  <c r="AK43" i="5" s="1"/>
  <c r="N368" i="6"/>
  <c r="M368" i="6"/>
  <c r="L368" i="6"/>
  <c r="K368" i="6"/>
  <c r="W43" i="5" s="1"/>
  <c r="AG43" i="5" s="1"/>
  <c r="J368" i="6"/>
  <c r="B368" i="6"/>
  <c r="S367" i="6"/>
  <c r="R367" i="6"/>
  <c r="AD43" i="5" s="1"/>
  <c r="AN43" i="5" s="1"/>
  <c r="Q367" i="6"/>
  <c r="P367" i="6"/>
  <c r="O367" i="6"/>
  <c r="N367" i="6"/>
  <c r="Z43" i="5" s="1"/>
  <c r="AJ43" i="5" s="1"/>
  <c r="M367" i="6"/>
  <c r="L367" i="6"/>
  <c r="K367" i="6"/>
  <c r="J367" i="6"/>
  <c r="V43" i="5" s="1"/>
  <c r="AF43" i="5" s="1"/>
  <c r="B367" i="6"/>
  <c r="S366" i="6"/>
  <c r="R366" i="6"/>
  <c r="Q366" i="6"/>
  <c r="AC43" i="5" s="1"/>
  <c r="AM43" i="5" s="1"/>
  <c r="P366" i="6"/>
  <c r="O366" i="6"/>
  <c r="N366" i="6"/>
  <c r="M366" i="6"/>
  <c r="Y43" i="5" s="1"/>
  <c r="AI43" i="5" s="1"/>
  <c r="L366" i="6"/>
  <c r="K366" i="6"/>
  <c r="J366" i="6"/>
  <c r="B366" i="6"/>
  <c r="S365" i="6"/>
  <c r="R365" i="6"/>
  <c r="Q365" i="6"/>
  <c r="P365" i="6"/>
  <c r="AB43" i="5" s="1"/>
  <c r="AL43" i="5" s="1"/>
  <c r="O365" i="6"/>
  <c r="N365" i="6"/>
  <c r="M365" i="6"/>
  <c r="L365" i="6"/>
  <c r="X43" i="5" s="1"/>
  <c r="AH43" i="5" s="1"/>
  <c r="K365" i="6"/>
  <c r="J365" i="6"/>
  <c r="B365" i="6"/>
  <c r="S364" i="6"/>
  <c r="R364" i="6"/>
  <c r="Q364" i="6"/>
  <c r="P364" i="6"/>
  <c r="O364" i="6"/>
  <c r="N364" i="6"/>
  <c r="M364" i="6"/>
  <c r="L364" i="6"/>
  <c r="K364" i="6"/>
  <c r="J364" i="6"/>
  <c r="B364" i="6"/>
  <c r="S363" i="6"/>
  <c r="R363" i="6"/>
  <c r="Q363" i="6"/>
  <c r="P363" i="6"/>
  <c r="O363" i="6"/>
  <c r="N363" i="6"/>
  <c r="M363" i="6"/>
  <c r="L363" i="6"/>
  <c r="K363" i="6"/>
  <c r="J363" i="6"/>
  <c r="B363" i="6"/>
  <c r="S362" i="6"/>
  <c r="R362" i="6"/>
  <c r="Q362" i="6"/>
  <c r="P362" i="6"/>
  <c r="O362" i="6"/>
  <c r="N362" i="6"/>
  <c r="M362" i="6"/>
  <c r="L362" i="6"/>
  <c r="K362" i="6"/>
  <c r="J362" i="6"/>
  <c r="B362" i="6"/>
  <c r="S361" i="6"/>
  <c r="R361" i="6"/>
  <c r="Q361" i="6"/>
  <c r="P361" i="6"/>
  <c r="O361" i="6"/>
  <c r="N361" i="6"/>
  <c r="M361" i="6"/>
  <c r="L361" i="6"/>
  <c r="K361" i="6"/>
  <c r="J361" i="6"/>
  <c r="B361" i="6"/>
  <c r="S360" i="6"/>
  <c r="R360" i="6"/>
  <c r="Q360" i="6"/>
  <c r="P360" i="6"/>
  <c r="O360" i="6"/>
  <c r="N360" i="6"/>
  <c r="M360" i="6"/>
  <c r="L360" i="6"/>
  <c r="K360" i="6"/>
  <c r="J360" i="6"/>
  <c r="B360" i="6"/>
  <c r="S359" i="6"/>
  <c r="R359" i="6"/>
  <c r="Q359" i="6"/>
  <c r="P359" i="6"/>
  <c r="O359" i="6"/>
  <c r="N359" i="6"/>
  <c r="M359" i="6"/>
  <c r="L359" i="6"/>
  <c r="K359" i="6"/>
  <c r="J359" i="6"/>
  <c r="B359" i="6"/>
  <c r="S358" i="6"/>
  <c r="R358" i="6"/>
  <c r="Q358" i="6"/>
  <c r="P358" i="6"/>
  <c r="O358" i="6"/>
  <c r="N358" i="6"/>
  <c r="M358" i="6"/>
  <c r="L358" i="6"/>
  <c r="K358" i="6"/>
  <c r="J358" i="6"/>
  <c r="B358" i="6"/>
  <c r="S357" i="6"/>
  <c r="R357" i="6"/>
  <c r="Q357" i="6"/>
  <c r="P357" i="6"/>
  <c r="O357" i="6"/>
  <c r="N357" i="6"/>
  <c r="M357" i="6"/>
  <c r="L357" i="6"/>
  <c r="K357" i="6"/>
  <c r="J357" i="6"/>
  <c r="B357" i="6"/>
  <c r="S356" i="6"/>
  <c r="AE42" i="5" s="1"/>
  <c r="AO42" i="5" s="1"/>
  <c r="R356" i="6"/>
  <c r="Q356" i="6"/>
  <c r="P356" i="6"/>
  <c r="O356" i="6"/>
  <c r="AA42" i="5" s="1"/>
  <c r="AK42" i="5" s="1"/>
  <c r="N356" i="6"/>
  <c r="M356" i="6"/>
  <c r="L356" i="6"/>
  <c r="K356" i="6"/>
  <c r="W42" i="5" s="1"/>
  <c r="AG42" i="5" s="1"/>
  <c r="J356" i="6"/>
  <c r="B356" i="6"/>
  <c r="S355" i="6"/>
  <c r="R355" i="6"/>
  <c r="AD42" i="5" s="1"/>
  <c r="AN42" i="5" s="1"/>
  <c r="Q355" i="6"/>
  <c r="P355" i="6"/>
  <c r="O355" i="6"/>
  <c r="N355" i="6"/>
  <c r="Z42" i="5" s="1"/>
  <c r="AJ42" i="5" s="1"/>
  <c r="M355" i="6"/>
  <c r="L355" i="6"/>
  <c r="K355" i="6"/>
  <c r="J355" i="6"/>
  <c r="V42" i="5" s="1"/>
  <c r="AF42" i="5" s="1"/>
  <c r="B355" i="6"/>
  <c r="S354" i="6"/>
  <c r="R354" i="6"/>
  <c r="Q354" i="6"/>
  <c r="AC42" i="5" s="1"/>
  <c r="AM42" i="5" s="1"/>
  <c r="P354" i="6"/>
  <c r="O354" i="6"/>
  <c r="N354" i="6"/>
  <c r="M354" i="6"/>
  <c r="Y42" i="5" s="1"/>
  <c r="AI42" i="5" s="1"/>
  <c r="L354" i="6"/>
  <c r="K354" i="6"/>
  <c r="J354" i="6"/>
  <c r="B354" i="6"/>
  <c r="S353" i="6"/>
  <c r="R353" i="6"/>
  <c r="Q353" i="6"/>
  <c r="P353" i="6"/>
  <c r="AB42" i="5" s="1"/>
  <c r="AL42" i="5" s="1"/>
  <c r="O353" i="6"/>
  <c r="N353" i="6"/>
  <c r="M353" i="6"/>
  <c r="L353" i="6"/>
  <c r="X42" i="5" s="1"/>
  <c r="AH42" i="5" s="1"/>
  <c r="K353" i="6"/>
  <c r="J353" i="6"/>
  <c r="B353" i="6"/>
  <c r="S352" i="6"/>
  <c r="R352" i="6"/>
  <c r="Q352" i="6"/>
  <c r="P352" i="6"/>
  <c r="O352" i="6"/>
  <c r="N352" i="6"/>
  <c r="M352" i="6"/>
  <c r="L352" i="6"/>
  <c r="K352" i="6"/>
  <c r="J352" i="6"/>
  <c r="B352" i="6"/>
  <c r="S351" i="6"/>
  <c r="R351" i="6"/>
  <c r="Q351" i="6"/>
  <c r="P351" i="6"/>
  <c r="O351" i="6"/>
  <c r="N351" i="6"/>
  <c r="M351" i="6"/>
  <c r="L351" i="6"/>
  <c r="K351" i="6"/>
  <c r="J351" i="6"/>
  <c r="B351" i="6"/>
  <c r="S350" i="6"/>
  <c r="R350" i="6"/>
  <c r="Q350" i="6"/>
  <c r="P350" i="6"/>
  <c r="O350" i="6"/>
  <c r="N350" i="6"/>
  <c r="M350" i="6"/>
  <c r="L350" i="6"/>
  <c r="K350" i="6"/>
  <c r="J350" i="6"/>
  <c r="B350" i="6"/>
  <c r="S349" i="6"/>
  <c r="R349" i="6"/>
  <c r="Q349" i="6"/>
  <c r="P349" i="6"/>
  <c r="O349" i="6"/>
  <c r="N349" i="6"/>
  <c r="M349" i="6"/>
  <c r="L349" i="6"/>
  <c r="K349" i="6"/>
  <c r="J349" i="6"/>
  <c r="B349" i="6"/>
  <c r="S348" i="6"/>
  <c r="R348" i="6"/>
  <c r="Q348" i="6"/>
  <c r="P348" i="6"/>
  <c r="O348" i="6"/>
  <c r="N348" i="6"/>
  <c r="M348" i="6"/>
  <c r="L348" i="6"/>
  <c r="K348" i="6"/>
  <c r="J348" i="6"/>
  <c r="B348" i="6"/>
  <c r="S347" i="6"/>
  <c r="R347" i="6"/>
  <c r="Q347" i="6"/>
  <c r="P347" i="6"/>
  <c r="O347" i="6"/>
  <c r="N347" i="6"/>
  <c r="M347" i="6"/>
  <c r="L347" i="6"/>
  <c r="K347" i="6"/>
  <c r="J347" i="6"/>
  <c r="B347" i="6"/>
  <c r="S346" i="6"/>
  <c r="R346" i="6"/>
  <c r="Q346" i="6"/>
  <c r="P346" i="6"/>
  <c r="O346" i="6"/>
  <c r="N346" i="6"/>
  <c r="M346" i="6"/>
  <c r="L346" i="6"/>
  <c r="K346" i="6"/>
  <c r="J346" i="6"/>
  <c r="B346" i="6"/>
  <c r="S345" i="6"/>
  <c r="R345" i="6"/>
  <c r="Q345" i="6"/>
  <c r="P345" i="6"/>
  <c r="O345" i="6"/>
  <c r="N345" i="6"/>
  <c r="M345" i="6"/>
  <c r="L345" i="6"/>
  <c r="K345" i="6"/>
  <c r="J345" i="6"/>
  <c r="B345" i="6"/>
  <c r="S344" i="6"/>
  <c r="R344" i="6"/>
  <c r="Q344" i="6"/>
  <c r="P344" i="6"/>
  <c r="O344" i="6"/>
  <c r="N344" i="6"/>
  <c r="M344" i="6"/>
  <c r="L344" i="6"/>
  <c r="K344" i="6"/>
  <c r="J344" i="6"/>
  <c r="B344" i="6"/>
  <c r="S343" i="6"/>
  <c r="R343" i="6"/>
  <c r="AD41" i="5" s="1"/>
  <c r="AN41" i="5" s="1"/>
  <c r="Q343" i="6"/>
  <c r="P343" i="6"/>
  <c r="O343" i="6"/>
  <c r="N343" i="6"/>
  <c r="Z41" i="5" s="1"/>
  <c r="AJ41" i="5" s="1"/>
  <c r="M343" i="6"/>
  <c r="L343" i="6"/>
  <c r="K343" i="6"/>
  <c r="J343" i="6"/>
  <c r="V41" i="5" s="1"/>
  <c r="AF41" i="5" s="1"/>
  <c r="B343" i="6"/>
  <c r="S342" i="6"/>
  <c r="R342" i="6"/>
  <c r="Q342" i="6"/>
  <c r="AC41" i="5" s="1"/>
  <c r="AM41" i="5" s="1"/>
  <c r="P342" i="6"/>
  <c r="O342" i="6"/>
  <c r="N342" i="6"/>
  <c r="M342" i="6"/>
  <c r="Y41" i="5" s="1"/>
  <c r="AI41" i="5" s="1"/>
  <c r="L342" i="6"/>
  <c r="K342" i="6"/>
  <c r="J342" i="6"/>
  <c r="B342" i="6"/>
  <c r="S341" i="6"/>
  <c r="R341" i="6"/>
  <c r="Q341" i="6"/>
  <c r="P341" i="6"/>
  <c r="AB41" i="5" s="1"/>
  <c r="AL41" i="5" s="1"/>
  <c r="O341" i="6"/>
  <c r="N341" i="6"/>
  <c r="M341" i="6"/>
  <c r="L341" i="6"/>
  <c r="X41" i="5" s="1"/>
  <c r="AH41" i="5" s="1"/>
  <c r="K341" i="6"/>
  <c r="J341" i="6"/>
  <c r="B341" i="6"/>
  <c r="S340" i="6"/>
  <c r="AE41" i="5" s="1"/>
  <c r="AO41" i="5" s="1"/>
  <c r="R340" i="6"/>
  <c r="Q340" i="6"/>
  <c r="P340" i="6"/>
  <c r="O340" i="6"/>
  <c r="AA41" i="5" s="1"/>
  <c r="AK41" i="5" s="1"/>
  <c r="N340" i="6"/>
  <c r="M340" i="6"/>
  <c r="L340" i="6"/>
  <c r="K340" i="6"/>
  <c r="W41" i="5" s="1"/>
  <c r="AG41" i="5" s="1"/>
  <c r="J340" i="6"/>
  <c r="B340" i="6"/>
  <c r="S339" i="6"/>
  <c r="R339" i="6"/>
  <c r="Q339" i="6"/>
  <c r="P339" i="6"/>
  <c r="O339" i="6"/>
  <c r="N339" i="6"/>
  <c r="M339" i="6"/>
  <c r="L339" i="6"/>
  <c r="K339" i="6"/>
  <c r="J339" i="6"/>
  <c r="B339" i="6"/>
  <c r="S338" i="6"/>
  <c r="R338" i="6"/>
  <c r="Q338" i="6"/>
  <c r="P338" i="6"/>
  <c r="O338" i="6"/>
  <c r="N338" i="6"/>
  <c r="M338" i="6"/>
  <c r="L338" i="6"/>
  <c r="K338" i="6"/>
  <c r="J338" i="6"/>
  <c r="B338" i="6"/>
  <c r="S337" i="6"/>
  <c r="R337" i="6"/>
  <c r="Q337" i="6"/>
  <c r="P337" i="6"/>
  <c r="O337" i="6"/>
  <c r="N337" i="6"/>
  <c r="M337" i="6"/>
  <c r="L337" i="6"/>
  <c r="K337" i="6"/>
  <c r="J337" i="6"/>
  <c r="B337" i="6"/>
  <c r="S336" i="6"/>
  <c r="R336" i="6"/>
  <c r="Q336" i="6"/>
  <c r="P336" i="6"/>
  <c r="O336" i="6"/>
  <c r="N336" i="6"/>
  <c r="M336" i="6"/>
  <c r="L336" i="6"/>
  <c r="K336" i="6"/>
  <c r="J336" i="6"/>
  <c r="B336" i="6"/>
  <c r="S335" i="6"/>
  <c r="R335" i="6"/>
  <c r="Q335" i="6"/>
  <c r="P335" i="6"/>
  <c r="O335" i="6"/>
  <c r="N335" i="6"/>
  <c r="M335" i="6"/>
  <c r="L335" i="6"/>
  <c r="K335" i="6"/>
  <c r="J335" i="6"/>
  <c r="B335" i="6"/>
  <c r="S334" i="6"/>
  <c r="R334" i="6"/>
  <c r="Q334" i="6"/>
  <c r="P334" i="6"/>
  <c r="O334" i="6"/>
  <c r="N334" i="6"/>
  <c r="M334" i="6"/>
  <c r="L334" i="6"/>
  <c r="K334" i="6"/>
  <c r="J334" i="6"/>
  <c r="B334" i="6"/>
  <c r="S333" i="6"/>
  <c r="R333" i="6"/>
  <c r="Q333" i="6"/>
  <c r="P333" i="6"/>
  <c r="O333" i="6"/>
  <c r="N333" i="6"/>
  <c r="M333" i="6"/>
  <c r="L333" i="6"/>
  <c r="K333" i="6"/>
  <c r="J333" i="6"/>
  <c r="B333" i="6"/>
  <c r="S332" i="6"/>
  <c r="R332" i="6"/>
  <c r="Q332" i="6"/>
  <c r="P332" i="6"/>
  <c r="O332" i="6"/>
  <c r="N332" i="6"/>
  <c r="M332" i="6"/>
  <c r="L332" i="6"/>
  <c r="K332" i="6"/>
  <c r="J332" i="6"/>
  <c r="B332" i="6"/>
  <c r="S331" i="6"/>
  <c r="R331" i="6"/>
  <c r="Q331" i="6"/>
  <c r="P331" i="6"/>
  <c r="O331" i="6"/>
  <c r="N331" i="6"/>
  <c r="M331" i="6"/>
  <c r="L331" i="6"/>
  <c r="K331" i="6"/>
  <c r="J331" i="6"/>
  <c r="B331" i="6"/>
  <c r="S330" i="6"/>
  <c r="R330" i="6"/>
  <c r="Q330" i="6"/>
  <c r="AC40" i="5" s="1"/>
  <c r="AM40" i="5" s="1"/>
  <c r="P330" i="6"/>
  <c r="O330" i="6"/>
  <c r="N330" i="6"/>
  <c r="M330" i="6"/>
  <c r="Y40" i="5" s="1"/>
  <c r="AI40" i="5" s="1"/>
  <c r="L330" i="6"/>
  <c r="K330" i="6"/>
  <c r="J330" i="6"/>
  <c r="B330" i="6"/>
  <c r="S329" i="6"/>
  <c r="R329" i="6"/>
  <c r="Q329" i="6"/>
  <c r="P329" i="6"/>
  <c r="AB40" i="5" s="1"/>
  <c r="AL40" i="5" s="1"/>
  <c r="O329" i="6"/>
  <c r="N329" i="6"/>
  <c r="M329" i="6"/>
  <c r="L329" i="6"/>
  <c r="X40" i="5" s="1"/>
  <c r="AH40" i="5" s="1"/>
  <c r="K329" i="6"/>
  <c r="J329" i="6"/>
  <c r="B329" i="6"/>
  <c r="S328" i="6"/>
  <c r="AE40" i="5" s="1"/>
  <c r="AO40" i="5" s="1"/>
  <c r="R328" i="6"/>
  <c r="Q328" i="6"/>
  <c r="P328" i="6"/>
  <c r="O328" i="6"/>
  <c r="AA40" i="5" s="1"/>
  <c r="AK40" i="5" s="1"/>
  <c r="N328" i="6"/>
  <c r="M328" i="6"/>
  <c r="L328" i="6"/>
  <c r="K328" i="6"/>
  <c r="W40" i="5" s="1"/>
  <c r="AG40" i="5" s="1"/>
  <c r="J328" i="6"/>
  <c r="B328" i="6"/>
  <c r="S327" i="6"/>
  <c r="R327" i="6"/>
  <c r="AD40" i="5" s="1"/>
  <c r="AN40" i="5" s="1"/>
  <c r="Q327" i="6"/>
  <c r="P327" i="6"/>
  <c r="O327" i="6"/>
  <c r="N327" i="6"/>
  <c r="Z40" i="5" s="1"/>
  <c r="AJ40" i="5" s="1"/>
  <c r="M327" i="6"/>
  <c r="L327" i="6"/>
  <c r="K327" i="6"/>
  <c r="J327" i="6"/>
  <c r="V40" i="5" s="1"/>
  <c r="AF40" i="5" s="1"/>
  <c r="B327" i="6"/>
  <c r="S326" i="6"/>
  <c r="R326" i="6"/>
  <c r="Q326" i="6"/>
  <c r="P326" i="6"/>
  <c r="O326" i="6"/>
  <c r="N326" i="6"/>
  <c r="M326" i="6"/>
  <c r="L326" i="6"/>
  <c r="K326" i="6"/>
  <c r="J326" i="6"/>
  <c r="B326" i="6"/>
  <c r="S325" i="6"/>
  <c r="R325" i="6"/>
  <c r="Q325" i="6"/>
  <c r="P325" i="6"/>
  <c r="O325" i="6"/>
  <c r="N325" i="6"/>
  <c r="M325" i="6"/>
  <c r="L325" i="6"/>
  <c r="K325" i="6"/>
  <c r="J325" i="6"/>
  <c r="B325" i="6"/>
  <c r="S324" i="6"/>
  <c r="R324" i="6"/>
  <c r="Q324" i="6"/>
  <c r="P324" i="6"/>
  <c r="O324" i="6"/>
  <c r="N324" i="6"/>
  <c r="M324" i="6"/>
  <c r="L324" i="6"/>
  <c r="K324" i="6"/>
  <c r="J324" i="6"/>
  <c r="B324" i="6"/>
  <c r="S323" i="6"/>
  <c r="R323" i="6"/>
  <c r="Q323" i="6"/>
  <c r="P323" i="6"/>
  <c r="O323" i="6"/>
  <c r="N323" i="6"/>
  <c r="M323" i="6"/>
  <c r="L323" i="6"/>
  <c r="K323" i="6"/>
  <c r="J323" i="6"/>
  <c r="B323" i="6"/>
  <c r="S322" i="6"/>
  <c r="R322" i="6"/>
  <c r="Q322" i="6"/>
  <c r="P322" i="6"/>
  <c r="O322" i="6"/>
  <c r="N322" i="6"/>
  <c r="M322" i="6"/>
  <c r="L322" i="6"/>
  <c r="K322" i="6"/>
  <c r="J322" i="6"/>
  <c r="B322" i="6"/>
  <c r="S321" i="6"/>
  <c r="R321" i="6"/>
  <c r="Q321" i="6"/>
  <c r="P321" i="6"/>
  <c r="O321" i="6"/>
  <c r="N321" i="6"/>
  <c r="M321" i="6"/>
  <c r="L321" i="6"/>
  <c r="K321" i="6"/>
  <c r="J321" i="6"/>
  <c r="B321" i="6"/>
  <c r="S320" i="6"/>
  <c r="R320" i="6"/>
  <c r="Q320" i="6"/>
  <c r="P320" i="6"/>
  <c r="O320" i="6"/>
  <c r="N320" i="6"/>
  <c r="M320" i="6"/>
  <c r="L320" i="6"/>
  <c r="K320" i="6"/>
  <c r="J320" i="6"/>
  <c r="B320" i="6"/>
  <c r="S319" i="6"/>
  <c r="R319" i="6"/>
  <c r="AD39" i="5" s="1"/>
  <c r="AN39" i="5" s="1"/>
  <c r="Q319" i="6"/>
  <c r="P319" i="6"/>
  <c r="O319" i="6"/>
  <c r="N319" i="6"/>
  <c r="Z39" i="5" s="1"/>
  <c r="AJ39" i="5" s="1"/>
  <c r="M319" i="6"/>
  <c r="L319" i="6"/>
  <c r="K319" i="6"/>
  <c r="J319" i="6"/>
  <c r="V39" i="5" s="1"/>
  <c r="AF39" i="5" s="1"/>
  <c r="B319" i="6"/>
  <c r="S318" i="6"/>
  <c r="R318" i="6"/>
  <c r="Q318" i="6"/>
  <c r="AC39" i="5" s="1"/>
  <c r="AM39" i="5" s="1"/>
  <c r="P318" i="6"/>
  <c r="O318" i="6"/>
  <c r="N318" i="6"/>
  <c r="M318" i="6"/>
  <c r="Y39" i="5" s="1"/>
  <c r="AI39" i="5" s="1"/>
  <c r="L318" i="6"/>
  <c r="K318" i="6"/>
  <c r="J318" i="6"/>
  <c r="B318" i="6"/>
  <c r="S317" i="6"/>
  <c r="R317" i="6"/>
  <c r="Q317" i="6"/>
  <c r="P317" i="6"/>
  <c r="AB39" i="5" s="1"/>
  <c r="AL39" i="5" s="1"/>
  <c r="O317" i="6"/>
  <c r="N317" i="6"/>
  <c r="M317" i="6"/>
  <c r="L317" i="6"/>
  <c r="X39" i="5" s="1"/>
  <c r="AH39" i="5" s="1"/>
  <c r="K317" i="6"/>
  <c r="J317" i="6"/>
  <c r="B317" i="6"/>
  <c r="S316" i="6"/>
  <c r="AE39" i="5" s="1"/>
  <c r="AO39" i="5" s="1"/>
  <c r="R316" i="6"/>
  <c r="Q316" i="6"/>
  <c r="P316" i="6"/>
  <c r="O316" i="6"/>
  <c r="AA39" i="5" s="1"/>
  <c r="AK39" i="5" s="1"/>
  <c r="N316" i="6"/>
  <c r="M316" i="6"/>
  <c r="L316" i="6"/>
  <c r="K316" i="6"/>
  <c r="W39" i="5" s="1"/>
  <c r="AG39" i="5" s="1"/>
  <c r="J316" i="6"/>
  <c r="B316" i="6"/>
  <c r="S315" i="6"/>
  <c r="R315" i="6"/>
  <c r="Q315" i="6"/>
  <c r="P315" i="6"/>
  <c r="O315" i="6"/>
  <c r="N315" i="6"/>
  <c r="M315" i="6"/>
  <c r="L315" i="6"/>
  <c r="K315" i="6"/>
  <c r="J315" i="6"/>
  <c r="B315" i="6"/>
  <c r="S314" i="6"/>
  <c r="R314" i="6"/>
  <c r="Q314" i="6"/>
  <c r="P314" i="6"/>
  <c r="O314" i="6"/>
  <c r="N314" i="6"/>
  <c r="M314" i="6"/>
  <c r="L314" i="6"/>
  <c r="K314" i="6"/>
  <c r="J314" i="6"/>
  <c r="B314" i="6"/>
  <c r="S313" i="6"/>
  <c r="R313" i="6"/>
  <c r="Q313" i="6"/>
  <c r="P313" i="6"/>
  <c r="O313" i="6"/>
  <c r="N313" i="6"/>
  <c r="M313" i="6"/>
  <c r="L313" i="6"/>
  <c r="K313" i="6"/>
  <c r="J313" i="6"/>
  <c r="B313" i="6"/>
  <c r="S312" i="6"/>
  <c r="R312" i="6"/>
  <c r="Q312" i="6"/>
  <c r="P312" i="6"/>
  <c r="O312" i="6"/>
  <c r="N312" i="6"/>
  <c r="M312" i="6"/>
  <c r="L312" i="6"/>
  <c r="K312" i="6"/>
  <c r="J312" i="6"/>
  <c r="B312" i="6"/>
  <c r="S311" i="6"/>
  <c r="R311" i="6"/>
  <c r="Q311" i="6"/>
  <c r="P311" i="6"/>
  <c r="O311" i="6"/>
  <c r="N311" i="6"/>
  <c r="M311" i="6"/>
  <c r="L311" i="6"/>
  <c r="K311" i="6"/>
  <c r="J311" i="6"/>
  <c r="B311" i="6"/>
  <c r="S310" i="6"/>
  <c r="R310" i="6"/>
  <c r="Q310" i="6"/>
  <c r="P310" i="6"/>
  <c r="O310" i="6"/>
  <c r="N310" i="6"/>
  <c r="M310" i="6"/>
  <c r="L310" i="6"/>
  <c r="K310" i="6"/>
  <c r="J310" i="6"/>
  <c r="B310" i="6"/>
  <c r="S309" i="6"/>
  <c r="R309" i="6"/>
  <c r="Q309" i="6"/>
  <c r="P309" i="6"/>
  <c r="O309" i="6"/>
  <c r="N309" i="6"/>
  <c r="M309" i="6"/>
  <c r="L309" i="6"/>
  <c r="K309" i="6"/>
  <c r="J309" i="6"/>
  <c r="B309" i="6"/>
  <c r="S308" i="6"/>
  <c r="R308" i="6"/>
  <c r="Q308" i="6"/>
  <c r="P308" i="6"/>
  <c r="O308" i="6"/>
  <c r="N308" i="6"/>
  <c r="M308" i="6"/>
  <c r="L308" i="6"/>
  <c r="K308" i="6"/>
  <c r="J308" i="6"/>
  <c r="B308" i="6"/>
  <c r="S307" i="6"/>
  <c r="R307" i="6"/>
  <c r="Q307" i="6"/>
  <c r="P307" i="6"/>
  <c r="O307" i="6"/>
  <c r="N307" i="6"/>
  <c r="M307" i="6"/>
  <c r="L307" i="6"/>
  <c r="K307" i="6"/>
  <c r="J307" i="6"/>
  <c r="B307" i="6"/>
  <c r="S306" i="6"/>
  <c r="R306" i="6"/>
  <c r="Q306" i="6"/>
  <c r="AC38" i="5" s="1"/>
  <c r="AM38" i="5" s="1"/>
  <c r="P306" i="6"/>
  <c r="O306" i="6"/>
  <c r="N306" i="6"/>
  <c r="M306" i="6"/>
  <c r="Y38" i="5" s="1"/>
  <c r="AI38" i="5" s="1"/>
  <c r="L306" i="6"/>
  <c r="K306" i="6"/>
  <c r="J306" i="6"/>
  <c r="B306" i="6"/>
  <c r="S305" i="6"/>
  <c r="R305" i="6"/>
  <c r="Q305" i="6"/>
  <c r="P305" i="6"/>
  <c r="AB38" i="5" s="1"/>
  <c r="AL38" i="5" s="1"/>
  <c r="O305" i="6"/>
  <c r="N305" i="6"/>
  <c r="M305" i="6"/>
  <c r="L305" i="6"/>
  <c r="X38" i="5" s="1"/>
  <c r="AH38" i="5" s="1"/>
  <c r="K305" i="6"/>
  <c r="J305" i="6"/>
  <c r="B305" i="6"/>
  <c r="S304" i="6"/>
  <c r="AE38" i="5" s="1"/>
  <c r="AO38" i="5" s="1"/>
  <c r="R304" i="6"/>
  <c r="Q304" i="6"/>
  <c r="P304" i="6"/>
  <c r="O304" i="6"/>
  <c r="AA38" i="5" s="1"/>
  <c r="AK38" i="5" s="1"/>
  <c r="N304" i="6"/>
  <c r="M304" i="6"/>
  <c r="L304" i="6"/>
  <c r="K304" i="6"/>
  <c r="W38" i="5" s="1"/>
  <c r="AG38" i="5" s="1"/>
  <c r="J304" i="6"/>
  <c r="B304" i="6"/>
  <c r="S303" i="6"/>
  <c r="R303" i="6"/>
  <c r="AD38" i="5" s="1"/>
  <c r="AN38" i="5" s="1"/>
  <c r="Q303" i="6"/>
  <c r="P303" i="6"/>
  <c r="O303" i="6"/>
  <c r="N303" i="6"/>
  <c r="Z38" i="5" s="1"/>
  <c r="AJ38" i="5" s="1"/>
  <c r="M303" i="6"/>
  <c r="L303" i="6"/>
  <c r="K303" i="6"/>
  <c r="J303" i="6"/>
  <c r="V38" i="5" s="1"/>
  <c r="AF38" i="5" s="1"/>
  <c r="B303" i="6"/>
  <c r="S302" i="6"/>
  <c r="R302" i="6"/>
  <c r="Q302" i="6"/>
  <c r="P302" i="6"/>
  <c r="O302" i="6"/>
  <c r="N302" i="6"/>
  <c r="M302" i="6"/>
  <c r="L302" i="6"/>
  <c r="K302" i="6"/>
  <c r="J302" i="6"/>
  <c r="B302" i="6"/>
  <c r="S301" i="6"/>
  <c r="R301" i="6"/>
  <c r="Q301" i="6"/>
  <c r="P301" i="6"/>
  <c r="O301" i="6"/>
  <c r="N301" i="6"/>
  <c r="M301" i="6"/>
  <c r="L301" i="6"/>
  <c r="K301" i="6"/>
  <c r="J301" i="6"/>
  <c r="B301" i="6"/>
  <c r="S300" i="6"/>
  <c r="R300" i="6"/>
  <c r="Q300" i="6"/>
  <c r="P300" i="6"/>
  <c r="O300" i="6"/>
  <c r="N300" i="6"/>
  <c r="M300" i="6"/>
  <c r="L300" i="6"/>
  <c r="K300" i="6"/>
  <c r="J300" i="6"/>
  <c r="B300" i="6"/>
  <c r="S299" i="6"/>
  <c r="R299" i="6"/>
  <c r="Q299" i="6"/>
  <c r="P299" i="6"/>
  <c r="O299" i="6"/>
  <c r="N299" i="6"/>
  <c r="M299" i="6"/>
  <c r="L299" i="6"/>
  <c r="K299" i="6"/>
  <c r="J299" i="6"/>
  <c r="B299" i="6"/>
  <c r="S298" i="6"/>
  <c r="R298" i="6"/>
  <c r="Q298" i="6"/>
  <c r="P298" i="6"/>
  <c r="O298" i="6"/>
  <c r="N298" i="6"/>
  <c r="M298" i="6"/>
  <c r="L298" i="6"/>
  <c r="K298" i="6"/>
  <c r="J298" i="6"/>
  <c r="B298" i="6"/>
  <c r="S297" i="6"/>
  <c r="R297" i="6"/>
  <c r="Q297" i="6"/>
  <c r="P297" i="6"/>
  <c r="O297" i="6"/>
  <c r="N297" i="6"/>
  <c r="M297" i="6"/>
  <c r="L297" i="6"/>
  <c r="K297" i="6"/>
  <c r="J297" i="6"/>
  <c r="B297" i="6"/>
  <c r="S296" i="6"/>
  <c r="AE37" i="5" s="1"/>
  <c r="AO37" i="5" s="1"/>
  <c r="R296" i="6"/>
  <c r="Q296" i="6"/>
  <c r="P296" i="6"/>
  <c r="O296" i="6"/>
  <c r="AA37" i="5" s="1"/>
  <c r="AK37" i="5" s="1"/>
  <c r="N296" i="6"/>
  <c r="M296" i="6"/>
  <c r="L296" i="6"/>
  <c r="K296" i="6"/>
  <c r="W37" i="5" s="1"/>
  <c r="AG37" i="5" s="1"/>
  <c r="J296" i="6"/>
  <c r="B296" i="6"/>
  <c r="S295" i="6"/>
  <c r="R295" i="6"/>
  <c r="AD37" i="5" s="1"/>
  <c r="AN37" i="5" s="1"/>
  <c r="Q295" i="6"/>
  <c r="P295" i="6"/>
  <c r="O295" i="6"/>
  <c r="N295" i="6"/>
  <c r="Z37" i="5" s="1"/>
  <c r="AJ37" i="5" s="1"/>
  <c r="M295" i="6"/>
  <c r="L295" i="6"/>
  <c r="K295" i="6"/>
  <c r="J295" i="6"/>
  <c r="V37" i="5" s="1"/>
  <c r="AF37" i="5" s="1"/>
  <c r="B295" i="6"/>
  <c r="S294" i="6"/>
  <c r="R294" i="6"/>
  <c r="Q294" i="6"/>
  <c r="AC37" i="5" s="1"/>
  <c r="AM37" i="5" s="1"/>
  <c r="P294" i="6"/>
  <c r="O294" i="6"/>
  <c r="N294" i="6"/>
  <c r="M294" i="6"/>
  <c r="Y37" i="5" s="1"/>
  <c r="AI37" i="5" s="1"/>
  <c r="L294" i="6"/>
  <c r="K294" i="6"/>
  <c r="J294" i="6"/>
  <c r="B294" i="6"/>
  <c r="S293" i="6"/>
  <c r="R293" i="6"/>
  <c r="Q293" i="6"/>
  <c r="P293" i="6"/>
  <c r="AB37" i="5" s="1"/>
  <c r="AL37" i="5" s="1"/>
  <c r="O293" i="6"/>
  <c r="N293" i="6"/>
  <c r="M293" i="6"/>
  <c r="L293" i="6"/>
  <c r="X37" i="5" s="1"/>
  <c r="AH37" i="5" s="1"/>
  <c r="K293" i="6"/>
  <c r="J293" i="6"/>
  <c r="B293" i="6"/>
  <c r="S292" i="6"/>
  <c r="R292" i="6"/>
  <c r="Q292" i="6"/>
  <c r="P292" i="6"/>
  <c r="O292" i="6"/>
  <c r="N292" i="6"/>
  <c r="M292" i="6"/>
  <c r="L292" i="6"/>
  <c r="K292" i="6"/>
  <c r="J292" i="6"/>
  <c r="B292" i="6"/>
  <c r="S291" i="6"/>
  <c r="R291" i="6"/>
  <c r="Q291" i="6"/>
  <c r="P291" i="6"/>
  <c r="O291" i="6"/>
  <c r="N291" i="6"/>
  <c r="M291" i="6"/>
  <c r="L291" i="6"/>
  <c r="K291" i="6"/>
  <c r="J291" i="6"/>
  <c r="B291" i="6"/>
  <c r="S290" i="6"/>
  <c r="R290" i="6"/>
  <c r="Q290" i="6"/>
  <c r="P290" i="6"/>
  <c r="O290" i="6"/>
  <c r="N290" i="6"/>
  <c r="M290" i="6"/>
  <c r="L290" i="6"/>
  <c r="K290" i="6"/>
  <c r="J290" i="6"/>
  <c r="B290" i="6"/>
  <c r="S289" i="6"/>
  <c r="R289" i="6"/>
  <c r="Q289" i="6"/>
  <c r="P289" i="6"/>
  <c r="O289" i="6"/>
  <c r="N289" i="6"/>
  <c r="M289" i="6"/>
  <c r="L289" i="6"/>
  <c r="K289" i="6"/>
  <c r="J289" i="6"/>
  <c r="B289" i="6"/>
  <c r="S288" i="6"/>
  <c r="R288" i="6"/>
  <c r="Q288" i="6"/>
  <c r="P288" i="6"/>
  <c r="O288" i="6"/>
  <c r="N288" i="6"/>
  <c r="M288" i="6"/>
  <c r="L288" i="6"/>
  <c r="K288" i="6"/>
  <c r="J288" i="6"/>
  <c r="B288" i="6"/>
  <c r="S287" i="6"/>
  <c r="R287" i="6"/>
  <c r="Q287" i="6"/>
  <c r="P287" i="6"/>
  <c r="O287" i="6"/>
  <c r="N287" i="6"/>
  <c r="M287" i="6"/>
  <c r="L287" i="6"/>
  <c r="K287" i="6"/>
  <c r="J287" i="6"/>
  <c r="B287" i="6"/>
  <c r="S286" i="6"/>
  <c r="R286" i="6"/>
  <c r="Q286" i="6"/>
  <c r="P286" i="6"/>
  <c r="O286" i="6"/>
  <c r="N286" i="6"/>
  <c r="M286" i="6"/>
  <c r="L286" i="6"/>
  <c r="K286" i="6"/>
  <c r="J286" i="6"/>
  <c r="B286" i="6"/>
  <c r="S285" i="6"/>
  <c r="R285" i="6"/>
  <c r="Q285" i="6"/>
  <c r="P285" i="6"/>
  <c r="AB36" i="5" s="1"/>
  <c r="AL36" i="5" s="1"/>
  <c r="O285" i="6"/>
  <c r="N285" i="6"/>
  <c r="M285" i="6"/>
  <c r="L285" i="6"/>
  <c r="X36" i="5" s="1"/>
  <c r="AH36" i="5" s="1"/>
  <c r="K285" i="6"/>
  <c r="J285" i="6"/>
  <c r="B285" i="6"/>
  <c r="S284" i="6"/>
  <c r="AE36" i="5" s="1"/>
  <c r="AO36" i="5" s="1"/>
  <c r="R284" i="6"/>
  <c r="Q284" i="6"/>
  <c r="P284" i="6"/>
  <c r="O284" i="6"/>
  <c r="AA36" i="5" s="1"/>
  <c r="AK36" i="5" s="1"/>
  <c r="N284" i="6"/>
  <c r="M284" i="6"/>
  <c r="L284" i="6"/>
  <c r="K284" i="6"/>
  <c r="W36" i="5" s="1"/>
  <c r="AG36" i="5" s="1"/>
  <c r="J284" i="6"/>
  <c r="B284" i="6"/>
  <c r="S283" i="6"/>
  <c r="R283" i="6"/>
  <c r="AD36" i="5" s="1"/>
  <c r="AN36" i="5" s="1"/>
  <c r="Q283" i="6"/>
  <c r="P283" i="6"/>
  <c r="O283" i="6"/>
  <c r="N283" i="6"/>
  <c r="Z36" i="5" s="1"/>
  <c r="AJ36" i="5" s="1"/>
  <c r="M283" i="6"/>
  <c r="L283" i="6"/>
  <c r="K283" i="6"/>
  <c r="J283" i="6"/>
  <c r="V36" i="5" s="1"/>
  <c r="AF36" i="5" s="1"/>
  <c r="B283" i="6"/>
  <c r="S282" i="6"/>
  <c r="R282" i="6"/>
  <c r="Q282" i="6"/>
  <c r="AC36" i="5" s="1"/>
  <c r="AM36" i="5" s="1"/>
  <c r="P282" i="6"/>
  <c r="O282" i="6"/>
  <c r="N282" i="6"/>
  <c r="M282" i="6"/>
  <c r="Y36" i="5" s="1"/>
  <c r="AI36" i="5" s="1"/>
  <c r="L282" i="6"/>
  <c r="K282" i="6"/>
  <c r="J282" i="6"/>
  <c r="B282" i="6"/>
  <c r="S281" i="6"/>
  <c r="R281" i="6"/>
  <c r="Q281" i="6"/>
  <c r="P281" i="6"/>
  <c r="O281" i="6"/>
  <c r="N281" i="6"/>
  <c r="M281" i="6"/>
  <c r="L281" i="6"/>
  <c r="K281" i="6"/>
  <c r="J281" i="6"/>
  <c r="B281" i="6"/>
  <c r="S280" i="6"/>
  <c r="R280" i="6"/>
  <c r="Q280" i="6"/>
  <c r="P280" i="6"/>
  <c r="O280" i="6"/>
  <c r="N280" i="6"/>
  <c r="M280" i="6"/>
  <c r="L280" i="6"/>
  <c r="K280" i="6"/>
  <c r="J280" i="6"/>
  <c r="B280" i="6"/>
  <c r="S279" i="6"/>
  <c r="R279" i="6"/>
  <c r="Q279" i="6"/>
  <c r="P279" i="6"/>
  <c r="O279" i="6"/>
  <c r="N279" i="6"/>
  <c r="M279" i="6"/>
  <c r="L279" i="6"/>
  <c r="K279" i="6"/>
  <c r="J279" i="6"/>
  <c r="B279" i="6"/>
  <c r="S278" i="6"/>
  <c r="R278" i="6"/>
  <c r="Q278" i="6"/>
  <c r="P278" i="6"/>
  <c r="O278" i="6"/>
  <c r="N278" i="6"/>
  <c r="M278" i="6"/>
  <c r="L278" i="6"/>
  <c r="K278" i="6"/>
  <c r="J278" i="6"/>
  <c r="B278" i="6"/>
  <c r="S277" i="6"/>
  <c r="R277" i="6"/>
  <c r="Q277" i="6"/>
  <c r="P277" i="6"/>
  <c r="O277" i="6"/>
  <c r="N277" i="6"/>
  <c r="M277" i="6"/>
  <c r="L277" i="6"/>
  <c r="K277" i="6"/>
  <c r="J277" i="6"/>
  <c r="B277" i="6"/>
  <c r="S276" i="6"/>
  <c r="R276" i="6"/>
  <c r="Q276" i="6"/>
  <c r="P276" i="6"/>
  <c r="O276" i="6"/>
  <c r="N276" i="6"/>
  <c r="M276" i="6"/>
  <c r="L276" i="6"/>
  <c r="K276" i="6"/>
  <c r="J276" i="6"/>
  <c r="B276" i="6"/>
  <c r="S275" i="6"/>
  <c r="R275" i="6"/>
  <c r="Q275" i="6"/>
  <c r="P275" i="6"/>
  <c r="O275" i="6"/>
  <c r="N275" i="6"/>
  <c r="M275" i="6"/>
  <c r="L275" i="6"/>
  <c r="K275" i="6"/>
  <c r="J275" i="6"/>
  <c r="B275" i="6"/>
  <c r="S274" i="6"/>
  <c r="R274" i="6"/>
  <c r="Q274" i="6"/>
  <c r="P274" i="6"/>
  <c r="O274" i="6"/>
  <c r="N274" i="6"/>
  <c r="M274" i="6"/>
  <c r="L274" i="6"/>
  <c r="K274" i="6"/>
  <c r="J274" i="6"/>
  <c r="B274" i="6"/>
  <c r="S273" i="6"/>
  <c r="R273" i="6"/>
  <c r="Q273" i="6"/>
  <c r="P273" i="6"/>
  <c r="O273" i="6"/>
  <c r="N273" i="6"/>
  <c r="M273" i="6"/>
  <c r="L273" i="6"/>
  <c r="K273" i="6"/>
  <c r="J273" i="6"/>
  <c r="B273" i="6"/>
  <c r="S272" i="6"/>
  <c r="AE35" i="5" s="1"/>
  <c r="AO35" i="5" s="1"/>
  <c r="R272" i="6"/>
  <c r="Q272" i="6"/>
  <c r="P272" i="6"/>
  <c r="O272" i="6"/>
  <c r="AA35" i="5" s="1"/>
  <c r="AK35" i="5" s="1"/>
  <c r="N272" i="6"/>
  <c r="M272" i="6"/>
  <c r="L272" i="6"/>
  <c r="K272" i="6"/>
  <c r="W35" i="5" s="1"/>
  <c r="AG35" i="5" s="1"/>
  <c r="J272" i="6"/>
  <c r="B272" i="6"/>
  <c r="S271" i="6"/>
  <c r="R271" i="6"/>
  <c r="AD35" i="5" s="1"/>
  <c r="AN35" i="5" s="1"/>
  <c r="Q271" i="6"/>
  <c r="P271" i="6"/>
  <c r="O271" i="6"/>
  <c r="N271" i="6"/>
  <c r="Z35" i="5" s="1"/>
  <c r="AJ35" i="5" s="1"/>
  <c r="M271" i="6"/>
  <c r="L271" i="6"/>
  <c r="K271" i="6"/>
  <c r="J271" i="6"/>
  <c r="V35" i="5" s="1"/>
  <c r="AF35" i="5" s="1"/>
  <c r="B271" i="6"/>
  <c r="S270" i="6"/>
  <c r="R270" i="6"/>
  <c r="Q270" i="6"/>
  <c r="AC35" i="5" s="1"/>
  <c r="AM35" i="5" s="1"/>
  <c r="P270" i="6"/>
  <c r="O270" i="6"/>
  <c r="N270" i="6"/>
  <c r="M270" i="6"/>
  <c r="Y35" i="5" s="1"/>
  <c r="AI35" i="5" s="1"/>
  <c r="L270" i="6"/>
  <c r="K270" i="6"/>
  <c r="J270" i="6"/>
  <c r="B270" i="6"/>
  <c r="S269" i="6"/>
  <c r="R269" i="6"/>
  <c r="Q269" i="6"/>
  <c r="P269" i="6"/>
  <c r="AB35" i="5" s="1"/>
  <c r="AL35" i="5" s="1"/>
  <c r="O269" i="6"/>
  <c r="N269" i="6"/>
  <c r="M269" i="6"/>
  <c r="L269" i="6"/>
  <c r="X35" i="5" s="1"/>
  <c r="AH35" i="5" s="1"/>
  <c r="K269" i="6"/>
  <c r="J269" i="6"/>
  <c r="B269" i="6"/>
  <c r="S268" i="6"/>
  <c r="R268" i="6"/>
  <c r="Q268" i="6"/>
  <c r="P268" i="6"/>
  <c r="O268" i="6"/>
  <c r="N268" i="6"/>
  <c r="M268" i="6"/>
  <c r="L268" i="6"/>
  <c r="K268" i="6"/>
  <c r="J268" i="6"/>
  <c r="B268" i="6"/>
  <c r="S267" i="6"/>
  <c r="R267" i="6"/>
  <c r="Q267" i="6"/>
  <c r="P267" i="6"/>
  <c r="O267" i="6"/>
  <c r="N267" i="6"/>
  <c r="M267" i="6"/>
  <c r="L267" i="6"/>
  <c r="K267" i="6"/>
  <c r="J267" i="6"/>
  <c r="B267" i="6"/>
  <c r="S266" i="6"/>
  <c r="R266" i="6"/>
  <c r="Q266" i="6"/>
  <c r="P266" i="6"/>
  <c r="O266" i="6"/>
  <c r="N266" i="6"/>
  <c r="M266" i="6"/>
  <c r="L266" i="6"/>
  <c r="K266" i="6"/>
  <c r="J266" i="6"/>
  <c r="B266" i="6"/>
  <c r="S265" i="6"/>
  <c r="R265" i="6"/>
  <c r="Q265" i="6"/>
  <c r="P265" i="6"/>
  <c r="O265" i="6"/>
  <c r="N265" i="6"/>
  <c r="M265" i="6"/>
  <c r="L265" i="6"/>
  <c r="K265" i="6"/>
  <c r="J265" i="6"/>
  <c r="B265" i="6"/>
  <c r="S264" i="6"/>
  <c r="R264" i="6"/>
  <c r="Q264" i="6"/>
  <c r="P264" i="6"/>
  <c r="O264" i="6"/>
  <c r="N264" i="6"/>
  <c r="M264" i="6"/>
  <c r="L264" i="6"/>
  <c r="K264" i="6"/>
  <c r="J264" i="6"/>
  <c r="B264" i="6"/>
  <c r="S263" i="6"/>
  <c r="R263" i="6"/>
  <c r="Q263" i="6"/>
  <c r="P263" i="6"/>
  <c r="O263" i="6"/>
  <c r="N263" i="6"/>
  <c r="M263" i="6"/>
  <c r="L263" i="6"/>
  <c r="K263" i="6"/>
  <c r="J263" i="6"/>
  <c r="B263" i="6"/>
  <c r="S262" i="6"/>
  <c r="R262" i="6"/>
  <c r="Q262" i="6"/>
  <c r="AC34" i="5" s="1"/>
  <c r="AM34" i="5" s="1"/>
  <c r="P262" i="6"/>
  <c r="O262" i="6"/>
  <c r="N262" i="6"/>
  <c r="M262" i="6"/>
  <c r="Y34" i="5" s="1"/>
  <c r="AI34" i="5" s="1"/>
  <c r="L262" i="6"/>
  <c r="K262" i="6"/>
  <c r="J262" i="6"/>
  <c r="B262" i="6"/>
  <c r="S261" i="6"/>
  <c r="R261" i="6"/>
  <c r="Q261" i="6"/>
  <c r="P261" i="6"/>
  <c r="AB34" i="5" s="1"/>
  <c r="AL34" i="5" s="1"/>
  <c r="O261" i="6"/>
  <c r="N261" i="6"/>
  <c r="M261" i="6"/>
  <c r="L261" i="6"/>
  <c r="X34" i="5" s="1"/>
  <c r="AH34" i="5" s="1"/>
  <c r="K261" i="6"/>
  <c r="J261" i="6"/>
  <c r="B261" i="6"/>
  <c r="S260" i="6"/>
  <c r="AE34" i="5" s="1"/>
  <c r="AO34" i="5" s="1"/>
  <c r="R260" i="6"/>
  <c r="Q260" i="6"/>
  <c r="P260" i="6"/>
  <c r="O260" i="6"/>
  <c r="AA34" i="5" s="1"/>
  <c r="AK34" i="5" s="1"/>
  <c r="N260" i="6"/>
  <c r="M260" i="6"/>
  <c r="L260" i="6"/>
  <c r="K260" i="6"/>
  <c r="W34" i="5" s="1"/>
  <c r="AG34" i="5" s="1"/>
  <c r="J260" i="6"/>
  <c r="B260" i="6"/>
  <c r="S259" i="6"/>
  <c r="R259" i="6"/>
  <c r="AD34" i="5" s="1"/>
  <c r="AN34" i="5" s="1"/>
  <c r="Q259" i="6"/>
  <c r="P259" i="6"/>
  <c r="O259" i="6"/>
  <c r="N259" i="6"/>
  <c r="M259" i="6"/>
  <c r="L259" i="6"/>
  <c r="K259" i="6"/>
  <c r="J259" i="6"/>
  <c r="V34" i="5" s="1"/>
  <c r="AF34" i="5" s="1"/>
  <c r="B259" i="6"/>
  <c r="S258" i="6"/>
  <c r="R258" i="6"/>
  <c r="Q258" i="6"/>
  <c r="P258" i="6"/>
  <c r="O258" i="6"/>
  <c r="N258" i="6"/>
  <c r="M258" i="6"/>
  <c r="L258" i="6"/>
  <c r="K258" i="6"/>
  <c r="J258" i="6"/>
  <c r="B258" i="6"/>
  <c r="S257" i="6"/>
  <c r="R257" i="6"/>
  <c r="Q257" i="6"/>
  <c r="P257" i="6"/>
  <c r="O257" i="6"/>
  <c r="N257" i="6"/>
  <c r="M257" i="6"/>
  <c r="L257" i="6"/>
  <c r="K257" i="6"/>
  <c r="J257" i="6"/>
  <c r="B257" i="6"/>
  <c r="S256" i="6"/>
  <c r="R256" i="6"/>
  <c r="Q256" i="6"/>
  <c r="P256" i="6"/>
  <c r="O256" i="6"/>
  <c r="N256" i="6"/>
  <c r="M256" i="6"/>
  <c r="L256" i="6"/>
  <c r="K256" i="6"/>
  <c r="J256" i="6"/>
  <c r="B256" i="6"/>
  <c r="S255" i="6"/>
  <c r="R255" i="6"/>
  <c r="Q255" i="6"/>
  <c r="P255" i="6"/>
  <c r="O255" i="6"/>
  <c r="N255" i="6"/>
  <c r="M255" i="6"/>
  <c r="L255" i="6"/>
  <c r="K255" i="6"/>
  <c r="J255" i="6"/>
  <c r="B255" i="6"/>
  <c r="S254" i="6"/>
  <c r="R254" i="6"/>
  <c r="Q254" i="6"/>
  <c r="P254" i="6"/>
  <c r="O254" i="6"/>
  <c r="N254" i="6"/>
  <c r="M254" i="6"/>
  <c r="L254" i="6"/>
  <c r="K254" i="6"/>
  <c r="J254" i="6"/>
  <c r="B254" i="6"/>
  <c r="S253" i="6"/>
  <c r="R253" i="6"/>
  <c r="Q253" i="6"/>
  <c r="P253" i="6"/>
  <c r="AB33" i="5" s="1"/>
  <c r="AL33" i="5" s="1"/>
  <c r="O253" i="6"/>
  <c r="N253" i="6"/>
  <c r="M253" i="6"/>
  <c r="L253" i="6"/>
  <c r="X33" i="5" s="1"/>
  <c r="AH33" i="5" s="1"/>
  <c r="K253" i="6"/>
  <c r="J253" i="6"/>
  <c r="B253" i="6"/>
  <c r="S252" i="6"/>
  <c r="AE33" i="5" s="1"/>
  <c r="AO33" i="5" s="1"/>
  <c r="R252" i="6"/>
  <c r="Q252" i="6"/>
  <c r="P252" i="6"/>
  <c r="O252" i="6"/>
  <c r="AA33" i="5" s="1"/>
  <c r="AK33" i="5" s="1"/>
  <c r="N252" i="6"/>
  <c r="M252" i="6"/>
  <c r="L252" i="6"/>
  <c r="K252" i="6"/>
  <c r="W33" i="5" s="1"/>
  <c r="AG33" i="5" s="1"/>
  <c r="J252" i="6"/>
  <c r="B252" i="6"/>
  <c r="S251" i="6"/>
  <c r="R251" i="6"/>
  <c r="AD33" i="5" s="1"/>
  <c r="AN33" i="5" s="1"/>
  <c r="Q251" i="6"/>
  <c r="P251" i="6"/>
  <c r="O251" i="6"/>
  <c r="N251" i="6"/>
  <c r="Z33" i="5" s="1"/>
  <c r="AJ33" i="5" s="1"/>
  <c r="M251" i="6"/>
  <c r="L251" i="6"/>
  <c r="K251" i="6"/>
  <c r="J251" i="6"/>
  <c r="V33" i="5" s="1"/>
  <c r="AF33" i="5" s="1"/>
  <c r="B251" i="6"/>
  <c r="S250" i="6"/>
  <c r="R250" i="6"/>
  <c r="Q250" i="6"/>
  <c r="AC33" i="5" s="1"/>
  <c r="AM33" i="5" s="1"/>
  <c r="P250" i="6"/>
  <c r="O250" i="6"/>
  <c r="N250" i="6"/>
  <c r="M250" i="6"/>
  <c r="Y33" i="5" s="1"/>
  <c r="AI33" i="5" s="1"/>
  <c r="L250" i="6"/>
  <c r="K250" i="6"/>
  <c r="J250" i="6"/>
  <c r="B250" i="6"/>
  <c r="S249" i="6"/>
  <c r="R249" i="6"/>
  <c r="Q249" i="6"/>
  <c r="P249" i="6"/>
  <c r="O249" i="6"/>
  <c r="N249" i="6"/>
  <c r="M249" i="6"/>
  <c r="L249" i="6"/>
  <c r="K249" i="6"/>
  <c r="J249" i="6"/>
  <c r="B249" i="6"/>
  <c r="S248" i="6"/>
  <c r="R248" i="6"/>
  <c r="Q248" i="6"/>
  <c r="P248" i="6"/>
  <c r="O248" i="6"/>
  <c r="N248" i="6"/>
  <c r="M248" i="6"/>
  <c r="L248" i="6"/>
  <c r="K248" i="6"/>
  <c r="J248" i="6"/>
  <c r="B248" i="6"/>
  <c r="S247" i="6"/>
  <c r="R247" i="6"/>
  <c r="Q247" i="6"/>
  <c r="P247" i="6"/>
  <c r="O247" i="6"/>
  <c r="N247" i="6"/>
  <c r="M247" i="6"/>
  <c r="L247" i="6"/>
  <c r="K247" i="6"/>
  <c r="J247" i="6"/>
  <c r="B247" i="6"/>
  <c r="S246" i="6"/>
  <c r="R246" i="6"/>
  <c r="Q246" i="6"/>
  <c r="AC32" i="5" s="1"/>
  <c r="AM32" i="5" s="1"/>
  <c r="P246" i="6"/>
  <c r="O246" i="6"/>
  <c r="N246" i="6"/>
  <c r="M246" i="6"/>
  <c r="Y32" i="5" s="1"/>
  <c r="AI32" i="5" s="1"/>
  <c r="L246" i="6"/>
  <c r="K246" i="6"/>
  <c r="J246" i="6"/>
  <c r="B246" i="6"/>
  <c r="S245" i="6"/>
  <c r="R245" i="6"/>
  <c r="Q245" i="6"/>
  <c r="P245" i="6"/>
  <c r="AB32" i="5" s="1"/>
  <c r="AL32" i="5" s="1"/>
  <c r="O245" i="6"/>
  <c r="N245" i="6"/>
  <c r="M245" i="6"/>
  <c r="L245" i="6"/>
  <c r="X32" i="5" s="1"/>
  <c r="AH32" i="5" s="1"/>
  <c r="K245" i="6"/>
  <c r="J245" i="6"/>
  <c r="B245" i="6"/>
  <c r="S244" i="6"/>
  <c r="AE32" i="5" s="1"/>
  <c r="AO32" i="5" s="1"/>
  <c r="R244" i="6"/>
  <c r="Q244" i="6"/>
  <c r="P244" i="6"/>
  <c r="O244" i="6"/>
  <c r="AA32" i="5" s="1"/>
  <c r="AK32" i="5" s="1"/>
  <c r="N244" i="6"/>
  <c r="M244" i="6"/>
  <c r="L244" i="6"/>
  <c r="K244" i="6"/>
  <c r="W32" i="5" s="1"/>
  <c r="AG32" i="5" s="1"/>
  <c r="J244" i="6"/>
  <c r="B244" i="6"/>
  <c r="S243" i="6"/>
  <c r="R243" i="6"/>
  <c r="AD32" i="5" s="1"/>
  <c r="AN32" i="5" s="1"/>
  <c r="Q243" i="6"/>
  <c r="P243" i="6"/>
  <c r="O243" i="6"/>
  <c r="N243" i="6"/>
  <c r="Z32" i="5" s="1"/>
  <c r="AJ32" i="5" s="1"/>
  <c r="M243" i="6"/>
  <c r="L243" i="6"/>
  <c r="K243" i="6"/>
  <c r="J243" i="6"/>
  <c r="V32" i="5" s="1"/>
  <c r="AF32" i="5" s="1"/>
  <c r="B243" i="6"/>
  <c r="S242" i="6"/>
  <c r="R242" i="6"/>
  <c r="Q242" i="6"/>
  <c r="P242" i="6"/>
  <c r="O242" i="6"/>
  <c r="N242" i="6"/>
  <c r="M242" i="6"/>
  <c r="L242" i="6"/>
  <c r="K242" i="6"/>
  <c r="J242" i="6"/>
  <c r="B242" i="6"/>
  <c r="S241" i="6"/>
  <c r="R241" i="6"/>
  <c r="Q241" i="6"/>
  <c r="P241" i="6"/>
  <c r="O241" i="6"/>
  <c r="N241" i="6"/>
  <c r="M241" i="6"/>
  <c r="L241" i="6"/>
  <c r="K241" i="6"/>
  <c r="J241" i="6"/>
  <c r="B241" i="6"/>
  <c r="S240" i="6"/>
  <c r="R240" i="6"/>
  <c r="Q240" i="6"/>
  <c r="P240" i="6"/>
  <c r="O240" i="6"/>
  <c r="N240" i="6"/>
  <c r="M240" i="6"/>
  <c r="L240" i="6"/>
  <c r="K240" i="6"/>
  <c r="J240" i="6"/>
  <c r="B240" i="6"/>
  <c r="S239" i="6"/>
  <c r="R239" i="6"/>
  <c r="Q239" i="6"/>
  <c r="P239" i="6"/>
  <c r="O239" i="6"/>
  <c r="N239" i="6"/>
  <c r="M239" i="6"/>
  <c r="L239" i="6"/>
  <c r="K239" i="6"/>
  <c r="J239" i="6"/>
  <c r="B239" i="6"/>
  <c r="S238" i="6"/>
  <c r="R238" i="6"/>
  <c r="Q238" i="6"/>
  <c r="AC31" i="5" s="1"/>
  <c r="AM31" i="5" s="1"/>
  <c r="P238" i="6"/>
  <c r="O238" i="6"/>
  <c r="N238" i="6"/>
  <c r="M238" i="6"/>
  <c r="Y31" i="5" s="1"/>
  <c r="AI31" i="5" s="1"/>
  <c r="L238" i="6"/>
  <c r="K238" i="6"/>
  <c r="J238" i="6"/>
  <c r="B238" i="6"/>
  <c r="S237" i="6"/>
  <c r="R237" i="6"/>
  <c r="Q237" i="6"/>
  <c r="P237" i="6"/>
  <c r="AB31" i="5" s="1"/>
  <c r="O237" i="6"/>
  <c r="N237" i="6"/>
  <c r="M237" i="6"/>
  <c r="L237" i="6"/>
  <c r="X31" i="5" s="1"/>
  <c r="AH31" i="5" s="1"/>
  <c r="K237" i="6"/>
  <c r="J237" i="6"/>
  <c r="B237" i="6"/>
  <c r="S236" i="6"/>
  <c r="AE31" i="5" s="1"/>
  <c r="AO31" i="5" s="1"/>
  <c r="R236" i="6"/>
  <c r="Q236" i="6"/>
  <c r="P236" i="6"/>
  <c r="O236" i="6"/>
  <c r="AA31" i="5" s="1"/>
  <c r="AK31" i="5" s="1"/>
  <c r="N236" i="6"/>
  <c r="M236" i="6"/>
  <c r="L236" i="6"/>
  <c r="K236" i="6"/>
  <c r="W31" i="5" s="1"/>
  <c r="AG31" i="5" s="1"/>
  <c r="J236" i="6"/>
  <c r="B236" i="6"/>
  <c r="S235" i="6"/>
  <c r="R235" i="6"/>
  <c r="AD31" i="5" s="1"/>
  <c r="AN31" i="5" s="1"/>
  <c r="Q235" i="6"/>
  <c r="P235" i="6"/>
  <c r="O235" i="6"/>
  <c r="N235" i="6"/>
  <c r="Z31" i="5" s="1"/>
  <c r="AJ31" i="5" s="1"/>
  <c r="M235" i="6"/>
  <c r="L235" i="6"/>
  <c r="K235" i="6"/>
  <c r="J235" i="6"/>
  <c r="V31" i="5" s="1"/>
  <c r="AF31" i="5" s="1"/>
  <c r="B235" i="6"/>
  <c r="S234" i="6"/>
  <c r="R234" i="6"/>
  <c r="Q234" i="6"/>
  <c r="P234" i="6"/>
  <c r="O234" i="6"/>
  <c r="N234" i="6"/>
  <c r="M234" i="6"/>
  <c r="L234" i="6"/>
  <c r="K234" i="6"/>
  <c r="J234" i="6"/>
  <c r="B234" i="6"/>
  <c r="S233" i="6"/>
  <c r="R233" i="6"/>
  <c r="Q233" i="6"/>
  <c r="P233" i="6"/>
  <c r="O233" i="6"/>
  <c r="N233" i="6"/>
  <c r="M233" i="6"/>
  <c r="L233" i="6"/>
  <c r="K233" i="6"/>
  <c r="J233" i="6"/>
  <c r="B233" i="6"/>
  <c r="S232" i="6"/>
  <c r="R232" i="6"/>
  <c r="Q232" i="6"/>
  <c r="P232" i="6"/>
  <c r="O232" i="6"/>
  <c r="N232" i="6"/>
  <c r="M232" i="6"/>
  <c r="L232" i="6"/>
  <c r="K232" i="6"/>
  <c r="J232" i="6"/>
  <c r="B232" i="6"/>
  <c r="S231" i="6"/>
  <c r="R231" i="6"/>
  <c r="AD30" i="5" s="1"/>
  <c r="AN30" i="5" s="1"/>
  <c r="Q231" i="6"/>
  <c r="P231" i="6"/>
  <c r="O231" i="6"/>
  <c r="N231" i="6"/>
  <c r="Z30" i="5" s="1"/>
  <c r="AJ30" i="5" s="1"/>
  <c r="M231" i="6"/>
  <c r="L231" i="6"/>
  <c r="K231" i="6"/>
  <c r="J231" i="6"/>
  <c r="V30" i="5" s="1"/>
  <c r="AF30" i="5" s="1"/>
  <c r="B231" i="6"/>
  <c r="S230" i="6"/>
  <c r="R230" i="6"/>
  <c r="Q230" i="6"/>
  <c r="AC30" i="5" s="1"/>
  <c r="AM30" i="5" s="1"/>
  <c r="P230" i="6"/>
  <c r="O230" i="6"/>
  <c r="N230" i="6"/>
  <c r="M230" i="6"/>
  <c r="Y30" i="5" s="1"/>
  <c r="AI30" i="5" s="1"/>
  <c r="L230" i="6"/>
  <c r="K230" i="6"/>
  <c r="J230" i="6"/>
  <c r="B230" i="6"/>
  <c r="S229" i="6"/>
  <c r="R229" i="6"/>
  <c r="Q229" i="6"/>
  <c r="P229" i="6"/>
  <c r="AB30" i="5" s="1"/>
  <c r="AL30" i="5" s="1"/>
  <c r="O229" i="6"/>
  <c r="N229" i="6"/>
  <c r="M229" i="6"/>
  <c r="L229" i="6"/>
  <c r="X30" i="5" s="1"/>
  <c r="AH30" i="5" s="1"/>
  <c r="K229" i="6"/>
  <c r="J229" i="6"/>
  <c r="B229" i="6"/>
  <c r="S228" i="6"/>
  <c r="AE30" i="5" s="1"/>
  <c r="AO30" i="5" s="1"/>
  <c r="R228" i="6"/>
  <c r="Q228" i="6"/>
  <c r="P228" i="6"/>
  <c r="O228" i="6"/>
  <c r="AA30" i="5" s="1"/>
  <c r="AK30" i="5" s="1"/>
  <c r="N228" i="6"/>
  <c r="M228" i="6"/>
  <c r="L228" i="6"/>
  <c r="K228" i="6"/>
  <c r="W30" i="5" s="1"/>
  <c r="AG30" i="5" s="1"/>
  <c r="J228" i="6"/>
  <c r="B228" i="6"/>
  <c r="S227" i="6"/>
  <c r="R227" i="6"/>
  <c r="Q227" i="6"/>
  <c r="P227" i="6"/>
  <c r="O227" i="6"/>
  <c r="N227" i="6"/>
  <c r="M227" i="6"/>
  <c r="L227" i="6"/>
  <c r="K227" i="6"/>
  <c r="J227" i="6"/>
  <c r="B227" i="6"/>
  <c r="S226" i="6"/>
  <c r="R226" i="6"/>
  <c r="Q226" i="6"/>
  <c r="P226" i="6"/>
  <c r="O226" i="6"/>
  <c r="N226" i="6"/>
  <c r="M226" i="6"/>
  <c r="L226" i="6"/>
  <c r="K226" i="6"/>
  <c r="J226" i="6"/>
  <c r="B226" i="6"/>
  <c r="S225" i="6"/>
  <c r="R225" i="6"/>
  <c r="Q225" i="6"/>
  <c r="P225" i="6"/>
  <c r="O225" i="6"/>
  <c r="N225" i="6"/>
  <c r="M225" i="6"/>
  <c r="L225" i="6"/>
  <c r="K225" i="6"/>
  <c r="J225" i="6"/>
  <c r="B225" i="6"/>
  <c r="S224" i="6"/>
  <c r="R224" i="6"/>
  <c r="Q224" i="6"/>
  <c r="P224" i="6"/>
  <c r="O224" i="6"/>
  <c r="N224" i="6"/>
  <c r="M224" i="6"/>
  <c r="L224" i="6"/>
  <c r="K224" i="6"/>
  <c r="J224" i="6"/>
  <c r="B224" i="6"/>
  <c r="S223" i="6"/>
  <c r="R223" i="6"/>
  <c r="Q223" i="6"/>
  <c r="P223" i="6"/>
  <c r="O223" i="6"/>
  <c r="N223" i="6"/>
  <c r="M223" i="6"/>
  <c r="L223" i="6"/>
  <c r="K223" i="6"/>
  <c r="J223" i="6"/>
  <c r="B223" i="6"/>
  <c r="S222" i="6"/>
  <c r="R222" i="6"/>
  <c r="Q222" i="6"/>
  <c r="AC29" i="5" s="1"/>
  <c r="AM29" i="5" s="1"/>
  <c r="P222" i="6"/>
  <c r="O222" i="6"/>
  <c r="N222" i="6"/>
  <c r="M222" i="6"/>
  <c r="Y29" i="5" s="1"/>
  <c r="AI29" i="5" s="1"/>
  <c r="L222" i="6"/>
  <c r="K222" i="6"/>
  <c r="J222" i="6"/>
  <c r="B222" i="6"/>
  <c r="S221" i="6"/>
  <c r="R221" i="6"/>
  <c r="Q221" i="6"/>
  <c r="P221" i="6"/>
  <c r="AB29" i="5" s="1"/>
  <c r="AL29" i="5" s="1"/>
  <c r="O221" i="6"/>
  <c r="N221" i="6"/>
  <c r="M221" i="6"/>
  <c r="L221" i="6"/>
  <c r="X29" i="5" s="1"/>
  <c r="AH29" i="5" s="1"/>
  <c r="K221" i="6"/>
  <c r="J221" i="6"/>
  <c r="B221" i="6"/>
  <c r="S220" i="6"/>
  <c r="AE29" i="5" s="1"/>
  <c r="AO29" i="5" s="1"/>
  <c r="R220" i="6"/>
  <c r="Q220" i="6"/>
  <c r="P220" i="6"/>
  <c r="O220" i="6"/>
  <c r="AA29" i="5" s="1"/>
  <c r="AK29" i="5" s="1"/>
  <c r="N220" i="6"/>
  <c r="M220" i="6"/>
  <c r="L220" i="6"/>
  <c r="K220" i="6"/>
  <c r="W29" i="5" s="1"/>
  <c r="AG29" i="5" s="1"/>
  <c r="J220" i="6"/>
  <c r="B220" i="6"/>
  <c r="S219" i="6"/>
  <c r="R219" i="6"/>
  <c r="AD29" i="5" s="1"/>
  <c r="AN29" i="5" s="1"/>
  <c r="Q219" i="6"/>
  <c r="P219" i="6"/>
  <c r="O219" i="6"/>
  <c r="N219" i="6"/>
  <c r="Z29" i="5" s="1"/>
  <c r="AJ29" i="5" s="1"/>
  <c r="M219" i="6"/>
  <c r="L219" i="6"/>
  <c r="K219" i="6"/>
  <c r="J219" i="6"/>
  <c r="V29" i="5" s="1"/>
  <c r="AF29" i="5" s="1"/>
  <c r="B219" i="6"/>
  <c r="S218" i="6"/>
  <c r="R218" i="6"/>
  <c r="Q218" i="6"/>
  <c r="P218" i="6"/>
  <c r="O218" i="6"/>
  <c r="N218" i="6"/>
  <c r="M218" i="6"/>
  <c r="L218" i="6"/>
  <c r="K218" i="6"/>
  <c r="J218" i="6"/>
  <c r="B218" i="6"/>
  <c r="S217" i="6"/>
  <c r="R217" i="6"/>
  <c r="Q217" i="6"/>
  <c r="P217" i="6"/>
  <c r="O217" i="6"/>
  <c r="N217" i="6"/>
  <c r="M217" i="6"/>
  <c r="L217" i="6"/>
  <c r="K217" i="6"/>
  <c r="J217" i="6"/>
  <c r="B217" i="6"/>
  <c r="S216" i="6"/>
  <c r="R216" i="6"/>
  <c r="Q216" i="6"/>
  <c r="P216" i="6"/>
  <c r="O216" i="6"/>
  <c r="N216" i="6"/>
  <c r="M216" i="6"/>
  <c r="L216" i="6"/>
  <c r="K216" i="6"/>
  <c r="J216" i="6"/>
  <c r="B216" i="6"/>
  <c r="S215" i="6"/>
  <c r="R215" i="6"/>
  <c r="Q215" i="6"/>
  <c r="P215" i="6"/>
  <c r="O215" i="6"/>
  <c r="N215" i="6"/>
  <c r="M215" i="6"/>
  <c r="L215" i="6"/>
  <c r="K215" i="6"/>
  <c r="J215" i="6"/>
  <c r="B215" i="6"/>
  <c r="S214" i="6"/>
  <c r="R214" i="6"/>
  <c r="Q214" i="6"/>
  <c r="AC28" i="5" s="1"/>
  <c r="AM28" i="5" s="1"/>
  <c r="P214" i="6"/>
  <c r="O214" i="6"/>
  <c r="N214" i="6"/>
  <c r="M214" i="6"/>
  <c r="Y28" i="5" s="1"/>
  <c r="AI28" i="5" s="1"/>
  <c r="L214" i="6"/>
  <c r="K214" i="6"/>
  <c r="J214" i="6"/>
  <c r="B214" i="6"/>
  <c r="S213" i="6"/>
  <c r="R213" i="6"/>
  <c r="Q213" i="6"/>
  <c r="P213" i="6"/>
  <c r="AB28" i="5" s="1"/>
  <c r="AL28" i="5" s="1"/>
  <c r="O213" i="6"/>
  <c r="N213" i="6"/>
  <c r="M213" i="6"/>
  <c r="L213" i="6"/>
  <c r="X28" i="5" s="1"/>
  <c r="AH28" i="5" s="1"/>
  <c r="K213" i="6"/>
  <c r="J213" i="6"/>
  <c r="B213" i="6"/>
  <c r="S212" i="6"/>
  <c r="AE28" i="5" s="1"/>
  <c r="AO28" i="5" s="1"/>
  <c r="R212" i="6"/>
  <c r="Q212" i="6"/>
  <c r="P212" i="6"/>
  <c r="O212" i="6"/>
  <c r="AA28" i="5" s="1"/>
  <c r="AK28" i="5" s="1"/>
  <c r="N212" i="6"/>
  <c r="M212" i="6"/>
  <c r="L212" i="6"/>
  <c r="K212" i="6"/>
  <c r="W28" i="5" s="1"/>
  <c r="AG28" i="5" s="1"/>
  <c r="J212" i="6"/>
  <c r="B212" i="6"/>
  <c r="S211" i="6"/>
  <c r="R211" i="6"/>
  <c r="AD28" i="5" s="1"/>
  <c r="AN28" i="5" s="1"/>
  <c r="Q211" i="6"/>
  <c r="P211" i="6"/>
  <c r="O211" i="6"/>
  <c r="N211" i="6"/>
  <c r="Z28" i="5" s="1"/>
  <c r="AJ28" i="5" s="1"/>
  <c r="M211" i="6"/>
  <c r="L211" i="6"/>
  <c r="K211" i="6"/>
  <c r="J211" i="6"/>
  <c r="V28" i="5" s="1"/>
  <c r="AF28" i="5" s="1"/>
  <c r="B211" i="6"/>
  <c r="S210" i="6"/>
  <c r="R210" i="6"/>
  <c r="Q210" i="6"/>
  <c r="P210" i="6"/>
  <c r="O210" i="6"/>
  <c r="N210" i="6"/>
  <c r="M210" i="6"/>
  <c r="L210" i="6"/>
  <c r="K210" i="6"/>
  <c r="J210" i="6"/>
  <c r="B210" i="6"/>
  <c r="S209" i="6"/>
  <c r="R209" i="6"/>
  <c r="Q209" i="6"/>
  <c r="P209" i="6"/>
  <c r="O209" i="6"/>
  <c r="N209" i="6"/>
  <c r="M209" i="6"/>
  <c r="L209" i="6"/>
  <c r="K209" i="6"/>
  <c r="J209" i="6"/>
  <c r="B209" i="6"/>
  <c r="S208" i="6"/>
  <c r="R208" i="6"/>
  <c r="Q208" i="6"/>
  <c r="P208" i="6"/>
  <c r="O208" i="6"/>
  <c r="N208" i="6"/>
  <c r="M208" i="6"/>
  <c r="L208" i="6"/>
  <c r="K208" i="6"/>
  <c r="J208" i="6"/>
  <c r="B208" i="6"/>
  <c r="S207" i="6"/>
  <c r="R207" i="6"/>
  <c r="Q207" i="6"/>
  <c r="P207" i="6"/>
  <c r="O207" i="6"/>
  <c r="N207" i="6"/>
  <c r="M207" i="6"/>
  <c r="L207" i="6"/>
  <c r="K207" i="6"/>
  <c r="J207" i="6"/>
  <c r="B207" i="6"/>
  <c r="S206" i="6"/>
  <c r="R206" i="6"/>
  <c r="Q206" i="6"/>
  <c r="P206" i="6"/>
  <c r="O206" i="6"/>
  <c r="N206" i="6"/>
  <c r="M206" i="6"/>
  <c r="L206" i="6"/>
  <c r="K206" i="6"/>
  <c r="J206" i="6"/>
  <c r="B206" i="6"/>
  <c r="S205" i="6"/>
  <c r="R205" i="6"/>
  <c r="Q205" i="6"/>
  <c r="P205" i="6"/>
  <c r="O205" i="6"/>
  <c r="N205" i="6"/>
  <c r="M205" i="6"/>
  <c r="L205" i="6"/>
  <c r="K205" i="6"/>
  <c r="J205" i="6"/>
  <c r="B205" i="6"/>
  <c r="S204" i="6"/>
  <c r="AE27" i="5" s="1"/>
  <c r="AO27" i="5" s="1"/>
  <c r="R204" i="6"/>
  <c r="Q204" i="6"/>
  <c r="P204" i="6"/>
  <c r="O204" i="6"/>
  <c r="AA27" i="5" s="1"/>
  <c r="AK27" i="5" s="1"/>
  <c r="N204" i="6"/>
  <c r="M204" i="6"/>
  <c r="L204" i="6"/>
  <c r="K204" i="6"/>
  <c r="W27" i="5" s="1"/>
  <c r="AG27" i="5" s="1"/>
  <c r="J204" i="6"/>
  <c r="B204" i="6"/>
  <c r="S203" i="6"/>
  <c r="R203" i="6"/>
  <c r="AD27" i="5" s="1"/>
  <c r="AN27" i="5" s="1"/>
  <c r="Q203" i="6"/>
  <c r="P203" i="6"/>
  <c r="O203" i="6"/>
  <c r="N203" i="6"/>
  <c r="Z27" i="5" s="1"/>
  <c r="AJ27" i="5" s="1"/>
  <c r="M203" i="6"/>
  <c r="L203" i="6"/>
  <c r="K203" i="6"/>
  <c r="J203" i="6"/>
  <c r="V27" i="5" s="1"/>
  <c r="AF27" i="5" s="1"/>
  <c r="B203" i="6"/>
  <c r="S202" i="6"/>
  <c r="R202" i="6"/>
  <c r="Q202" i="6"/>
  <c r="AC27" i="5" s="1"/>
  <c r="AM27" i="5" s="1"/>
  <c r="P202" i="6"/>
  <c r="O202" i="6"/>
  <c r="N202" i="6"/>
  <c r="M202" i="6"/>
  <c r="Y27" i="5" s="1"/>
  <c r="AI27" i="5" s="1"/>
  <c r="L202" i="6"/>
  <c r="K202" i="6"/>
  <c r="J202" i="6"/>
  <c r="B202" i="6"/>
  <c r="S201" i="6"/>
  <c r="R201" i="6"/>
  <c r="Q201" i="6"/>
  <c r="P201" i="6"/>
  <c r="AB27" i="5" s="1"/>
  <c r="AL27" i="5" s="1"/>
  <c r="O201" i="6"/>
  <c r="N201" i="6"/>
  <c r="M201" i="6"/>
  <c r="L201" i="6"/>
  <c r="X27" i="5" s="1"/>
  <c r="AH27" i="5" s="1"/>
  <c r="K201" i="6"/>
  <c r="J201" i="6"/>
  <c r="B201" i="6"/>
  <c r="S200" i="6"/>
  <c r="R200" i="6"/>
  <c r="Q200" i="6"/>
  <c r="P200" i="6"/>
  <c r="O200" i="6"/>
  <c r="N200" i="6"/>
  <c r="M200" i="6"/>
  <c r="L200" i="6"/>
  <c r="K200" i="6"/>
  <c r="J200" i="6"/>
  <c r="B200" i="6"/>
  <c r="S199" i="6"/>
  <c r="R199" i="6"/>
  <c r="Q199" i="6"/>
  <c r="P199" i="6"/>
  <c r="O199" i="6"/>
  <c r="N199" i="6"/>
  <c r="M199" i="6"/>
  <c r="L199" i="6"/>
  <c r="K199" i="6"/>
  <c r="J199" i="6"/>
  <c r="B199" i="6"/>
  <c r="S198" i="6"/>
  <c r="R198" i="6"/>
  <c r="Q198" i="6"/>
  <c r="P198" i="6"/>
  <c r="O198" i="6"/>
  <c r="N198" i="6"/>
  <c r="M198" i="6"/>
  <c r="L198" i="6"/>
  <c r="K198" i="6"/>
  <c r="J198" i="6"/>
  <c r="B198" i="6"/>
  <c r="S197" i="6"/>
  <c r="R197" i="6"/>
  <c r="Q197" i="6"/>
  <c r="P197" i="6"/>
  <c r="O197" i="6"/>
  <c r="N197" i="6"/>
  <c r="M197" i="6"/>
  <c r="L197" i="6"/>
  <c r="K197" i="6"/>
  <c r="J197" i="6"/>
  <c r="B197" i="6"/>
  <c r="S196" i="6"/>
  <c r="R196" i="6"/>
  <c r="Q196" i="6"/>
  <c r="P196" i="6"/>
  <c r="O196" i="6"/>
  <c r="N196" i="6"/>
  <c r="M196" i="6"/>
  <c r="L196" i="6"/>
  <c r="K196" i="6"/>
  <c r="J196" i="6"/>
  <c r="B196" i="6"/>
  <c r="S195" i="6"/>
  <c r="R195" i="6"/>
  <c r="Q195" i="6"/>
  <c r="P195" i="6"/>
  <c r="O195" i="6"/>
  <c r="N195" i="6"/>
  <c r="M195" i="6"/>
  <c r="L195" i="6"/>
  <c r="K195" i="6"/>
  <c r="J195" i="6"/>
  <c r="B195" i="6"/>
  <c r="S194" i="6"/>
  <c r="R194" i="6"/>
  <c r="Q194" i="6"/>
  <c r="P194" i="6"/>
  <c r="O194" i="6"/>
  <c r="N194" i="6"/>
  <c r="M194" i="6"/>
  <c r="L194" i="6"/>
  <c r="K194" i="6"/>
  <c r="J194" i="6"/>
  <c r="B194" i="6"/>
  <c r="S193" i="6"/>
  <c r="R193" i="6"/>
  <c r="Q193" i="6"/>
  <c r="P193" i="6"/>
  <c r="AB26" i="5" s="1"/>
  <c r="AL26" i="5" s="1"/>
  <c r="O193" i="6"/>
  <c r="N193" i="6"/>
  <c r="M193" i="6"/>
  <c r="L193" i="6"/>
  <c r="X26" i="5" s="1"/>
  <c r="AH26" i="5" s="1"/>
  <c r="K193" i="6"/>
  <c r="J193" i="6"/>
  <c r="B193" i="6"/>
  <c r="S192" i="6"/>
  <c r="AE26" i="5" s="1"/>
  <c r="AO26" i="5" s="1"/>
  <c r="R192" i="6"/>
  <c r="Q192" i="6"/>
  <c r="P192" i="6"/>
  <c r="O192" i="6"/>
  <c r="AA26" i="5" s="1"/>
  <c r="AK26" i="5" s="1"/>
  <c r="N192" i="6"/>
  <c r="M192" i="6"/>
  <c r="L192" i="6"/>
  <c r="K192" i="6"/>
  <c r="W26" i="5" s="1"/>
  <c r="AG26" i="5" s="1"/>
  <c r="J192" i="6"/>
  <c r="B192" i="6"/>
  <c r="S191" i="6"/>
  <c r="R191" i="6"/>
  <c r="AD26" i="5" s="1"/>
  <c r="AN26" i="5" s="1"/>
  <c r="Q191" i="6"/>
  <c r="P191" i="6"/>
  <c r="O191" i="6"/>
  <c r="N191" i="6"/>
  <c r="Z26" i="5" s="1"/>
  <c r="AJ26" i="5" s="1"/>
  <c r="M191" i="6"/>
  <c r="L191" i="6"/>
  <c r="K191" i="6"/>
  <c r="J191" i="6"/>
  <c r="V26" i="5" s="1"/>
  <c r="AF26" i="5" s="1"/>
  <c r="B191" i="6"/>
  <c r="S190" i="6"/>
  <c r="R190" i="6"/>
  <c r="Q190" i="6"/>
  <c r="AC26" i="5" s="1"/>
  <c r="AM26" i="5" s="1"/>
  <c r="P190" i="6"/>
  <c r="O190" i="6"/>
  <c r="N190" i="6"/>
  <c r="M190" i="6"/>
  <c r="Y26" i="5" s="1"/>
  <c r="AI26" i="5" s="1"/>
  <c r="L190" i="6"/>
  <c r="K190" i="6"/>
  <c r="J190" i="6"/>
  <c r="B190" i="6"/>
  <c r="S189" i="6"/>
  <c r="R189" i="6"/>
  <c r="Q189" i="6"/>
  <c r="P189" i="6"/>
  <c r="O189" i="6"/>
  <c r="N189" i="6"/>
  <c r="M189" i="6"/>
  <c r="L189" i="6"/>
  <c r="K189" i="6"/>
  <c r="J189" i="6"/>
  <c r="B189" i="6"/>
  <c r="S188" i="6"/>
  <c r="R188" i="6"/>
  <c r="Q188" i="6"/>
  <c r="P188" i="6"/>
  <c r="O188" i="6"/>
  <c r="N188" i="6"/>
  <c r="M188" i="6"/>
  <c r="L188" i="6"/>
  <c r="K188" i="6"/>
  <c r="J188" i="6"/>
  <c r="B188" i="6"/>
  <c r="S187" i="6"/>
  <c r="R187" i="6"/>
  <c r="Q187" i="6"/>
  <c r="P187" i="6"/>
  <c r="O187" i="6"/>
  <c r="N187" i="6"/>
  <c r="M187" i="6"/>
  <c r="L187" i="6"/>
  <c r="K187" i="6"/>
  <c r="J187" i="6"/>
  <c r="B187" i="6"/>
  <c r="S186" i="6"/>
  <c r="R186" i="6"/>
  <c r="Q186" i="6"/>
  <c r="P186" i="6"/>
  <c r="O186" i="6"/>
  <c r="N186" i="6"/>
  <c r="M186" i="6"/>
  <c r="L186" i="6"/>
  <c r="K186" i="6"/>
  <c r="J186" i="6"/>
  <c r="B186" i="6"/>
  <c r="S185" i="6"/>
  <c r="R185" i="6"/>
  <c r="Q185" i="6"/>
  <c r="P185" i="6"/>
  <c r="O185" i="6"/>
  <c r="N185" i="6"/>
  <c r="M185" i="6"/>
  <c r="L185" i="6"/>
  <c r="K185" i="6"/>
  <c r="J185" i="6"/>
  <c r="B185" i="6"/>
  <c r="S184" i="6"/>
  <c r="AE25" i="5" s="1"/>
  <c r="AO25" i="5" s="1"/>
  <c r="R184" i="6"/>
  <c r="Q184" i="6"/>
  <c r="P184" i="6"/>
  <c r="O184" i="6"/>
  <c r="AA25" i="5" s="1"/>
  <c r="AK25" i="5" s="1"/>
  <c r="N184" i="6"/>
  <c r="M184" i="6"/>
  <c r="L184" i="6"/>
  <c r="K184" i="6"/>
  <c r="W25" i="5" s="1"/>
  <c r="AG25" i="5" s="1"/>
  <c r="J184" i="6"/>
  <c r="B184" i="6"/>
  <c r="S183" i="6"/>
  <c r="R183" i="6"/>
  <c r="AD25" i="5" s="1"/>
  <c r="AN25" i="5" s="1"/>
  <c r="Q183" i="6"/>
  <c r="P183" i="6"/>
  <c r="O183" i="6"/>
  <c r="N183" i="6"/>
  <c r="Z25" i="5" s="1"/>
  <c r="AJ25" i="5" s="1"/>
  <c r="M183" i="6"/>
  <c r="L183" i="6"/>
  <c r="K183" i="6"/>
  <c r="J183" i="6"/>
  <c r="V25" i="5" s="1"/>
  <c r="AF25" i="5" s="1"/>
  <c r="B183" i="6"/>
  <c r="S182" i="6"/>
  <c r="R182" i="6"/>
  <c r="Q182" i="6"/>
  <c r="AC25" i="5" s="1"/>
  <c r="AM25" i="5" s="1"/>
  <c r="P182" i="6"/>
  <c r="O182" i="6"/>
  <c r="N182" i="6"/>
  <c r="M182" i="6"/>
  <c r="Y25" i="5" s="1"/>
  <c r="AI25" i="5" s="1"/>
  <c r="L182" i="6"/>
  <c r="K182" i="6"/>
  <c r="J182" i="6"/>
  <c r="B182" i="6"/>
  <c r="S181" i="6"/>
  <c r="R181" i="6"/>
  <c r="Q181" i="6"/>
  <c r="P181" i="6"/>
  <c r="AB25" i="5" s="1"/>
  <c r="AL25" i="5" s="1"/>
  <c r="O181" i="6"/>
  <c r="N181" i="6"/>
  <c r="M181" i="6"/>
  <c r="L181" i="6"/>
  <c r="K181" i="6"/>
  <c r="J181" i="6"/>
  <c r="B181" i="6"/>
  <c r="S180" i="6"/>
  <c r="R180" i="6"/>
  <c r="Q180" i="6"/>
  <c r="P180" i="6"/>
  <c r="O180" i="6"/>
  <c r="N180" i="6"/>
  <c r="M180" i="6"/>
  <c r="L180" i="6"/>
  <c r="K180" i="6"/>
  <c r="J180" i="6"/>
  <c r="B180" i="6"/>
  <c r="S179" i="6"/>
  <c r="R179" i="6"/>
  <c r="Q179" i="6"/>
  <c r="P179" i="6"/>
  <c r="O179" i="6"/>
  <c r="N179" i="6"/>
  <c r="M179" i="6"/>
  <c r="L179" i="6"/>
  <c r="K179" i="6"/>
  <c r="J179" i="6"/>
  <c r="B179" i="6"/>
  <c r="S178" i="6"/>
  <c r="R178" i="6"/>
  <c r="Q178" i="6"/>
  <c r="P178" i="6"/>
  <c r="O178" i="6"/>
  <c r="N178" i="6"/>
  <c r="M178" i="6"/>
  <c r="L178" i="6"/>
  <c r="K178" i="6"/>
  <c r="J178" i="6"/>
  <c r="B178" i="6"/>
  <c r="S177" i="6"/>
  <c r="R177" i="6"/>
  <c r="Q177" i="6"/>
  <c r="P177" i="6"/>
  <c r="O177" i="6"/>
  <c r="N177" i="6"/>
  <c r="M177" i="6"/>
  <c r="L177" i="6"/>
  <c r="K177" i="6"/>
  <c r="J177" i="6"/>
  <c r="B177" i="6"/>
  <c r="S176" i="6"/>
  <c r="R176" i="6"/>
  <c r="Q176" i="6"/>
  <c r="P176" i="6"/>
  <c r="O176" i="6"/>
  <c r="N176" i="6"/>
  <c r="M176" i="6"/>
  <c r="L176" i="6"/>
  <c r="K176" i="6"/>
  <c r="J176" i="6"/>
  <c r="B176" i="6"/>
  <c r="S175" i="6"/>
  <c r="R175" i="6"/>
  <c r="AD24" i="5" s="1"/>
  <c r="AN24" i="5" s="1"/>
  <c r="Q175" i="6"/>
  <c r="P175" i="6"/>
  <c r="O175" i="6"/>
  <c r="N175" i="6"/>
  <c r="Z24" i="5" s="1"/>
  <c r="AJ24" i="5" s="1"/>
  <c r="M175" i="6"/>
  <c r="L175" i="6"/>
  <c r="K175" i="6"/>
  <c r="J175" i="6"/>
  <c r="V24" i="5" s="1"/>
  <c r="AF24" i="5" s="1"/>
  <c r="B175" i="6"/>
  <c r="S174" i="6"/>
  <c r="R174" i="6"/>
  <c r="Q174" i="6"/>
  <c r="AC24" i="5" s="1"/>
  <c r="AM24" i="5" s="1"/>
  <c r="P174" i="6"/>
  <c r="O174" i="6"/>
  <c r="N174" i="6"/>
  <c r="M174" i="6"/>
  <c r="Y24" i="5" s="1"/>
  <c r="AI24" i="5" s="1"/>
  <c r="L174" i="6"/>
  <c r="K174" i="6"/>
  <c r="J174" i="6"/>
  <c r="B174" i="6"/>
  <c r="S173" i="6"/>
  <c r="R173" i="6"/>
  <c r="Q173" i="6"/>
  <c r="P173" i="6"/>
  <c r="AB24" i="5" s="1"/>
  <c r="AL24" i="5" s="1"/>
  <c r="O173" i="6"/>
  <c r="N173" i="6"/>
  <c r="M173" i="6"/>
  <c r="L173" i="6"/>
  <c r="K173" i="6"/>
  <c r="J173" i="6"/>
  <c r="B173" i="6"/>
  <c r="S172" i="6"/>
  <c r="AE24" i="5" s="1"/>
  <c r="AO24" i="5" s="1"/>
  <c r="R172" i="6"/>
  <c r="Q172" i="6"/>
  <c r="P172" i="6"/>
  <c r="O172" i="6"/>
  <c r="AA24" i="5" s="1"/>
  <c r="AK24" i="5" s="1"/>
  <c r="N172" i="6"/>
  <c r="M172" i="6"/>
  <c r="L172" i="6"/>
  <c r="K172" i="6"/>
  <c r="W24" i="5" s="1"/>
  <c r="AG24" i="5" s="1"/>
  <c r="J172" i="6"/>
  <c r="B172" i="6"/>
  <c r="S171" i="6"/>
  <c r="R171" i="6"/>
  <c r="Q171" i="6"/>
  <c r="P171" i="6"/>
  <c r="O171" i="6"/>
  <c r="N171" i="6"/>
  <c r="M171" i="6"/>
  <c r="L171" i="6"/>
  <c r="K171" i="6"/>
  <c r="J171" i="6"/>
  <c r="B171" i="6"/>
  <c r="S170" i="6"/>
  <c r="R170" i="6"/>
  <c r="Q170" i="6"/>
  <c r="P170" i="6"/>
  <c r="O170" i="6"/>
  <c r="N170" i="6"/>
  <c r="M170" i="6"/>
  <c r="L170" i="6"/>
  <c r="K170" i="6"/>
  <c r="J170" i="6"/>
  <c r="B170" i="6"/>
  <c r="S169" i="6"/>
  <c r="R169" i="6"/>
  <c r="Q169" i="6"/>
  <c r="P169" i="6"/>
  <c r="O169" i="6"/>
  <c r="N169" i="6"/>
  <c r="M169" i="6"/>
  <c r="L169" i="6"/>
  <c r="K169" i="6"/>
  <c r="J169" i="6"/>
  <c r="B169" i="6"/>
  <c r="S168" i="6"/>
  <c r="R168" i="6"/>
  <c r="Q168" i="6"/>
  <c r="P168" i="6"/>
  <c r="O168" i="6"/>
  <c r="N168" i="6"/>
  <c r="M168" i="6"/>
  <c r="L168" i="6"/>
  <c r="K168" i="6"/>
  <c r="J168" i="6"/>
  <c r="B168" i="6"/>
  <c r="S167" i="6"/>
  <c r="R167" i="6"/>
  <c r="AD23" i="5" s="1"/>
  <c r="AN23" i="5" s="1"/>
  <c r="Q167" i="6"/>
  <c r="P167" i="6"/>
  <c r="O167" i="6"/>
  <c r="N167" i="6"/>
  <c r="Z23" i="5" s="1"/>
  <c r="AJ23" i="5" s="1"/>
  <c r="M167" i="6"/>
  <c r="L167" i="6"/>
  <c r="K167" i="6"/>
  <c r="J167" i="6"/>
  <c r="V23" i="5" s="1"/>
  <c r="AF23" i="5" s="1"/>
  <c r="B167" i="6"/>
  <c r="S166" i="6"/>
  <c r="R166" i="6"/>
  <c r="Q166" i="6"/>
  <c r="AC23" i="5" s="1"/>
  <c r="AM23" i="5" s="1"/>
  <c r="P166" i="6"/>
  <c r="O166" i="6"/>
  <c r="N166" i="6"/>
  <c r="M166" i="6"/>
  <c r="Y23" i="5" s="1"/>
  <c r="AI23" i="5" s="1"/>
  <c r="L166" i="6"/>
  <c r="K166" i="6"/>
  <c r="J166" i="6"/>
  <c r="B166" i="6"/>
  <c r="S165" i="6"/>
  <c r="R165" i="6"/>
  <c r="Q165" i="6"/>
  <c r="P165" i="6"/>
  <c r="AB23" i="5" s="1"/>
  <c r="AL23" i="5" s="1"/>
  <c r="O165" i="6"/>
  <c r="N165" i="6"/>
  <c r="M165" i="6"/>
  <c r="L165" i="6"/>
  <c r="X23" i="5" s="1"/>
  <c r="AH23" i="5" s="1"/>
  <c r="K165" i="6"/>
  <c r="J165" i="6"/>
  <c r="B165" i="6"/>
  <c r="S164" i="6"/>
  <c r="AE23" i="5" s="1"/>
  <c r="AO23" i="5" s="1"/>
  <c r="R164" i="6"/>
  <c r="Q164" i="6"/>
  <c r="P164" i="6"/>
  <c r="O164" i="6"/>
  <c r="AA23" i="5" s="1"/>
  <c r="AK23" i="5" s="1"/>
  <c r="N164" i="6"/>
  <c r="M164" i="6"/>
  <c r="L164" i="6"/>
  <c r="K164" i="6"/>
  <c r="W23" i="5" s="1"/>
  <c r="AG23" i="5" s="1"/>
  <c r="J164" i="6"/>
  <c r="B164" i="6"/>
  <c r="S163" i="6"/>
  <c r="R163" i="6"/>
  <c r="Q163" i="6"/>
  <c r="P163" i="6"/>
  <c r="O163" i="6"/>
  <c r="N163" i="6"/>
  <c r="M163" i="6"/>
  <c r="L163" i="6"/>
  <c r="K163" i="6"/>
  <c r="J163" i="6"/>
  <c r="B163" i="6"/>
  <c r="S162" i="6"/>
  <c r="R162" i="6"/>
  <c r="Q162" i="6"/>
  <c r="P162" i="6"/>
  <c r="O162" i="6"/>
  <c r="N162" i="6"/>
  <c r="M162" i="6"/>
  <c r="L162" i="6"/>
  <c r="K162" i="6"/>
  <c r="J162" i="6"/>
  <c r="B162" i="6"/>
  <c r="S161" i="6"/>
  <c r="R161" i="6"/>
  <c r="Q161" i="6"/>
  <c r="P161" i="6"/>
  <c r="O161" i="6"/>
  <c r="N161" i="6"/>
  <c r="M161" i="6"/>
  <c r="L161" i="6"/>
  <c r="K161" i="6"/>
  <c r="J161" i="6"/>
  <c r="B161" i="6"/>
  <c r="S160" i="6"/>
  <c r="R160" i="6"/>
  <c r="Q160" i="6"/>
  <c r="P160" i="6"/>
  <c r="O160" i="6"/>
  <c r="N160" i="6"/>
  <c r="M160" i="6"/>
  <c r="L160" i="6"/>
  <c r="K160" i="6"/>
  <c r="J160" i="6"/>
  <c r="B160" i="6"/>
  <c r="S159" i="6"/>
  <c r="R159" i="6"/>
  <c r="Q159" i="6"/>
  <c r="P159" i="6"/>
  <c r="O159" i="6"/>
  <c r="N159" i="6"/>
  <c r="M159" i="6"/>
  <c r="L159" i="6"/>
  <c r="K159" i="6"/>
  <c r="J159" i="6"/>
  <c r="B159" i="6"/>
  <c r="S158" i="6"/>
  <c r="R158" i="6"/>
  <c r="Q158" i="6"/>
  <c r="AC22" i="5" s="1"/>
  <c r="AM22" i="5" s="1"/>
  <c r="P158" i="6"/>
  <c r="O158" i="6"/>
  <c r="N158" i="6"/>
  <c r="M158" i="6"/>
  <c r="Y22" i="5" s="1"/>
  <c r="AI22" i="5" s="1"/>
  <c r="L158" i="6"/>
  <c r="K158" i="6"/>
  <c r="J158" i="6"/>
  <c r="B158" i="6"/>
  <c r="S157" i="6"/>
  <c r="R157" i="6"/>
  <c r="Q157" i="6"/>
  <c r="P157" i="6"/>
  <c r="AB22" i="5" s="1"/>
  <c r="AL22" i="5" s="1"/>
  <c r="O157" i="6"/>
  <c r="N157" i="6"/>
  <c r="M157" i="6"/>
  <c r="L157" i="6"/>
  <c r="X22" i="5" s="1"/>
  <c r="AH22" i="5" s="1"/>
  <c r="K157" i="6"/>
  <c r="J157" i="6"/>
  <c r="B157" i="6"/>
  <c r="S156" i="6"/>
  <c r="AE22" i="5" s="1"/>
  <c r="AO22" i="5" s="1"/>
  <c r="R156" i="6"/>
  <c r="Q156" i="6"/>
  <c r="P156" i="6"/>
  <c r="O156" i="6"/>
  <c r="AA22" i="5" s="1"/>
  <c r="AK22" i="5" s="1"/>
  <c r="N156" i="6"/>
  <c r="M156" i="6"/>
  <c r="L156" i="6"/>
  <c r="K156" i="6"/>
  <c r="W22" i="5" s="1"/>
  <c r="AG22" i="5" s="1"/>
  <c r="J156" i="6"/>
  <c r="B156" i="6"/>
  <c r="S155" i="6"/>
  <c r="R155" i="6"/>
  <c r="AD22" i="5" s="1"/>
  <c r="AN22" i="5" s="1"/>
  <c r="Q155" i="6"/>
  <c r="P155" i="6"/>
  <c r="O155" i="6"/>
  <c r="N155" i="6"/>
  <c r="Z22" i="5" s="1"/>
  <c r="AJ22" i="5" s="1"/>
  <c r="M155" i="6"/>
  <c r="L155" i="6"/>
  <c r="K155" i="6"/>
  <c r="J155" i="6"/>
  <c r="V22" i="5" s="1"/>
  <c r="AF22" i="5" s="1"/>
  <c r="B155" i="6"/>
  <c r="S154" i="6"/>
  <c r="R154" i="6"/>
  <c r="Q154" i="6"/>
  <c r="P154" i="6"/>
  <c r="O154" i="6"/>
  <c r="N154" i="6"/>
  <c r="M154" i="6"/>
  <c r="L154" i="6"/>
  <c r="K154" i="6"/>
  <c r="J154" i="6"/>
  <c r="B154" i="6"/>
  <c r="S153" i="6"/>
  <c r="R153" i="6"/>
  <c r="Q153" i="6"/>
  <c r="P153" i="6"/>
  <c r="O153" i="6"/>
  <c r="N153" i="6"/>
  <c r="M153" i="6"/>
  <c r="L153" i="6"/>
  <c r="K153" i="6"/>
  <c r="J153" i="6"/>
  <c r="B153" i="6"/>
  <c r="S152" i="6"/>
  <c r="R152" i="6"/>
  <c r="Q152" i="6"/>
  <c r="P152" i="6"/>
  <c r="O152" i="6"/>
  <c r="N152" i="6"/>
  <c r="M152" i="6"/>
  <c r="L152" i="6"/>
  <c r="K152" i="6"/>
  <c r="J152" i="6"/>
  <c r="B152" i="6"/>
  <c r="S151" i="6"/>
  <c r="R151" i="6"/>
  <c r="Q151" i="6"/>
  <c r="P151" i="6"/>
  <c r="O151" i="6"/>
  <c r="N151" i="6"/>
  <c r="M151" i="6"/>
  <c r="L151" i="6"/>
  <c r="K151" i="6"/>
  <c r="J151" i="6"/>
  <c r="B151" i="6"/>
  <c r="S150" i="6"/>
  <c r="R150" i="6"/>
  <c r="Q150" i="6"/>
  <c r="P150" i="6"/>
  <c r="O150" i="6"/>
  <c r="N150" i="6"/>
  <c r="M150" i="6"/>
  <c r="L150" i="6"/>
  <c r="K150" i="6"/>
  <c r="J150" i="6"/>
  <c r="B150" i="6"/>
  <c r="S149" i="6"/>
  <c r="R149" i="6"/>
  <c r="Q149" i="6"/>
  <c r="P149" i="6"/>
  <c r="O149" i="6"/>
  <c r="N149" i="6"/>
  <c r="M149" i="6"/>
  <c r="L149" i="6"/>
  <c r="K149" i="6"/>
  <c r="J149" i="6"/>
  <c r="B149" i="6"/>
  <c r="S148" i="6"/>
  <c r="R148" i="6"/>
  <c r="Q148" i="6"/>
  <c r="P148" i="6"/>
  <c r="O148" i="6"/>
  <c r="N148" i="6"/>
  <c r="M148" i="6"/>
  <c r="L148" i="6"/>
  <c r="K148" i="6"/>
  <c r="J148" i="6"/>
  <c r="B148" i="6"/>
  <c r="S147" i="6"/>
  <c r="R147" i="6"/>
  <c r="AD21" i="5" s="1"/>
  <c r="AN21" i="5" s="1"/>
  <c r="Q147" i="6"/>
  <c r="P147" i="6"/>
  <c r="O147" i="6"/>
  <c r="N147" i="6"/>
  <c r="Z21" i="5" s="1"/>
  <c r="AJ21" i="5" s="1"/>
  <c r="M147" i="6"/>
  <c r="L147" i="6"/>
  <c r="K147" i="6"/>
  <c r="J147" i="6"/>
  <c r="V21" i="5" s="1"/>
  <c r="AF21" i="5" s="1"/>
  <c r="B147" i="6"/>
  <c r="S146" i="6"/>
  <c r="R146" i="6"/>
  <c r="Q146" i="6"/>
  <c r="AC21" i="5" s="1"/>
  <c r="AM21" i="5" s="1"/>
  <c r="P146" i="6"/>
  <c r="O146" i="6"/>
  <c r="N146" i="6"/>
  <c r="M146" i="6"/>
  <c r="Y21" i="5" s="1"/>
  <c r="AI21" i="5" s="1"/>
  <c r="L146" i="6"/>
  <c r="K146" i="6"/>
  <c r="J146" i="6"/>
  <c r="B146" i="6"/>
  <c r="S145" i="6"/>
  <c r="R145" i="6"/>
  <c r="Q145" i="6"/>
  <c r="P145" i="6"/>
  <c r="AB21" i="5" s="1"/>
  <c r="AL21" i="5" s="1"/>
  <c r="O145" i="6"/>
  <c r="N145" i="6"/>
  <c r="M145" i="6"/>
  <c r="L145" i="6"/>
  <c r="X21" i="5" s="1"/>
  <c r="AH21" i="5" s="1"/>
  <c r="K145" i="6"/>
  <c r="J145" i="6"/>
  <c r="B145" i="6"/>
  <c r="S144" i="6"/>
  <c r="AE21" i="5" s="1"/>
  <c r="AO21" i="5" s="1"/>
  <c r="R144" i="6"/>
  <c r="Q144" i="6"/>
  <c r="P144" i="6"/>
  <c r="O144" i="6"/>
  <c r="AA21" i="5" s="1"/>
  <c r="AK21" i="5" s="1"/>
  <c r="N144" i="6"/>
  <c r="M144" i="6"/>
  <c r="L144" i="6"/>
  <c r="K144" i="6"/>
  <c r="W21" i="5" s="1"/>
  <c r="AG21" i="5" s="1"/>
  <c r="J144" i="6"/>
  <c r="B144" i="6"/>
  <c r="S143" i="6"/>
  <c r="R143" i="6"/>
  <c r="Q143" i="6"/>
  <c r="P143" i="6"/>
  <c r="O143" i="6"/>
  <c r="N143" i="6"/>
  <c r="M143" i="6"/>
  <c r="L143" i="6"/>
  <c r="K143" i="6"/>
  <c r="J143" i="6"/>
  <c r="B143" i="6"/>
  <c r="S142" i="6"/>
  <c r="R142" i="6"/>
  <c r="Q142" i="6"/>
  <c r="P142" i="6"/>
  <c r="O142" i="6"/>
  <c r="N142" i="6"/>
  <c r="M142" i="6"/>
  <c r="L142" i="6"/>
  <c r="K142" i="6"/>
  <c r="J142" i="6"/>
  <c r="B142" i="6"/>
  <c r="S141" i="6"/>
  <c r="R141" i="6"/>
  <c r="Q141" i="6"/>
  <c r="P141" i="6"/>
  <c r="O141" i="6"/>
  <c r="N141" i="6"/>
  <c r="M141" i="6"/>
  <c r="L141" i="6"/>
  <c r="K141" i="6"/>
  <c r="J141" i="6"/>
  <c r="B141" i="6"/>
  <c r="S140" i="6"/>
  <c r="R140" i="6"/>
  <c r="Q140" i="6"/>
  <c r="P140" i="6"/>
  <c r="O140" i="6"/>
  <c r="N140" i="6"/>
  <c r="M140" i="6"/>
  <c r="L140" i="6"/>
  <c r="K140" i="6"/>
  <c r="J140" i="6"/>
  <c r="B140" i="6"/>
  <c r="S139" i="6"/>
  <c r="R139" i="6"/>
  <c r="Q139" i="6"/>
  <c r="P139" i="6"/>
  <c r="O139" i="6"/>
  <c r="N139" i="6"/>
  <c r="M139" i="6"/>
  <c r="L139" i="6"/>
  <c r="K139" i="6"/>
  <c r="J139" i="6"/>
  <c r="B139" i="6"/>
  <c r="S138" i="6"/>
  <c r="R138" i="6"/>
  <c r="Q138" i="6"/>
  <c r="P138" i="6"/>
  <c r="O138" i="6"/>
  <c r="N138" i="6"/>
  <c r="M138" i="6"/>
  <c r="L138" i="6"/>
  <c r="K138" i="6"/>
  <c r="J138" i="6"/>
  <c r="B138" i="6"/>
  <c r="S137" i="6"/>
  <c r="R137" i="6"/>
  <c r="Q137" i="6"/>
  <c r="P137" i="6"/>
  <c r="AB20" i="5" s="1"/>
  <c r="AL20" i="5" s="1"/>
  <c r="O137" i="6"/>
  <c r="N137" i="6"/>
  <c r="M137" i="6"/>
  <c r="L137" i="6"/>
  <c r="X20" i="5" s="1"/>
  <c r="AH20" i="5" s="1"/>
  <c r="K137" i="6"/>
  <c r="J137" i="6"/>
  <c r="B137" i="6"/>
  <c r="S136" i="6"/>
  <c r="AE20" i="5" s="1"/>
  <c r="AO20" i="5" s="1"/>
  <c r="R136" i="6"/>
  <c r="Q136" i="6"/>
  <c r="P136" i="6"/>
  <c r="O136" i="6"/>
  <c r="AA20" i="5" s="1"/>
  <c r="AK20" i="5" s="1"/>
  <c r="N136" i="6"/>
  <c r="M136" i="6"/>
  <c r="L136" i="6"/>
  <c r="K136" i="6"/>
  <c r="W20" i="5" s="1"/>
  <c r="AG20" i="5" s="1"/>
  <c r="J136" i="6"/>
  <c r="B136" i="6"/>
  <c r="S135" i="6"/>
  <c r="R135" i="6"/>
  <c r="AD20" i="5" s="1"/>
  <c r="AN20" i="5" s="1"/>
  <c r="Q135" i="6"/>
  <c r="P135" i="6"/>
  <c r="O135" i="6"/>
  <c r="N135" i="6"/>
  <c r="Z20" i="5" s="1"/>
  <c r="AJ20" i="5" s="1"/>
  <c r="M135" i="6"/>
  <c r="L135" i="6"/>
  <c r="K135" i="6"/>
  <c r="J135" i="6"/>
  <c r="V20" i="5" s="1"/>
  <c r="AF20" i="5" s="1"/>
  <c r="B135" i="6"/>
  <c r="S134" i="6"/>
  <c r="R134" i="6"/>
  <c r="Q134" i="6"/>
  <c r="AC20" i="5" s="1"/>
  <c r="AM20" i="5" s="1"/>
  <c r="P134" i="6"/>
  <c r="O134" i="6"/>
  <c r="N134" i="6"/>
  <c r="M134" i="6"/>
  <c r="Y20" i="5" s="1"/>
  <c r="AI20" i="5" s="1"/>
  <c r="L134" i="6"/>
  <c r="K134" i="6"/>
  <c r="J134" i="6"/>
  <c r="B134" i="6"/>
  <c r="S133" i="6"/>
  <c r="R133" i="6"/>
  <c r="Q133" i="6"/>
  <c r="P133" i="6"/>
  <c r="O133" i="6"/>
  <c r="N133" i="6"/>
  <c r="M133" i="6"/>
  <c r="L133" i="6"/>
  <c r="K133" i="6"/>
  <c r="J133" i="6"/>
  <c r="B133" i="6"/>
  <c r="S132" i="6"/>
  <c r="R132" i="6"/>
  <c r="Q132" i="6"/>
  <c r="P132" i="6"/>
  <c r="O132" i="6"/>
  <c r="N132" i="6"/>
  <c r="M132" i="6"/>
  <c r="L132" i="6"/>
  <c r="K132" i="6"/>
  <c r="J132" i="6"/>
  <c r="B132" i="6"/>
  <c r="S131" i="6"/>
  <c r="R131" i="6"/>
  <c r="Q131" i="6"/>
  <c r="P131" i="6"/>
  <c r="O131" i="6"/>
  <c r="N131" i="6"/>
  <c r="M131" i="6"/>
  <c r="L131" i="6"/>
  <c r="K131" i="6"/>
  <c r="J131" i="6"/>
  <c r="B131" i="6"/>
  <c r="S130" i="6"/>
  <c r="R130" i="6"/>
  <c r="Q130" i="6"/>
  <c r="P130" i="6"/>
  <c r="O130" i="6"/>
  <c r="N130" i="6"/>
  <c r="M130" i="6"/>
  <c r="L130" i="6"/>
  <c r="K130" i="6"/>
  <c r="J130" i="6"/>
  <c r="B130" i="6"/>
  <c r="S129" i="6"/>
  <c r="R129" i="6"/>
  <c r="Q129" i="6"/>
  <c r="P129" i="6"/>
  <c r="AB19" i="5" s="1"/>
  <c r="AL19" i="5" s="1"/>
  <c r="O129" i="6"/>
  <c r="N129" i="6"/>
  <c r="M129" i="6"/>
  <c r="L129" i="6"/>
  <c r="X19" i="5" s="1"/>
  <c r="AH19" i="5" s="1"/>
  <c r="K129" i="6"/>
  <c r="J129" i="6"/>
  <c r="B129" i="6"/>
  <c r="S128" i="6"/>
  <c r="AE19" i="5" s="1"/>
  <c r="AO19" i="5" s="1"/>
  <c r="R128" i="6"/>
  <c r="Q128" i="6"/>
  <c r="P128" i="6"/>
  <c r="O128" i="6"/>
  <c r="AA19" i="5" s="1"/>
  <c r="AK19" i="5" s="1"/>
  <c r="N128" i="6"/>
  <c r="M128" i="6"/>
  <c r="L128" i="6"/>
  <c r="K128" i="6"/>
  <c r="W19" i="5" s="1"/>
  <c r="AG19" i="5" s="1"/>
  <c r="J128" i="6"/>
  <c r="B128" i="6"/>
  <c r="S127" i="6"/>
  <c r="R127" i="6"/>
  <c r="AD19" i="5" s="1"/>
  <c r="AN19" i="5" s="1"/>
  <c r="Q127" i="6"/>
  <c r="P127" i="6"/>
  <c r="O127" i="6"/>
  <c r="N127" i="6"/>
  <c r="Z19" i="5" s="1"/>
  <c r="AJ19" i="5" s="1"/>
  <c r="M127" i="6"/>
  <c r="L127" i="6"/>
  <c r="K127" i="6"/>
  <c r="J127" i="6"/>
  <c r="V19" i="5" s="1"/>
  <c r="AF19" i="5" s="1"/>
  <c r="B127" i="6"/>
  <c r="S126" i="6"/>
  <c r="R126" i="6"/>
  <c r="Q126" i="6"/>
  <c r="AC19" i="5" s="1"/>
  <c r="AM19" i="5" s="1"/>
  <c r="P126" i="6"/>
  <c r="O126" i="6"/>
  <c r="N126" i="6"/>
  <c r="M126" i="6"/>
  <c r="Y19" i="5" s="1"/>
  <c r="AI19" i="5" s="1"/>
  <c r="L126" i="6"/>
  <c r="K126" i="6"/>
  <c r="J126" i="6"/>
  <c r="B126" i="6"/>
  <c r="S125" i="6"/>
  <c r="R125" i="6"/>
  <c r="Q125" i="6"/>
  <c r="P125" i="6"/>
  <c r="O125" i="6"/>
  <c r="N125" i="6"/>
  <c r="M125" i="6"/>
  <c r="L125" i="6"/>
  <c r="K125" i="6"/>
  <c r="J125" i="6"/>
  <c r="B125" i="6"/>
  <c r="S124" i="6"/>
  <c r="R124" i="6"/>
  <c r="Q124" i="6"/>
  <c r="P124" i="6"/>
  <c r="O124" i="6"/>
  <c r="N124" i="6"/>
  <c r="M124" i="6"/>
  <c r="L124" i="6"/>
  <c r="K124" i="6"/>
  <c r="J124" i="6"/>
  <c r="B124" i="6"/>
  <c r="S123" i="6"/>
  <c r="R123" i="6"/>
  <c r="Q123" i="6"/>
  <c r="P123" i="6"/>
  <c r="O123" i="6"/>
  <c r="N123" i="6"/>
  <c r="M123" i="6"/>
  <c r="L123" i="6"/>
  <c r="K123" i="6"/>
  <c r="J123" i="6"/>
  <c r="B123" i="6"/>
  <c r="S122" i="6"/>
  <c r="R122" i="6"/>
  <c r="Q122" i="6"/>
  <c r="P122" i="6"/>
  <c r="O122" i="6"/>
  <c r="N122" i="6"/>
  <c r="M122" i="6"/>
  <c r="L122" i="6"/>
  <c r="K122" i="6"/>
  <c r="J122" i="6"/>
  <c r="B122" i="6"/>
  <c r="S121" i="6"/>
  <c r="R121" i="6"/>
  <c r="Q121" i="6"/>
  <c r="P121" i="6"/>
  <c r="O121" i="6"/>
  <c r="N121" i="6"/>
  <c r="M121" i="6"/>
  <c r="L121" i="6"/>
  <c r="K121" i="6"/>
  <c r="J121" i="6"/>
  <c r="B121" i="6"/>
  <c r="S120" i="6"/>
  <c r="AE18" i="5" s="1"/>
  <c r="AO18" i="5" s="1"/>
  <c r="R120" i="6"/>
  <c r="Q120" i="6"/>
  <c r="P120" i="6"/>
  <c r="O120" i="6"/>
  <c r="AA18" i="5" s="1"/>
  <c r="AK18" i="5" s="1"/>
  <c r="N120" i="6"/>
  <c r="M120" i="6"/>
  <c r="L120" i="6"/>
  <c r="K120" i="6"/>
  <c r="W18" i="5" s="1"/>
  <c r="AG18" i="5" s="1"/>
  <c r="J120" i="6"/>
  <c r="B120" i="6"/>
  <c r="S119" i="6"/>
  <c r="R119" i="6"/>
  <c r="AD18" i="5" s="1"/>
  <c r="AN18" i="5" s="1"/>
  <c r="Q119" i="6"/>
  <c r="P119" i="6"/>
  <c r="O119" i="6"/>
  <c r="N119" i="6"/>
  <c r="Z18" i="5" s="1"/>
  <c r="AJ18" i="5" s="1"/>
  <c r="M119" i="6"/>
  <c r="L119" i="6"/>
  <c r="K119" i="6"/>
  <c r="J119" i="6"/>
  <c r="V18" i="5" s="1"/>
  <c r="AF18" i="5" s="1"/>
  <c r="B119" i="6"/>
  <c r="S118" i="6"/>
  <c r="R118" i="6"/>
  <c r="Q118" i="6"/>
  <c r="AC18" i="5" s="1"/>
  <c r="AM18" i="5" s="1"/>
  <c r="P118" i="6"/>
  <c r="O118" i="6"/>
  <c r="N118" i="6"/>
  <c r="M118" i="6"/>
  <c r="Y18" i="5" s="1"/>
  <c r="AI18" i="5" s="1"/>
  <c r="L118" i="6"/>
  <c r="K118" i="6"/>
  <c r="J118" i="6"/>
  <c r="B118" i="6"/>
  <c r="S117" i="6"/>
  <c r="R117" i="6"/>
  <c r="Q117" i="6"/>
  <c r="P117" i="6"/>
  <c r="AB18" i="5" s="1"/>
  <c r="AL18" i="5" s="1"/>
  <c r="O117" i="6"/>
  <c r="N117" i="6"/>
  <c r="M117" i="6"/>
  <c r="L117" i="6"/>
  <c r="X18" i="5" s="1"/>
  <c r="AH18" i="5" s="1"/>
  <c r="K117" i="6"/>
  <c r="J117" i="6"/>
  <c r="B117" i="6"/>
  <c r="S116" i="6"/>
  <c r="R116" i="6"/>
  <c r="Q116" i="6"/>
  <c r="P116" i="6"/>
  <c r="O116" i="6"/>
  <c r="N116" i="6"/>
  <c r="M116" i="6"/>
  <c r="L116" i="6"/>
  <c r="K116" i="6"/>
  <c r="J116" i="6"/>
  <c r="B116" i="6"/>
  <c r="S115" i="6"/>
  <c r="R115" i="6"/>
  <c r="Q115" i="6"/>
  <c r="P115" i="6"/>
  <c r="O115" i="6"/>
  <c r="N115" i="6"/>
  <c r="M115" i="6"/>
  <c r="L115" i="6"/>
  <c r="K115" i="6"/>
  <c r="J115" i="6"/>
  <c r="B115" i="6"/>
  <c r="S114" i="6"/>
  <c r="R114" i="6"/>
  <c r="Q114" i="6"/>
  <c r="P114" i="6"/>
  <c r="O114" i="6"/>
  <c r="N114" i="6"/>
  <c r="M114" i="6"/>
  <c r="L114" i="6"/>
  <c r="K114" i="6"/>
  <c r="J114" i="6"/>
  <c r="B114" i="6"/>
  <c r="S113" i="6"/>
  <c r="R113" i="6"/>
  <c r="Q113" i="6"/>
  <c r="P113" i="6"/>
  <c r="O113" i="6"/>
  <c r="N113" i="6"/>
  <c r="M113" i="6"/>
  <c r="L113" i="6"/>
  <c r="K113" i="6"/>
  <c r="J113" i="6"/>
  <c r="B113" i="6"/>
  <c r="S112" i="6"/>
  <c r="R112" i="6"/>
  <c r="Q112" i="6"/>
  <c r="P112" i="6"/>
  <c r="O112" i="6"/>
  <c r="N112" i="6"/>
  <c r="M112" i="6"/>
  <c r="L112" i="6"/>
  <c r="K112" i="6"/>
  <c r="J112" i="6"/>
  <c r="B112" i="6"/>
  <c r="S111" i="6"/>
  <c r="R111" i="6"/>
  <c r="Q111" i="6"/>
  <c r="P111" i="6"/>
  <c r="O111" i="6"/>
  <c r="N111" i="6"/>
  <c r="M111" i="6"/>
  <c r="L111" i="6"/>
  <c r="K111" i="6"/>
  <c r="J111" i="6"/>
  <c r="B111" i="6"/>
  <c r="S110" i="6"/>
  <c r="R110" i="6"/>
  <c r="Q110" i="6"/>
  <c r="AC17" i="5" s="1"/>
  <c r="AM17" i="5" s="1"/>
  <c r="P110" i="6"/>
  <c r="O110" i="6"/>
  <c r="N110" i="6"/>
  <c r="M110" i="6"/>
  <c r="Y17" i="5" s="1"/>
  <c r="AI17" i="5" s="1"/>
  <c r="L110" i="6"/>
  <c r="K110" i="6"/>
  <c r="J110" i="6"/>
  <c r="B110" i="6"/>
  <c r="S109" i="6"/>
  <c r="R109" i="6"/>
  <c r="Q109" i="6"/>
  <c r="P109" i="6"/>
  <c r="AB17" i="5" s="1"/>
  <c r="AL17" i="5" s="1"/>
  <c r="O109" i="6"/>
  <c r="N109" i="6"/>
  <c r="M109" i="6"/>
  <c r="L109" i="6"/>
  <c r="X17" i="5" s="1"/>
  <c r="K109" i="6"/>
  <c r="J109" i="6"/>
  <c r="B109" i="6"/>
  <c r="S108" i="6"/>
  <c r="AE17" i="5" s="1"/>
  <c r="AO17" i="5" s="1"/>
  <c r="R108" i="6"/>
  <c r="Q108" i="6"/>
  <c r="P108" i="6"/>
  <c r="O108" i="6"/>
  <c r="AA17" i="5" s="1"/>
  <c r="AK17" i="5" s="1"/>
  <c r="N108" i="6"/>
  <c r="M108" i="6"/>
  <c r="L108" i="6"/>
  <c r="K108" i="6"/>
  <c r="W17" i="5" s="1"/>
  <c r="AG17" i="5" s="1"/>
  <c r="J108" i="6"/>
  <c r="B108" i="6"/>
  <c r="S107" i="6"/>
  <c r="R107" i="6"/>
  <c r="AD17" i="5" s="1"/>
  <c r="AN17" i="5" s="1"/>
  <c r="Q107" i="6"/>
  <c r="P107" i="6"/>
  <c r="O107" i="6"/>
  <c r="N107" i="6"/>
  <c r="Z17" i="5" s="1"/>
  <c r="AJ17" i="5" s="1"/>
  <c r="M107" i="6"/>
  <c r="L107" i="6"/>
  <c r="K107" i="6"/>
  <c r="J107" i="6"/>
  <c r="V17" i="5" s="1"/>
  <c r="AF17" i="5" s="1"/>
  <c r="B107" i="6"/>
  <c r="S106" i="6"/>
  <c r="R106" i="6"/>
  <c r="Q106" i="6"/>
  <c r="P106" i="6"/>
  <c r="O106" i="6"/>
  <c r="N106" i="6"/>
  <c r="M106" i="6"/>
  <c r="L106" i="6"/>
  <c r="K106" i="6"/>
  <c r="J106" i="6"/>
  <c r="B106" i="6"/>
  <c r="S105" i="6"/>
  <c r="R105" i="6"/>
  <c r="Q105" i="6"/>
  <c r="P105" i="6"/>
  <c r="O105" i="6"/>
  <c r="N105" i="6"/>
  <c r="M105" i="6"/>
  <c r="L105" i="6"/>
  <c r="K105" i="6"/>
  <c r="J105" i="6"/>
  <c r="B105" i="6"/>
  <c r="S104" i="6"/>
  <c r="R104" i="6"/>
  <c r="Q104" i="6"/>
  <c r="P104" i="6"/>
  <c r="O104" i="6"/>
  <c r="N104" i="6"/>
  <c r="M104" i="6"/>
  <c r="L104" i="6"/>
  <c r="K104" i="6"/>
  <c r="J104" i="6"/>
  <c r="B104" i="6"/>
  <c r="S103" i="6"/>
  <c r="R103" i="6"/>
  <c r="Q103" i="6"/>
  <c r="P103" i="6"/>
  <c r="O103" i="6"/>
  <c r="N103" i="6"/>
  <c r="M103" i="6"/>
  <c r="L103" i="6"/>
  <c r="K103" i="6"/>
  <c r="J103" i="6"/>
  <c r="B103" i="6"/>
  <c r="S102" i="6"/>
  <c r="R102" i="6"/>
  <c r="Q102" i="6"/>
  <c r="AC16" i="5" s="1"/>
  <c r="AM16" i="5" s="1"/>
  <c r="P102" i="6"/>
  <c r="O102" i="6"/>
  <c r="N102" i="6"/>
  <c r="M102" i="6"/>
  <c r="Y16" i="5" s="1"/>
  <c r="AI16" i="5" s="1"/>
  <c r="L102" i="6"/>
  <c r="K102" i="6"/>
  <c r="J102" i="6"/>
  <c r="B102" i="6"/>
  <c r="S101" i="6"/>
  <c r="R101" i="6"/>
  <c r="Q101" i="6"/>
  <c r="P101" i="6"/>
  <c r="AB16" i="5" s="1"/>
  <c r="AL16" i="5" s="1"/>
  <c r="O101" i="6"/>
  <c r="N101" i="6"/>
  <c r="M101" i="6"/>
  <c r="L101" i="6"/>
  <c r="X16" i="5" s="1"/>
  <c r="AH16" i="5" s="1"/>
  <c r="K101" i="6"/>
  <c r="J101" i="6"/>
  <c r="B101" i="6"/>
  <c r="S100" i="6"/>
  <c r="AE16" i="5" s="1"/>
  <c r="AO16" i="5" s="1"/>
  <c r="R100" i="6"/>
  <c r="Q100" i="6"/>
  <c r="P100" i="6"/>
  <c r="O100" i="6"/>
  <c r="AA16" i="5" s="1"/>
  <c r="AK16" i="5" s="1"/>
  <c r="N100" i="6"/>
  <c r="M100" i="6"/>
  <c r="L100" i="6"/>
  <c r="K100" i="6"/>
  <c r="W16" i="5" s="1"/>
  <c r="AG16" i="5" s="1"/>
  <c r="J100" i="6"/>
  <c r="B100" i="6"/>
  <c r="S99" i="6"/>
  <c r="R99" i="6"/>
  <c r="AD16" i="5" s="1"/>
  <c r="AN16" i="5" s="1"/>
  <c r="Q99" i="6"/>
  <c r="P99" i="6"/>
  <c r="O99" i="6"/>
  <c r="N99" i="6"/>
  <c r="Z16" i="5" s="1"/>
  <c r="AJ16" i="5" s="1"/>
  <c r="M99" i="6"/>
  <c r="L99" i="6"/>
  <c r="K99" i="6"/>
  <c r="J99" i="6"/>
  <c r="V16" i="5" s="1"/>
  <c r="AF16" i="5" s="1"/>
  <c r="B99" i="6"/>
  <c r="S98" i="6"/>
  <c r="R98" i="6"/>
  <c r="Q98" i="6"/>
  <c r="AC15" i="5" s="1"/>
  <c r="AM15" i="5" s="1"/>
  <c r="P98" i="6"/>
  <c r="O98" i="6"/>
  <c r="N98" i="6"/>
  <c r="M98" i="6"/>
  <c r="Y15" i="5" s="1"/>
  <c r="AI15" i="5" s="1"/>
  <c r="L98" i="6"/>
  <c r="K98" i="6"/>
  <c r="J98" i="6"/>
  <c r="B98" i="6"/>
  <c r="S97" i="6"/>
  <c r="R97" i="6"/>
  <c r="Q97" i="6"/>
  <c r="P97" i="6"/>
  <c r="AB15" i="5" s="1"/>
  <c r="AL15" i="5" s="1"/>
  <c r="O97" i="6"/>
  <c r="N97" i="6"/>
  <c r="M97" i="6"/>
  <c r="L97" i="6"/>
  <c r="X15" i="5" s="1"/>
  <c r="AH15" i="5" s="1"/>
  <c r="K97" i="6"/>
  <c r="J97" i="6"/>
  <c r="B97" i="6"/>
  <c r="S96" i="6"/>
  <c r="AE15" i="5" s="1"/>
  <c r="AO15" i="5" s="1"/>
  <c r="R96" i="6"/>
  <c r="Q96" i="6"/>
  <c r="P96" i="6"/>
  <c r="O96" i="6"/>
  <c r="AA15" i="5" s="1"/>
  <c r="AK15" i="5" s="1"/>
  <c r="N96" i="6"/>
  <c r="M96" i="6"/>
  <c r="L96" i="6"/>
  <c r="K96" i="6"/>
  <c r="W15" i="5" s="1"/>
  <c r="AG15" i="5" s="1"/>
  <c r="J96" i="6"/>
  <c r="B96" i="6"/>
  <c r="S95" i="6"/>
  <c r="R95" i="6"/>
  <c r="AD15" i="5" s="1"/>
  <c r="AN15" i="5" s="1"/>
  <c r="Q95" i="6"/>
  <c r="P95" i="6"/>
  <c r="O95" i="6"/>
  <c r="N95" i="6"/>
  <c r="Z15" i="5" s="1"/>
  <c r="AJ15" i="5" s="1"/>
  <c r="M95" i="6"/>
  <c r="L95" i="6"/>
  <c r="K95" i="6"/>
  <c r="J95" i="6"/>
  <c r="V15" i="5" s="1"/>
  <c r="AF15" i="5" s="1"/>
  <c r="B95" i="6"/>
  <c r="S94" i="6"/>
  <c r="R94" i="6"/>
  <c r="Q94" i="6"/>
  <c r="P94" i="6"/>
  <c r="O94" i="6"/>
  <c r="N94" i="6"/>
  <c r="M94" i="6"/>
  <c r="L94" i="6"/>
  <c r="K94" i="6"/>
  <c r="J94" i="6"/>
  <c r="B94" i="6"/>
  <c r="S93" i="6"/>
  <c r="R93" i="6"/>
  <c r="Q93" i="6"/>
  <c r="P93" i="6"/>
  <c r="O93" i="6"/>
  <c r="N93" i="6"/>
  <c r="M93" i="6"/>
  <c r="L93" i="6"/>
  <c r="K93" i="6"/>
  <c r="J93" i="6"/>
  <c r="B93" i="6"/>
  <c r="S92" i="6"/>
  <c r="AE14" i="5" s="1"/>
  <c r="AO14" i="5" s="1"/>
  <c r="R92" i="6"/>
  <c r="Q92" i="6"/>
  <c r="P92" i="6"/>
  <c r="O92" i="6"/>
  <c r="AA14" i="5" s="1"/>
  <c r="AK14" i="5" s="1"/>
  <c r="N92" i="6"/>
  <c r="M92" i="6"/>
  <c r="L92" i="6"/>
  <c r="K92" i="6"/>
  <c r="W14" i="5" s="1"/>
  <c r="AG14" i="5" s="1"/>
  <c r="J92" i="6"/>
  <c r="B92" i="6"/>
  <c r="S91" i="6"/>
  <c r="R91" i="6"/>
  <c r="AD14" i="5" s="1"/>
  <c r="AN14" i="5" s="1"/>
  <c r="Q91" i="6"/>
  <c r="P91" i="6"/>
  <c r="O91" i="6"/>
  <c r="N91" i="6"/>
  <c r="Z14" i="5" s="1"/>
  <c r="AJ14" i="5" s="1"/>
  <c r="M91" i="6"/>
  <c r="L91" i="6"/>
  <c r="K91" i="6"/>
  <c r="J91" i="6"/>
  <c r="V14" i="5" s="1"/>
  <c r="AF14" i="5" s="1"/>
  <c r="B91" i="6"/>
  <c r="S90" i="6"/>
  <c r="R90" i="6"/>
  <c r="Q90" i="6"/>
  <c r="AC14" i="5" s="1"/>
  <c r="AM14" i="5" s="1"/>
  <c r="P90" i="6"/>
  <c r="O90" i="6"/>
  <c r="N90" i="6"/>
  <c r="M90" i="6"/>
  <c r="Y14" i="5" s="1"/>
  <c r="AI14" i="5" s="1"/>
  <c r="L90" i="6"/>
  <c r="K90" i="6"/>
  <c r="J90" i="6"/>
  <c r="B90" i="6"/>
  <c r="S89" i="6"/>
  <c r="R89" i="6"/>
  <c r="Q89" i="6"/>
  <c r="P89" i="6"/>
  <c r="AB14" i="5" s="1"/>
  <c r="AL14" i="5" s="1"/>
  <c r="O89" i="6"/>
  <c r="N89" i="6"/>
  <c r="M89" i="6"/>
  <c r="L89" i="6"/>
  <c r="X14" i="5" s="1"/>
  <c r="AH14" i="5" s="1"/>
  <c r="K89" i="6"/>
  <c r="J89" i="6"/>
  <c r="B89" i="6"/>
  <c r="S88" i="6"/>
  <c r="R88" i="6"/>
  <c r="Q88" i="6"/>
  <c r="P88" i="6"/>
  <c r="O88" i="6"/>
  <c r="N88" i="6"/>
  <c r="M88" i="6"/>
  <c r="L88" i="6"/>
  <c r="K88" i="6"/>
  <c r="J88" i="6"/>
  <c r="B88" i="6"/>
  <c r="S87" i="6"/>
  <c r="R87" i="6"/>
  <c r="AD13" i="5" s="1"/>
  <c r="AN13" i="5" s="1"/>
  <c r="Q87" i="6"/>
  <c r="P87" i="6"/>
  <c r="O87" i="6"/>
  <c r="N87" i="6"/>
  <c r="Z13" i="5" s="1"/>
  <c r="AJ13" i="5" s="1"/>
  <c r="M87" i="6"/>
  <c r="L87" i="6"/>
  <c r="K87" i="6"/>
  <c r="J87" i="6"/>
  <c r="V13" i="5" s="1"/>
  <c r="AF13" i="5" s="1"/>
  <c r="B87" i="6"/>
  <c r="S86" i="6"/>
  <c r="R86" i="6"/>
  <c r="Q86" i="6"/>
  <c r="AC13" i="5" s="1"/>
  <c r="AM13" i="5" s="1"/>
  <c r="P86" i="6"/>
  <c r="O86" i="6"/>
  <c r="N86" i="6"/>
  <c r="M86" i="6"/>
  <c r="Y13" i="5" s="1"/>
  <c r="AI13" i="5" s="1"/>
  <c r="L86" i="6"/>
  <c r="K86" i="6"/>
  <c r="J86" i="6"/>
  <c r="B86" i="6"/>
  <c r="S85" i="6"/>
  <c r="R85" i="6"/>
  <c r="Q85" i="6"/>
  <c r="P85" i="6"/>
  <c r="AB13" i="5" s="1"/>
  <c r="AL13" i="5" s="1"/>
  <c r="O85" i="6"/>
  <c r="N85" i="6"/>
  <c r="M85" i="6"/>
  <c r="L85" i="6"/>
  <c r="X13" i="5" s="1"/>
  <c r="AH13" i="5" s="1"/>
  <c r="K85" i="6"/>
  <c r="J85" i="6"/>
  <c r="B85" i="6"/>
  <c r="S84" i="6"/>
  <c r="AE13" i="5" s="1"/>
  <c r="AO13" i="5" s="1"/>
  <c r="R84" i="6"/>
  <c r="Q84" i="6"/>
  <c r="P84" i="6"/>
  <c r="O84" i="6"/>
  <c r="N84" i="6"/>
  <c r="M84" i="6"/>
  <c r="L84" i="6"/>
  <c r="K84" i="6"/>
  <c r="W13" i="5" s="1"/>
  <c r="AG13" i="5" s="1"/>
  <c r="J84" i="6"/>
  <c r="B84" i="6"/>
  <c r="S83" i="6"/>
  <c r="R83" i="6"/>
  <c r="Q83" i="6"/>
  <c r="P83" i="6"/>
  <c r="O83" i="6"/>
  <c r="N83" i="6"/>
  <c r="M83" i="6"/>
  <c r="L83" i="6"/>
  <c r="K83" i="6"/>
  <c r="J83" i="6"/>
  <c r="B83" i="6"/>
  <c r="S82" i="6"/>
  <c r="R82" i="6"/>
  <c r="Q82" i="6"/>
  <c r="AC12" i="5" s="1"/>
  <c r="AM12" i="5" s="1"/>
  <c r="P82" i="6"/>
  <c r="O82" i="6"/>
  <c r="N82" i="6"/>
  <c r="M82" i="6"/>
  <c r="Y12" i="5" s="1"/>
  <c r="AI12" i="5" s="1"/>
  <c r="L82" i="6"/>
  <c r="K82" i="6"/>
  <c r="J82" i="6"/>
  <c r="B82" i="6"/>
  <c r="S81" i="6"/>
  <c r="R81" i="6"/>
  <c r="Q81" i="6"/>
  <c r="P81" i="6"/>
  <c r="AB12" i="5" s="1"/>
  <c r="AL12" i="5" s="1"/>
  <c r="O81" i="6"/>
  <c r="N81" i="6"/>
  <c r="M81" i="6"/>
  <c r="L81" i="6"/>
  <c r="X12" i="5" s="1"/>
  <c r="AH12" i="5" s="1"/>
  <c r="K81" i="6"/>
  <c r="J81" i="6"/>
  <c r="B81" i="6"/>
  <c r="S80" i="6"/>
  <c r="AE12" i="5" s="1"/>
  <c r="AO12" i="5" s="1"/>
  <c r="R80" i="6"/>
  <c r="Q80" i="6"/>
  <c r="P80" i="6"/>
  <c r="O80" i="6"/>
  <c r="AA12" i="5" s="1"/>
  <c r="AK12" i="5" s="1"/>
  <c r="N80" i="6"/>
  <c r="M80" i="6"/>
  <c r="L80" i="6"/>
  <c r="K80" i="6"/>
  <c r="W12" i="5" s="1"/>
  <c r="AG12" i="5" s="1"/>
  <c r="J80" i="6"/>
  <c r="B80" i="6"/>
  <c r="S79" i="6"/>
  <c r="R79" i="6"/>
  <c r="AD12" i="5" s="1"/>
  <c r="AN12" i="5" s="1"/>
  <c r="Q79" i="6"/>
  <c r="P79" i="6"/>
  <c r="O79" i="6"/>
  <c r="N79" i="6"/>
  <c r="Z12" i="5" s="1"/>
  <c r="AJ12" i="5" s="1"/>
  <c r="M79" i="6"/>
  <c r="L79" i="6"/>
  <c r="K79" i="6"/>
  <c r="J79" i="6"/>
  <c r="V12" i="5" s="1"/>
  <c r="AF12" i="5" s="1"/>
  <c r="B79" i="6"/>
  <c r="S78" i="6"/>
  <c r="R78" i="6"/>
  <c r="Q78" i="6"/>
  <c r="P78" i="6"/>
  <c r="O78" i="6"/>
  <c r="N78" i="6"/>
  <c r="M78" i="6"/>
  <c r="L78" i="6"/>
  <c r="K78" i="6"/>
  <c r="J78" i="6"/>
  <c r="B78" i="6"/>
  <c r="S77" i="6"/>
  <c r="R77" i="6"/>
  <c r="Q77" i="6"/>
  <c r="P77" i="6"/>
  <c r="O77" i="6"/>
  <c r="N77" i="6"/>
  <c r="M77" i="6"/>
  <c r="L77" i="6"/>
  <c r="K77" i="6"/>
  <c r="J77" i="6"/>
  <c r="B77" i="6"/>
  <c r="S76" i="6"/>
  <c r="R76" i="6"/>
  <c r="Q76" i="6"/>
  <c r="P76" i="6"/>
  <c r="O76" i="6"/>
  <c r="N76" i="6"/>
  <c r="M76" i="6"/>
  <c r="L76" i="6"/>
  <c r="K76" i="6"/>
  <c r="J76" i="6"/>
  <c r="B76" i="6"/>
  <c r="S75" i="6"/>
  <c r="R75" i="6"/>
  <c r="Q75" i="6"/>
  <c r="P75" i="6"/>
  <c r="O75" i="6"/>
  <c r="N75" i="6"/>
  <c r="M75" i="6"/>
  <c r="L75" i="6"/>
  <c r="K75" i="6"/>
  <c r="J75" i="6"/>
  <c r="B75" i="6"/>
  <c r="S74" i="6"/>
  <c r="R74" i="6"/>
  <c r="Q74" i="6"/>
  <c r="AC11" i="5" s="1"/>
  <c r="P74" i="6"/>
  <c r="O74" i="6"/>
  <c r="N74" i="6"/>
  <c r="M74" i="6"/>
  <c r="Y11" i="5" s="1"/>
  <c r="AI11" i="5" s="1"/>
  <c r="L74" i="6"/>
  <c r="K74" i="6"/>
  <c r="J74" i="6"/>
  <c r="B74" i="6"/>
  <c r="S73" i="6"/>
  <c r="R73" i="6"/>
  <c r="Q73" i="6"/>
  <c r="P73" i="6"/>
  <c r="AB11" i="5" s="1"/>
  <c r="AL11" i="5" s="1"/>
  <c r="O73" i="6"/>
  <c r="N73" i="6"/>
  <c r="M73" i="6"/>
  <c r="L73" i="6"/>
  <c r="X11" i="5" s="1"/>
  <c r="AH11" i="5" s="1"/>
  <c r="K73" i="6"/>
  <c r="J73" i="6"/>
  <c r="B73" i="6"/>
  <c r="S72" i="6"/>
  <c r="AE11" i="5" s="1"/>
  <c r="AO11" i="5" s="1"/>
  <c r="R72" i="6"/>
  <c r="Q72" i="6"/>
  <c r="P72" i="6"/>
  <c r="O72" i="6"/>
  <c r="AA11" i="5" s="1"/>
  <c r="AK11" i="5" s="1"/>
  <c r="N72" i="6"/>
  <c r="M72" i="6"/>
  <c r="L72" i="6"/>
  <c r="K72" i="6"/>
  <c r="W11" i="5" s="1"/>
  <c r="AG11" i="5" s="1"/>
  <c r="J72" i="6"/>
  <c r="B72" i="6"/>
  <c r="S71" i="6"/>
  <c r="R71" i="6"/>
  <c r="AD11" i="5" s="1"/>
  <c r="AN11" i="5" s="1"/>
  <c r="Q71" i="6"/>
  <c r="P71" i="6"/>
  <c r="O71" i="6"/>
  <c r="N71" i="6"/>
  <c r="Z11" i="5" s="1"/>
  <c r="AJ11" i="5" s="1"/>
  <c r="M71" i="6"/>
  <c r="L71" i="6"/>
  <c r="K71" i="6"/>
  <c r="J71" i="6"/>
  <c r="V11" i="5" s="1"/>
  <c r="AF11" i="5" s="1"/>
  <c r="B71" i="6"/>
  <c r="S70" i="6"/>
  <c r="R70" i="6"/>
  <c r="Q70" i="6"/>
  <c r="P70" i="6"/>
  <c r="O70" i="6"/>
  <c r="N70" i="6"/>
  <c r="M70" i="6"/>
  <c r="L70" i="6"/>
  <c r="K70" i="6"/>
  <c r="J70" i="6"/>
  <c r="B70" i="6"/>
  <c r="S69" i="6"/>
  <c r="R69" i="6"/>
  <c r="Q69" i="6"/>
  <c r="P69" i="6"/>
  <c r="O69" i="6"/>
  <c r="N69" i="6"/>
  <c r="M69" i="6"/>
  <c r="L69" i="6"/>
  <c r="K69" i="6"/>
  <c r="J69" i="6"/>
  <c r="B69" i="6"/>
  <c r="S68" i="6"/>
  <c r="R68" i="6"/>
  <c r="Q68" i="6"/>
  <c r="P68" i="6"/>
  <c r="O68" i="6"/>
  <c r="N68" i="6"/>
  <c r="M68" i="6"/>
  <c r="L68" i="6"/>
  <c r="K68" i="6"/>
  <c r="J68" i="6"/>
  <c r="B68" i="6"/>
  <c r="S67" i="6"/>
  <c r="R67" i="6"/>
  <c r="Q67" i="6"/>
  <c r="P67" i="6"/>
  <c r="O67" i="6"/>
  <c r="N67" i="6"/>
  <c r="M67" i="6"/>
  <c r="L67" i="6"/>
  <c r="K67" i="6"/>
  <c r="J67" i="6"/>
  <c r="B67" i="6"/>
  <c r="S66" i="6"/>
  <c r="R66" i="6"/>
  <c r="Q66" i="6"/>
  <c r="AC10" i="5" s="1"/>
  <c r="AM10" i="5" s="1"/>
  <c r="P66" i="6"/>
  <c r="O66" i="6"/>
  <c r="N66" i="6"/>
  <c r="M66" i="6"/>
  <c r="Y10" i="5" s="1"/>
  <c r="AI10" i="5" s="1"/>
  <c r="L66" i="6"/>
  <c r="K66" i="6"/>
  <c r="J66" i="6"/>
  <c r="B66" i="6"/>
  <c r="S65" i="6"/>
  <c r="R65" i="6"/>
  <c r="Q65" i="6"/>
  <c r="P65" i="6"/>
  <c r="AB10" i="5" s="1"/>
  <c r="AL10" i="5" s="1"/>
  <c r="O65" i="6"/>
  <c r="N65" i="6"/>
  <c r="M65" i="6"/>
  <c r="L65" i="6"/>
  <c r="X10" i="5" s="1"/>
  <c r="AH10" i="5" s="1"/>
  <c r="K65" i="6"/>
  <c r="J65" i="6"/>
  <c r="B65" i="6"/>
  <c r="S64" i="6"/>
  <c r="AE10" i="5" s="1"/>
  <c r="AO10" i="5" s="1"/>
  <c r="R64" i="6"/>
  <c r="Q64" i="6"/>
  <c r="P64" i="6"/>
  <c r="O64" i="6"/>
  <c r="AA10" i="5" s="1"/>
  <c r="AK10" i="5" s="1"/>
  <c r="N64" i="6"/>
  <c r="M64" i="6"/>
  <c r="L64" i="6"/>
  <c r="K64" i="6"/>
  <c r="W10" i="5" s="1"/>
  <c r="AG10" i="5" s="1"/>
  <c r="J64" i="6"/>
  <c r="B64" i="6"/>
  <c r="S63" i="6"/>
  <c r="R63" i="6"/>
  <c r="AD10" i="5" s="1"/>
  <c r="AN10" i="5" s="1"/>
  <c r="Q63" i="6"/>
  <c r="P63" i="6"/>
  <c r="O63" i="6"/>
  <c r="N63" i="6"/>
  <c r="Z10" i="5" s="1"/>
  <c r="M63" i="6"/>
  <c r="L63" i="6"/>
  <c r="K63" i="6"/>
  <c r="J63" i="6"/>
  <c r="V10" i="5" s="1"/>
  <c r="AF10" i="5" s="1"/>
  <c r="B63" i="6"/>
  <c r="S62" i="6"/>
  <c r="R62" i="6"/>
  <c r="Q62" i="6"/>
  <c r="P62" i="6"/>
  <c r="O62" i="6"/>
  <c r="N62" i="6"/>
  <c r="M62" i="6"/>
  <c r="L62" i="6"/>
  <c r="K62" i="6"/>
  <c r="J62" i="6"/>
  <c r="B62" i="6"/>
  <c r="S61" i="6"/>
  <c r="R61" i="6"/>
  <c r="Q61" i="6"/>
  <c r="P61" i="6"/>
  <c r="AB9" i="5" s="1"/>
  <c r="AL9" i="5" s="1"/>
  <c r="O61" i="6"/>
  <c r="N61" i="6"/>
  <c r="M61" i="6"/>
  <c r="L61" i="6"/>
  <c r="X9" i="5" s="1"/>
  <c r="AH9" i="5" s="1"/>
  <c r="K61" i="6"/>
  <c r="J61" i="6"/>
  <c r="B61" i="6"/>
  <c r="S60" i="6"/>
  <c r="AE9" i="5" s="1"/>
  <c r="AO9" i="5" s="1"/>
  <c r="R60" i="6"/>
  <c r="Q60" i="6"/>
  <c r="P60" i="6"/>
  <c r="O60" i="6"/>
  <c r="AA9" i="5" s="1"/>
  <c r="AK9" i="5" s="1"/>
  <c r="N60" i="6"/>
  <c r="M60" i="6"/>
  <c r="L60" i="6"/>
  <c r="K60" i="6"/>
  <c r="W9" i="5" s="1"/>
  <c r="AG9" i="5" s="1"/>
  <c r="J60" i="6"/>
  <c r="B60" i="6"/>
  <c r="S59" i="6"/>
  <c r="R59" i="6"/>
  <c r="Q59" i="6"/>
  <c r="P59" i="6"/>
  <c r="O59" i="6"/>
  <c r="N59" i="6"/>
  <c r="Z9" i="5" s="1"/>
  <c r="AJ9" i="5" s="1"/>
  <c r="M59" i="6"/>
  <c r="L59" i="6"/>
  <c r="K59" i="6"/>
  <c r="J59" i="6"/>
  <c r="V9" i="5" s="1"/>
  <c r="AF9" i="5" s="1"/>
  <c r="B59" i="6"/>
  <c r="S58" i="6"/>
  <c r="R58" i="6"/>
  <c r="Q58" i="6"/>
  <c r="AC9" i="5" s="1"/>
  <c r="AM9" i="5" s="1"/>
  <c r="P58" i="6"/>
  <c r="O58" i="6"/>
  <c r="N58" i="6"/>
  <c r="M58" i="6"/>
  <c r="Y9" i="5" s="1"/>
  <c r="AI9" i="5" s="1"/>
  <c r="L58" i="6"/>
  <c r="K58" i="6"/>
  <c r="J58" i="6"/>
  <c r="B58" i="6"/>
  <c r="S57" i="6"/>
  <c r="R57" i="6"/>
  <c r="Q57" i="6"/>
  <c r="P57" i="6"/>
  <c r="O57" i="6"/>
  <c r="N57" i="6"/>
  <c r="M57" i="6"/>
  <c r="L57" i="6"/>
  <c r="K57" i="6"/>
  <c r="J57" i="6"/>
  <c r="B57" i="6"/>
  <c r="S56" i="6"/>
  <c r="R56" i="6"/>
  <c r="Q56" i="6"/>
  <c r="P56" i="6"/>
  <c r="O56" i="6"/>
  <c r="N56" i="6"/>
  <c r="M56" i="6"/>
  <c r="L56" i="6"/>
  <c r="K56" i="6"/>
  <c r="J56" i="6"/>
  <c r="B56" i="6"/>
  <c r="S55" i="6"/>
  <c r="R55" i="6"/>
  <c r="Q55" i="6"/>
  <c r="P55" i="6"/>
  <c r="O55" i="6"/>
  <c r="N55" i="6"/>
  <c r="M55" i="6"/>
  <c r="L55" i="6"/>
  <c r="K55" i="6"/>
  <c r="J55" i="6"/>
  <c r="B55" i="6"/>
  <c r="S54" i="6"/>
  <c r="R54" i="6"/>
  <c r="Q54" i="6"/>
  <c r="AC8" i="5" s="1"/>
  <c r="AM8" i="5" s="1"/>
  <c r="P54" i="6"/>
  <c r="O54" i="6"/>
  <c r="N54" i="6"/>
  <c r="M54" i="6"/>
  <c r="Y8" i="5" s="1"/>
  <c r="AI8" i="5" s="1"/>
  <c r="L54" i="6"/>
  <c r="K54" i="6"/>
  <c r="J54" i="6"/>
  <c r="B54" i="6"/>
  <c r="S53" i="6"/>
  <c r="R53" i="6"/>
  <c r="Q53" i="6"/>
  <c r="P53" i="6"/>
  <c r="AB8" i="5" s="1"/>
  <c r="AL8" i="5" s="1"/>
  <c r="O53" i="6"/>
  <c r="N53" i="6"/>
  <c r="M53" i="6"/>
  <c r="L53" i="6"/>
  <c r="X8" i="5" s="1"/>
  <c r="AH8" i="5" s="1"/>
  <c r="K53" i="6"/>
  <c r="J53" i="6"/>
  <c r="B53" i="6"/>
  <c r="S52" i="6"/>
  <c r="AE8" i="5" s="1"/>
  <c r="R52" i="6"/>
  <c r="Q52" i="6"/>
  <c r="P52" i="6"/>
  <c r="O52" i="6"/>
  <c r="AA8" i="5" s="1"/>
  <c r="AK8" i="5" s="1"/>
  <c r="N52" i="6"/>
  <c r="M52" i="6"/>
  <c r="L52" i="6"/>
  <c r="K52" i="6"/>
  <c r="W8" i="5" s="1"/>
  <c r="AG8" i="5" s="1"/>
  <c r="J52" i="6"/>
  <c r="B52" i="6"/>
  <c r="S51" i="6"/>
  <c r="R51" i="6"/>
  <c r="AD8" i="5" s="1"/>
  <c r="AN8" i="5" s="1"/>
  <c r="Q51" i="6"/>
  <c r="P51" i="6"/>
  <c r="O51" i="6"/>
  <c r="N51" i="6"/>
  <c r="Z8" i="5" s="1"/>
  <c r="AJ8" i="5" s="1"/>
  <c r="M51" i="6"/>
  <c r="L51" i="6"/>
  <c r="K51" i="6"/>
  <c r="J51" i="6"/>
  <c r="V8" i="5" s="1"/>
  <c r="AF8" i="5" s="1"/>
  <c r="B51" i="6"/>
  <c r="S50" i="6"/>
  <c r="R50" i="6"/>
  <c r="Q50" i="6"/>
  <c r="P50" i="6"/>
  <c r="O50" i="6"/>
  <c r="N50" i="6"/>
  <c r="M50" i="6"/>
  <c r="L50" i="6"/>
  <c r="K50" i="6"/>
  <c r="J50" i="6"/>
  <c r="B50" i="6"/>
  <c r="S49" i="6"/>
  <c r="R49" i="6"/>
  <c r="Q49" i="6"/>
  <c r="P49" i="6"/>
  <c r="O49" i="6"/>
  <c r="N49" i="6"/>
  <c r="M49" i="6"/>
  <c r="L49" i="6"/>
  <c r="K49" i="6"/>
  <c r="J49" i="6"/>
  <c r="B49" i="6"/>
  <c r="S48" i="6"/>
  <c r="R48" i="6"/>
  <c r="Q48" i="6"/>
  <c r="P48" i="6"/>
  <c r="O48" i="6"/>
  <c r="N48" i="6"/>
  <c r="M48" i="6"/>
  <c r="L48" i="6"/>
  <c r="K48" i="6"/>
  <c r="J48" i="6"/>
  <c r="B48" i="6"/>
  <c r="S47" i="6"/>
  <c r="R47" i="6"/>
  <c r="Q47" i="6"/>
  <c r="P47" i="6"/>
  <c r="O47" i="6"/>
  <c r="N47" i="6"/>
  <c r="M47" i="6"/>
  <c r="L47" i="6"/>
  <c r="K47" i="6"/>
  <c r="J47" i="6"/>
  <c r="B47" i="6"/>
  <c r="S46" i="6"/>
  <c r="R46" i="6"/>
  <c r="Q46" i="6"/>
  <c r="P46" i="6"/>
  <c r="O46" i="6"/>
  <c r="N46" i="6"/>
  <c r="M46" i="6"/>
  <c r="L46" i="6"/>
  <c r="K46" i="6"/>
  <c r="J46" i="6"/>
  <c r="B46" i="6"/>
  <c r="S45" i="6"/>
  <c r="R45" i="6"/>
  <c r="Q45" i="6"/>
  <c r="P45" i="6"/>
  <c r="AB7" i="5" s="1"/>
  <c r="AL7" i="5" s="1"/>
  <c r="O45" i="6"/>
  <c r="N45" i="6"/>
  <c r="M45" i="6"/>
  <c r="L45" i="6"/>
  <c r="X7" i="5" s="1"/>
  <c r="AH7" i="5" s="1"/>
  <c r="K45" i="6"/>
  <c r="J45" i="6"/>
  <c r="B45" i="6"/>
  <c r="S44" i="6"/>
  <c r="AE7" i="5" s="1"/>
  <c r="AO7" i="5" s="1"/>
  <c r="R44" i="6"/>
  <c r="Q44" i="6"/>
  <c r="P44" i="6"/>
  <c r="O44" i="6"/>
  <c r="AA7" i="5" s="1"/>
  <c r="AK7" i="5" s="1"/>
  <c r="N44" i="6"/>
  <c r="M44" i="6"/>
  <c r="L44" i="6"/>
  <c r="K44" i="6"/>
  <c r="W7" i="5" s="1"/>
  <c r="AG7" i="5" s="1"/>
  <c r="J44" i="6"/>
  <c r="B44" i="6"/>
  <c r="S43" i="6"/>
  <c r="R43" i="6"/>
  <c r="AD7" i="5" s="1"/>
  <c r="AN7" i="5" s="1"/>
  <c r="Q43" i="6"/>
  <c r="P43" i="6"/>
  <c r="O43" i="6"/>
  <c r="N43" i="6"/>
  <c r="Z7" i="5" s="1"/>
  <c r="AJ7" i="5" s="1"/>
  <c r="M43" i="6"/>
  <c r="L43" i="6"/>
  <c r="K43" i="6"/>
  <c r="J43" i="6"/>
  <c r="V7" i="5" s="1"/>
  <c r="AF7" i="5" s="1"/>
  <c r="B43" i="6"/>
  <c r="S42" i="6"/>
  <c r="R42" i="6"/>
  <c r="Q42" i="6"/>
  <c r="AC7" i="5" s="1"/>
  <c r="AM7" i="5" s="1"/>
  <c r="P42" i="6"/>
  <c r="O42" i="6"/>
  <c r="N42" i="6"/>
  <c r="M42" i="6"/>
  <c r="Y7" i="5" s="1"/>
  <c r="L42" i="6"/>
  <c r="K42" i="6"/>
  <c r="J42" i="6"/>
  <c r="B42" i="6"/>
  <c r="S41" i="6"/>
  <c r="R41" i="6"/>
  <c r="Q41" i="6"/>
  <c r="P41" i="6"/>
  <c r="O41" i="6"/>
  <c r="N41" i="6"/>
  <c r="M41" i="6"/>
  <c r="L41" i="6"/>
  <c r="K41" i="6"/>
  <c r="J41" i="6"/>
  <c r="B41" i="6"/>
  <c r="S40" i="6"/>
  <c r="R40" i="6"/>
  <c r="Q40" i="6"/>
  <c r="P40" i="6"/>
  <c r="O40" i="6"/>
  <c r="N40" i="6"/>
  <c r="M40" i="6"/>
  <c r="L40" i="6"/>
  <c r="K40" i="6"/>
  <c r="J40" i="6"/>
  <c r="B40" i="6"/>
  <c r="S39" i="6"/>
  <c r="R39" i="6"/>
  <c r="Q39" i="6"/>
  <c r="P39" i="6"/>
  <c r="O39" i="6"/>
  <c r="N39" i="6"/>
  <c r="M39" i="6"/>
  <c r="L39" i="6"/>
  <c r="K39" i="6"/>
  <c r="J39" i="6"/>
  <c r="B39" i="6"/>
  <c r="S38" i="6"/>
  <c r="R38" i="6"/>
  <c r="Q38" i="6"/>
  <c r="P38" i="6"/>
  <c r="O38" i="6"/>
  <c r="N38" i="6"/>
  <c r="M38" i="6"/>
  <c r="L38" i="6"/>
  <c r="K38" i="6"/>
  <c r="J38" i="6"/>
  <c r="B38" i="6"/>
  <c r="S37" i="6"/>
  <c r="R37" i="6"/>
  <c r="Q37" i="6"/>
  <c r="P37" i="6"/>
  <c r="AB6" i="5" s="1"/>
  <c r="AL6" i="5" s="1"/>
  <c r="O37" i="6"/>
  <c r="N37" i="6"/>
  <c r="M37" i="6"/>
  <c r="L37" i="6"/>
  <c r="X6" i="5" s="1"/>
  <c r="AH6" i="5" s="1"/>
  <c r="K37" i="6"/>
  <c r="J37" i="6"/>
  <c r="B37" i="6"/>
  <c r="S36" i="6"/>
  <c r="AE6" i="5" s="1"/>
  <c r="AO6" i="5" s="1"/>
  <c r="R36" i="6"/>
  <c r="Q36" i="6"/>
  <c r="P36" i="6"/>
  <c r="O36" i="6"/>
  <c r="AA6" i="5" s="1"/>
  <c r="AK6" i="5" s="1"/>
  <c r="N36" i="6"/>
  <c r="M36" i="6"/>
  <c r="L36" i="6"/>
  <c r="K36" i="6"/>
  <c r="W6" i="5" s="1"/>
  <c r="AG6" i="5" s="1"/>
  <c r="J36" i="6"/>
  <c r="B36" i="6"/>
  <c r="S35" i="6"/>
  <c r="R35" i="6"/>
  <c r="AD6" i="5" s="1"/>
  <c r="AN6" i="5" s="1"/>
  <c r="Q35" i="6"/>
  <c r="P35" i="6"/>
  <c r="O35" i="6"/>
  <c r="N35" i="6"/>
  <c r="Z6" i="5" s="1"/>
  <c r="AJ6" i="5" s="1"/>
  <c r="M35" i="6"/>
  <c r="L35" i="6"/>
  <c r="K35" i="6"/>
  <c r="J35" i="6"/>
  <c r="V6" i="5" s="1"/>
  <c r="AF6" i="5" s="1"/>
  <c r="B35" i="6"/>
  <c r="S34" i="6"/>
  <c r="R34" i="6"/>
  <c r="Q34" i="6"/>
  <c r="AC6" i="5" s="1"/>
  <c r="AM6" i="5" s="1"/>
  <c r="P34" i="6"/>
  <c r="O34" i="6"/>
  <c r="N34" i="6"/>
  <c r="M34" i="6"/>
  <c r="Y6" i="5" s="1"/>
  <c r="AI6" i="5" s="1"/>
  <c r="L34" i="6"/>
  <c r="K34" i="6"/>
  <c r="J34" i="6"/>
  <c r="B34" i="6"/>
  <c r="S33" i="6"/>
  <c r="R33" i="6"/>
  <c r="Q33" i="6"/>
  <c r="P33" i="6"/>
  <c r="O33" i="6"/>
  <c r="N33" i="6"/>
  <c r="M33" i="6"/>
  <c r="L33" i="6"/>
  <c r="K33" i="6"/>
  <c r="J33" i="6"/>
  <c r="B33" i="6"/>
  <c r="S32" i="6"/>
  <c r="R32" i="6"/>
  <c r="Q32" i="6"/>
  <c r="P32" i="6"/>
  <c r="O32" i="6"/>
  <c r="N32" i="6"/>
  <c r="M32" i="6"/>
  <c r="L32" i="6"/>
  <c r="K32" i="6"/>
  <c r="J32" i="6"/>
  <c r="B32" i="6"/>
  <c r="S31" i="6"/>
  <c r="R31" i="6"/>
  <c r="Q31" i="6"/>
  <c r="P31" i="6"/>
  <c r="O31" i="6"/>
  <c r="N31" i="6"/>
  <c r="M31" i="6"/>
  <c r="L31" i="6"/>
  <c r="K31" i="6"/>
  <c r="J31" i="6"/>
  <c r="B31" i="6"/>
  <c r="S30" i="6"/>
  <c r="R30" i="6"/>
  <c r="Q30" i="6"/>
  <c r="P30" i="6"/>
  <c r="O30" i="6"/>
  <c r="N30" i="6"/>
  <c r="M30" i="6"/>
  <c r="L30" i="6"/>
  <c r="K30" i="6"/>
  <c r="J30" i="6"/>
  <c r="B30" i="6"/>
  <c r="S29" i="6"/>
  <c r="R29" i="6"/>
  <c r="Q29" i="6"/>
  <c r="P29" i="6"/>
  <c r="O29" i="6"/>
  <c r="N29" i="6"/>
  <c r="M29" i="6"/>
  <c r="L29" i="6"/>
  <c r="K29" i="6"/>
  <c r="J29" i="6"/>
  <c r="B29" i="6"/>
  <c r="S28" i="6"/>
  <c r="R28" i="6"/>
  <c r="Q28" i="6"/>
  <c r="P28" i="6"/>
  <c r="O28" i="6"/>
  <c r="N28" i="6"/>
  <c r="M28" i="6"/>
  <c r="L28" i="6"/>
  <c r="K28" i="6"/>
  <c r="J28" i="6"/>
  <c r="B28" i="6"/>
  <c r="S27" i="6"/>
  <c r="R27" i="6"/>
  <c r="Q27" i="6"/>
  <c r="P27" i="6"/>
  <c r="O27" i="6"/>
  <c r="N27" i="6"/>
  <c r="M27" i="6"/>
  <c r="L27" i="6"/>
  <c r="K27" i="6"/>
  <c r="J27" i="6"/>
  <c r="B27" i="6"/>
  <c r="S26" i="6"/>
  <c r="R26" i="6"/>
  <c r="Q26" i="6"/>
  <c r="AC5" i="5" s="1"/>
  <c r="AM5" i="5" s="1"/>
  <c r="P26" i="6"/>
  <c r="O26" i="6"/>
  <c r="N26" i="6"/>
  <c r="M26" i="6"/>
  <c r="Y5" i="5" s="1"/>
  <c r="AI5" i="5" s="1"/>
  <c r="L26" i="6"/>
  <c r="K26" i="6"/>
  <c r="J26" i="6"/>
  <c r="B26" i="6"/>
  <c r="S25" i="6"/>
  <c r="R25" i="6"/>
  <c r="Q25" i="6"/>
  <c r="P25" i="6"/>
  <c r="AB5" i="5" s="1"/>
  <c r="AL5" i="5" s="1"/>
  <c r="O25" i="6"/>
  <c r="N25" i="6"/>
  <c r="M25" i="6"/>
  <c r="L25" i="6"/>
  <c r="X5" i="5" s="1"/>
  <c r="AH5" i="5" s="1"/>
  <c r="K25" i="6"/>
  <c r="J25" i="6"/>
  <c r="B25" i="6"/>
  <c r="S24" i="6"/>
  <c r="AE5" i="5" s="1"/>
  <c r="AO5" i="5" s="1"/>
  <c r="R24" i="6"/>
  <c r="Q24" i="6"/>
  <c r="P24" i="6"/>
  <c r="O24" i="6"/>
  <c r="AA5" i="5" s="1"/>
  <c r="AK5" i="5" s="1"/>
  <c r="N24" i="6"/>
  <c r="M24" i="6"/>
  <c r="L24" i="6"/>
  <c r="K24" i="6"/>
  <c r="W5" i="5" s="1"/>
  <c r="AG5" i="5" s="1"/>
  <c r="J24" i="6"/>
  <c r="B24" i="6"/>
  <c r="S23" i="6"/>
  <c r="R23" i="6"/>
  <c r="AD5" i="5" s="1"/>
  <c r="AN5" i="5" s="1"/>
  <c r="Q23" i="6"/>
  <c r="P23" i="6"/>
  <c r="O23" i="6"/>
  <c r="N23" i="6"/>
  <c r="Z5" i="5" s="1"/>
  <c r="AJ5" i="5" s="1"/>
  <c r="M23" i="6"/>
  <c r="L23" i="6"/>
  <c r="K23" i="6"/>
  <c r="J23" i="6"/>
  <c r="V5" i="5" s="1"/>
  <c r="AF5" i="5" s="1"/>
  <c r="B23" i="6"/>
  <c r="S22" i="6"/>
  <c r="R22" i="6"/>
  <c r="Q22" i="6"/>
  <c r="P22" i="6"/>
  <c r="O22" i="6"/>
  <c r="N22" i="6"/>
  <c r="M22" i="6"/>
  <c r="L22" i="6"/>
  <c r="K22" i="6"/>
  <c r="J22" i="6"/>
  <c r="B22" i="6"/>
  <c r="S21" i="6"/>
  <c r="R21" i="6"/>
  <c r="Q21" i="6"/>
  <c r="P21" i="6"/>
  <c r="O21" i="6"/>
  <c r="N21" i="6"/>
  <c r="M21" i="6"/>
  <c r="L21" i="6"/>
  <c r="K21" i="6"/>
  <c r="J21" i="6"/>
  <c r="B21" i="6"/>
  <c r="S20" i="6"/>
  <c r="R20" i="6"/>
  <c r="Q20" i="6"/>
  <c r="P20" i="6"/>
  <c r="O20" i="6"/>
  <c r="N20" i="6"/>
  <c r="M20" i="6"/>
  <c r="L20" i="6"/>
  <c r="K20" i="6"/>
  <c r="J20" i="6"/>
  <c r="B20" i="6"/>
  <c r="S19" i="6"/>
  <c r="R19" i="6"/>
  <c r="AD4" i="5" s="1"/>
  <c r="AN4" i="5" s="1"/>
  <c r="Q19" i="6"/>
  <c r="P19" i="6"/>
  <c r="O19" i="6"/>
  <c r="N19" i="6"/>
  <c r="Z4" i="5" s="1"/>
  <c r="AJ4" i="5" s="1"/>
  <c r="M19" i="6"/>
  <c r="L19" i="6"/>
  <c r="K19" i="6"/>
  <c r="J19" i="6"/>
  <c r="V4" i="5" s="1"/>
  <c r="AF4" i="5" s="1"/>
  <c r="B19" i="6"/>
  <c r="S18" i="6"/>
  <c r="R18" i="6"/>
  <c r="Q18" i="6"/>
  <c r="AC4" i="5" s="1"/>
  <c r="AM4" i="5" s="1"/>
  <c r="P18" i="6"/>
  <c r="O18" i="6"/>
  <c r="N18" i="6"/>
  <c r="M18" i="6"/>
  <c r="Y4" i="5" s="1"/>
  <c r="AI4" i="5" s="1"/>
  <c r="L18" i="6"/>
  <c r="K18" i="6"/>
  <c r="J18" i="6"/>
  <c r="B18" i="6"/>
  <c r="S17" i="6"/>
  <c r="R17" i="6"/>
  <c r="Q17" i="6"/>
  <c r="P17" i="6"/>
  <c r="O17" i="6"/>
  <c r="N17" i="6"/>
  <c r="M17" i="6"/>
  <c r="L17" i="6"/>
  <c r="X4" i="5" s="1"/>
  <c r="AH4" i="5" s="1"/>
  <c r="K17" i="6"/>
  <c r="J17" i="6"/>
  <c r="B17" i="6"/>
  <c r="S16" i="6"/>
  <c r="AE4" i="5" s="1"/>
  <c r="AO4" i="5" s="1"/>
  <c r="R16" i="6"/>
  <c r="Q16" i="6"/>
  <c r="P16" i="6"/>
  <c r="O16" i="6"/>
  <c r="AA4" i="5" s="1"/>
  <c r="AK4" i="5" s="1"/>
  <c r="N16" i="6"/>
  <c r="M16" i="6"/>
  <c r="L16" i="6"/>
  <c r="K16" i="6"/>
  <c r="W4" i="5" s="1"/>
  <c r="AG4" i="5" s="1"/>
  <c r="J16" i="6"/>
  <c r="B16" i="6"/>
  <c r="S15" i="6"/>
  <c r="R15" i="6"/>
  <c r="Q15" i="6"/>
  <c r="P15" i="6"/>
  <c r="O15" i="6"/>
  <c r="N15" i="6"/>
  <c r="M15" i="6"/>
  <c r="L15" i="6"/>
  <c r="K15" i="6"/>
  <c r="J15" i="6"/>
  <c r="B15" i="6"/>
  <c r="S14" i="6"/>
  <c r="R14" i="6"/>
  <c r="Q14" i="6"/>
  <c r="P14" i="6"/>
  <c r="O14" i="6"/>
  <c r="N14" i="6"/>
  <c r="M14" i="6"/>
  <c r="L14" i="6"/>
  <c r="K14" i="6"/>
  <c r="J14" i="6"/>
  <c r="B14" i="6"/>
  <c r="S13" i="6"/>
  <c r="R13" i="6"/>
  <c r="Q13" i="6"/>
  <c r="P13" i="6"/>
  <c r="O13" i="6"/>
  <c r="N13" i="6"/>
  <c r="M13" i="6"/>
  <c r="L13" i="6"/>
  <c r="K13" i="6"/>
  <c r="J13" i="6"/>
  <c r="B13" i="6"/>
  <c r="S12" i="6"/>
  <c r="AE3" i="5" s="1"/>
  <c r="AO3" i="5" s="1"/>
  <c r="R12" i="6"/>
  <c r="Q12" i="6"/>
  <c r="P12" i="6"/>
  <c r="O12" i="6"/>
  <c r="AA3" i="5" s="1"/>
  <c r="AK3" i="5" s="1"/>
  <c r="N12" i="6"/>
  <c r="M12" i="6"/>
  <c r="L12" i="6"/>
  <c r="K12" i="6"/>
  <c r="W3" i="5" s="1"/>
  <c r="AG3" i="5" s="1"/>
  <c r="J12" i="6"/>
  <c r="B12" i="6"/>
  <c r="S11" i="6"/>
  <c r="R11" i="6"/>
  <c r="AD3" i="5" s="1"/>
  <c r="AN3" i="5" s="1"/>
  <c r="Q11" i="6"/>
  <c r="P11" i="6"/>
  <c r="O11" i="6"/>
  <c r="N11" i="6"/>
  <c r="M11" i="6"/>
  <c r="L11" i="6"/>
  <c r="K11" i="6"/>
  <c r="J11" i="6"/>
  <c r="V3" i="5" s="1"/>
  <c r="AF3" i="5" s="1"/>
  <c r="B11" i="6"/>
  <c r="S10" i="6"/>
  <c r="R10" i="6"/>
  <c r="Q10" i="6"/>
  <c r="AC3" i="5" s="1"/>
  <c r="AM3" i="5" s="1"/>
  <c r="P10" i="6"/>
  <c r="O10" i="6"/>
  <c r="N10" i="6"/>
  <c r="M10" i="6"/>
  <c r="Y3" i="5" s="1"/>
  <c r="AI3" i="5" s="1"/>
  <c r="L10" i="6"/>
  <c r="K10" i="6"/>
  <c r="J10" i="6"/>
  <c r="B10" i="6"/>
  <c r="S9" i="6"/>
  <c r="R9" i="6"/>
  <c r="Q9" i="6"/>
  <c r="P9" i="6"/>
  <c r="AB3" i="5" s="1"/>
  <c r="AL3" i="5" s="1"/>
  <c r="O9" i="6"/>
  <c r="N9" i="6"/>
  <c r="M9" i="6"/>
  <c r="L9" i="6"/>
  <c r="X3" i="5" s="1"/>
  <c r="AH3" i="5" s="1"/>
  <c r="K9" i="6"/>
  <c r="J9" i="6"/>
  <c r="B9" i="6"/>
  <c r="S8" i="6"/>
  <c r="R8" i="6"/>
  <c r="Q8" i="6"/>
  <c r="P8" i="6"/>
  <c r="O8" i="6"/>
  <c r="N8" i="6"/>
  <c r="M8" i="6"/>
  <c r="L8" i="6"/>
  <c r="K8" i="6"/>
  <c r="J8" i="6"/>
  <c r="B8" i="6"/>
  <c r="S7" i="6"/>
  <c r="R7" i="6"/>
  <c r="Q7" i="6"/>
  <c r="P7" i="6"/>
  <c r="O7" i="6"/>
  <c r="N7" i="6"/>
  <c r="M7" i="6"/>
  <c r="L7" i="6"/>
  <c r="K7" i="6"/>
  <c r="J7" i="6"/>
  <c r="B7" i="6"/>
  <c r="S6" i="6"/>
  <c r="R6" i="6"/>
  <c r="Q6" i="6"/>
  <c r="P6" i="6"/>
  <c r="O6" i="6"/>
  <c r="N6" i="6"/>
  <c r="M6" i="6"/>
  <c r="L6" i="6"/>
  <c r="K6" i="6"/>
  <c r="J6" i="6"/>
  <c r="B6" i="6"/>
  <c r="S5" i="6"/>
  <c r="R5" i="6"/>
  <c r="Q5" i="6"/>
  <c r="P5" i="6"/>
  <c r="AB2" i="5" s="1"/>
  <c r="AL2" i="5" s="1"/>
  <c r="O5" i="6"/>
  <c r="N5" i="6"/>
  <c r="M5" i="6"/>
  <c r="L5" i="6"/>
  <c r="X2" i="5" s="1"/>
  <c r="AH2" i="5" s="1"/>
  <c r="K5" i="6"/>
  <c r="J5" i="6"/>
  <c r="B5" i="6"/>
  <c r="S4" i="6"/>
  <c r="AE2" i="5" s="1"/>
  <c r="AO2" i="5" s="1"/>
  <c r="R4" i="6"/>
  <c r="Q4" i="6"/>
  <c r="P4" i="6"/>
  <c r="O4" i="6"/>
  <c r="N4" i="6"/>
  <c r="M4" i="6"/>
  <c r="L4" i="6"/>
  <c r="K4" i="6"/>
  <c r="W2" i="5" s="1"/>
  <c r="AG2" i="5" s="1"/>
  <c r="J4" i="6"/>
  <c r="B4" i="6"/>
  <c r="S3" i="6"/>
  <c r="R3" i="6"/>
  <c r="AD2" i="5" s="1"/>
  <c r="AN2" i="5" s="1"/>
  <c r="Q3" i="6"/>
  <c r="P3" i="6"/>
  <c r="O3" i="6"/>
  <c r="N3" i="6"/>
  <c r="Z2" i="5" s="1"/>
  <c r="AJ2" i="5" s="1"/>
  <c r="M3" i="6"/>
  <c r="L3" i="6"/>
  <c r="K3" i="6"/>
  <c r="J3" i="6"/>
  <c r="V2" i="5" s="1"/>
  <c r="AF2" i="5" s="1"/>
  <c r="B3" i="6"/>
  <c r="S2" i="6"/>
  <c r="R2" i="6"/>
  <c r="Q2" i="6"/>
  <c r="AC2" i="5" s="1"/>
  <c r="AM2" i="5" s="1"/>
  <c r="P2" i="6"/>
  <c r="O2" i="6"/>
  <c r="N2" i="6"/>
  <c r="M2" i="6"/>
  <c r="Y2" i="5" s="1"/>
  <c r="AI2" i="5" s="1"/>
  <c r="L2" i="6"/>
  <c r="K2" i="6"/>
  <c r="J2" i="6"/>
  <c r="B2" i="6"/>
  <c r="AV157" i="5"/>
  <c r="AU157" i="5"/>
  <c r="U157" i="5"/>
  <c r="Q157" i="5"/>
  <c r="P157" i="5"/>
  <c r="AV156" i="5"/>
  <c r="AU156" i="5"/>
  <c r="AW156" i="5" s="1"/>
  <c r="AX156" i="5" s="1"/>
  <c r="U156" i="5"/>
  <c r="P156" i="5"/>
  <c r="Q156" i="5" s="1"/>
  <c r="AV155" i="5"/>
  <c r="AU155" i="5"/>
  <c r="U155" i="5"/>
  <c r="P155" i="5"/>
  <c r="Q155" i="5" s="1"/>
  <c r="AV154" i="5"/>
  <c r="AU154" i="5"/>
  <c r="AW154" i="5" s="1"/>
  <c r="AX154" i="5" s="1"/>
  <c r="U154" i="5"/>
  <c r="P154" i="5"/>
  <c r="Q154" i="5" s="1"/>
  <c r="AV153" i="5"/>
  <c r="AU153" i="5"/>
  <c r="U153" i="5"/>
  <c r="P153" i="5"/>
  <c r="Q153" i="5" s="1"/>
  <c r="AW152" i="5"/>
  <c r="AX152" i="5" s="1"/>
  <c r="AV152" i="5"/>
  <c r="AU152" i="5"/>
  <c r="U152" i="5"/>
  <c r="P152" i="5"/>
  <c r="Q152" i="5" s="1"/>
  <c r="AV151" i="5"/>
  <c r="AU151" i="5"/>
  <c r="U151" i="5"/>
  <c r="P151" i="5"/>
  <c r="Q151" i="5" s="1"/>
  <c r="AV150" i="5"/>
  <c r="AU150" i="5"/>
  <c r="AW150" i="5" s="1"/>
  <c r="AX150" i="5" s="1"/>
  <c r="U150" i="5"/>
  <c r="P150" i="5"/>
  <c r="Q150" i="5" s="1"/>
  <c r="AV149" i="5"/>
  <c r="AU149" i="5"/>
  <c r="U149" i="5"/>
  <c r="P149" i="5"/>
  <c r="Q149" i="5" s="1"/>
  <c r="AW148" i="5"/>
  <c r="AX148" i="5" s="1"/>
  <c r="AV148" i="5"/>
  <c r="AU148" i="5"/>
  <c r="U148" i="5"/>
  <c r="P148" i="5"/>
  <c r="Q148" i="5" s="1"/>
  <c r="AV147" i="5"/>
  <c r="AU147" i="5"/>
  <c r="U147" i="5"/>
  <c r="P147" i="5"/>
  <c r="Q147" i="5" s="1"/>
  <c r="AV146" i="5"/>
  <c r="AU146" i="5"/>
  <c r="AW146" i="5" s="1"/>
  <c r="AX146" i="5" s="1"/>
  <c r="U146" i="5"/>
  <c r="P146" i="5"/>
  <c r="Q146" i="5" s="1"/>
  <c r="AV145" i="5"/>
  <c r="AU145" i="5"/>
  <c r="AW145" i="5" s="1"/>
  <c r="AX145" i="5" s="1"/>
  <c r="U145" i="5"/>
  <c r="P145" i="5"/>
  <c r="Q145" i="5" s="1"/>
  <c r="AW144" i="5"/>
  <c r="AX144" i="5" s="1"/>
  <c r="AV144" i="5"/>
  <c r="AU144" i="5"/>
  <c r="U144" i="5"/>
  <c r="P144" i="5"/>
  <c r="Q144" i="5" s="1"/>
  <c r="AV143" i="5"/>
  <c r="AU143" i="5"/>
  <c r="AW143" i="5" s="1"/>
  <c r="AX143" i="5" s="1"/>
  <c r="U143" i="5"/>
  <c r="Q143" i="5"/>
  <c r="P143" i="5"/>
  <c r="AV142" i="5"/>
  <c r="AU142" i="5"/>
  <c r="AW142" i="5" s="1"/>
  <c r="AX142" i="5" s="1"/>
  <c r="U142" i="5"/>
  <c r="P142" i="5"/>
  <c r="Q142" i="5" s="1"/>
  <c r="AV141" i="5"/>
  <c r="AU141" i="5"/>
  <c r="U141" i="5"/>
  <c r="Q141" i="5"/>
  <c r="P141" i="5"/>
  <c r="AW140" i="5"/>
  <c r="AX140" i="5" s="1"/>
  <c r="AV140" i="5"/>
  <c r="AU140" i="5"/>
  <c r="U140" i="5"/>
  <c r="Q140" i="5"/>
  <c r="P140" i="5"/>
  <c r="AV139" i="5"/>
  <c r="AU139" i="5"/>
  <c r="AW139" i="5" s="1"/>
  <c r="AX139" i="5" s="1"/>
  <c r="U139" i="5"/>
  <c r="Q139" i="5"/>
  <c r="P139" i="5"/>
  <c r="AV138" i="5"/>
  <c r="AW138" i="5" s="1"/>
  <c r="AX138" i="5" s="1"/>
  <c r="AU138" i="5"/>
  <c r="U138" i="5"/>
  <c r="Q138" i="5"/>
  <c r="P138" i="5"/>
  <c r="AX137" i="5"/>
  <c r="AV137" i="5"/>
  <c r="AU137" i="5"/>
  <c r="AW137" i="5" s="1"/>
  <c r="U137" i="5"/>
  <c r="Q137" i="5"/>
  <c r="P137" i="5"/>
  <c r="AV136" i="5"/>
  <c r="AU136" i="5"/>
  <c r="U136" i="5"/>
  <c r="Q136" i="5"/>
  <c r="P136" i="5"/>
  <c r="AV135" i="5"/>
  <c r="AU135" i="5"/>
  <c r="U135" i="5"/>
  <c r="Q135" i="5"/>
  <c r="P135" i="5"/>
  <c r="AV134" i="5"/>
  <c r="AW134" i="5" s="1"/>
  <c r="AX134" i="5" s="1"/>
  <c r="AU134" i="5"/>
  <c r="U134" i="5"/>
  <c r="Q134" i="5"/>
  <c r="P134" i="5"/>
  <c r="AV133" i="5"/>
  <c r="AU133" i="5"/>
  <c r="AW133" i="5" s="1"/>
  <c r="AX133" i="5" s="1"/>
  <c r="U133" i="5"/>
  <c r="Q133" i="5"/>
  <c r="P133" i="5"/>
  <c r="AV132" i="5"/>
  <c r="AU132" i="5"/>
  <c r="U132" i="5"/>
  <c r="Q132" i="5"/>
  <c r="P132" i="5"/>
  <c r="AV131" i="5"/>
  <c r="AU131" i="5"/>
  <c r="U131" i="5"/>
  <c r="Q131" i="5"/>
  <c r="P131" i="5"/>
  <c r="AV130" i="5"/>
  <c r="AU130" i="5"/>
  <c r="U130" i="5"/>
  <c r="Q130" i="5"/>
  <c r="P130" i="5"/>
  <c r="AV129" i="5"/>
  <c r="AU129" i="5"/>
  <c r="U129" i="5"/>
  <c r="P129" i="5"/>
  <c r="Q129" i="5" s="1"/>
  <c r="AV128" i="5"/>
  <c r="AW128" i="5" s="1"/>
  <c r="AX128" i="5" s="1"/>
  <c r="AU128" i="5"/>
  <c r="U128" i="5"/>
  <c r="Q128" i="5"/>
  <c r="P128" i="5"/>
  <c r="AV127" i="5"/>
  <c r="AU127" i="5"/>
  <c r="AW127" i="5" s="1"/>
  <c r="AX127" i="5" s="1"/>
  <c r="U127" i="5"/>
  <c r="Q127" i="5"/>
  <c r="P127" i="5"/>
  <c r="AW126" i="5"/>
  <c r="AX126" i="5" s="1"/>
  <c r="AV126" i="5"/>
  <c r="AU126" i="5"/>
  <c r="U126" i="5"/>
  <c r="Q126" i="5"/>
  <c r="P126" i="5"/>
  <c r="AV125" i="5"/>
  <c r="AU125" i="5"/>
  <c r="AW125" i="5" s="1"/>
  <c r="AX125" i="5" s="1"/>
  <c r="U125" i="5"/>
  <c r="Q125" i="5"/>
  <c r="P125" i="5"/>
  <c r="AV124" i="5"/>
  <c r="AW124" i="5" s="1"/>
  <c r="AX124" i="5" s="1"/>
  <c r="AU124" i="5"/>
  <c r="U124" i="5"/>
  <c r="P124" i="5"/>
  <c r="Q124" i="5" s="1"/>
  <c r="AV123" i="5"/>
  <c r="AU123" i="5"/>
  <c r="U123" i="5"/>
  <c r="Q123" i="5"/>
  <c r="P123" i="5"/>
  <c r="AV122" i="5"/>
  <c r="AU122" i="5"/>
  <c r="U122" i="5"/>
  <c r="P122" i="5"/>
  <c r="Q122" i="5" s="1"/>
  <c r="AV121" i="5"/>
  <c r="AU121" i="5"/>
  <c r="AW121" i="5" s="1"/>
  <c r="AX121" i="5" s="1"/>
  <c r="U121" i="5"/>
  <c r="Q121" i="5"/>
  <c r="P121" i="5"/>
  <c r="AV120" i="5"/>
  <c r="AU120" i="5"/>
  <c r="U120" i="5"/>
  <c r="P120" i="5"/>
  <c r="Q120" i="5" s="1"/>
  <c r="AV119" i="5"/>
  <c r="AU119" i="5"/>
  <c r="U119" i="5"/>
  <c r="P119" i="5"/>
  <c r="Q119" i="5" s="1"/>
  <c r="AV118" i="5"/>
  <c r="AW118" i="5" s="1"/>
  <c r="AX118" i="5" s="1"/>
  <c r="AU118" i="5"/>
  <c r="U118" i="5"/>
  <c r="P118" i="5"/>
  <c r="Q118" i="5" s="1"/>
  <c r="AV117" i="5"/>
  <c r="AU117" i="5"/>
  <c r="U117" i="5"/>
  <c r="Q117" i="5"/>
  <c r="P117" i="5"/>
  <c r="AV116" i="5"/>
  <c r="AU116" i="5"/>
  <c r="U116" i="5"/>
  <c r="P116" i="5"/>
  <c r="Q116" i="5" s="1"/>
  <c r="AV115" i="5"/>
  <c r="AU115" i="5"/>
  <c r="AW115" i="5" s="1"/>
  <c r="AX115" i="5" s="1"/>
  <c r="U115" i="5"/>
  <c r="P115" i="5"/>
  <c r="Q115" i="5" s="1"/>
  <c r="AV114" i="5"/>
  <c r="AW114" i="5" s="1"/>
  <c r="AX114" i="5" s="1"/>
  <c r="AU114" i="5"/>
  <c r="U114" i="5"/>
  <c r="P114" i="5"/>
  <c r="Q114" i="5" s="1"/>
  <c r="AV113" i="5"/>
  <c r="AU113" i="5"/>
  <c r="U113" i="5"/>
  <c r="P113" i="5"/>
  <c r="Q113" i="5" s="1"/>
  <c r="AV112" i="5"/>
  <c r="AW112" i="5" s="1"/>
  <c r="AX112" i="5" s="1"/>
  <c r="AU112" i="5"/>
  <c r="U112" i="5"/>
  <c r="Q112" i="5"/>
  <c r="P112" i="5"/>
  <c r="AV111" i="5"/>
  <c r="AU111" i="5"/>
  <c r="AW111" i="5" s="1"/>
  <c r="AX111" i="5" s="1"/>
  <c r="U111" i="5"/>
  <c r="Q111" i="5"/>
  <c r="P111" i="5"/>
  <c r="AV110" i="5"/>
  <c r="AU110" i="5"/>
  <c r="AW110" i="5" s="1"/>
  <c r="AX110" i="5" s="1"/>
  <c r="U110" i="5"/>
  <c r="Q110" i="5"/>
  <c r="P110" i="5"/>
  <c r="AX109" i="5"/>
  <c r="AV109" i="5"/>
  <c r="AU109" i="5"/>
  <c r="AW109" i="5" s="1"/>
  <c r="U109" i="5"/>
  <c r="Q109" i="5"/>
  <c r="P109" i="5"/>
  <c r="AV108" i="5"/>
  <c r="AU108" i="5"/>
  <c r="U108" i="5"/>
  <c r="Q108" i="5"/>
  <c r="P108" i="5"/>
  <c r="AW107" i="5"/>
  <c r="AX107" i="5" s="1"/>
  <c r="AV107" i="5"/>
  <c r="AU107" i="5"/>
  <c r="U107" i="5"/>
  <c r="Q107" i="5"/>
  <c r="P107" i="5"/>
  <c r="AV106" i="5"/>
  <c r="AU106" i="5"/>
  <c r="U106" i="5"/>
  <c r="P106" i="5"/>
  <c r="Q106" i="5" s="1"/>
  <c r="AV105" i="5"/>
  <c r="AU105" i="5"/>
  <c r="AW105" i="5" s="1"/>
  <c r="AX105" i="5" s="1"/>
  <c r="U105" i="5"/>
  <c r="Q105" i="5"/>
  <c r="P105" i="5"/>
  <c r="AV104" i="5"/>
  <c r="AU104" i="5"/>
  <c r="U104" i="5"/>
  <c r="Q104" i="5"/>
  <c r="P104" i="5"/>
  <c r="AV103" i="5"/>
  <c r="AU103" i="5"/>
  <c r="U103" i="5"/>
  <c r="P103" i="5"/>
  <c r="Q103" i="5" s="1"/>
  <c r="AV102" i="5"/>
  <c r="AW102" i="5" s="1"/>
  <c r="AX102" i="5" s="1"/>
  <c r="AU102" i="5"/>
  <c r="U102" i="5"/>
  <c r="Q102" i="5"/>
  <c r="P102" i="5"/>
  <c r="AV101" i="5"/>
  <c r="AU101" i="5"/>
  <c r="AW101" i="5" s="1"/>
  <c r="AX101" i="5" s="1"/>
  <c r="U101" i="5"/>
  <c r="Q101" i="5"/>
  <c r="P101" i="5"/>
  <c r="AV100" i="5"/>
  <c r="AW100" i="5" s="1"/>
  <c r="AX100" i="5" s="1"/>
  <c r="AU100" i="5"/>
  <c r="U100" i="5"/>
  <c r="P100" i="5"/>
  <c r="Q100" i="5" s="1"/>
  <c r="AX99" i="5"/>
  <c r="AV99" i="5"/>
  <c r="AU99" i="5"/>
  <c r="AW99" i="5" s="1"/>
  <c r="U99" i="5"/>
  <c r="Q99" i="5"/>
  <c r="P99" i="5"/>
  <c r="AV98" i="5"/>
  <c r="AU98" i="5"/>
  <c r="U98" i="5"/>
  <c r="P98" i="5"/>
  <c r="Q98" i="5" s="1"/>
  <c r="AV97" i="5"/>
  <c r="AU97" i="5"/>
  <c r="U97" i="5"/>
  <c r="Q97" i="5"/>
  <c r="P97" i="5"/>
  <c r="AV96" i="5"/>
  <c r="AU96" i="5"/>
  <c r="U96" i="5"/>
  <c r="Q96" i="5"/>
  <c r="P96" i="5"/>
  <c r="AV95" i="5"/>
  <c r="AU95" i="5"/>
  <c r="U95" i="5"/>
  <c r="Q95" i="5"/>
  <c r="P95" i="5"/>
  <c r="AV94" i="5"/>
  <c r="AU94" i="5"/>
  <c r="AW94" i="5" s="1"/>
  <c r="AX94" i="5" s="1"/>
  <c r="U94" i="5"/>
  <c r="P94" i="5"/>
  <c r="Q94" i="5" s="1"/>
  <c r="AV93" i="5"/>
  <c r="AU93" i="5"/>
  <c r="U93" i="5"/>
  <c r="P93" i="5"/>
  <c r="Q93" i="5" s="1"/>
  <c r="AW92" i="5"/>
  <c r="AX92" i="5" s="1"/>
  <c r="AV92" i="5"/>
  <c r="AU92" i="5"/>
  <c r="U92" i="5"/>
  <c r="P92" i="5"/>
  <c r="Q92" i="5" s="1"/>
  <c r="AV91" i="5"/>
  <c r="AU91" i="5"/>
  <c r="U91" i="5"/>
  <c r="Q91" i="5"/>
  <c r="P91" i="5"/>
  <c r="AV90" i="5"/>
  <c r="AU90" i="5"/>
  <c r="AW90" i="5" s="1"/>
  <c r="AX90" i="5" s="1"/>
  <c r="U90" i="5"/>
  <c r="Q90" i="5"/>
  <c r="P90" i="5"/>
  <c r="AV89" i="5"/>
  <c r="AU89" i="5"/>
  <c r="U89" i="5"/>
  <c r="P89" i="5"/>
  <c r="Q89" i="5" s="1"/>
  <c r="AW88" i="5"/>
  <c r="AX88" i="5" s="1"/>
  <c r="AV88" i="5"/>
  <c r="AU88" i="5"/>
  <c r="U88" i="5"/>
  <c r="P88" i="5"/>
  <c r="Q88" i="5" s="1"/>
  <c r="AV87" i="5"/>
  <c r="AU87" i="5"/>
  <c r="AW87" i="5" s="1"/>
  <c r="AX87" i="5" s="1"/>
  <c r="U87" i="5"/>
  <c r="P87" i="5"/>
  <c r="Q87" i="5" s="1"/>
  <c r="AV86" i="5"/>
  <c r="AU86" i="5"/>
  <c r="U86" i="5"/>
  <c r="P86" i="5"/>
  <c r="Q86" i="5" s="1"/>
  <c r="AV85" i="5"/>
  <c r="AU85" i="5"/>
  <c r="AW85" i="5" s="1"/>
  <c r="AX85" i="5" s="1"/>
  <c r="U85" i="5"/>
  <c r="P85" i="5"/>
  <c r="Q85" i="5" s="1"/>
  <c r="AV84" i="5"/>
  <c r="AU84" i="5"/>
  <c r="U84" i="5"/>
  <c r="P84" i="5"/>
  <c r="Q84" i="5" s="1"/>
  <c r="AV83" i="5"/>
  <c r="AU83" i="5"/>
  <c r="AW83" i="5" s="1"/>
  <c r="AX83" i="5" s="1"/>
  <c r="U83" i="5"/>
  <c r="Q83" i="5"/>
  <c r="P83" i="5"/>
  <c r="AV82" i="5"/>
  <c r="AU82" i="5"/>
  <c r="AW82" i="5" s="1"/>
  <c r="AX82" i="5" s="1"/>
  <c r="U82" i="5"/>
  <c r="P82" i="5"/>
  <c r="Q82" i="5" s="1"/>
  <c r="AV81" i="5"/>
  <c r="AU81" i="5"/>
  <c r="AW81" i="5" s="1"/>
  <c r="AX81" i="5" s="1"/>
  <c r="U81" i="5"/>
  <c r="P81" i="5"/>
  <c r="Q81" i="5" s="1"/>
  <c r="AV80" i="5"/>
  <c r="AU80" i="5"/>
  <c r="U80" i="5"/>
  <c r="P80" i="5"/>
  <c r="Q80" i="5" s="1"/>
  <c r="AW79" i="5"/>
  <c r="AX79" i="5" s="1"/>
  <c r="AV79" i="5"/>
  <c r="AU79" i="5"/>
  <c r="U79" i="5"/>
  <c r="Q79" i="5"/>
  <c r="P79" i="5"/>
  <c r="AV78" i="5"/>
  <c r="AU78" i="5"/>
  <c r="AW78" i="5" s="1"/>
  <c r="AX78" i="5" s="1"/>
  <c r="U78" i="5"/>
  <c r="P78" i="5"/>
  <c r="Q78" i="5" s="1"/>
  <c r="AV77" i="5"/>
  <c r="AU77" i="5"/>
  <c r="AW77" i="5" s="1"/>
  <c r="AX77" i="5" s="1"/>
  <c r="U77" i="5"/>
  <c r="P77" i="5"/>
  <c r="Q77" i="5" s="1"/>
  <c r="AV76" i="5"/>
  <c r="AU76" i="5"/>
  <c r="U76" i="5"/>
  <c r="P76" i="5"/>
  <c r="Q76" i="5" s="1"/>
  <c r="AX75" i="5"/>
  <c r="AW75" i="5"/>
  <c r="AV75" i="5"/>
  <c r="AU75" i="5"/>
  <c r="AI75" i="5"/>
  <c r="U75" i="5"/>
  <c r="P75" i="5"/>
  <c r="Q75" i="5" s="1"/>
  <c r="AV74" i="5"/>
  <c r="AU74" i="5"/>
  <c r="U74" i="5"/>
  <c r="P74" i="5"/>
  <c r="Q74" i="5" s="1"/>
  <c r="AV73" i="5"/>
  <c r="AU73" i="5"/>
  <c r="U73" i="5"/>
  <c r="Q73" i="5"/>
  <c r="P73" i="5"/>
  <c r="AV72" i="5"/>
  <c r="AU72" i="5"/>
  <c r="AW72" i="5" s="1"/>
  <c r="AX72" i="5" s="1"/>
  <c r="AG72" i="5"/>
  <c r="U72" i="5"/>
  <c r="P72" i="5"/>
  <c r="Q72" i="5" s="1"/>
  <c r="AV71" i="5"/>
  <c r="AU71" i="5"/>
  <c r="AW71" i="5" s="1"/>
  <c r="AX71" i="5" s="1"/>
  <c r="U71" i="5"/>
  <c r="P71" i="5"/>
  <c r="Q71" i="5" s="1"/>
  <c r="AV70" i="5"/>
  <c r="AW70" i="5" s="1"/>
  <c r="AX70" i="5" s="1"/>
  <c r="AU70" i="5"/>
  <c r="U70" i="5"/>
  <c r="P70" i="5"/>
  <c r="Q70" i="5" s="1"/>
  <c r="AV69" i="5"/>
  <c r="AU69" i="5"/>
  <c r="U69" i="5"/>
  <c r="P69" i="5"/>
  <c r="Q69" i="5" s="1"/>
  <c r="AV68" i="5"/>
  <c r="AU68" i="5"/>
  <c r="U68" i="5"/>
  <c r="P68" i="5"/>
  <c r="Q68" i="5" s="1"/>
  <c r="AV67" i="5"/>
  <c r="AU67" i="5"/>
  <c r="AW67" i="5" s="1"/>
  <c r="AX67" i="5" s="1"/>
  <c r="U67" i="5"/>
  <c r="P67" i="5"/>
  <c r="Q67" i="5" s="1"/>
  <c r="AV66" i="5"/>
  <c r="AU66" i="5"/>
  <c r="U66" i="5"/>
  <c r="P66" i="5"/>
  <c r="Q66" i="5" s="1"/>
  <c r="AX65" i="5"/>
  <c r="AW65" i="5"/>
  <c r="AV65" i="5"/>
  <c r="AU65" i="5"/>
  <c r="W65" i="5"/>
  <c r="AG65" i="5" s="1"/>
  <c r="U65" i="5"/>
  <c r="P65" i="5"/>
  <c r="Q65" i="5" s="1"/>
  <c r="AV64" i="5"/>
  <c r="AU64" i="5"/>
  <c r="U64" i="5"/>
  <c r="P64" i="5"/>
  <c r="Q64" i="5" s="1"/>
  <c r="AV63" i="5"/>
  <c r="AU63" i="5"/>
  <c r="AW63" i="5" s="1"/>
  <c r="AX63" i="5" s="1"/>
  <c r="U63" i="5"/>
  <c r="P63" i="5"/>
  <c r="Q63" i="5" s="1"/>
  <c r="AV62" i="5"/>
  <c r="AU62" i="5"/>
  <c r="U62" i="5"/>
  <c r="P62" i="5"/>
  <c r="Q62" i="5" s="1"/>
  <c r="AV61" i="5"/>
  <c r="AU61" i="5"/>
  <c r="AW61" i="5" s="1"/>
  <c r="AX61" i="5" s="1"/>
  <c r="U61" i="5"/>
  <c r="P61" i="5"/>
  <c r="Q61" i="5" s="1"/>
  <c r="AV60" i="5"/>
  <c r="AU60" i="5"/>
  <c r="U60" i="5"/>
  <c r="P60" i="5"/>
  <c r="Q60" i="5" s="1"/>
  <c r="AW59" i="5"/>
  <c r="AX59" i="5" s="1"/>
  <c r="AV59" i="5"/>
  <c r="AU59" i="5"/>
  <c r="U59" i="5"/>
  <c r="Q59" i="5"/>
  <c r="P59" i="5"/>
  <c r="AV58" i="5"/>
  <c r="AU58" i="5"/>
  <c r="AW58" i="5" s="1"/>
  <c r="AX58" i="5" s="1"/>
  <c r="U58" i="5"/>
  <c r="P58" i="5"/>
  <c r="Q58" i="5" s="1"/>
  <c r="AV57" i="5"/>
  <c r="AU57" i="5"/>
  <c r="AW57" i="5" s="1"/>
  <c r="AX57" i="5" s="1"/>
  <c r="U57" i="5"/>
  <c r="P57" i="5"/>
  <c r="Q57" i="5" s="1"/>
  <c r="AV56" i="5"/>
  <c r="AU56" i="5"/>
  <c r="U56" i="5"/>
  <c r="P56" i="5"/>
  <c r="Q56" i="5" s="1"/>
  <c r="AW55" i="5"/>
  <c r="AX55" i="5" s="1"/>
  <c r="AV55" i="5"/>
  <c r="AU55" i="5"/>
  <c r="U55" i="5"/>
  <c r="Q55" i="5"/>
  <c r="P55" i="5"/>
  <c r="AV54" i="5"/>
  <c r="AU54" i="5"/>
  <c r="AW54" i="5" s="1"/>
  <c r="AX54" i="5" s="1"/>
  <c r="U54" i="5"/>
  <c r="P54" i="5"/>
  <c r="Q54" i="5" s="1"/>
  <c r="AW53" i="5"/>
  <c r="AX53" i="5" s="1"/>
  <c r="AV53" i="5"/>
  <c r="AU53" i="5"/>
  <c r="U53" i="5"/>
  <c r="P53" i="5"/>
  <c r="Q53" i="5" s="1"/>
  <c r="AV52" i="5"/>
  <c r="AU52" i="5"/>
  <c r="U52" i="5"/>
  <c r="Q52" i="5"/>
  <c r="P52" i="5"/>
  <c r="AW51" i="5"/>
  <c r="AX51" i="5" s="1"/>
  <c r="AV51" i="5"/>
  <c r="AU51" i="5"/>
  <c r="U51" i="5"/>
  <c r="Q51" i="5"/>
  <c r="P51" i="5"/>
  <c r="AV50" i="5"/>
  <c r="AU50" i="5"/>
  <c r="AW50" i="5" s="1"/>
  <c r="AX50" i="5" s="1"/>
  <c r="U50" i="5"/>
  <c r="Q50" i="5"/>
  <c r="P50" i="5"/>
  <c r="AW49" i="5"/>
  <c r="AX49" i="5" s="1"/>
  <c r="AV49" i="5"/>
  <c r="AU49" i="5"/>
  <c r="AI49" i="5"/>
  <c r="U49" i="5"/>
  <c r="P49" i="5"/>
  <c r="Q49" i="5" s="1"/>
  <c r="AV48" i="5"/>
  <c r="AU48" i="5"/>
  <c r="U48" i="5"/>
  <c r="P48" i="5"/>
  <c r="Q48" i="5" s="1"/>
  <c r="AV47" i="5"/>
  <c r="AU47" i="5"/>
  <c r="AW47" i="5" s="1"/>
  <c r="AX47" i="5" s="1"/>
  <c r="U47" i="5"/>
  <c r="P47" i="5"/>
  <c r="Q47" i="5" s="1"/>
  <c r="AV46" i="5"/>
  <c r="AU46" i="5"/>
  <c r="U46" i="5"/>
  <c r="P46" i="5"/>
  <c r="Q46" i="5" s="1"/>
  <c r="AW45" i="5"/>
  <c r="AX45" i="5" s="1"/>
  <c r="AV45" i="5"/>
  <c r="AU45" i="5"/>
  <c r="AI45" i="5"/>
  <c r="U45" i="5"/>
  <c r="P45" i="5"/>
  <c r="Q45" i="5" s="1"/>
  <c r="AV44" i="5"/>
  <c r="AU44" i="5"/>
  <c r="U44" i="5"/>
  <c r="P44" i="5"/>
  <c r="Q44" i="5" s="1"/>
  <c r="AW43" i="5"/>
  <c r="AX43" i="5" s="1"/>
  <c r="AV43" i="5"/>
  <c r="AU43" i="5"/>
  <c r="AE43" i="5"/>
  <c r="AO43" i="5" s="1"/>
  <c r="U43" i="5"/>
  <c r="P43" i="5"/>
  <c r="Q43" i="5" s="1"/>
  <c r="AV42" i="5"/>
  <c r="AU42" i="5"/>
  <c r="U42" i="5"/>
  <c r="P42" i="5"/>
  <c r="Q42" i="5" s="1"/>
  <c r="AW41" i="5"/>
  <c r="AX41" i="5" s="1"/>
  <c r="AV41" i="5"/>
  <c r="AU41" i="5"/>
  <c r="U41" i="5"/>
  <c r="Q41" i="5"/>
  <c r="P41" i="5"/>
  <c r="AV40" i="5"/>
  <c r="AU40" i="5"/>
  <c r="AW40" i="5" s="1"/>
  <c r="AX40" i="5" s="1"/>
  <c r="U40" i="5"/>
  <c r="P40" i="5"/>
  <c r="Q40" i="5" s="1"/>
  <c r="AW39" i="5"/>
  <c r="AX39" i="5" s="1"/>
  <c r="AV39" i="5"/>
  <c r="AU39" i="5"/>
  <c r="U39" i="5"/>
  <c r="P39" i="5"/>
  <c r="Q39" i="5" s="1"/>
  <c r="AV38" i="5"/>
  <c r="AU38" i="5"/>
  <c r="U38" i="5"/>
  <c r="Q38" i="5"/>
  <c r="P38" i="5"/>
  <c r="AW37" i="5"/>
  <c r="AX37" i="5" s="1"/>
  <c r="AV37" i="5"/>
  <c r="AU37" i="5"/>
  <c r="U37" i="5"/>
  <c r="P37" i="5"/>
  <c r="Q37" i="5" s="1"/>
  <c r="AV36" i="5"/>
  <c r="AU36" i="5"/>
  <c r="AW36" i="5" s="1"/>
  <c r="AX36" i="5" s="1"/>
  <c r="U36" i="5"/>
  <c r="Q36" i="5"/>
  <c r="P36" i="5"/>
  <c r="AV35" i="5"/>
  <c r="AU35" i="5"/>
  <c r="AW35" i="5" s="1"/>
  <c r="AX35" i="5" s="1"/>
  <c r="U35" i="5"/>
  <c r="Q35" i="5"/>
  <c r="P35" i="5"/>
  <c r="AV34" i="5"/>
  <c r="AU34" i="5"/>
  <c r="AW34" i="5" s="1"/>
  <c r="AX34" i="5" s="1"/>
  <c r="Z34" i="5"/>
  <c r="AJ34" i="5" s="1"/>
  <c r="U34" i="5"/>
  <c r="P34" i="5"/>
  <c r="Q34" i="5" s="1"/>
  <c r="AW33" i="5"/>
  <c r="AX33" i="5" s="1"/>
  <c r="AV33" i="5"/>
  <c r="AU33" i="5"/>
  <c r="U33" i="5"/>
  <c r="P33" i="5"/>
  <c r="Q33" i="5" s="1"/>
  <c r="AV32" i="5"/>
  <c r="AU32" i="5"/>
  <c r="AW32" i="5" s="1"/>
  <c r="AX32" i="5" s="1"/>
  <c r="U32" i="5"/>
  <c r="P32" i="5"/>
  <c r="Q32" i="5" s="1"/>
  <c r="AW31" i="5"/>
  <c r="AX31" i="5" s="1"/>
  <c r="AV31" i="5"/>
  <c r="AU31" i="5"/>
  <c r="AL31" i="5"/>
  <c r="U31" i="5"/>
  <c r="Q31" i="5"/>
  <c r="P31" i="5"/>
  <c r="AV30" i="5"/>
  <c r="AU30" i="5"/>
  <c r="U30" i="5"/>
  <c r="Q30" i="5"/>
  <c r="P30" i="5"/>
  <c r="AV29" i="5"/>
  <c r="AU29" i="5"/>
  <c r="AW29" i="5" s="1"/>
  <c r="AX29" i="5" s="1"/>
  <c r="U29" i="5"/>
  <c r="P29" i="5"/>
  <c r="Q29" i="5" s="1"/>
  <c r="AV28" i="5"/>
  <c r="AU28" i="5"/>
  <c r="U28" i="5"/>
  <c r="Q28" i="5"/>
  <c r="P28" i="5"/>
  <c r="AV27" i="5"/>
  <c r="AU27" i="5"/>
  <c r="U27" i="5"/>
  <c r="Q27" i="5"/>
  <c r="P27" i="5"/>
  <c r="AV26" i="5"/>
  <c r="AU26" i="5"/>
  <c r="U26" i="5"/>
  <c r="Q26" i="5"/>
  <c r="P26" i="5"/>
  <c r="AV25" i="5"/>
  <c r="AU25" i="5"/>
  <c r="U25" i="5"/>
  <c r="P25" i="5"/>
  <c r="Q25" i="5" s="1"/>
  <c r="AV24" i="5"/>
  <c r="AU24" i="5"/>
  <c r="X24" i="5"/>
  <c r="AH24" i="5" s="1"/>
  <c r="U24" i="5"/>
  <c r="P24" i="5"/>
  <c r="Q24" i="5" s="1"/>
  <c r="AV23" i="5"/>
  <c r="AW23" i="5" s="1"/>
  <c r="AX23" i="5" s="1"/>
  <c r="AU23" i="5"/>
  <c r="U23" i="5"/>
  <c r="Q23" i="5"/>
  <c r="P23" i="5"/>
  <c r="AV22" i="5"/>
  <c r="AU22" i="5"/>
  <c r="AW22" i="5" s="1"/>
  <c r="AX22" i="5" s="1"/>
  <c r="U22" i="5"/>
  <c r="Q22" i="5"/>
  <c r="P22" i="5"/>
  <c r="AV21" i="5"/>
  <c r="AW21" i="5" s="1"/>
  <c r="AX21" i="5" s="1"/>
  <c r="AU21" i="5"/>
  <c r="U21" i="5"/>
  <c r="Q21" i="5"/>
  <c r="P21" i="5"/>
  <c r="AV20" i="5"/>
  <c r="AU20" i="5"/>
  <c r="AW20" i="5" s="1"/>
  <c r="AX20" i="5" s="1"/>
  <c r="U20" i="5"/>
  <c r="P20" i="5"/>
  <c r="Q20" i="5" s="1"/>
  <c r="AV19" i="5"/>
  <c r="AW19" i="5" s="1"/>
  <c r="AX19" i="5" s="1"/>
  <c r="AU19" i="5"/>
  <c r="U19" i="5"/>
  <c r="P19" i="5"/>
  <c r="Q19" i="5" s="1"/>
  <c r="AV18" i="5"/>
  <c r="AU18" i="5"/>
  <c r="AW18" i="5" s="1"/>
  <c r="AX18" i="5" s="1"/>
  <c r="U18" i="5"/>
  <c r="Q18" i="5"/>
  <c r="P18" i="5"/>
  <c r="AV17" i="5"/>
  <c r="AU17" i="5"/>
  <c r="AH17" i="5"/>
  <c r="U17" i="5"/>
  <c r="P17" i="5"/>
  <c r="Q17" i="5" s="1"/>
  <c r="AV16" i="5"/>
  <c r="AU16" i="5"/>
  <c r="AW16" i="5" s="1"/>
  <c r="AX16" i="5" s="1"/>
  <c r="U16" i="5"/>
  <c r="Q16" i="5"/>
  <c r="P16" i="5"/>
  <c r="AV15" i="5"/>
  <c r="AW15" i="5" s="1"/>
  <c r="AX15" i="5" s="1"/>
  <c r="AU15" i="5"/>
  <c r="U15" i="5"/>
  <c r="Q15" i="5"/>
  <c r="P15" i="5"/>
  <c r="AV14" i="5"/>
  <c r="AU14" i="5"/>
  <c r="AW14" i="5" s="1"/>
  <c r="AX14" i="5" s="1"/>
  <c r="U14" i="5"/>
  <c r="P14" i="5"/>
  <c r="Q14" i="5" s="1"/>
  <c r="AV13" i="5"/>
  <c r="AW13" i="5" s="1"/>
  <c r="AX13" i="5" s="1"/>
  <c r="AU13" i="5"/>
  <c r="AA13" i="5"/>
  <c r="AK13" i="5" s="1"/>
  <c r="U13" i="5"/>
  <c r="P13" i="5"/>
  <c r="Q13" i="5" s="1"/>
  <c r="AV12" i="5"/>
  <c r="AU12" i="5"/>
  <c r="AW12" i="5" s="1"/>
  <c r="AX12" i="5" s="1"/>
  <c r="U12" i="5"/>
  <c r="Q12" i="5"/>
  <c r="P12" i="5"/>
  <c r="AV11" i="5"/>
  <c r="AU11" i="5"/>
  <c r="AM11" i="5"/>
  <c r="U11" i="5"/>
  <c r="Q11" i="5"/>
  <c r="P11" i="5"/>
  <c r="AV10" i="5"/>
  <c r="AU10" i="5"/>
  <c r="AW10" i="5" s="1"/>
  <c r="AX10" i="5" s="1"/>
  <c r="AJ10" i="5"/>
  <c r="U10" i="5"/>
  <c r="P10" i="5"/>
  <c r="Q10" i="5" s="1"/>
  <c r="AV9" i="5"/>
  <c r="AW9" i="5" s="1"/>
  <c r="AX9" i="5" s="1"/>
  <c r="AU9" i="5"/>
  <c r="AD9" i="5"/>
  <c r="AN9" i="5" s="1"/>
  <c r="U9" i="5"/>
  <c r="Q9" i="5"/>
  <c r="P9" i="5"/>
  <c r="AX8" i="5"/>
  <c r="AV8" i="5"/>
  <c r="AU8" i="5"/>
  <c r="AW8" i="5" s="1"/>
  <c r="AO8" i="5"/>
  <c r="U8" i="5"/>
  <c r="Q8" i="5"/>
  <c r="P8" i="5"/>
  <c r="AV7" i="5"/>
  <c r="AU7" i="5"/>
  <c r="AI7" i="5"/>
  <c r="U7" i="5"/>
  <c r="P7" i="5"/>
  <c r="Q7" i="5" s="1"/>
  <c r="AV6" i="5"/>
  <c r="AU6" i="5"/>
  <c r="U6" i="5"/>
  <c r="Q6" i="5"/>
  <c r="P6" i="5"/>
  <c r="AV5" i="5"/>
  <c r="AU5" i="5"/>
  <c r="U5" i="5"/>
  <c r="P5" i="5"/>
  <c r="Q5" i="5" s="1"/>
  <c r="AV4" i="5"/>
  <c r="AU4" i="5"/>
  <c r="AW4" i="5" s="1"/>
  <c r="AX4" i="5" s="1"/>
  <c r="AB4" i="5"/>
  <c r="AL4" i="5" s="1"/>
  <c r="U4" i="5"/>
  <c r="P4" i="5"/>
  <c r="Q4" i="5" s="1"/>
  <c r="AW3" i="5"/>
  <c r="AX3" i="5" s="1"/>
  <c r="AV3" i="5"/>
  <c r="AU3" i="5"/>
  <c r="Z3" i="5"/>
  <c r="AJ3" i="5" s="1"/>
  <c r="U3" i="5"/>
  <c r="Q3" i="5"/>
  <c r="P3" i="5"/>
  <c r="AW2" i="5"/>
  <c r="AX2" i="5" s="1"/>
  <c r="AV2" i="5"/>
  <c r="AU2" i="5"/>
  <c r="AA2" i="5"/>
  <c r="AK2" i="5" s="1"/>
  <c r="U2" i="5"/>
  <c r="Q2" i="5"/>
  <c r="P2" i="5"/>
  <c r="O85" i="3"/>
  <c r="O84" i="3"/>
  <c r="O83" i="3"/>
  <c r="O82" i="3"/>
  <c r="O81" i="3"/>
  <c r="O80" i="3"/>
  <c r="O79" i="3"/>
  <c r="O78" i="3"/>
  <c r="O77" i="3"/>
  <c r="O76" i="3"/>
  <c r="O75" i="3"/>
  <c r="O74" i="3"/>
  <c r="O73" i="3"/>
  <c r="O72" i="3"/>
  <c r="O71" i="3"/>
  <c r="O70" i="3"/>
  <c r="O69" i="3"/>
  <c r="O68" i="3"/>
  <c r="O67" i="3"/>
  <c r="O66" i="3"/>
  <c r="O65" i="3"/>
  <c r="O64" i="3"/>
  <c r="O63" i="3"/>
  <c r="O62" i="3"/>
  <c r="O61" i="3"/>
  <c r="O60" i="3"/>
  <c r="O59" i="3"/>
  <c r="O58" i="3"/>
  <c r="O57" i="3"/>
  <c r="O56" i="3"/>
  <c r="O55" i="3"/>
  <c r="O54" i="3"/>
  <c r="O53" i="3"/>
  <c r="O52" i="3"/>
  <c r="O51" i="3"/>
  <c r="O50" i="3"/>
  <c r="O49" i="3"/>
  <c r="O48" i="3"/>
  <c r="O47" i="3"/>
  <c r="O46" i="3"/>
  <c r="O45" i="3"/>
  <c r="O44" i="3"/>
  <c r="O43" i="3"/>
  <c r="O42" i="3"/>
  <c r="O41" i="3"/>
  <c r="O40" i="3"/>
  <c r="O39" i="3"/>
  <c r="O38" i="3"/>
  <c r="O37" i="3"/>
  <c r="O36" i="3"/>
  <c r="O35" i="3"/>
  <c r="O34" i="3"/>
  <c r="O33" i="3"/>
  <c r="O32" i="3"/>
  <c r="O31" i="3"/>
  <c r="O30" i="3"/>
  <c r="O29" i="3"/>
  <c r="O28" i="3"/>
  <c r="O27" i="3"/>
  <c r="O26" i="3"/>
  <c r="O25" i="3"/>
  <c r="O24" i="3"/>
  <c r="O23" i="3"/>
  <c r="O22" i="3"/>
  <c r="O21" i="3"/>
  <c r="O20" i="3"/>
  <c r="O19" i="3"/>
  <c r="O18" i="3"/>
  <c r="O17" i="3"/>
  <c r="O16" i="3"/>
  <c r="O15" i="3"/>
  <c r="O14" i="3"/>
  <c r="O13" i="3"/>
  <c r="O12" i="3"/>
  <c r="O11" i="3"/>
  <c r="O10" i="3"/>
  <c r="O9" i="3"/>
  <c r="O8" i="3"/>
  <c r="O7" i="3"/>
  <c r="O6" i="3"/>
  <c r="O5" i="3"/>
  <c r="O4" i="3"/>
  <c r="O3" i="3"/>
  <c r="O2" i="3"/>
  <c r="S85" i="2"/>
  <c r="J85" i="2"/>
  <c r="S84" i="2"/>
  <c r="J84" i="2"/>
  <c r="S83" i="2"/>
  <c r="J83" i="2"/>
  <c r="S82" i="2"/>
  <c r="J82" i="2"/>
  <c r="S81" i="2"/>
  <c r="J81" i="2"/>
  <c r="S80" i="2"/>
  <c r="J80" i="2"/>
  <c r="S79" i="2"/>
  <c r="J79" i="2"/>
  <c r="S78" i="2"/>
  <c r="J78" i="2"/>
  <c r="S77" i="2"/>
  <c r="J77" i="2"/>
  <c r="S76" i="2"/>
  <c r="J76" i="2"/>
  <c r="S75" i="2"/>
  <c r="J75" i="2"/>
  <c r="S74" i="2"/>
  <c r="J74" i="2"/>
  <c r="S73" i="2"/>
  <c r="J73" i="2"/>
  <c r="S72" i="2"/>
  <c r="J72" i="2"/>
  <c r="S71" i="2"/>
  <c r="J71" i="2"/>
  <c r="S70" i="2"/>
  <c r="J70" i="2"/>
  <c r="S69" i="2"/>
  <c r="J69" i="2"/>
  <c r="S68" i="2"/>
  <c r="J68" i="2"/>
  <c r="S67" i="2"/>
  <c r="J67" i="2"/>
  <c r="S66" i="2"/>
  <c r="J66" i="2"/>
  <c r="S65" i="2"/>
  <c r="J65" i="2"/>
  <c r="S64" i="2"/>
  <c r="J64" i="2"/>
  <c r="S63" i="2"/>
  <c r="J63" i="2"/>
  <c r="S62" i="2"/>
  <c r="J62" i="2"/>
  <c r="S61" i="2"/>
  <c r="J61" i="2"/>
  <c r="S60" i="2"/>
  <c r="J60" i="2"/>
  <c r="S59" i="2"/>
  <c r="J59" i="2"/>
  <c r="S58" i="2"/>
  <c r="J58" i="2"/>
  <c r="S57" i="2"/>
  <c r="J57" i="2"/>
  <c r="S56" i="2"/>
  <c r="J56" i="2"/>
  <c r="S55" i="2"/>
  <c r="J55" i="2"/>
  <c r="S54" i="2"/>
  <c r="J54" i="2"/>
  <c r="S53" i="2"/>
  <c r="J53" i="2"/>
  <c r="S52" i="2"/>
  <c r="J52" i="2"/>
  <c r="S51" i="2"/>
  <c r="J51" i="2"/>
  <c r="S50" i="2"/>
  <c r="J50" i="2"/>
  <c r="S49" i="2"/>
  <c r="J49" i="2"/>
  <c r="S48" i="2"/>
  <c r="J48" i="2"/>
  <c r="S47" i="2"/>
  <c r="J47" i="2"/>
  <c r="S46" i="2"/>
  <c r="J46" i="2"/>
  <c r="S45" i="2"/>
  <c r="J45" i="2"/>
  <c r="S44" i="2"/>
  <c r="J44" i="2"/>
  <c r="S43" i="2"/>
  <c r="J43" i="2"/>
  <c r="S42" i="2"/>
  <c r="J42" i="2"/>
  <c r="S41" i="2"/>
  <c r="J41" i="2"/>
  <c r="S40" i="2"/>
  <c r="J40" i="2"/>
  <c r="S39" i="2"/>
  <c r="J39" i="2"/>
  <c r="S38" i="2"/>
  <c r="J38" i="2"/>
  <c r="S37" i="2"/>
  <c r="J37" i="2"/>
  <c r="S36" i="2"/>
  <c r="J36" i="2"/>
  <c r="S35" i="2"/>
  <c r="J35" i="2"/>
  <c r="S34" i="2"/>
  <c r="J34" i="2"/>
  <c r="S33" i="2"/>
  <c r="J33" i="2"/>
  <c r="S32" i="2"/>
  <c r="J32" i="2"/>
  <c r="S31" i="2"/>
  <c r="J31" i="2"/>
  <c r="S30" i="2"/>
  <c r="J30" i="2"/>
  <c r="S29" i="2"/>
  <c r="J29" i="2"/>
  <c r="S28" i="2"/>
  <c r="J28" i="2"/>
  <c r="S27" i="2"/>
  <c r="J27" i="2"/>
  <c r="S26" i="2"/>
  <c r="J26" i="2"/>
  <c r="S25" i="2"/>
  <c r="J25" i="2"/>
  <c r="S24" i="2"/>
  <c r="J24" i="2"/>
  <c r="S23" i="2"/>
  <c r="J23" i="2"/>
  <c r="S22" i="2"/>
  <c r="J22" i="2"/>
  <c r="S21" i="2"/>
  <c r="J21" i="2"/>
  <c r="S20" i="2"/>
  <c r="J20" i="2"/>
  <c r="S19" i="2"/>
  <c r="J19" i="2"/>
  <c r="S18" i="2"/>
  <c r="J18" i="2"/>
  <c r="S17" i="2"/>
  <c r="J17" i="2"/>
  <c r="S16" i="2"/>
  <c r="J16" i="2"/>
  <c r="S15" i="2"/>
  <c r="J15" i="2"/>
  <c r="S14" i="2"/>
  <c r="J14" i="2"/>
  <c r="S13" i="2"/>
  <c r="J13" i="2"/>
  <c r="S12" i="2"/>
  <c r="J12" i="2"/>
  <c r="S11" i="2"/>
  <c r="J11" i="2"/>
  <c r="S10" i="2"/>
  <c r="J10" i="2"/>
  <c r="S9" i="2"/>
  <c r="J9" i="2"/>
  <c r="S8" i="2"/>
  <c r="J8" i="2"/>
  <c r="S7" i="2"/>
  <c r="J7" i="2"/>
  <c r="S6" i="2"/>
  <c r="J6" i="2"/>
  <c r="S5" i="2"/>
  <c r="J5" i="2"/>
  <c r="S4" i="2"/>
  <c r="J4" i="2"/>
  <c r="S3" i="2"/>
  <c r="J3" i="2"/>
  <c r="S2" i="2"/>
  <c r="J2" i="2"/>
  <c r="C34" i="1" s="1"/>
  <c r="C35" i="1"/>
  <c r="C33" i="1"/>
  <c r="C28" i="1"/>
  <c r="C27" i="1"/>
  <c r="C26" i="1"/>
  <c r="C25" i="1"/>
  <c r="C24" i="1"/>
  <c r="C23" i="1"/>
  <c r="C22" i="1"/>
  <c r="AP94" i="5" l="1"/>
  <c r="C36" i="1"/>
  <c r="AW5" i="5"/>
  <c r="AX5" i="5" s="1"/>
  <c r="AW25" i="5"/>
  <c r="AX25" i="5" s="1"/>
  <c r="AW27" i="5"/>
  <c r="AX27" i="5" s="1"/>
  <c r="AW98" i="5"/>
  <c r="AX98" i="5" s="1"/>
  <c r="AW104" i="5"/>
  <c r="AX104" i="5" s="1"/>
  <c r="AW108" i="5"/>
  <c r="AX108" i="5" s="1"/>
  <c r="AW120" i="5"/>
  <c r="AX120" i="5" s="1"/>
  <c r="AW132" i="5"/>
  <c r="AX132" i="5" s="1"/>
  <c r="AW136" i="5"/>
  <c r="AX136" i="5" s="1"/>
  <c r="AW7" i="5"/>
  <c r="AX7" i="5" s="1"/>
  <c r="AW11" i="5"/>
  <c r="AX11" i="5" s="1"/>
  <c r="AW17" i="5"/>
  <c r="AX17" i="5" s="1"/>
  <c r="AW24" i="5"/>
  <c r="AX24" i="5" s="1"/>
  <c r="AW26" i="5"/>
  <c r="AX26" i="5" s="1"/>
  <c r="AW28" i="5"/>
  <c r="AX28" i="5" s="1"/>
  <c r="AW62" i="5"/>
  <c r="AX62" i="5" s="1"/>
  <c r="AW69" i="5"/>
  <c r="AX69" i="5" s="1"/>
  <c r="AW86" i="5"/>
  <c r="AX86" i="5" s="1"/>
  <c r="AW96" i="5"/>
  <c r="AX96" i="5" s="1"/>
  <c r="AW97" i="5"/>
  <c r="AX97" i="5" s="1"/>
  <c r="AW106" i="5"/>
  <c r="AX106" i="5" s="1"/>
  <c r="AW116" i="5"/>
  <c r="AX116" i="5" s="1"/>
  <c r="AW117" i="5"/>
  <c r="AX117" i="5" s="1"/>
  <c r="AW122" i="5"/>
  <c r="AX122" i="5" s="1"/>
  <c r="AW123" i="5"/>
  <c r="AX123" i="5" s="1"/>
  <c r="AW130" i="5"/>
  <c r="AX130" i="5" s="1"/>
  <c r="AW131" i="5"/>
  <c r="AX131" i="5" s="1"/>
  <c r="AW6" i="5"/>
  <c r="AX6" i="5" s="1"/>
  <c r="AW44" i="5"/>
  <c r="AX44" i="5" s="1"/>
  <c r="AW48" i="5"/>
  <c r="AX48" i="5" s="1"/>
  <c r="AW66" i="5"/>
  <c r="AX66" i="5" s="1"/>
  <c r="AW73" i="5"/>
  <c r="AX73" i="5" s="1"/>
  <c r="AW74" i="5"/>
  <c r="AX74" i="5" s="1"/>
  <c r="AW95" i="5"/>
  <c r="AX95" i="5" s="1"/>
  <c r="AW103" i="5"/>
  <c r="AX103" i="5" s="1"/>
  <c r="AW113" i="5"/>
  <c r="AX113" i="5" s="1"/>
  <c r="AW119" i="5"/>
  <c r="AX119" i="5" s="1"/>
  <c r="AW129" i="5"/>
  <c r="AX129" i="5" s="1"/>
  <c r="AW135" i="5"/>
  <c r="AX135" i="5" s="1"/>
  <c r="AW141" i="5"/>
  <c r="AX141" i="5" s="1"/>
  <c r="AW149" i="5"/>
  <c r="AX149" i="5" s="1"/>
  <c r="AW153" i="5"/>
  <c r="AX153" i="5" s="1"/>
  <c r="AP2" i="5"/>
  <c r="AR2" i="5" s="1"/>
  <c r="AQ2" i="5"/>
  <c r="AP4" i="5"/>
  <c r="AQ4" i="5" s="1"/>
  <c r="AP7" i="5"/>
  <c r="AQ7" i="5" s="1"/>
  <c r="AP8" i="5"/>
  <c r="AR8" i="5" s="1"/>
  <c r="AQ10" i="5"/>
  <c r="AP10" i="5"/>
  <c r="AR10" i="5"/>
  <c r="AR17" i="5"/>
  <c r="AQ17" i="5"/>
  <c r="AP17" i="5"/>
  <c r="AP18" i="5"/>
  <c r="AR18" i="5" s="1"/>
  <c r="AP22" i="5"/>
  <c r="AR22" i="5" s="1"/>
  <c r="AP23" i="5"/>
  <c r="AR23" i="5" s="1"/>
  <c r="AP33" i="5"/>
  <c r="AR33" i="5" s="1"/>
  <c r="AP60" i="5"/>
  <c r="AR60" i="5" s="1"/>
  <c r="AR64" i="5"/>
  <c r="AP64" i="5"/>
  <c r="AQ64" i="5" s="1"/>
  <c r="AP68" i="5"/>
  <c r="AR68" i="5" s="1"/>
  <c r="AP72" i="5"/>
  <c r="AR72" i="5" s="1"/>
  <c r="AQ72" i="5"/>
  <c r="AR88" i="5"/>
  <c r="AP88" i="5"/>
  <c r="AQ88" i="5" s="1"/>
  <c r="AP3" i="5"/>
  <c r="AQ3" i="5" s="1"/>
  <c r="AP6" i="5"/>
  <c r="AR6" i="5" s="1"/>
  <c r="AP11" i="5"/>
  <c r="AR11" i="5" s="1"/>
  <c r="AP12" i="5"/>
  <c r="AR12" i="5" s="1"/>
  <c r="AP13" i="5"/>
  <c r="AQ13" i="5" s="1"/>
  <c r="AP14" i="5"/>
  <c r="AR14" i="5" s="1"/>
  <c r="AP19" i="5"/>
  <c r="AR19" i="5" s="1"/>
  <c r="AP31" i="5"/>
  <c r="AR31" i="5" s="1"/>
  <c r="AP52" i="5"/>
  <c r="AQ52" i="5" s="1"/>
  <c r="AP5" i="5"/>
  <c r="AR5" i="5" s="1"/>
  <c r="AR15" i="5"/>
  <c r="AQ15" i="5"/>
  <c r="AP15" i="5"/>
  <c r="AP21" i="5"/>
  <c r="AR21" i="5" s="1"/>
  <c r="AQ24" i="5"/>
  <c r="AP24" i="5"/>
  <c r="AR24" i="5"/>
  <c r="AR27" i="5"/>
  <c r="AQ27" i="5"/>
  <c r="AP27" i="5"/>
  <c r="AP28" i="5"/>
  <c r="AR28" i="5" s="1"/>
  <c r="AR32" i="5"/>
  <c r="AP32" i="5"/>
  <c r="AQ32" i="5" s="1"/>
  <c r="AP38" i="5"/>
  <c r="AR38" i="5" s="1"/>
  <c r="AR46" i="5"/>
  <c r="AQ46" i="5"/>
  <c r="AP46" i="5"/>
  <c r="AR56" i="5"/>
  <c r="AQ56" i="5"/>
  <c r="AP56" i="5"/>
  <c r="C31" i="1"/>
  <c r="AP29" i="5"/>
  <c r="AR29" i="5" s="1"/>
  <c r="AQ20" i="5"/>
  <c r="AP20" i="5"/>
  <c r="AR20" i="5" s="1"/>
  <c r="X25" i="5"/>
  <c r="AH25" i="5" s="1"/>
  <c r="AP35" i="5"/>
  <c r="AR35" i="5" s="1"/>
  <c r="AP43" i="5"/>
  <c r="AR43" i="5" s="1"/>
  <c r="AQ44" i="5"/>
  <c r="AP59" i="5"/>
  <c r="AR59" i="5" s="1"/>
  <c r="AP92" i="5"/>
  <c r="AQ92" i="5" s="1"/>
  <c r="AP98" i="5"/>
  <c r="AQ98" i="5" s="1"/>
  <c r="AP100" i="5"/>
  <c r="AQ100" i="5" s="1"/>
  <c r="AR106" i="5"/>
  <c r="AP106" i="5"/>
  <c r="AQ106" i="5" s="1"/>
  <c r="AP107" i="5"/>
  <c r="AR107" i="5" s="1"/>
  <c r="AP111" i="5"/>
  <c r="AR111" i="5" s="1"/>
  <c r="AP113" i="5"/>
  <c r="AQ113" i="5" s="1"/>
  <c r="AR113" i="5"/>
  <c r="AR116" i="5"/>
  <c r="AP116" i="5"/>
  <c r="AQ116" i="5" s="1"/>
  <c r="AP117" i="5"/>
  <c r="AR117" i="5" s="1"/>
  <c r="AP118" i="5"/>
  <c r="AQ118" i="5" s="1"/>
  <c r="AP119" i="5"/>
  <c r="AQ119" i="5" s="1"/>
  <c r="AR119" i="5"/>
  <c r="AP120" i="5"/>
  <c r="AR120" i="5" s="1"/>
  <c r="AP121" i="5"/>
  <c r="AR121" i="5" s="1"/>
  <c r="AP122" i="5"/>
  <c r="AQ122" i="5" s="1"/>
  <c r="AP123" i="5"/>
  <c r="AQ123" i="5" s="1"/>
  <c r="AR123" i="5"/>
  <c r="AP124" i="5"/>
  <c r="AR124" i="5" s="1"/>
  <c r="AQ125" i="5"/>
  <c r="AR125" i="5"/>
  <c r="AP125" i="5"/>
  <c r="AP126" i="5"/>
  <c r="AR126" i="5" s="1"/>
  <c r="AQ126" i="5"/>
  <c r="AQ127" i="5"/>
  <c r="AP127" i="5"/>
  <c r="AR127" i="5"/>
  <c r="AR128" i="5"/>
  <c r="AQ128" i="5"/>
  <c r="AP128" i="5"/>
  <c r="AP16" i="5"/>
  <c r="AQ16" i="5" s="1"/>
  <c r="AP36" i="5"/>
  <c r="AR36" i="5" s="1"/>
  <c r="AP37" i="5"/>
  <c r="AQ37" i="5" s="1"/>
  <c r="AP39" i="5"/>
  <c r="AR39" i="5"/>
  <c r="AQ39" i="5"/>
  <c r="AP47" i="5"/>
  <c r="AQ47" i="5" s="1"/>
  <c r="AP51" i="5"/>
  <c r="AQ51" i="5"/>
  <c r="AP55" i="5"/>
  <c r="AR55" i="5" s="1"/>
  <c r="AP57" i="5"/>
  <c r="AR57" i="5"/>
  <c r="AQ57" i="5"/>
  <c r="AP69" i="5"/>
  <c r="AR69" i="5" s="1"/>
  <c r="AP73" i="5"/>
  <c r="AR73" i="5" s="1"/>
  <c r="AP83" i="5"/>
  <c r="AR83" i="5" s="1"/>
  <c r="AQ83" i="5"/>
  <c r="AR86" i="5"/>
  <c r="AQ86" i="5"/>
  <c r="AP86" i="5"/>
  <c r="AP87" i="5"/>
  <c r="AQ87" i="5" s="1"/>
  <c r="AR87" i="5"/>
  <c r="AP96" i="5"/>
  <c r="AQ96" i="5" s="1"/>
  <c r="AP99" i="5"/>
  <c r="AQ99" i="5" s="1"/>
  <c r="AQ101" i="5"/>
  <c r="AR101" i="5"/>
  <c r="AP101" i="5"/>
  <c r="AP105" i="5"/>
  <c r="AQ105" i="5" s="1"/>
  <c r="AR105" i="5"/>
  <c r="AP114" i="5"/>
  <c r="AR114" i="5" s="1"/>
  <c r="AP115" i="5"/>
  <c r="AQ115" i="5" s="1"/>
  <c r="AR115" i="5"/>
  <c r="AP44" i="5"/>
  <c r="AR44" i="5" s="1"/>
  <c r="AP48" i="5"/>
  <c r="AR48" i="5" s="1"/>
  <c r="AR51" i="5"/>
  <c r="AP41" i="5"/>
  <c r="AR41" i="5" s="1"/>
  <c r="AP45" i="5"/>
  <c r="AQ45" i="5" s="1"/>
  <c r="AP49" i="5"/>
  <c r="AR49" i="5" s="1"/>
  <c r="AR50" i="5"/>
  <c r="AQ50" i="5"/>
  <c r="AP50" i="5"/>
  <c r="AP53" i="5"/>
  <c r="AQ53" i="5" s="1"/>
  <c r="AR53" i="5"/>
  <c r="AP61" i="5"/>
  <c r="AR61" i="5" s="1"/>
  <c r="AQ61" i="5"/>
  <c r="AP63" i="5"/>
  <c r="AR63" i="5" s="1"/>
  <c r="AP65" i="5"/>
  <c r="AR65" i="5"/>
  <c r="AQ65" i="5"/>
  <c r="AP67" i="5"/>
  <c r="AQ67" i="5" s="1"/>
  <c r="AP70" i="5"/>
  <c r="AR70" i="5" s="1"/>
  <c r="AP75" i="5"/>
  <c r="AR75" i="5" s="1"/>
  <c r="AR76" i="5"/>
  <c r="AP76" i="5"/>
  <c r="AQ76" i="5" s="1"/>
  <c r="AP77" i="5"/>
  <c r="AQ77" i="5" s="1"/>
  <c r="AR77" i="5"/>
  <c r="AP81" i="5"/>
  <c r="AR81" i="5" s="1"/>
  <c r="AQ81" i="5"/>
  <c r="AP85" i="5"/>
  <c r="AR85" i="5" s="1"/>
  <c r="AP91" i="5"/>
  <c r="AQ91" i="5" s="1"/>
  <c r="AP93" i="5"/>
  <c r="AQ93" i="5" s="1"/>
  <c r="AP97" i="5"/>
  <c r="AQ97" i="5" s="1"/>
  <c r="AR97" i="5"/>
  <c r="AQ102" i="5"/>
  <c r="AP102" i="5"/>
  <c r="AR102" i="5" s="1"/>
  <c r="AQ104" i="5"/>
  <c r="AR104" i="5"/>
  <c r="AP104" i="5"/>
  <c r="AP108" i="5"/>
  <c r="AR108" i="5" s="1"/>
  <c r="AQ108" i="5"/>
  <c r="AQ109" i="5"/>
  <c r="AP109" i="5"/>
  <c r="AR109" i="5"/>
  <c r="AR112" i="5"/>
  <c r="AQ112" i="5"/>
  <c r="AP112" i="5"/>
  <c r="AP9" i="5"/>
  <c r="AR9" i="5" s="1"/>
  <c r="AP30" i="5"/>
  <c r="AQ30" i="5" s="1"/>
  <c r="AP34" i="5"/>
  <c r="AQ34" i="5" s="1"/>
  <c r="AP40" i="5"/>
  <c r="AR40" i="5" s="1"/>
  <c r="AP74" i="5"/>
  <c r="AR74" i="5" s="1"/>
  <c r="AP26" i="5"/>
  <c r="AQ26" i="5" s="1"/>
  <c r="AP42" i="5"/>
  <c r="AQ42" i="5" s="1"/>
  <c r="AP71" i="5"/>
  <c r="AQ71" i="5" s="1"/>
  <c r="AR71" i="5"/>
  <c r="AP78" i="5"/>
  <c r="AR78" i="5" s="1"/>
  <c r="AP79" i="5"/>
  <c r="AR79" i="5" s="1"/>
  <c r="AP80" i="5"/>
  <c r="AR80" i="5" s="1"/>
  <c r="AP82" i="5"/>
  <c r="AR82" i="5" s="1"/>
  <c r="AP84" i="5"/>
  <c r="AR84" i="5" s="1"/>
  <c r="AP89" i="5"/>
  <c r="AQ89" i="5" s="1"/>
  <c r="AR94" i="5"/>
  <c r="AQ94" i="5"/>
  <c r="AQ95" i="5"/>
  <c r="AR95" i="5"/>
  <c r="AP103" i="5"/>
  <c r="AQ103" i="5" s="1"/>
  <c r="AR103" i="5"/>
  <c r="AP110" i="5"/>
  <c r="AR110" i="5" s="1"/>
  <c r="AQ9" i="5"/>
  <c r="AR16" i="5"/>
  <c r="AP54" i="5"/>
  <c r="AQ54" i="5" s="1"/>
  <c r="AQ55" i="5"/>
  <c r="AP58" i="5"/>
  <c r="AR58" i="5" s="1"/>
  <c r="AQ59" i="5"/>
  <c r="AP62" i="5"/>
  <c r="AQ62" i="5" s="1"/>
  <c r="AP66" i="5"/>
  <c r="AR66" i="5" s="1"/>
  <c r="AP90" i="5"/>
  <c r="AR90" i="5" s="1"/>
  <c r="AP129" i="5"/>
  <c r="AR129" i="5" s="1"/>
  <c r="AR130" i="5"/>
  <c r="AP130" i="5"/>
  <c r="AQ130" i="5" s="1"/>
  <c r="AP131" i="5"/>
  <c r="AQ131" i="5" s="1"/>
  <c r="AR131" i="5"/>
  <c r="AP132" i="5"/>
  <c r="AR132" i="5" s="1"/>
  <c r="AP133" i="5"/>
  <c r="AR133" i="5" s="1"/>
  <c r="AR134" i="5"/>
  <c r="AP134" i="5"/>
  <c r="AQ134" i="5" s="1"/>
  <c r="AP135" i="5"/>
  <c r="AQ135" i="5" s="1"/>
  <c r="AR135" i="5"/>
  <c r="AP136" i="5"/>
  <c r="AR136" i="5" s="1"/>
  <c r="AP137" i="5"/>
  <c r="AR137" i="5" s="1"/>
  <c r="AR138" i="5"/>
  <c r="AP138" i="5"/>
  <c r="AQ138" i="5" s="1"/>
  <c r="AP139" i="5"/>
  <c r="AQ139" i="5" s="1"/>
  <c r="AP140" i="5"/>
  <c r="AR140" i="5" s="1"/>
  <c r="AP141" i="5"/>
  <c r="AR141" i="5" s="1"/>
  <c r="AP142" i="5"/>
  <c r="AQ142" i="5" s="1"/>
  <c r="AW30" i="5"/>
  <c r="AX30" i="5" s="1"/>
  <c r="AW38" i="5"/>
  <c r="AX38" i="5" s="1"/>
  <c r="AW42" i="5"/>
  <c r="AX42" i="5" s="1"/>
  <c r="AW46" i="5"/>
  <c r="AX46" i="5" s="1"/>
  <c r="AW52" i="5"/>
  <c r="AX52" i="5" s="1"/>
  <c r="AW56" i="5"/>
  <c r="AX56" i="5" s="1"/>
  <c r="AW60" i="5"/>
  <c r="AX60" i="5" s="1"/>
  <c r="AW64" i="5"/>
  <c r="AX64" i="5" s="1"/>
  <c r="AW68" i="5"/>
  <c r="AX68" i="5" s="1"/>
  <c r="AR143" i="5"/>
  <c r="AQ143" i="5"/>
  <c r="AP143" i="5"/>
  <c r="AP144" i="5"/>
  <c r="AR144" i="5"/>
  <c r="AQ144" i="5"/>
  <c r="AP145" i="5"/>
  <c r="AR145" i="5" s="1"/>
  <c r="AP146" i="5"/>
  <c r="AQ146" i="5" s="1"/>
  <c r="AR147" i="5"/>
  <c r="AQ147" i="5"/>
  <c r="AP147" i="5"/>
  <c r="AP148" i="5"/>
  <c r="AR148" i="5"/>
  <c r="AQ148" i="5"/>
  <c r="AP149" i="5"/>
  <c r="AR149" i="5" s="1"/>
  <c r="AP150" i="5"/>
  <c r="AQ150" i="5" s="1"/>
  <c r="AW76" i="5"/>
  <c r="AX76" i="5" s="1"/>
  <c r="AW80" i="5"/>
  <c r="AX80" i="5" s="1"/>
  <c r="AW84" i="5"/>
  <c r="AX84" i="5" s="1"/>
  <c r="AP151" i="5"/>
  <c r="AQ151" i="5" s="1"/>
  <c r="AP152" i="5"/>
  <c r="AR152" i="5" s="1"/>
  <c r="AQ152" i="5"/>
  <c r="AP153" i="5"/>
  <c r="AR153" i="5" s="1"/>
  <c r="AP154" i="5"/>
  <c r="AR154" i="5" s="1"/>
  <c r="AW89" i="5"/>
  <c r="AX89" i="5" s="1"/>
  <c r="AW91" i="5"/>
  <c r="AX91" i="5" s="1"/>
  <c r="AW93" i="5"/>
  <c r="AX93" i="5" s="1"/>
  <c r="AP155" i="5"/>
  <c r="AR155" i="5" s="1"/>
  <c r="AP156" i="5"/>
  <c r="AR156" i="5" s="1"/>
  <c r="AR157" i="5"/>
  <c r="AQ157" i="5"/>
  <c r="AP157" i="5"/>
  <c r="AW147" i="5"/>
  <c r="AX147" i="5" s="1"/>
  <c r="AW151" i="5"/>
  <c r="AX151" i="5" s="1"/>
  <c r="AW157" i="5"/>
  <c r="AX157" i="5" s="1"/>
  <c r="AW155" i="5"/>
  <c r="AX155" i="5" s="1"/>
  <c r="AQ63" i="5" l="1"/>
  <c r="AR89" i="5"/>
  <c r="AQ153" i="5"/>
  <c r="C29" i="1"/>
  <c r="AQ141" i="5"/>
  <c r="AQ137" i="5"/>
  <c r="AQ133" i="5"/>
  <c r="AQ129" i="5"/>
  <c r="AQ110" i="5"/>
  <c r="AQ80" i="5"/>
  <c r="AR42" i="5"/>
  <c r="AR91" i="5"/>
  <c r="AR45" i="5"/>
  <c r="AQ69" i="5"/>
  <c r="AR47" i="5"/>
  <c r="AQ124" i="5"/>
  <c r="AQ120" i="5"/>
  <c r="AR92" i="5"/>
  <c r="AQ5" i="5"/>
  <c r="AR52" i="5"/>
  <c r="AR3" i="5"/>
  <c r="AQ60" i="5"/>
  <c r="AR7" i="5"/>
  <c r="AQ154" i="5"/>
  <c r="AR142" i="5"/>
  <c r="AQ90" i="5"/>
  <c r="AQ35" i="5"/>
  <c r="AR67" i="5"/>
  <c r="AQ114" i="5"/>
  <c r="AQ74" i="5"/>
  <c r="AR98" i="5"/>
  <c r="AR13" i="5"/>
  <c r="AQ49" i="5"/>
  <c r="AQ41" i="5"/>
  <c r="AQ117" i="5"/>
  <c r="AR34" i="5"/>
  <c r="AQ28" i="5"/>
  <c r="AQ21" i="5"/>
  <c r="AQ12" i="5"/>
  <c r="AQ68" i="5"/>
  <c r="AQ18" i="5"/>
  <c r="AR139" i="5"/>
  <c r="AQ82" i="5"/>
  <c r="AR93" i="5"/>
  <c r="AR96" i="5"/>
  <c r="AR62" i="5"/>
  <c r="AR54" i="5"/>
  <c r="C32" i="1"/>
  <c r="AQ156" i="5"/>
  <c r="AQ155" i="5"/>
  <c r="AR151" i="5"/>
  <c r="AR150" i="5"/>
  <c r="AQ149" i="5"/>
  <c r="AR146" i="5"/>
  <c r="AQ145" i="5"/>
  <c r="AQ140" i="5"/>
  <c r="AQ136" i="5"/>
  <c r="AQ132" i="5"/>
  <c r="AR26" i="5"/>
  <c r="AQ84" i="5"/>
  <c r="AQ79" i="5"/>
  <c r="AQ78" i="5"/>
  <c r="AQ85" i="5"/>
  <c r="AQ75" i="5"/>
  <c r="AQ70" i="5"/>
  <c r="AQ66" i="5"/>
  <c r="AR99" i="5"/>
  <c r="AQ73" i="5"/>
  <c r="AQ58" i="5"/>
  <c r="AQ40" i="5"/>
  <c r="AQ36" i="5"/>
  <c r="AR122" i="5"/>
  <c r="AR118" i="5"/>
  <c r="AQ111" i="5"/>
  <c r="AR100" i="5"/>
  <c r="AQ48" i="5"/>
  <c r="AQ43" i="5"/>
  <c r="AR30" i="5"/>
  <c r="AQ38" i="5"/>
  <c r="AP25" i="5"/>
  <c r="AR25" i="5" s="1"/>
  <c r="AQ19" i="5"/>
  <c r="AQ14" i="5"/>
  <c r="AQ11" i="5"/>
  <c r="AQ6" i="5"/>
  <c r="AQ33" i="5"/>
  <c r="AQ23" i="5"/>
  <c r="AQ22" i="5"/>
  <c r="AQ8" i="5"/>
  <c r="AR4" i="5"/>
  <c r="AQ121" i="5"/>
  <c r="AR37" i="5"/>
  <c r="AQ107" i="5"/>
  <c r="AQ29" i="5"/>
  <c r="AQ31" i="5"/>
  <c r="C30" i="1"/>
  <c r="AQ25" i="5" l="1"/>
</calcChain>
</file>

<file path=xl/sharedStrings.xml><?xml version="1.0" encoding="utf-8"?>
<sst xmlns="http://schemas.openxmlformats.org/spreadsheetml/2006/main" count="14064" uniqueCount="3509">
  <si>
    <t>Basket: Produce &amp; Recipe Library</t>
  </si>
  <si>
    <t>Nigerian-market produce catalogue, seasonal calendar and a recipe library of stews &amp; sauces, breakfast plates, salads &amp; cooked sides, fruit plates &amp; desserts, and bowls &amp; snacks, each scored for Basket coverage and vitamins. Version 2, 24 Oct 2026. Drinks, smoothies, juices and soups removed.</t>
  </si>
  <si>
    <t>Settings</t>
  </si>
  <si>
    <t>Basket coverage target</t>
  </si>
  <si>
    <t>Share of a recipe's non-staple ingredients that should come from Basket. Set at 80% from the positioning brief. Change it and every recipe re-scores.</t>
  </si>
  <si>
    <t>Daily values used for the '% daily' columns</t>
  </si>
  <si>
    <t>Nutrient</t>
  </si>
  <si>
    <t>Daily value</t>
  </si>
  <si>
    <t>Source / note</t>
  </si>
  <si>
    <t>Fibre (g)</t>
  </si>
  <si>
    <t>WHO / EFSA adult guidance of 25 g a day.</t>
  </si>
  <si>
    <t>Vitamin C (mg)</t>
  </si>
  <si>
    <t>EU nutrient reference value (Reg. 1169/2011). US uses 90 mg.</t>
  </si>
  <si>
    <t>Vitamin A (mcg)</t>
  </si>
  <si>
    <t>EU NRV, micrograms retinol activity equivalent. Beta-carotene in carrot, pawpaw and mango is converted at the USDA RAE rate.</t>
  </si>
  <si>
    <t>Vitamin K (mcg)</t>
  </si>
  <si>
    <t>EU NRV. Leafy greens (ugu, efo, kale, spinach) dominate this column.</t>
  </si>
  <si>
    <t>Folate (mcg)</t>
  </si>
  <si>
    <t>EU NRV. US uses 400 mcg DFE; pregnancy guidance is higher.</t>
  </si>
  <si>
    <t>Potassium (mg)</t>
  </si>
  <si>
    <t>EU NRV. WHO suggests 3,510 mg for adults; change here if you prefer the WHO figure.</t>
  </si>
  <si>
    <t>Vitamin E (mg)</t>
  </si>
  <si>
    <t>EU NRV. Avocado, groundnut and leafy greens are the main produce sources.</t>
  </si>
  <si>
    <t>Vitamin B6 (mg)</t>
  </si>
  <si>
    <t>EU NRV. Banana, avocado, sweet potato and garlic contribute most.</t>
  </si>
  <si>
    <t>Magnesium (mg)</t>
  </si>
  <si>
    <t>EU NRV.</t>
  </si>
  <si>
    <t>Iron (mg)</t>
  </si>
  <si>
    <t>EU NRV. Plant iron from greens absorbs better eaten with vitamin C (tomato, tatashe, citrus), which is why stews pair the two.</t>
  </si>
  <si>
    <t>At a glance</t>
  </si>
  <si>
    <t>Produce items catalogued</t>
  </si>
  <si>
    <t>Recipes</t>
  </si>
  <si>
    <t xml:space="preserve">  Stews &amp; Sauces</t>
  </si>
  <si>
    <t xml:space="preserve">  Breakfast Plates</t>
  </si>
  <si>
    <t xml:space="preserve">  Salads &amp; Cooked Sides</t>
  </si>
  <si>
    <t xml:space="preserve">  Fruit Plates &amp; Desserts</t>
  </si>
  <si>
    <t xml:space="preserve">  Bowls &amp; Snacks</t>
  </si>
  <si>
    <t>Recipes hitting the coverage target</t>
  </si>
  <si>
    <t>Average Basket coverage</t>
  </si>
  <si>
    <t>Recipes giving 50%+ of daily vitamin C</t>
  </si>
  <si>
    <t>Recipes giving 50%+ of daily vitamin A</t>
  </si>
  <si>
    <t>Recipes with a reference image</t>
  </si>
  <si>
    <t>Produce in season this month</t>
  </si>
  <si>
    <t>Vegan / plant-based recipes</t>
  </si>
  <si>
    <t>No-cook recipes</t>
  </si>
  <si>
    <t>What's in each tab</t>
  </si>
  <si>
    <t>Produce</t>
  </si>
  <si>
    <t>Every fruit, vegetable, herb and nut worth stocking: local names, season, role, sell unit, benchmark price, storage, launch tier, and how many recipes use it.</t>
  </si>
  <si>
    <t>Seasonal Calendar</t>
  </si>
  <si>
    <t>Month-by-month availability. The Produce tab reads this to show what is in season today.</t>
  </si>
  <si>
    <t>Nutrition</t>
  </si>
  <si>
    <t>Per-100 g vitamins and minerals for every produce item (USDA / FAO), plus typical piece and cup weights. Recipe nutrition is computed from this.</t>
  </si>
  <si>
    <t>The library. Five categories, the global dish each is based on, source page and reference image, what changed for Lagos, what the customer adds (rice, protein, bread), timings, kcal, vitamins per serving, % of daily values, an auto-generated health tagline, the other nutrients above 25% of a day, method and Basket coverage.</t>
  </si>
  <si>
    <t>Recipe Ingredients</t>
  </si>
  <si>
    <t>One row per ingredient with quantity, unit, source (Basket / Protein / Pantry / Staple) and an estimated gram weight. Coverage scores and vitamins are built from this table.</t>
  </si>
  <si>
    <t>Box Ideas</t>
  </si>
  <si>
    <t>Seasonal drops and themed baskets, each linked to the recipes it unlocks.</t>
  </si>
  <si>
    <t>Market Scan</t>
  </si>
  <si>
    <t>What the Lagos players and the international meal kits do, what to borrow, and the gap Basket can own.</t>
  </si>
  <si>
    <t>Sources</t>
  </si>
  <si>
    <t>Every recipe page, nutrition database and document used.</t>
  </si>
  <si>
    <t>How to edit</t>
  </si>
  <si>
    <t>Yellow cells</t>
  </si>
  <si>
    <t>Your inputs: coverage target, daily values, Basket price and Stock it? on Produce, Status on Recipes, Est. g on Recipe Ingredients. Everything else updates from them.</t>
  </si>
  <si>
    <t>Add a recipe</t>
  </si>
  <si>
    <t>Add a row on Recipes and copy the formulas from the row above (Total, Effort tier, Produce g, every nutrient and % daily column, Strongest nutrient, Health tagline, Basket items, Other items, coverage, Hits target). Then add its ingredients on Recipe Ingredients with the same Recipe ID, the Produce ID for anything Basket sells, and an estimated gram weight.</t>
  </si>
  <si>
    <t>Add produce</t>
  </si>
  <si>
    <t>Add a row on Produce, a matching row on Seasonal Calendar, and a matching row on Nutrition with per-100 g values.</t>
  </si>
  <si>
    <t>Source column</t>
  </si>
  <si>
    <t>Basket = produce we sell. Protein and Pantry count against coverage and are what the customer adds. Staple (salt, oil, water, seasoning cube) is ignored.</t>
  </si>
  <si>
    <t>Vitamins</t>
  </si>
  <si>
    <t>Computed from Basket produce only, per serving, using Est. g x Nutrition per 100 g. Protein, oil, bread and rice are not counted, so kcal (a manual estimate of the whole plate) and vitamins are on different bases on purpose: the vitamin story is the produce story.</t>
  </si>
  <si>
    <t>Images</t>
  </si>
  <si>
    <t>Reference image URL points at the source site's photo for art direction only. Shoot or generate Basket's own photos before publishing; do not reuse the source images in the app.</t>
  </si>
  <si>
    <t>What changed in version 2</t>
  </si>
  <si>
    <t>•  Removed every smoothie, juice, drink and soup (19 recipes), plantain-led plates (chips, plantain frittata, bean &amp; plantain burrito), frozen juice pops, and two protein-led mains (sheet-pan chicken, foil-baked fish). Basket is fruit and vegetables; recipes exist to make them more interesting.</t>
  </si>
  <si>
    <t>•  Reorganised into five categories: Stews &amp; Sauces (chunky, stir-fried, eaten with rice, yam, pasta or bread the customer already has), Breakfast Plates, Salads &amp; Cooked Sides, Fruit Plates &amp; Desserts, Bowls &amp; Snacks. Mango salsa and scent-leaf chimichurri became sauces; the fish and chicken moved to 'you add'.</t>
  </si>
  <si>
    <t>•  Added recipes from recipe sites worldwide, each adapted to Lagos produce and names (tatashe, ata rodo, ugu, efo tete, garden egg, scent leaf), with the source page and a reference image link.</t>
  </si>
  <si>
    <t>•  New Nutrition tab and ten vitamin / mineral columns per recipe, each as a % of a daily value, plus a formula-written health tagline ('Best for better vitamin C intake...') for the health path in the app.</t>
  </si>
  <si>
    <t>•  'Serve with / you add' column states what the customer brings (rice, protein, eggs, bread) so a stew or sauce reads as an idea to add to the food Nigerians already eat.</t>
  </si>
  <si>
    <t>Caveats</t>
  </si>
  <si>
    <t>•  Calories and protein are rough per-serving estimates of the whole plate for filtering and planning. Vitamins are computed from produce weights that are themselves estimates (a 'medium tomato', a 'cup of leaves'). Treat both as indicative; have a nutritionist check the figures before they go into the app.</t>
  </si>
  <si>
    <t>•  Vitamin A is in micrograms RAE. Beta-carotene foods (carrot, pawpaw, mango, ugu) convert at the USDA rate; cooking and oil improve absorption, so a cooked stew with oil may deliver more than a raw plate shows.</t>
  </si>
  <si>
    <t>•  Reference images belong to the source sites. They are here for art direction and to brief a photographer or image generator, not for publishing.</t>
  </si>
  <si>
    <t>•  Season confidence: 'Sourced' rows on Produce come from the Kitchen Butterfly calendar; 'Verify' rows are market knowledge. Confirm both with suppliers in the pilot.</t>
  </si>
  <si>
    <t>•  Benchmark prices are competitor retail prices captured on 11 Oct 2026, not wholesale cost.</t>
  </si>
  <si>
    <t>ID</t>
  </si>
  <si>
    <t>Local names</t>
  </si>
  <si>
    <t>Category</t>
  </si>
  <si>
    <t>Origin</t>
  </si>
  <si>
    <t>Role</t>
  </si>
  <si>
    <t>Availability</t>
  </si>
  <si>
    <t>Season</t>
  </si>
  <si>
    <t>Peak</t>
  </si>
  <si>
    <t>In season now?</t>
  </si>
  <si>
    <t>Season confidence</t>
  </si>
  <si>
    <t>Sell unit</t>
  </si>
  <si>
    <t>Benchmark price (N)</t>
  </si>
  <si>
    <t>Benchmark unit</t>
  </si>
  <si>
    <t>Benchmark source</t>
  </si>
  <si>
    <t>Basket price (N)</t>
  </si>
  <si>
    <t>Stock it?</t>
  </si>
  <si>
    <t>Launch tier</t>
  </si>
  <si>
    <t>Used in # recipes</t>
  </si>
  <si>
    <t>Storage</t>
  </si>
  <si>
    <t>Shelf life</t>
  </si>
  <si>
    <t>Sourcing region</t>
  </si>
  <si>
    <t>Best for</t>
  </si>
  <si>
    <t>Notes</t>
  </si>
  <si>
    <t>P001</t>
  </si>
  <si>
    <t>Banana</t>
  </si>
  <si>
    <t>Ogede wewe (Yor), Ayaba (Hau)</t>
  </si>
  <si>
    <t>Fruit</t>
  </si>
  <si>
    <t>Local</t>
  </si>
  <si>
    <t>Eat as-is + recipes</t>
  </si>
  <si>
    <t>Year-round</t>
  </si>
  <si>
    <t>All year</t>
  </si>
  <si>
    <t>Verify</t>
  </si>
  <si>
    <t>Hand (~1kg)</t>
  </si>
  <si>
    <t>1kg</t>
  </si>
  <si>
    <t>The Fresh Place (thefreshplace.ng), 11 Oct 2026</t>
  </si>
  <si>
    <t>Y</t>
  </si>
  <si>
    <t>Core</t>
  </si>
  <si>
    <t>Room temp; fridge once fully ripe (skin darkens, flesh holds)</t>
  </si>
  <si>
    <t>3-5 days</t>
  </si>
  <si>
    <t>Ondo, Ogun, Cross River, Edo</t>
  </si>
  <si>
    <t>Training, Energy</t>
  </si>
  <si>
    <t>Most-used fruit in the recipe library. Sell spotty, very ripe bananas as discounted 'smoothie bananas' rather than writing them off.</t>
  </si>
  <si>
    <t>P002</t>
  </si>
  <si>
    <t>Plantain (ripe &amp; unripe)</t>
  </si>
  <si>
    <t>Ogede agbagba (Yor), Agade (Hau)</t>
  </si>
  <si>
    <t>Fruit (cooking)</t>
  </si>
  <si>
    <t>Recipe ingredient</t>
  </si>
  <si>
    <t>Finger / bunch</t>
  </si>
  <si>
    <t>Room temp; ripens in 3-6 days</t>
  </si>
  <si>
    <t>5-10 days</t>
  </si>
  <si>
    <t>Ondo, Edo, Ogun, Cross River</t>
  </si>
  <si>
    <t>Sell by ripeness stage (green, yellow, black-spotted) so recipes get the right one.</t>
  </si>
  <si>
    <t>P003</t>
  </si>
  <si>
    <t>Pineapple</t>
  </si>
  <si>
    <t>Ope oyinbo (Yor), Abarba (Hau)</t>
  </si>
  <si>
    <t>Piece</t>
  </si>
  <si>
    <t>1 pc</t>
  </si>
  <si>
    <t>Mint Foods (mintfoods.store), 11 Oct 2026; Bendel pineapple N3,000/pc at The Fresh Place (thefreshplace.ng), 11 Oct 2026</t>
  </si>
  <si>
    <t>Room temp until fragrant; fridge once cut</t>
  </si>
  <si>
    <t>3-5 days whole, 3 days cut</t>
  </si>
  <si>
    <t>Edo (Bendel), Ogun, Oyo, Delta</t>
  </si>
  <si>
    <t>Hydration, Wellness</t>
  </si>
  <si>
    <t>Bendel and sugarloaf types are sweeter than imported. Price gap between sellers is wide (N1,300 vs N3,000).</t>
  </si>
  <si>
    <t>P004</t>
  </si>
  <si>
    <t>Watermelon</t>
  </si>
  <si>
    <t>Bara (Yor), Kankana (Hau)</t>
  </si>
  <si>
    <t>Dec-Apr</t>
  </si>
  <si>
    <t>Piece (S/M/L) or half</t>
  </si>
  <si>
    <t>Whole at room temp; cut in fridge, wrapped</t>
  </si>
  <si>
    <t>1-2 weeks whole, 3 days cut</t>
  </si>
  <si>
    <t>Kano, Kaduna, Jigawa, Plateau</t>
  </si>
  <si>
    <t>Hydration, Weight management</t>
  </si>
  <si>
    <t>Listed by Kitchen Butterfly as available all year; northern supply heaviest in the dry season.</t>
  </si>
  <si>
    <t>P005</t>
  </si>
  <si>
    <t>Pawpaw (papaya)</t>
  </si>
  <si>
    <t>Ibepe (Yor), Gwanda (Hau)</t>
  </si>
  <si>
    <t>Ripen at room temp; fridge when soft</t>
  </si>
  <si>
    <t>2-4 days ripe</t>
  </si>
  <si>
    <t>Nationwide</t>
  </si>
  <si>
    <t>Gut health, Weight management</t>
  </si>
  <si>
    <t>Unripe (green) pawpaw is a recipe ingredient too (green papaya salad).</t>
  </si>
  <si>
    <t>P006</t>
  </si>
  <si>
    <t>Mango</t>
  </si>
  <si>
    <t>Mangoro (Yor/Hau)</t>
  </si>
  <si>
    <t>Seasonal</t>
  </si>
  <si>
    <t>Feb-May, Aug-Sep</t>
  </si>
  <si>
    <t>Mar-Apr</t>
  </si>
  <si>
    <t>Sourced</t>
  </si>
  <si>
    <t>Piece / 1kg</t>
  </si>
  <si>
    <t>1 pc (cherry mango)</t>
  </si>
  <si>
    <t>Seasonal drop</t>
  </si>
  <si>
    <t>Room temp to ripen; fridge when ripe</t>
  </si>
  <si>
    <t>3-5 days ripe</t>
  </si>
  <si>
    <t>Oyo (Ogbomoso), Benue, Kaduna, Niger</t>
  </si>
  <si>
    <t>Energy, Wellness</t>
  </si>
  <si>
    <t>Main season Feb-May with a smaller Aug-Sep run. Varieties worth naming on the app: Ogbomoso, Julie, cherry, 'German'.</t>
  </si>
  <si>
    <t>P007</t>
  </si>
  <si>
    <t>Orange</t>
  </si>
  <si>
    <t>Osan (Yor), Oroma (Igbo), Lemu (Hau)</t>
  </si>
  <si>
    <t>Fruit (citrus)</t>
  </si>
  <si>
    <t>Local + imported</t>
  </si>
  <si>
    <t>Oct-Jan</t>
  </si>
  <si>
    <t>Piece / dozen</t>
  </si>
  <si>
    <t>1 pc imported</t>
  </si>
  <si>
    <t>The Fresh Place (thefreshplace.ng), 11 Oct 2026; South African 5 pcs N4,750 at Mint Foods (mintfoods.store), 11 Oct 2026</t>
  </si>
  <si>
    <t>Room temp 1 week; fridge 2-3 weeks</t>
  </si>
  <si>
    <t>1-3 weeks</t>
  </si>
  <si>
    <t>Benue (citrus belt), Ogun, Oyo</t>
  </si>
  <si>
    <t>Wellness, Hydration</t>
  </si>
  <si>
    <t>Available all year with varying quality; best fruit Oct-Dec per Kitchen Butterfly.</t>
  </si>
  <si>
    <t>P008</t>
  </si>
  <si>
    <t>Tangerine</t>
  </si>
  <si>
    <t>1 pc local</t>
  </si>
  <si>
    <t>The Fresh Place (thefreshplace.ng), 11 Oct 2026; imported clementine N850</t>
  </si>
  <si>
    <t>Room temp 1 week; fridge 2 weeks</t>
  </si>
  <si>
    <t>1-2 weeks</t>
  </si>
  <si>
    <t>Benue, Ogun</t>
  </si>
  <si>
    <t>Wellness</t>
  </si>
  <si>
    <t>Local vs imported price is nearly 3x.</t>
  </si>
  <si>
    <t>P009</t>
  </si>
  <si>
    <t>Lemon</t>
  </si>
  <si>
    <t>The Fresh Place (thefreshplace.ng), 11 Oct 2026; imported N950/pc; Mint Foods (mintfoods.store), 11 Oct 2026: 4 local N1,900 vs 5 Dutch N13,800</t>
  </si>
  <si>
    <t>Fridge</t>
  </si>
  <si>
    <t>2-3 weeks</t>
  </si>
  <si>
    <t>Benue, Plateau</t>
  </si>
  <si>
    <t>Used in more recipes than almost anything else. Strong case for local-only.</t>
  </si>
  <si>
    <t>P010</t>
  </si>
  <si>
    <t>Lime</t>
  </si>
  <si>
    <t>Osan wewe (Yor)</t>
  </si>
  <si>
    <t>Piece / pack of 4</t>
  </si>
  <si>
    <t>Benue, Ogun, Oyo</t>
  </si>
  <si>
    <t>Best fruit Oct-Dec (Kitchen Butterfly). Workhorse acid for salsas, dressings and drinks.</t>
  </si>
  <si>
    <t>P011</t>
  </si>
  <si>
    <t>Grapefruit</t>
  </si>
  <si>
    <t>N</t>
  </si>
  <si>
    <t>Later</t>
  </si>
  <si>
    <t>Room temp / fridge</t>
  </si>
  <si>
    <t>Benue</t>
  </si>
  <si>
    <t>Weight management</t>
  </si>
  <si>
    <t>Niche but cheap locally. Good add-on for citrus boxes.</t>
  </si>
  <si>
    <t>P012</t>
  </si>
  <si>
    <t>Avocado</t>
  </si>
  <si>
    <t>Pia (Yor)</t>
  </si>
  <si>
    <t>1 pc medium</t>
  </si>
  <si>
    <t>The Fresh Place (thefreshplace.ng), 11 Oct 2026; big N2,500; Mint Foods (mintfoods.store), 11 Oct 2026: local N1,050, imported 2-pack N7,300</t>
  </si>
  <si>
    <t>Room temp to ripen; fridge once ripe</t>
  </si>
  <si>
    <t>2-3 days ripe</t>
  </si>
  <si>
    <t>Southwest, Cross River, Plateau</t>
  </si>
  <si>
    <t>Training, Wellness</t>
  </si>
  <si>
    <t>Local supply and quality swing through the year. Confirm local peak months with suppliers. Mint sells a ready-to-eat 'eat me' pack, worth copying.</t>
  </si>
  <si>
    <t>P013</t>
  </si>
  <si>
    <t>Guava</t>
  </si>
  <si>
    <t>Gova (Yor), Gwaba (Hau)</t>
  </si>
  <si>
    <t>Feb-Mar, Aug-Sep</t>
  </si>
  <si>
    <t>Feb-Mar</t>
  </si>
  <si>
    <t>1kg imported</t>
  </si>
  <si>
    <t>Room temp; fridge when soft</t>
  </si>
  <si>
    <t>3-4 days</t>
  </si>
  <si>
    <t>Two short local windows. Imported guava sells at a premium.</t>
  </si>
  <si>
    <t>P014</t>
  </si>
  <si>
    <t>Soursop</t>
  </si>
  <si>
    <t>Dec-Mar, May-Aug, Oct</t>
  </si>
  <si>
    <t>Room temp until soft; fridge after</t>
  </si>
  <si>
    <t>Southwest, South-south</t>
  </si>
  <si>
    <t>Seeds must be removed before blending.</t>
  </si>
  <si>
    <t>P015</t>
  </si>
  <si>
    <t>Passion fruit</t>
  </si>
  <si>
    <t>Jan-Mar, May-Jun, Aug-Nov</t>
  </si>
  <si>
    <t>Pack of 4</t>
  </si>
  <si>
    <t>4 pcs imported</t>
  </si>
  <si>
    <t>Mint Foods (mintfoods.store), 11 Oct 2026; imported 1kg N40,000 at The Fresh Place (thefreshplace.ng), 11 Oct 2026</t>
  </si>
  <si>
    <t>Premium</t>
  </si>
  <si>
    <t>Room temp; fridge when wrinkled</t>
  </si>
  <si>
    <t>Plateau</t>
  </si>
  <si>
    <t>Local supply exists (Plateau). Imported is very expensive, so source locally.</t>
  </si>
  <si>
    <t>P016</t>
  </si>
  <si>
    <t>Coconut</t>
  </si>
  <si>
    <t>Agbon (Yor), Kwakwa (Hau)</t>
  </si>
  <si>
    <t>1 dry coconut</t>
  </si>
  <si>
    <t>Mint Foods (mintfoods.store), 11 Oct 2026</t>
  </si>
  <si>
    <t>Room temp</t>
  </si>
  <si>
    <t>2-3 weeks whole</t>
  </si>
  <si>
    <t>Lagos (Badagry), Ogun, Ondo coast</t>
  </si>
  <si>
    <t>Plant-based, Hydration</t>
  </si>
  <si>
    <t>Fresh coconut milk replaces canned in most recipes here.</t>
  </si>
  <si>
    <t>P017</t>
  </si>
  <si>
    <t>Agbalumo (African star apple)</t>
  </si>
  <si>
    <t>Agbalumo (Yor), Udara (Igbo), 'cherry' (Lagos)</t>
  </si>
  <si>
    <t>Eat as-is only</t>
  </si>
  <si>
    <t>Dec-May</t>
  </si>
  <si>
    <t>Jan-Mar</t>
  </si>
  <si>
    <t>Pack of 10 / 20</t>
  </si>
  <si>
    <t>Southwest and Southeast forest zones</t>
  </si>
  <si>
    <t>Hero of the seasonal drop calendar. Wild-harvested, so grade by size and sell by count.</t>
  </si>
  <si>
    <t>P018</t>
  </si>
  <si>
    <t>Cashew apple</t>
  </si>
  <si>
    <t>Kaju (Yor), Kanju (Hau)</t>
  </si>
  <si>
    <t>Pack</t>
  </si>
  <si>
    <t>Fridge; bruises fast</t>
  </si>
  <si>
    <t>1-2 days</t>
  </si>
  <si>
    <t>Kogi, Oyo, Enugu</t>
  </si>
  <si>
    <t>Very short shelf life. Test only.</t>
  </si>
  <si>
    <t>P019</t>
  </si>
  <si>
    <t>Velvet tamarind</t>
  </si>
  <si>
    <t>Awin (Yor), Icheku (Igbo), Tsamiyar kurmi (Hau)</t>
  </si>
  <si>
    <t>Jan-May</t>
  </si>
  <si>
    <t>Cup / 100g pack</t>
  </si>
  <si>
    <t>Dry, airtight</t>
  </si>
  <si>
    <t>Weeks</t>
  </si>
  <si>
    <t>Southwest, Southeast, North</t>
  </si>
  <si>
    <t>Snack</t>
  </si>
  <si>
    <t>Shelf-stable and nostalgic. Natural checkout add-on.</t>
  </si>
  <si>
    <t>P020</t>
  </si>
  <si>
    <t>Hog plum</t>
  </si>
  <si>
    <t>Iyeye (Yor)</t>
  </si>
  <si>
    <t>Jul, Dec</t>
  </si>
  <si>
    <t>Jul</t>
  </si>
  <si>
    <t>Southwest</t>
  </si>
  <si>
    <t>Very short season and shelf life.</t>
  </si>
  <si>
    <t>P021</t>
  </si>
  <si>
    <t>Pepper fruit</t>
  </si>
  <si>
    <t>Mmimi (Igbo)</t>
  </si>
  <si>
    <t>Feb-May</t>
  </si>
  <si>
    <t>Cup</t>
  </si>
  <si>
    <t>Southeast</t>
  </si>
  <si>
    <t>P022</t>
  </si>
  <si>
    <t>Monkey kola</t>
  </si>
  <si>
    <t>Ochicha (Igbo), Obi edun (Yor)</t>
  </si>
  <si>
    <t>May-Aug</t>
  </si>
  <si>
    <t>Southeast, Southwest</t>
  </si>
  <si>
    <t>P023</t>
  </si>
  <si>
    <t>African pear</t>
  </si>
  <si>
    <t>Ube (Igbo)</t>
  </si>
  <si>
    <t>May-Sep</t>
  </si>
  <si>
    <t>Jun-Aug</t>
  </si>
  <si>
    <t>Pack of 10</t>
  </si>
  <si>
    <t>2-3 days</t>
  </si>
  <si>
    <t>Southeast, South-south</t>
  </si>
  <si>
    <t>Classic pairing with roasted corn. Bundle the two as a rainy season drop.</t>
  </si>
  <si>
    <t>P024</t>
  </si>
  <si>
    <t>Tiger nut</t>
  </si>
  <si>
    <t>Ofio (Yor), Aki Hausa (Igbo), Aya (Hau)</t>
  </si>
  <si>
    <t>Nut / tuber</t>
  </si>
  <si>
    <t>Nov-May, Jul-Sep</t>
  </si>
  <si>
    <t>Cup / 250g</t>
  </si>
  <si>
    <t>Weeks dried</t>
  </si>
  <si>
    <t>Kano, Kaduna, Niger</t>
  </si>
  <si>
    <t>Plant-based, Gut health</t>
  </si>
  <si>
    <t>Snack on its own or blend into kunun aya / horchata.</t>
  </si>
  <si>
    <t>P025</t>
  </si>
  <si>
    <t>Sugarcane</t>
  </si>
  <si>
    <t>Ireke (Yor), Okpete (Igbo), Rake (Hau)</t>
  </si>
  <si>
    <t>Fruit (cane)</t>
  </si>
  <si>
    <t>Aug-Mar</t>
  </si>
  <si>
    <t>Stick / pre-cut pack</t>
  </si>
  <si>
    <t>Room temp; cut pieces in fridge</t>
  </si>
  <si>
    <t>North, Southwest</t>
  </si>
  <si>
    <t>Pre-cut, peeled pieces are the only realistic delivery format.</t>
  </si>
  <si>
    <t>P026</t>
  </si>
  <si>
    <t>Custard apple (sweetsop)</t>
  </si>
  <si>
    <t>Feb, Aug-Sep</t>
  </si>
  <si>
    <t>Room temp until soft</t>
  </si>
  <si>
    <t>1-2 days ripe</t>
  </si>
  <si>
    <t>P027</t>
  </si>
  <si>
    <t>Jackfruit</t>
  </si>
  <si>
    <t>May-Jun</t>
  </si>
  <si>
    <t>May</t>
  </si>
  <si>
    <t>Pre-cut pods</t>
  </si>
  <si>
    <t>Fridge once cut</t>
  </si>
  <si>
    <t>2-3 days cut</t>
  </si>
  <si>
    <t>South</t>
  </si>
  <si>
    <t>Sell as cleaned pods, never whole.</t>
  </si>
  <si>
    <t>P028</t>
  </si>
  <si>
    <t>June plum</t>
  </si>
  <si>
    <t>Dec-Jan</t>
  </si>
  <si>
    <t>P029</t>
  </si>
  <si>
    <t>Sweet melon (golden / cantaloupe)</t>
  </si>
  <si>
    <t>Jan, May-Jun</t>
  </si>
  <si>
    <t>1 imported galia</t>
  </si>
  <si>
    <t>Room temp to ripen; fridge cut</t>
  </si>
  <si>
    <t>North</t>
  </si>
  <si>
    <t>Hydration</t>
  </si>
  <si>
    <t>Local golden melon in Jan and May-Jun; imported the rest of the year at a high price.</t>
  </si>
  <si>
    <t>P030</t>
  </si>
  <si>
    <t>Dates</t>
  </si>
  <si>
    <t>Dabino (Hau)</t>
  </si>
  <si>
    <t>Apr-Jul</t>
  </si>
  <si>
    <t>250g pack</t>
  </si>
  <si>
    <t>Airtight, cool</t>
  </si>
  <si>
    <t>Months dried</t>
  </si>
  <si>
    <t>North (Borno, Yobe) + imports</t>
  </si>
  <si>
    <t>Fresh dates Apr-Jul; dried all year. Used as the natural sweetener across the library.</t>
  </si>
  <si>
    <t>P031</t>
  </si>
  <si>
    <t>Apple (red &amp; green)</t>
  </si>
  <si>
    <t>Imported</t>
  </si>
  <si>
    <t>Piece / 6-pack</t>
  </si>
  <si>
    <t>1 pc small</t>
  </si>
  <si>
    <t>The Fresh Place (thefreshplace.ng), 11 Oct 2026; Mint Foods (mintfoods.store), 11 Oct 2026 6 red N4,200, 6 green N5,000</t>
  </si>
  <si>
    <t>Core (imported)</t>
  </si>
  <si>
    <t>2-4 weeks</t>
  </si>
  <si>
    <t>Imported (South Africa, EU)</t>
  </si>
  <si>
    <t>Imported, but a basket expectation in Lagos. Every competitor bundle includes it.</t>
  </si>
  <si>
    <t>P032</t>
  </si>
  <si>
    <t>Pear</t>
  </si>
  <si>
    <t>Fridge once ripe</t>
  </si>
  <si>
    <t>Included in The Fresh Place bundles (10 English pears).</t>
  </si>
  <si>
    <t>P033</t>
  </si>
  <si>
    <t>Grapes (red / black seedless)</t>
  </si>
  <si>
    <t>500g</t>
  </si>
  <si>
    <t>Mint Foods (mintfoods.store), 11 Oct 2026; The Fresh Place (thefreshplace.ng), 11 Oct 2026 N7,500</t>
  </si>
  <si>
    <t>Fridge, unwashed</t>
  </si>
  <si>
    <t>5-7 days</t>
  </si>
  <si>
    <t>P034</t>
  </si>
  <si>
    <t>Strawberry</t>
  </si>
  <si>
    <t>Fruit (berry)</t>
  </si>
  <si>
    <t>Nov-Apr</t>
  </si>
  <si>
    <t>Dec-Feb</t>
  </si>
  <si>
    <t>250g punnet</t>
  </si>
  <si>
    <t>250g Ethiopian</t>
  </si>
  <si>
    <t>Mint Foods (mintfoods.store), 11 Oct 2026; Dutch 400g N17,500</t>
  </si>
  <si>
    <t>2-4 days</t>
  </si>
  <si>
    <t>Plateau (Jos) + imports</t>
  </si>
  <si>
    <t>Jos strawberries are a real local story. Season window needs supplier confirmation.</t>
  </si>
  <si>
    <t>P035</t>
  </si>
  <si>
    <t>Blueberry</t>
  </si>
  <si>
    <t>125g</t>
  </si>
  <si>
    <t>Mint Foods (mintfoods.store), 11 Oct 2026; The Fresh Place (thefreshplace.ng), 11 Oct 2026 N6,000</t>
  </si>
  <si>
    <t>P036</t>
  </si>
  <si>
    <t>Kiwi</t>
  </si>
  <si>
    <t>3-pack</t>
  </si>
  <si>
    <t>3 pcs</t>
  </si>
  <si>
    <t>P037</t>
  </si>
  <si>
    <t>Pomegranate</t>
  </si>
  <si>
    <t>P038</t>
  </si>
  <si>
    <t>Dragon fruit</t>
  </si>
  <si>
    <t>Local (limited) + imported</t>
  </si>
  <si>
    <t>A few local farms + imports</t>
  </si>
  <si>
    <t>Price makes it a showpiece, not a staple.</t>
  </si>
  <si>
    <t>P039</t>
  </si>
  <si>
    <t>Star fruit (carambola)</t>
  </si>
  <si>
    <t>Availability is patchy. Verify with suppliers.</t>
  </si>
  <si>
    <t>P040</t>
  </si>
  <si>
    <t>Groundnut (fresh or roasted)</t>
  </si>
  <si>
    <t>Epa (Yor), Gyada (Hau)</t>
  </si>
  <si>
    <t>Nut / legume</t>
  </si>
  <si>
    <t>May-Oct</t>
  </si>
  <si>
    <t>Airtight</t>
  </si>
  <si>
    <t>Weeks roasted</t>
  </si>
  <si>
    <t>Training, Plant-based</t>
  </si>
  <si>
    <t>Fresh groundnuts May-Oct; roasted all year. Replaces pine nuts, walnuts and tahini across the library.</t>
  </si>
  <si>
    <t>P041</t>
  </si>
  <si>
    <t>African walnut</t>
  </si>
  <si>
    <t>Asala (Yor), Ukpa (Igbo)</t>
  </si>
  <si>
    <t>Nut</t>
  </si>
  <si>
    <t>Mar-May, Jul-Aug, Oct</t>
  </si>
  <si>
    <t>Cool, dry</t>
  </si>
  <si>
    <t>1 week cooked</t>
  </si>
  <si>
    <t>Southwest, Southeast</t>
  </si>
  <si>
    <t>Sold boiled.</t>
  </si>
  <si>
    <t>P042</t>
  </si>
  <si>
    <t>Tomato (plum)</t>
  </si>
  <si>
    <t>Tumatir (Hau)</t>
  </si>
  <si>
    <t>Vegetable</t>
  </si>
  <si>
    <t>Dec-Jan, Aug-Sep</t>
  </si>
  <si>
    <t>Mint Foods (mintfoods.store), 11 Oct 2026; beef tomato N4,375/kg</t>
  </si>
  <si>
    <t>Room temp; fridge only when very ripe</t>
  </si>
  <si>
    <t>3-7 days</t>
  </si>
  <si>
    <t>Kano, Kaduna, Katsina, Plateau</t>
  </si>
  <si>
    <t>Jos tomatoes peak Aug-Sep and Dec-Jan (Kitchen Butterfly). Prices spike in parts of the rainy season, so build price alerts around it.</t>
  </si>
  <si>
    <t>P043</t>
  </si>
  <si>
    <t>Cherry tomato</t>
  </si>
  <si>
    <t>250g</t>
  </si>
  <si>
    <t>250g yellow</t>
  </si>
  <si>
    <t>Greenhouses (Lagos, Ogun, Plateau)</t>
  </si>
  <si>
    <t>Plum tomatoes work in every recipe that lists cherry tomatoes.</t>
  </si>
  <si>
    <t>P044</t>
  </si>
  <si>
    <t>Red bell pepper</t>
  </si>
  <si>
    <t>Tatashe (Yor)</t>
  </si>
  <si>
    <t>6 pcs local</t>
  </si>
  <si>
    <t>1 week</t>
  </si>
  <si>
    <t>Plateau, Kaduna, Kano</t>
  </si>
  <si>
    <t>P045</t>
  </si>
  <si>
    <t>Green / yellow bell pepper</t>
  </si>
  <si>
    <t>6 pcs green, local</t>
  </si>
  <si>
    <t>Mint Foods (mintfoods.store), 11 Oct 2026; yellow N10,350</t>
  </si>
  <si>
    <t>Plateau, Kaduna</t>
  </si>
  <si>
    <t>P046</t>
  </si>
  <si>
    <t>Scotch bonnet</t>
  </si>
  <si>
    <t>Ata rodo (Yor)</t>
  </si>
  <si>
    <t>Cup / 100g</t>
  </si>
  <si>
    <t>Every recipe lists a small amount. Let customers dial heat up or down.</t>
  </si>
  <si>
    <t>P047</t>
  </si>
  <si>
    <t>Long red chilli</t>
  </si>
  <si>
    <t>Shombo (Yor)</t>
  </si>
  <si>
    <t>Milder swap for ata rodo.</t>
  </si>
  <si>
    <t>P048</t>
  </si>
  <si>
    <t>Onion (red &amp; white)</t>
  </si>
  <si>
    <t>Alubosa (Yor), Yabasi (Igbo), Albasa (Hau)</t>
  </si>
  <si>
    <t>1kg / 3 pcs</t>
  </si>
  <si>
    <t>Cool, dry, ventilated</t>
  </si>
  <si>
    <t>3-4 weeks</t>
  </si>
  <si>
    <t>Kano, Sokoto, Kebbi</t>
  </si>
  <si>
    <t>Red onions for raw dishes, white for cooking.</t>
  </si>
  <si>
    <t>P049</t>
  </si>
  <si>
    <t>Spring onion</t>
  </si>
  <si>
    <t>Alubosa elewe (Yor)</t>
  </si>
  <si>
    <t>Bunch</t>
  </si>
  <si>
    <t>Fridge, wrapped</t>
  </si>
  <si>
    <t>Plateau, Lagos</t>
  </si>
  <si>
    <t>P050</t>
  </si>
  <si>
    <t>Shallots</t>
  </si>
  <si>
    <t>North + imports</t>
  </si>
  <si>
    <t>Red onion covers every use in this library.</t>
  </si>
  <si>
    <t>P051</t>
  </si>
  <si>
    <t>Garlic</t>
  </si>
  <si>
    <t>Ayu (Yor), Tafarnuwa (Hau)</t>
  </si>
  <si>
    <t>Aromatic</t>
  </si>
  <si>
    <t>Bulb / 5 bulbs</t>
  </si>
  <si>
    <t>5 bulbs</t>
  </si>
  <si>
    <t>1-2 months</t>
  </si>
  <si>
    <t>Kano, Sokoto + imports</t>
  </si>
  <si>
    <t>P052</t>
  </si>
  <si>
    <t>Ginger</t>
  </si>
  <si>
    <t>Ata ile (Yor), Jinja (Igbo), Citta (Hau)</t>
  </si>
  <si>
    <t>Sep-Oct</t>
  </si>
  <si>
    <t>100g / hand</t>
  </si>
  <si>
    <t>Cool, dry; fridge</t>
  </si>
  <si>
    <t>Southern Kaduna (Kafanchan)</t>
  </si>
  <si>
    <t>Fresh harvest Sep-Oct (Kitchen Butterfly); stored ginger all year.</t>
  </si>
  <si>
    <t>P053</t>
  </si>
  <si>
    <t>Turmeric (fresh)</t>
  </si>
  <si>
    <t>Ata ile pupa (Yor)</t>
  </si>
  <si>
    <t>Sep-Jun</t>
  </si>
  <si>
    <t>100g</t>
  </si>
  <si>
    <t>Southern Kaduna, Southwest</t>
  </si>
  <si>
    <t>Stains everything. Pack separately.</t>
  </si>
  <si>
    <t>P054</t>
  </si>
  <si>
    <t>Cucumber</t>
  </si>
  <si>
    <t>Kukumba</t>
  </si>
  <si>
    <t>Piece / 3-pack</t>
  </si>
  <si>
    <t>Plateau, Kaduna, greenhouses</t>
  </si>
  <si>
    <t>Second most-used vegetable in the library.</t>
  </si>
  <si>
    <t>P055</t>
  </si>
  <si>
    <t>Carrot</t>
  </si>
  <si>
    <t>Sep-May</t>
  </si>
  <si>
    <t>1kg / 500g</t>
  </si>
  <si>
    <t>1kg local</t>
  </si>
  <si>
    <t>Mint Foods (mintfoods.store), 11 Oct 2026; The Fresh Place (thefreshplace.ng), 11 Oct 2026 N4,500/kg</t>
  </si>
  <si>
    <t>Fridge, dry</t>
  </si>
  <si>
    <t>Plateau (Jos)</t>
  </si>
  <si>
    <t>P056</t>
  </si>
  <si>
    <t>Cabbage (white)</t>
  </si>
  <si>
    <t>Head</t>
  </si>
  <si>
    <t>1 head</t>
  </si>
  <si>
    <t>Mint Foods (mintfoods.store), 11 Oct 2026; The Fresh Place (thefreshplace.ng), 11 Oct 2026 N2,000/kg</t>
  </si>
  <si>
    <t>2 weeks</t>
  </si>
  <si>
    <t>Cheap, slow to spoil, used in slaws, wraps and soups.</t>
  </si>
  <si>
    <t>P057</t>
  </si>
  <si>
    <t>Purple cabbage</t>
  </si>
  <si>
    <t>P058</t>
  </si>
  <si>
    <t>Lettuce (iceberg / romaine / local)</t>
  </si>
  <si>
    <t>Leafy green</t>
  </si>
  <si>
    <t>local iceberg, 300-320g</t>
  </si>
  <si>
    <t>Mint Foods (mintfoods.store), 11 Oct 2026; romaine N9,828</t>
  </si>
  <si>
    <t>4-7 days</t>
  </si>
  <si>
    <t>Plateau, Lagos hydroponics</t>
  </si>
  <si>
    <t>Local iceberg costs a fraction of romaine. Default recipes to local lettuce.</t>
  </si>
  <si>
    <t>P059</t>
  </si>
  <si>
    <t>Green beans</t>
  </si>
  <si>
    <t>P060</t>
  </si>
  <si>
    <t>Sweet corn</t>
  </si>
  <si>
    <t>Agbado (Yor), Oka (Igbo), Masara (Hau)</t>
  </si>
  <si>
    <t>Apr-Aug</t>
  </si>
  <si>
    <t>Jun-Jul</t>
  </si>
  <si>
    <t>3 cobs</t>
  </si>
  <si>
    <t>3 cobs, peeled</t>
  </si>
  <si>
    <t>Fridge, in husk</t>
  </si>
  <si>
    <t>Energy</t>
  </si>
  <si>
    <t>Fresh corn Apr-Aug (Kitchen Butterfly). Pair with ube.</t>
  </si>
  <si>
    <t>P061</t>
  </si>
  <si>
    <t>Garden egg</t>
  </si>
  <si>
    <t>Igba (Yor), Anara (Igbo), Gauta (Hau)</t>
  </si>
  <si>
    <t>Jan-Oct</t>
  </si>
  <si>
    <t>Pack of 6</t>
  </si>
  <si>
    <t>Eaten raw as a snack and stands in for aubergine in global recipes.</t>
  </si>
  <si>
    <t>P062</t>
  </si>
  <si>
    <t>Okra</t>
  </si>
  <si>
    <t>Ila (Yor), Okwuru (Igbo), Kubewa (Hau)</t>
  </si>
  <si>
    <t>Gut health</t>
  </si>
  <si>
    <t>P063</t>
  </si>
  <si>
    <t>Broccoli</t>
  </si>
  <si>
    <t>300-550g head</t>
  </si>
  <si>
    <t>Mint Foods (mintfoods.store), 11 Oct 2026; The Fresh Place (thefreshplace.ng), 11 Oct 2026 N10,000/kg</t>
  </si>
  <si>
    <t>Plateau + imports</t>
  </si>
  <si>
    <t>Training, Weight management</t>
  </si>
  <si>
    <t>Green beans are the budget swap in every recipe.</t>
  </si>
  <si>
    <t>P064</t>
  </si>
  <si>
    <t>Cauliflower</t>
  </si>
  <si>
    <t>1 local head</t>
  </si>
  <si>
    <t>Mint Foods (mintfoods.store), 11 Oct 2026; imported ~1kg N16,900</t>
  </si>
  <si>
    <t>Local heads are 6x cheaper than imported when available.</t>
  </si>
  <si>
    <t>P065</t>
  </si>
  <si>
    <t>Beetroot</t>
  </si>
  <si>
    <t>500g / 1kg</t>
  </si>
  <si>
    <t>Training (endurance)</t>
  </si>
  <si>
    <t>P066</t>
  </si>
  <si>
    <t>Zucchini (courgette)</t>
  </si>
  <si>
    <t>Optional in every recipe that lists it.</t>
  </si>
  <si>
    <t>P067</t>
  </si>
  <si>
    <t>Mushrooms (oyster / button)</t>
  </si>
  <si>
    <t>250g white button</t>
  </si>
  <si>
    <t>Fridge, paper bag</t>
  </si>
  <si>
    <t>4-5 days</t>
  </si>
  <si>
    <t>Local oyster growers + imports</t>
  </si>
  <si>
    <t>Plant-based</t>
  </si>
  <si>
    <t>Local oyster mushrooms are the cheaper default.</t>
  </si>
  <si>
    <t>P068</t>
  </si>
  <si>
    <t>Pumpkin (squash)</t>
  </si>
  <si>
    <t>Elegede (Yor), Kabewa (Hau)</t>
  </si>
  <si>
    <t>Wedge / 1kg</t>
  </si>
  <si>
    <t>Whole at room temp</t>
  </si>
  <si>
    <t>Weeks whole, 5 days cut</t>
  </si>
  <si>
    <t>Sell as wedges. Season window needs supplier confirmation.</t>
  </si>
  <si>
    <t>P069</t>
  </si>
  <si>
    <t>Sweet potato</t>
  </si>
  <si>
    <t>Odunkun (Yor), Dankali (Hau)</t>
  </si>
  <si>
    <t>Tuber</t>
  </si>
  <si>
    <t>~1kg</t>
  </si>
  <si>
    <t>Benue, Kwara, Kaduna</t>
  </si>
  <si>
    <t>Cheap, filling, and the default starch swap for potatoes across the library.</t>
  </si>
  <si>
    <t>P070</t>
  </si>
  <si>
    <t>Irish potato</t>
  </si>
  <si>
    <t>Dankalin turawa (Hau)</t>
  </si>
  <si>
    <t>Cool, dark</t>
  </si>
  <si>
    <t>Training</t>
  </si>
  <si>
    <t>P071</t>
  </si>
  <si>
    <t>Yam</t>
  </si>
  <si>
    <t>Isu (Yor), Ji (Igbo), Doya (Hau)</t>
  </si>
  <si>
    <t>Aug-Oct</t>
  </si>
  <si>
    <t>Benue, Niger, Oyo</t>
  </si>
  <si>
    <t>New yam Aug-Oct. Not used in the light-recipe library yet.</t>
  </si>
  <si>
    <t>P072</t>
  </si>
  <si>
    <t>Fluted pumpkin leaf</t>
  </si>
  <si>
    <t>Ugu (Igbo)</t>
  </si>
  <si>
    <t>Southeast, Lagos</t>
  </si>
  <si>
    <t>Becomes pesto, curry greens and smoothie greens in this library.</t>
  </si>
  <si>
    <t>P073</t>
  </si>
  <si>
    <t>Amaranth greens (Nigerian spinach)</t>
  </si>
  <si>
    <t>Efo tete (Yor), Alayyahu (Hau)</t>
  </si>
  <si>
    <t>bunch</t>
  </si>
  <si>
    <t>Wellness, Training</t>
  </si>
  <si>
    <t>Local swap for imported baby spinach and kale in almost every recipe.</t>
  </si>
  <si>
    <t>P074</t>
  </si>
  <si>
    <t>Waterleaf</t>
  </si>
  <si>
    <t>Gbure (Yor), Mgbolodi (Igbo)</t>
  </si>
  <si>
    <t>Mostly a soup green. Not in the current library.</t>
  </si>
  <si>
    <t>P075</t>
  </si>
  <si>
    <t>Baby spinach</t>
  </si>
  <si>
    <t>Local hydroponic + imported</t>
  </si>
  <si>
    <t>Lagos hydroponics + imports</t>
  </si>
  <si>
    <t>Efo tete works anywhere this is listed.</t>
  </si>
  <si>
    <t>P076</t>
  </si>
  <si>
    <t>Kale</t>
  </si>
  <si>
    <t>Hydroponic farms</t>
  </si>
  <si>
    <t>Not needed while efo tete and ugu cover the same jobs.</t>
  </si>
  <si>
    <t>P077</t>
  </si>
  <si>
    <t>Scent leaf (African basil)</t>
  </si>
  <si>
    <t>Efirin (Yor), Nchanwu (Igbo), Daidoya (Hau)</t>
  </si>
  <si>
    <t>Herb</t>
  </si>
  <si>
    <t>Stems in water, room temp</t>
  </si>
  <si>
    <t>Stands in for Thai basil and parsley in chimichurri. A real point of difference.</t>
  </si>
  <si>
    <t>P078</t>
  </si>
  <si>
    <t>Bitter leaf</t>
  </si>
  <si>
    <t>Ewuro (Yor), Onugbu (Igbo), Shiwaka (Hau)</t>
  </si>
  <si>
    <t>Bunch (washed)</t>
  </si>
  <si>
    <t>Soup green. Not in the current library.</t>
  </si>
  <si>
    <t>P079</t>
  </si>
  <si>
    <t>Mint</t>
  </si>
  <si>
    <t>Na'a na'a (Hau)</t>
  </si>
  <si>
    <t>Stems in water, fridge</t>
  </si>
  <si>
    <t>North, Lagos hydroponics</t>
  </si>
  <si>
    <t>P080</t>
  </si>
  <si>
    <t>Coriander (cilantro)</t>
  </si>
  <si>
    <t>Bunch / 100g</t>
  </si>
  <si>
    <t>P081</t>
  </si>
  <si>
    <t>Parsley</t>
  </si>
  <si>
    <t>Plateau, hydroponics</t>
  </si>
  <si>
    <t>P082</t>
  </si>
  <si>
    <t>Basil (sweet)</t>
  </si>
  <si>
    <t>150g</t>
  </si>
  <si>
    <t>150g hydroponic</t>
  </si>
  <si>
    <t>Room temp, stems in water</t>
  </si>
  <si>
    <t>Lagos hydroponics</t>
  </si>
  <si>
    <t>Scent leaf is the local swap in every recipe.</t>
  </si>
  <si>
    <t>P083</t>
  </si>
  <si>
    <t>Lemongrass</t>
  </si>
  <si>
    <t>Fever grass</t>
  </si>
  <si>
    <t>P084</t>
  </si>
  <si>
    <t>Rosemary</t>
  </si>
  <si>
    <t>Hydroponics + imports</t>
  </si>
  <si>
    <t>Scent leaf or dried thyme covers it.</t>
  </si>
  <si>
    <t>Jan</t>
  </si>
  <si>
    <t>Feb</t>
  </si>
  <si>
    <t>Mar</t>
  </si>
  <si>
    <t>Apr</t>
  </si>
  <si>
    <t>Jun</t>
  </si>
  <si>
    <t>Aug</t>
  </si>
  <si>
    <t>Sep</t>
  </si>
  <si>
    <t>Oct</t>
  </si>
  <si>
    <t>Nov</t>
  </si>
  <si>
    <t>Dec</t>
  </si>
  <si>
    <t>Months available</t>
  </si>
  <si>
    <t>In</t>
  </si>
  <si>
    <t>Peak = best quality and price. In = available. Blank = scarce or out. Nigeria: dry season roughly Oct/Nov-Mar, rainy season Apr-Oct with the 'August break'.</t>
  </si>
  <si>
    <t>kcal</t>
  </si>
  <si>
    <t>Vitamin A (mcg RAE)</t>
  </si>
  <si>
    <t>1 piece (g)</t>
  </si>
  <si>
    <t xml:space="preserve">Piece = </t>
  </si>
  <si>
    <t>1 cup (g)</t>
  </si>
  <si>
    <t xml:space="preserve">Cup = </t>
  </si>
  <si>
    <t>Source</t>
  </si>
  <si>
    <t>Confidence</t>
  </si>
  <si>
    <t>1 medium, peeled</t>
  </si>
  <si>
    <t>1 cup sliced</t>
  </si>
  <si>
    <t>USDA FDC 173944 (SR 09040)</t>
  </si>
  <si>
    <t>High</t>
  </si>
  <si>
    <t>USDA SR Legacy 09277 Plantains, raw</t>
  </si>
  <si>
    <t>1 medium pineapple, flesh only</t>
  </si>
  <si>
    <t>1 cup chunks</t>
  </si>
  <si>
    <t>USDA FDC 169124 (SR 09266)</t>
  </si>
  <si>
    <t>1 wedge (1/16 of melon), flesh</t>
  </si>
  <si>
    <t>1 cup diced</t>
  </si>
  <si>
    <t>USDA FDC 167765 (SR 09326)</t>
  </si>
  <si>
    <t>1 medium pawpaw, flesh only</t>
  </si>
  <si>
    <t>1 cup cubed</t>
  </si>
  <si>
    <t>USDA FDC 169926 (SR 09226)</t>
  </si>
  <si>
    <t>1 medium mango, flesh only</t>
  </si>
  <si>
    <t>1 cup pieces</t>
  </si>
  <si>
    <t>USDA FDC 169910 (SR 09176)</t>
  </si>
  <si>
    <t>1 cup sections</t>
  </si>
  <si>
    <t>USDA FDC 169097 (SR 09200)</t>
  </si>
  <si>
    <t>USDA FDC 169105 (SR 09218)</t>
  </si>
  <si>
    <t>1 medium lemon, flesh without peel (juice of 1 lemon ~47 g)</t>
  </si>
  <si>
    <t>USDA FDC 167746 (SR 09150)</t>
  </si>
  <si>
    <t>1 lime, flesh without peel (juice of 1 lime ~44 g)</t>
  </si>
  <si>
    <t>USDA FDC 168155 (SR 09159)</t>
  </si>
  <si>
    <t>1 whole grapefruit, flesh (half = 123 g)</t>
  </si>
  <si>
    <t>USDA FDC 174675 (SR 09112, pink/red)</t>
  </si>
  <si>
    <t>1 medium avocado, flesh only</t>
  </si>
  <si>
    <t>USDA FDC 171705 (SR 09037)</t>
  </si>
  <si>
    <t>1 fruit</t>
  </si>
  <si>
    <t>1 cup chopped</t>
  </si>
  <si>
    <t>USDA FDC 173044 (SR 09139)</t>
  </si>
  <si>
    <t>1 fruit, pulp only</t>
  </si>
  <si>
    <t>1 cup pulp</t>
  </si>
  <si>
    <t>USDA FDC 167763 (SR 09315)</t>
  </si>
  <si>
    <t>1 fruit, pulp &amp; seeds</t>
  </si>
  <si>
    <t>USDA FDC 169108 (SR 09231, purple)</t>
  </si>
  <si>
    <t>1 medium coconut, meat only</t>
  </si>
  <si>
    <t>1 cup shredded</t>
  </si>
  <si>
    <t>USDA FDC 170169 (SR 12104)</t>
  </si>
  <si>
    <t>1 fruit, pulp only (skin &amp; seeds removed; whole fruit ~50 g)</t>
  </si>
  <si>
    <t>Nigerian studies: Adeniji 2012 (3 varieties, fresh pulp: K 666-701 mg, Fe 2.2-2.3 mg, vit C 87-100 mg, moisture 73-76%); Isa 2021 (K 654 mg, Fe 2.16 mg); kcal derived from proximate</t>
  </si>
  <si>
    <t>Low (vitamin C reported anywhere from 4 to 100+ mg across studies; lower bound of Adeniji used)</t>
  </si>
  <si>
    <t>1 cashew apple (pseudofruit), flesh</t>
  </si>
  <si>
    <t>TACO Brazilian Food Composition Table 4th ed. (caju, cru); vitamin C range 200-241 mg/100 g confirmed by reviews (yellow 241, red 222 mg)</t>
  </si>
  <si>
    <t>Medium (vit C, kcal, K, Mg, Fe from TACO; vit A estimated from carotenoid literature)</t>
  </si>
  <si>
    <t>1 fruit, pulp only (whole fruit with shell &amp; seed ~4 g)</t>
  </si>
  <si>
    <t>Nigerian/Benin studies of Dialium guineense pulp: Nigeria dry pulp 289 kcal, K 260 mg, Fe 4.1 mg; Benin fresh pulp K 366 mg, vit C 4.5 mg; Calabar 2024 vit C 26.4 mg, vit A 109 mcg RAE</t>
  </si>
  <si>
    <t>Low (pulp is naturally semi-dry ~10% moisture; vit C mid-point of 4.5-26 mg; no reliable Mg/folate/E/K/B6)</t>
  </si>
  <si>
    <t>1 fruit, flesh only (whole fruit ~18 g, large stone)</t>
  </si>
  <si>
    <t>Tiburski et al. 2011 Food Res Int (yellow mombin pulp: notable K; 100 g supplies &gt;37% RDA vit A); Brazilian/Nigerian pulp studies (vit C 25-47 mg); TACO caja for kcal/Fe</t>
  </si>
  <si>
    <t>Low (vit A back-calculated from % RDA; K, Mg, fibre approximate)</t>
  </si>
  <si>
    <t>Nigerian studies: Ihemeje 2013 (ripe: moisture 18.7%, fibre 14.3% DW); Babcock elemental screening (K 291.5 mg/100 g); Cirad Fruits journal (protein 15%, carb 62% DW)</t>
  </si>
  <si>
    <t>Low (eaten as a snack in small quantities; most data dry-basis; vit C figures in literature are inconsistent so left null)</t>
  </si>
  <si>
    <t>1 fruit, edible pulp segments</t>
  </si>
  <si>
    <t>1 cup pulp pieces</t>
  </si>
  <si>
    <t>Ene-Obong et al. 2016 Food Chem 193:154 (C. lepidota dried pulp K 204-209 mg/100 g); Oranusi et al. 2020 Czech J Food Sci (vit C 4.5-14.4 mg, Fe 1.79 mg); Wofu &amp; Tariah (yellow monkey kola pulp proximate)</t>
  </si>
  <si>
    <t>Low (fresh-basis energy derived from proximate; vitamins mostly unreported)</t>
  </si>
  <si>
    <t>1 fruit, pulp only (seed removed; whole ~55 g)</t>
  </si>
  <si>
    <t>Nigerian pulp studies (Ajayi &amp; Adesanwo 2009: 138 kcal low-fat sample; Omogbai 2012: K 550.7 mg, vit C 8 mg); Cameroon safou pulp (fat 25-35 g/100 g fresh gives ~260 kcal); vit C 8-13.5 mg range</t>
  </si>
  <si>
    <t>Low (oily fruit: energy depends on cultivar fat content 15-35 g/100 g; Mg reported value implausible so null)</t>
  </si>
  <si>
    <t>1 tuber (a handful is ~30 g)</t>
  </si>
  <si>
    <t>1 cup whole dried tubers</t>
  </si>
  <si>
    <t>Sanchez-Zapata et al. 2012 review / PMC4619938 (Burkina Faso tubers: K 557-846 mg, Mg 100-107 mg, Fe 3.6-11.4 mg, vit C 5-27 mg, fat 25-29 g); EU retail nutrition labels (fibre 11-15 g, vit E 5.2 mg, K 783-845 mg)</t>
  </si>
  <si>
    <t>Medium (dried tuber basis as sold; vit E from label data; soaked 'fresh' tiger nuts will be ~30% lower per 100 g)</t>
  </si>
  <si>
    <t>1 x 30 cm stick, juice/pith chewed (stick weighs ~300 g)</t>
  </si>
  <si>
    <t>1 cup pressed juice</t>
  </si>
  <si>
    <t>Indian Food Composition Tables 2017 &amp; FNRI Philippines (sugarcane juice); applied to chewed pith</t>
  </si>
  <si>
    <t>Low (proxy: sugarcane juice; whole cane is not in USDA)</t>
  </si>
  <si>
    <t>USDA SR Legacy 09320 Sugar-apples (sweetsop), raw</t>
  </si>
  <si>
    <t>1 bulb (aril)</t>
  </si>
  <si>
    <t>USDA FDC 174687 (SR 09144)</t>
  </si>
  <si>
    <t>1 fruit, flesh only (whole fruit ~100 g, fibrous stone)</t>
  </si>
  <si>
    <t>Morton 1987 Fruits of Warm Climates (ambarella: vit C 42 mg, carotene ~205 IU, Fe 0.3 mg); FNRI Philippines (Spondias); K/Mg from Spondias genus</t>
  </si>
  <si>
    <t>Low (K and Mg are genus proxies)</t>
  </si>
  <si>
    <t>1 medium melon, flesh only (1 wedge = 69 g)</t>
  </si>
  <si>
    <t>USDA FDC 169092 (SR 09181)</t>
  </si>
  <si>
    <t>1 date, pitted (medjool = 24 g)</t>
  </si>
  <si>
    <t>USDA FDC 171726 (SR 09421, deglet noor)</t>
  </si>
  <si>
    <t>1 medium, with skin</t>
  </si>
  <si>
    <t>USDA FDC 171688 (SR 09003)</t>
  </si>
  <si>
    <t>1 medium</t>
  </si>
  <si>
    <t>USDA FDC 169118 (SR 09252)</t>
  </si>
  <si>
    <t>1 grape</t>
  </si>
  <si>
    <t>1 cup</t>
  </si>
  <si>
    <t>USDA FDC 174683 (SR 09132, red/green)</t>
  </si>
  <si>
    <t>1 medium berry</t>
  </si>
  <si>
    <t>1 cup halves</t>
  </si>
  <si>
    <t>USDA FDC 167762 (SR 09316)</t>
  </si>
  <si>
    <t>1 cup (approx 100 berries)</t>
  </si>
  <si>
    <t>USDA FDC 171711 (SR 09050)</t>
  </si>
  <si>
    <t>1 fruit, peeled</t>
  </si>
  <si>
    <t>USDA FDC 168153 (SR 09148, green)</t>
  </si>
  <si>
    <t>1 fruit, arils only</t>
  </si>
  <si>
    <t>1 cup arils</t>
  </si>
  <si>
    <t>USDA FDC 169134 (SR 09286)</t>
  </si>
  <si>
    <t>1 medium fruit, flesh only</t>
  </si>
  <si>
    <t>Le Bellec et al. 2006 Fruits 61:237 review; Malaysian &amp; Taiwan food composition data (white-flesh Hylocereus undatus)</t>
  </si>
  <si>
    <t>Low (no USDA SR/Foundation entry; values vary by flesh colour)</t>
  </si>
  <si>
    <t>1 medium fruit</t>
  </si>
  <si>
    <t>USDA FDC 171715 (SR 09060)</t>
  </si>
  <si>
    <t>1 handful (28 g, ~30 kernels)</t>
  </si>
  <si>
    <t>1 cup kernels</t>
  </si>
  <si>
    <t>USDA FDC 172430 (SR 16087)</t>
  </si>
  <si>
    <t>1 nut (kernel)</t>
  </si>
  <si>
    <t>Djikeng et al. 2017 (PMC5849894; dried seed: protein 24%, fat 53%, K 952 mg, Fe 18.5 mg) converted to ~35% moisture raw kernel; Arinola &amp; Adesina 2014 proximate</t>
  </si>
  <si>
    <t>Low (all published data dry-basis; Mg reported at implausible levels so null; vitamins unreported)</t>
  </si>
  <si>
    <t>1 plum tomato</t>
  </si>
  <si>
    <t>USDA FDC 170457 (SR 11529)</t>
  </si>
  <si>
    <t>1 cherry tomato</t>
  </si>
  <si>
    <t>1 cup whole</t>
  </si>
  <si>
    <t>USDA FDC 1999634 Tomatoes, grape, raw (Foundation) for kcal/fibre/vit C/K/Mg/Fe; red tomato SR 11529 for vit A/K/folate/E/B6</t>
  </si>
  <si>
    <t>Medium</t>
  </si>
  <si>
    <t>1 medium pepper</t>
  </si>
  <si>
    <t>USDA FDC 170108 (SR 11821)</t>
  </si>
  <si>
    <t>USDA FDC 170427 (SR 11333, green)</t>
  </si>
  <si>
    <t>1 pepper</t>
  </si>
  <si>
    <t>USDA FDC 170106 (SR 11819 Peppers, hot chili, red, raw)</t>
  </si>
  <si>
    <t>Medium (proxy: USDA red hot chili; no Capsicum chinense entry)</t>
  </si>
  <si>
    <t>1 chilli</t>
  </si>
  <si>
    <t>1 medium onion</t>
  </si>
  <si>
    <t>USDA FDC 170000 (SR 11282)</t>
  </si>
  <si>
    <t>1 stalk</t>
  </si>
  <si>
    <t>USDA FDC 170005 (SR 11291 scallions)</t>
  </si>
  <si>
    <t>1 bulb</t>
  </si>
  <si>
    <t>USDA FDC 170500 (SR 11677)</t>
  </si>
  <si>
    <t>1 clove</t>
  </si>
  <si>
    <t>1 cup cloves</t>
  </si>
  <si>
    <t>USDA FDC 169230 (SR 11215)</t>
  </si>
  <si>
    <t>1 thumb (5 cm)</t>
  </si>
  <si>
    <t>USDA FDC 169231 (SR 11216)</t>
  </si>
  <si>
    <t>USDA FDC 172231 Spices, turmeric, ground (SR 02043) scaled to ~80% moisture fresh rhizome</t>
  </si>
  <si>
    <t>Low (proxy: ground turmeric x0.25; fresh rhizome not in USDA)</t>
  </si>
  <si>
    <t>1 medium (20 cm), with peel</t>
  </si>
  <si>
    <t>USDA FDC 168409 (SR 11205)</t>
  </si>
  <si>
    <t>1 medium carrot</t>
  </si>
  <si>
    <t>USDA FDC 170393 (SR 11124)</t>
  </si>
  <si>
    <t>1 medium head</t>
  </si>
  <si>
    <t>USDA FDC 169975 (SR 11109)</t>
  </si>
  <si>
    <t>USDA FDC 169977 (SR 11112 red cabbage)</t>
  </si>
  <si>
    <t>USDA FDC 169247 (SR 11251)</t>
  </si>
  <si>
    <t>1 bean (10 cm)</t>
  </si>
  <si>
    <t>1 cup 1-inch pieces</t>
  </si>
  <si>
    <t>USDA FDC 169961 (SR 11052)</t>
  </si>
  <si>
    <t>1 medium cob, kernels only</t>
  </si>
  <si>
    <t>USDA FDC 169998 (SR 11167, yellow)</t>
  </si>
  <si>
    <t>1 garden egg (small round)</t>
  </si>
  <si>
    <t>Sanchez-Mata et al. 2016 J Food Compos Anal (Solanum aethiopicum scarlet group: vit C 11.6 mg, carb 3.6 g, moisture 86-88%); USDA FDC 169228 eggplant raw as proxy for vit K/folate/E/B6</t>
  </si>
  <si>
    <t>Medium (kcal/fibre/vit C from S. aethiopicum study; vit K/folate/E/B6 proxy: USDA eggplant)</t>
  </si>
  <si>
    <t>1 pod (8 cm)</t>
  </si>
  <si>
    <t>USDA FDC 169260 (SR 11278)</t>
  </si>
  <si>
    <t>USDA FDC 170379 (SR 11090)</t>
  </si>
  <si>
    <t>USDA FDC 169986 (SR 11135)</t>
  </si>
  <si>
    <t>1 beet (5 cm)</t>
  </si>
  <si>
    <t>USDA FDC 169145 (SR 11080)</t>
  </si>
  <si>
    <t>USDA FDC 169291 (SR 11477)</t>
  </si>
  <si>
    <t>1 mushroom</t>
  </si>
  <si>
    <t>USDA FDC 168580 (SR 11987 oyster mushroom)</t>
  </si>
  <si>
    <t>1 wedge (1/8 of a 2 kg pumpkin), flesh</t>
  </si>
  <si>
    <t>USDA FDC 168448 (SR 11422)</t>
  </si>
  <si>
    <t>1 medium (13 cm)</t>
  </si>
  <si>
    <t>USDA FDC 168482 (SR 11507, orange-flesh)</t>
  </si>
  <si>
    <t>USDA FDC 170026 (SR 11352)</t>
  </si>
  <si>
    <t>1 slice (2.5 cm round of a medium tuber), peeled</t>
  </si>
  <si>
    <t>USDA FDC 170071 (SR 11601)</t>
  </si>
  <si>
    <t>1 bunch, leaves stripped (as sold with stalks ~350 g)</t>
  </si>
  <si>
    <t>West African Food Composition Table (FAO 2012/2019) Telfairia occidentalis leaves raw; Nigerian studies (vit C 28 mg fresh; Fe 2.2-3.6 mg); vit A from beta-carotene ~3300 mcg; folate proxy USDA amaranth leaves</t>
  </si>
  <si>
    <t>Low (K, Mg, folate approximate/proxy; vit K, E, B6 unreported)</t>
  </si>
  <si>
    <t>1 bunch, leaves only</t>
  </si>
  <si>
    <t>1 cup raw leaves</t>
  </si>
  <si>
    <t>USDA FDC 168386 (SR 11003 Amaranth leaves, raw)</t>
  </si>
  <si>
    <t>1 bunch, leaves &amp; tender stems</t>
  </si>
  <si>
    <t>FNRI Philippine Food Composition Table (Talinum, raw leaves: 29 kcal, fibre 2.4 g, vit C 6 mg, beta-carotene 2542 mcg, K 557 mg, Fe 1.3 mg); older compilations give vit C 31 mg, Fe 5 mg</t>
  </si>
  <si>
    <t>Medium (FNRI primary; vit C varies 6-31 mg across sources)</t>
  </si>
  <si>
    <t>1 handful (1 cup)</t>
  </si>
  <si>
    <t>USDA FDC 168462 (SR 11457 Spinach, raw)</t>
  </si>
  <si>
    <t>1 bunch, leaves stripped</t>
  </si>
  <si>
    <t>USDA FDC 323505 Kale, raw (Foundation Foods)</t>
  </si>
  <si>
    <t>1 cup leaves</t>
  </si>
  <si>
    <t>Nigerian study (O. gratissimum fresh leaf: vit C 23.97 mg, K 556 mg, Ca 426 mg); other values proxy from USDA FDC 172232 Basil, fresh</t>
  </si>
  <si>
    <t>Low (proxy: USDA sweet basil for kcal, fibre, vit A/K/E/B6, folate, Mg, Fe)</t>
  </si>
  <si>
    <t>1 bunch, leaves only (before washing)</t>
  </si>
  <si>
    <t>West African Food Composition Table (FAO 2012) Vernonia amygdalina leaves raw; Nigerian/Cameroon studies (vit C 20-197 mg; Fe 1.1-7.5 mg); vit A from beta-carotene</t>
  </si>
  <si>
    <t>Low (very wide literature ranges; washing/squeezing bitter leaf removes much of the vitamin C)</t>
  </si>
  <si>
    <t>1 sprig</t>
  </si>
  <si>
    <t>1 cup loosely packed leaves</t>
  </si>
  <si>
    <t>USDA FDC 173474 (SR 02064 Spearmint, fresh)</t>
  </si>
  <si>
    <t>1 bunch</t>
  </si>
  <si>
    <t>USDA FDC 169997 (SR 11165)</t>
  </si>
  <si>
    <t>USDA FDC 170416 (SR 11297)</t>
  </si>
  <si>
    <t>1 bunch (5 leaves = 2.5 g)</t>
  </si>
  <si>
    <t>1 cup whole leaves</t>
  </si>
  <si>
    <t>USDA FDC 172232 (SR 02044 Basil, fresh)</t>
  </si>
  <si>
    <t>1 stalk, tender white part</t>
  </si>
  <si>
    <t>USDA FDC 168573 (SR 11972 Lemon grass (citronella), raw)</t>
  </si>
  <si>
    <t>1 sprig (10 cm)</t>
  </si>
  <si>
    <t>1 cup leaves (1 tbsp = 1.7 g)</t>
  </si>
  <si>
    <t>USDA SR Legacy 02063 Rosemary, fresh</t>
  </si>
  <si>
    <t>Values per 100 g raw edible portion. Blue = researched inputs (USDA FoodData Central unless the Source column says otherwise; West African items from FAO/INFOODS West African Food Composition Table or Nigerian studies). Piece and cup weights are typical averages used to convert recipe quantities to grams. Edit here and every recipe's nutrition recalculates.</t>
  </si>
  <si>
    <t>Recipe</t>
  </si>
  <si>
    <t>Subtype</t>
  </si>
  <si>
    <t>Meal</t>
  </si>
  <si>
    <t>Inspired by</t>
  </si>
  <si>
    <t>Source URL</t>
  </si>
  <si>
    <t>Reference image URL</t>
  </si>
  <si>
    <t>Local adaptation</t>
  </si>
  <si>
    <t>Serve with / you add</t>
  </si>
  <si>
    <t>Goal tags</t>
  </si>
  <si>
    <t>Diet</t>
  </si>
  <si>
    <t>Prep (min)</t>
  </si>
  <si>
    <t>Cook (min)</t>
  </si>
  <si>
    <t>Total (min)</t>
  </si>
  <si>
    <t>Effort tier</t>
  </si>
  <si>
    <t>Servings</t>
  </si>
  <si>
    <t>Est. kcal / serving</t>
  </si>
  <si>
    <t>Est. protein (g) / serving</t>
  </si>
  <si>
    <t>Produce (g) / serving</t>
  </si>
  <si>
    <t>Fibre % daily</t>
  </si>
  <si>
    <t>Vitamin C % daily</t>
  </si>
  <si>
    <t>Vitamin A % daily</t>
  </si>
  <si>
    <t>Vitamin K % daily</t>
  </si>
  <si>
    <t>Folate % daily</t>
  </si>
  <si>
    <t>Potassium % daily</t>
  </si>
  <si>
    <t>Vitamin E % daily</t>
  </si>
  <si>
    <t>Vitamin B6 % daily</t>
  </si>
  <si>
    <t>Magnesium % daily</t>
  </si>
  <si>
    <t>Iron % daily</t>
  </si>
  <si>
    <t>Strongest nutrient</t>
  </si>
  <si>
    <t>Health tagline</t>
  </si>
  <si>
    <t>Also strong in</t>
  </si>
  <si>
    <t>Health note</t>
  </si>
  <si>
    <t>Hero produce</t>
  </si>
  <si>
    <t>Basket items</t>
  </si>
  <si>
    <t>Other items</t>
  </si>
  <si>
    <t>Basket coverage</t>
  </si>
  <si>
    <t>Hits target?</t>
  </si>
  <si>
    <t>Seasonal ingredients</t>
  </si>
  <si>
    <t>Method</t>
  </si>
  <si>
    <t>Tip</t>
  </si>
  <si>
    <t>Status</t>
  </si>
  <si>
    <t>R015</t>
  </si>
  <si>
    <t>Mango &amp; Passion Fruit Overnight Oats</t>
  </si>
  <si>
    <t>Breakfast Plates</t>
  </si>
  <si>
    <t>Fruit &amp; oats</t>
  </si>
  <si>
    <t>Breakfast</t>
  </si>
  <si>
    <t>Bircher muesli (Switzerland) / overnight oats</t>
  </si>
  <si>
    <t>BBC Good Food</t>
  </si>
  <si>
    <t>https://www.bbcgoodfood.com/recipes/overnight-oats</t>
  </si>
  <si>
    <t>https://images.immediate.co.uk/production/volatile/sites/30/2020/08/overnight-oats-32a2747.jpg?resize=440%2C230</t>
  </si>
  <si>
    <t>Mango and passion fruit on top, tiger nut milk as an option.</t>
  </si>
  <si>
    <t>You add: rolled oats, yoghurt or milk, honey.</t>
  </si>
  <si>
    <t>Vegetarian</t>
  </si>
  <si>
    <t>Mango brings vitamin A (as beta-carotene), vitamin C and folate. Passion fruit is high in fibre and vitamin A and C.</t>
  </si>
  <si>
    <t>Mango, Passion fruit</t>
  </si>
  <si>
    <t>Mango (Feb-May, Aug-Sep); Passion fruit (Jan-Mar, May-Jun, Aug-Nov)</t>
  </si>
  <si>
    <t>1. Stir oats, milk, yoghurt and chia together in two jars.
2. Cover and refrigerate overnight.
3. In the morning, top with diced mango and passion fruit pulp.
4. Drizzle with honey if you like.</t>
  </si>
  <si>
    <t>Make 3 days at once for a week of grab-and-go breakfasts.</t>
  </si>
  <si>
    <t>Draft</t>
  </si>
  <si>
    <t>R016</t>
  </si>
  <si>
    <t>Pawpaw Boats with Yoghurt &amp; Groundnut Crunch</t>
  </si>
  <si>
    <t>Fruit plate</t>
  </si>
  <si>
    <t>Papaya boats (Hawaii / Bali brunch spots)</t>
  </si>
  <si>
    <t>Caroline's Cooking</t>
  </si>
  <si>
    <t>https://www.carolinescooking.com/papaya-boat/</t>
  </si>
  <si>
    <t>https://www.carolinescooking.com/wp-content/uploads/2024/04/papaya-boat-featured-pic-sq.jpg</t>
  </si>
  <si>
    <t>Crushed groundnuts and pineapple replace imported berries.</t>
  </si>
  <si>
    <t>You add: yoghurt, honey. Groundnuts from Basket.</t>
  </si>
  <si>
    <t>Weight management, Wellness</t>
  </si>
  <si>
    <t>Pawpaw is one of the richest local sources of vitamin C and beta-carotene (vitamin A), with papain for digestion. Pineapple is rich in vitamin C and manganese, and bromelain that helps digest protein.</t>
  </si>
  <si>
    <t>Pawpaw, Pineapple, Lime, Groundnut</t>
  </si>
  <si>
    <t>1. Halve the pawpaw lengthways and scoop out the seeds.
2. Fill each half with yoghurt.
3. Top with granola, pineapple and crushed groundnuts.
4. Finish with lime zest and a drizzle of honey.</t>
  </si>
  <si>
    <t>R017</t>
  </si>
  <si>
    <t>Banana Oat Pancakes with Pineapple Compote</t>
  </si>
  <si>
    <t>Pancakes</t>
  </si>
  <si>
    <t>Three-ingredient banana pancakes (US fitness)</t>
  </si>
  <si>
    <t>https://www.bbcgoodfood.com/recipes/banana-pancakes</t>
  </si>
  <si>
    <t>https://images.immediate.co.uk/production/volatile/sites/30/2020/08/banana-pancakes-6cfd286.jpg?resize=440%2C230</t>
  </si>
  <si>
    <t>Warm pineapple compote stands in for maple syrup and berries.</t>
  </si>
  <si>
    <t>You add: eggs, oats, a little oil. Honey or yoghurt on top.</t>
  </si>
  <si>
    <t>Banana is the easy potassium and vitamin B6 source. Pineapple is rich in vitamin C and manganese, and bromelain that helps digest protein.</t>
  </si>
  <si>
    <t>Banana, Pineapple, Lime</t>
  </si>
  <si>
    <t>1. Blend bananas, eggs, oats and cinnamon into a thick batter.
2. Cook small pancakes in a lightly oiled pan, 2 minutes a side.
3. Simmer pineapple with lime juice for 5 minutes until jammy.
4. Stack the pancakes and spoon the compote over.</t>
  </si>
  <si>
    <t>R018</t>
  </si>
  <si>
    <t>Shakshuka with Tatashe &amp; Efo</t>
  </si>
  <si>
    <t>Egg sauce</t>
  </si>
  <si>
    <t>Brunch</t>
  </si>
  <si>
    <t>Shakshuka (North Africa / Middle East)</t>
  </si>
  <si>
    <t>https://www.bbcgoodfood.com/recipes/shakshuka</t>
  </si>
  <si>
    <t>https://images.immediate.co.uk/production/volatile/sites/30/2020/08/recipe-image-legacy-id-12141_11-fd804a3.jpg?resize=440%2C230</t>
  </si>
  <si>
    <t>The sauce is basically a lighter obe ata. Greens folded in at the end.</t>
  </si>
  <si>
    <t>Agege bread, toast or boiled yam. You add: eggs, oil.</t>
  </si>
  <si>
    <t>Tomatoes bring vitamin C and lycopene; cooking them in a little oil makes the lycopene easier to absorb. Tatashe (red bell pepper) has about twice the vitamin C of an orange by weight, plus beta-carotene.</t>
  </si>
  <si>
    <t>Tomato, Red bell pepper, Scotch bonnet, Onion</t>
  </si>
  <si>
    <t>1. Soften chopped onion and garlic in oil.
2. Add chopped tomatoes, tatashe, ata rodo and cumin. Simmer 10 minutes until thick.
3. Stir in the efo tete, then make four wells and crack in the eggs.
4. Cover and cook 5 to 6 minutes until the whites set. Serve with bread.</t>
  </si>
  <si>
    <t>R019</t>
  </si>
  <si>
    <t>Avocado Toast with Ata Rodo Salsa</t>
  </si>
  <si>
    <t>Toast topper</t>
  </si>
  <si>
    <t>Avocado toast (Australian cafe culture)</t>
  </si>
  <si>
    <t>Love and Lemons</t>
  </si>
  <si>
    <t>https://www.loveandlemons.com/avocado-toast-recipe/</t>
  </si>
  <si>
    <t>https://cdn.loveandlemons.com/wp-content/uploads/opengraph/2020/01/how-to-make-avocado-toast.jpg</t>
  </si>
  <si>
    <t>A fresh tomato, onion and ata rodo salsa on top instead of chilli flakes.</t>
  </si>
  <si>
    <t>You add: bread (sourdough, wholewheat or Agege), optional fried egg.</t>
  </si>
  <si>
    <t>Wellness, Weight management</t>
  </si>
  <si>
    <t>Avocado gives potassium, folate, vitamin E and heart-friendly fats that help absorb vitamins from the rest of the plate. Tomatoes bring vitamin C and lycopene; cooking them in a little oil makes the lycopene easier to absorb.</t>
  </si>
  <si>
    <t>Avocado, Tomato, Onion, Scotch bonnet</t>
  </si>
  <si>
    <t>1. Toast the bread.
2. Mash avocado with half the lime juice and a pinch of salt.
3. Dice tomato, onion and ata rodo and toss with the rest of the lime.
4. Spread avocado, spoon over salsa, top with sliced boiled egg if using.</t>
  </si>
  <si>
    <t>R020</t>
  </si>
  <si>
    <t>Sweet Potato Breakfast Hash</t>
  </si>
  <si>
    <t>Hash</t>
  </si>
  <si>
    <t>American diner hash</t>
  </si>
  <si>
    <t>Budget Bytes</t>
  </si>
  <si>
    <t>https://www.budgetbytes.com/sweet-potato-hash/</t>
  </si>
  <si>
    <t>https://www.budgetbytes.com/wp-content/uploads/2023/12/Sweet-Potato-Hash-Plated.jpg</t>
  </si>
  <si>
    <t>Sweet potato is cheaper locally than Irish potato and keeps you full longer.</t>
  </si>
  <si>
    <t>You add: eggs, oil. Optional sausage or leftover chicken.</t>
  </si>
  <si>
    <t>Sweet potato is one of the best vitamin A sources available, with potassium and fibre. Tatashe (red bell pepper) has about twice the vitamin C of an orange by weight, plus beta-carotene.</t>
  </si>
  <si>
    <t>Sweet potato, Onion, Red bell pepper, Amaranth greens</t>
  </si>
  <si>
    <t>1. Dice sweet potatoes small and fry in oil for 10 minutes until golden.
2. Add onion and tatashe, cook 4 minutes. Season with paprika and salt.
3. Stir in efo tete until wilted.
4. Make wells, crack in eggs, cover until set. Finish with spring onion.</t>
  </si>
  <si>
    <t>R022</t>
  </si>
  <si>
    <t>Tropical Parfait with Tiger Nut Crumble</t>
  </si>
  <si>
    <t>Parfait</t>
  </si>
  <si>
    <t>Breakfast / Snack</t>
  </si>
  <si>
    <t>Yoghurt parfait (France / US cafes)</t>
  </si>
  <si>
    <t>Dishes Delish</t>
  </si>
  <si>
    <t>https://dishesdelish.com/yogurt-parfait/</t>
  </si>
  <si>
    <t>https://dishesdelish.com/wp-content/uploads/2025/02/yogurt-parfait-horizontal-1200.jpg</t>
  </si>
  <si>
    <t>Tiger nut and coconut crumble replaces store-bought granola.</t>
  </si>
  <si>
    <t>You add: Greek yoghurt, honey, granola or oats.</t>
  </si>
  <si>
    <t>Pineapple is rich in vitamin C and manganese, and bromelain that helps digest protein. Banana is the easy potassium and vitamin B6 source.</t>
  </si>
  <si>
    <t>Pineapple, Banana, Mango, Tiger nut</t>
  </si>
  <si>
    <t>Mango (Feb-May, Aug-Sep); Tiger nut (Nov-May, Jul-Sep)</t>
  </si>
  <si>
    <t>1. Chop tiger nuts roughly and toast with grated coconut in a dry pan for 3 minutes.
2. Dice pineapple, banana and mango.
3. Layer yoghurt, fruit and crumble in two glasses.
4. Finish with honey.</t>
  </si>
  <si>
    <t>Off season, pawpaw replaces mango.</t>
  </si>
  <si>
    <t>R023</t>
  </si>
  <si>
    <t>Coconut Chia Pudding with Mango</t>
  </si>
  <si>
    <t>Breakfast / Dessert</t>
  </si>
  <si>
    <t>Chia pudding (wellness cafes)</t>
  </si>
  <si>
    <t>Downshiftology</t>
  </si>
  <si>
    <t>https://downshiftology.com/recipes/how-to-make-chia-seed-pudding/</t>
  </si>
  <si>
    <t>https://i2.wp.com/www.downshiftology.com/wp-content/uploads/2020/01/Chia-Pudding-main.jpg</t>
  </si>
  <si>
    <t>Fresh coconut milk and dates instead of canned milk and maple syrup.</t>
  </si>
  <si>
    <t>You add: chia seeds, coconut milk, honey.</t>
  </si>
  <si>
    <t>Plant-based, Wellness</t>
  </si>
  <si>
    <t>Vegan</t>
  </si>
  <si>
    <t>Fresh coconut adds fibre, manganese and satisfying fat. Dates bring potassium, magnesium and fibre with natural sweetness.</t>
  </si>
  <si>
    <t>Coconut, Dates, Mango, Lime</t>
  </si>
  <si>
    <t>Mango (Feb-May, Aug-Sep)</t>
  </si>
  <si>
    <t>1. Blend coconut flesh with warm water and dates, then strain to get sweet coconut milk.
2. Stir chia seeds into the milk and leave 10 minutes, then stir again.
3. Refrigerate at least 4 hours.
4. Top with diced mango and lime zest.</t>
  </si>
  <si>
    <t>R055</t>
  </si>
  <si>
    <t>Egg &amp; Avocado Breakfast Wrap</t>
  </si>
  <si>
    <t>Wrap</t>
  </si>
  <si>
    <t>Breakfast burrito (US Southwest)</t>
  </si>
  <si>
    <t>https://www.loveandlemons.com/breakfast-burrito/</t>
  </si>
  <si>
    <t>https://cdn.loveandlemons.com/wp-content/uploads/2026/08/breakfast-burrito-recipe.jpg</t>
  </si>
  <si>
    <t>The filling is a Nigerian egg sauce: tomato, onion and pepper scrambled with eggs.</t>
  </si>
  <si>
    <t>You add: eggs, tortilla or shawarma bread, cheese if you like.</t>
  </si>
  <si>
    <t>1. Saute diced onion, tomatoes and ata rodo in oil for 3 minutes.
2. Add efo, then the beaten eggs. Scramble softly.
3. Warm the wraps and spread with mashed avocado.
4. Fill with eggs and roll.</t>
  </si>
  <si>
    <t>R024</t>
  </si>
  <si>
    <t>Chilli-Lime Fruit Cup (Yaji Edition)</t>
  </si>
  <si>
    <t>Fruit Plates &amp; Desserts</t>
  </si>
  <si>
    <t>Mexican fruit cup with chile and lime (Tajin)</t>
  </si>
  <si>
    <t>Isabel Eats</t>
  </si>
  <si>
    <t>https://www.isabeleats.com/mexican-fruit-cups/</t>
  </si>
  <si>
    <t>https://www.isabeleats.com/wp-content/uploads/2019/08/mexican-fruit-cups-029-small.jpg</t>
  </si>
  <si>
    <t>Yaji replaces Tajin. Same salty, spicy, sour hit on cold fruit.</t>
  </si>
  <si>
    <t>You add: yaji (suya spice) and a pinch of salt.</t>
  </si>
  <si>
    <t>Watermelon is 92% water with potassium and lycopene: a hydration fruit. Pineapple is rich in vitamin C and manganese, and bromelain that helps digest protein.</t>
  </si>
  <si>
    <t>Watermelon, Pineapple, Pawpaw, Cucumber</t>
  </si>
  <si>
    <t>1. Cut all the fruit and cucumber into spears or chunks.
2. Pile into cups.
3. Squeeze lime over generously.
4. Dust with yaji and a pinch of salt just before eating.</t>
  </si>
  <si>
    <t>A strong candidate for a ready-to-eat snack box.</t>
  </si>
  <si>
    <t>R084</t>
  </si>
  <si>
    <t>Banana Groundnut Nice Cream</t>
  </si>
  <si>
    <t>Frozen dessert</t>
  </si>
  <si>
    <t>Dessert</t>
  </si>
  <si>
    <t>'Nice cream' (vegan frozen banana dessert)</t>
  </si>
  <si>
    <t>https://www.loveandlemons.com/banana-ice-cream/</t>
  </si>
  <si>
    <t>https://cdn.loveandlemons.com/wp-content/uploads/2025/06/banana-ice-cream-social.jpg</t>
  </si>
  <si>
    <t>Roasted groundnuts and dates make it taste like a Nigerian childhood treat.</t>
  </si>
  <si>
    <t>You add: groundnut paste or roasted groundnuts, cocoa if you like.</t>
  </si>
  <si>
    <t>Plant-based, Training</t>
  </si>
  <si>
    <t>Banana is the easy potassium and vitamin B6 source. Dates bring potassium, magnesium and fibre with natural sweetness.</t>
  </si>
  <si>
    <t>Banana, Groundnut, Dates</t>
  </si>
  <si>
    <t>1. Slice ripe bananas and freeze for at least 4 hours.
2. Blend frozen banana with dates and a splash of milk until creamy.
3. Pulse in half the groundnuts.
4. Serve straight away, topped with the rest of the groundnuts and cinnamon.</t>
  </si>
  <si>
    <t>The best use for overripe bananas. Pairs well with a discounted 'smoothie bananas' SKU.</t>
  </si>
  <si>
    <t>R085</t>
  </si>
  <si>
    <t>Grilled Pineapple with Coconut &amp; Lime</t>
  </si>
  <si>
    <t>Warm dessert</t>
  </si>
  <si>
    <t>Abacaxi assado (Brazilian churrasco dessert)</t>
  </si>
  <si>
    <t>This Healthy Table</t>
  </si>
  <si>
    <t>https://thishealthytable.com/blog/grilled-pineapple/</t>
  </si>
  <si>
    <t>https://thishealthytable.com/wp-content/uploads/2022/08/grilled-pineapple.jpg</t>
  </si>
  <si>
    <t>Toasted fresh coconut and lime zest.</t>
  </si>
  <si>
    <t>You add: a little honey or brown sugar. Coconut from Basket.</t>
  </si>
  <si>
    <t>Wellness, Plant-based</t>
  </si>
  <si>
    <t>Pineapple is rich in vitamin C and manganese, and bromelain that helps digest protein. Fresh coconut adds fibre, manganese and satisfying fat.</t>
  </si>
  <si>
    <t>Pineapple, Coconut, Lime</t>
  </si>
  <si>
    <t>1. Cut pineapple into thick wedges.
2. Brush with honey and dust with cinnamon.
3. Grill or pan-sear until caramelised, 3 minutes a side.
4. Toast grated coconut in a dry pan. Scatter over with lime zest.</t>
  </si>
  <si>
    <t>R086</t>
  </si>
  <si>
    <t>Mango Coconut Rice Pudding</t>
  </si>
  <si>
    <t>Khao niao mamuang / mango sticky rice (Thailand)</t>
  </si>
  <si>
    <t>The Wanderlust Kitchen</t>
  </si>
  <si>
    <t>https://thewanderlustkitchen.com/thai-mango-sticky-rice/</t>
  </si>
  <si>
    <t>https://thewanderlustkitchen.com/wp-content/uploads/2021/10/thai-mango-sticky-rice-square-1200-1.jpg</t>
  </si>
  <si>
    <t>Local rice cooked in fresh coconut milk and sweetened with dates.</t>
  </si>
  <si>
    <t>You add: rice, coconut milk, sugar.</t>
  </si>
  <si>
    <t>Fresh coconut adds fibre, manganese and satisfying fat. Mango brings vitamin A (as beta-carotene), vitamin C and folate.</t>
  </si>
  <si>
    <t>Coconut, Mango, Dates, Lime</t>
  </si>
  <si>
    <t>1. Make coconut milk from the coconut, blending in the dates.
2. Simmer rice in the coconut milk with a pinch of salt, stirring often, for 25 to 30 minutes until creamy.
3. Cool slightly and stir in lime zest.
4. Serve topped with sliced mango.</t>
  </si>
  <si>
    <t>Best Feb to May.</t>
  </si>
  <si>
    <t>R088</t>
  </si>
  <si>
    <t>No-Churn Mango Passion Sorbet</t>
  </si>
  <si>
    <t>Sorbet (Italy / France)</t>
  </si>
  <si>
    <t>Inspired by Charm</t>
  </si>
  <si>
    <t>https://inspiredbycharm.com/mango-sorbet-no-churn-recipe/</t>
  </si>
  <si>
    <t>https://inspiredbycharm.com/wp-content/uploads/2022/07/recipe-for-homemade-mango-sorbet.jpg</t>
  </si>
  <si>
    <t>Ripe local mangoes need almost no sugar.</t>
  </si>
  <si>
    <t>You add: honey or condensed milk if the mango is not sweet enough.</t>
  </si>
  <si>
    <t>Mango, Passion fruit, Lime</t>
  </si>
  <si>
    <t>1. Peel and cube mangoes and freeze for 4 hours.
2. Blend frozen mango with passion fruit pulp, lime and honey until smooth.
3. Serve soft, or freeze 1 hour for scoops.</t>
  </si>
  <si>
    <t>R025</t>
  </si>
  <si>
    <t>Garden Egg Chopped Salad</t>
  </si>
  <si>
    <t>Salads &amp; Cooked Sides</t>
  </si>
  <si>
    <t>Salad</t>
  </si>
  <si>
    <t>Lunch / Side</t>
  </si>
  <si>
    <t>Shirazi / Israeli chopped salad</t>
  </si>
  <si>
    <t>Saveur</t>
  </si>
  <si>
    <t>https://www.saveur.com/article/Recipes/Israeli-Chopped-Salad/</t>
  </si>
  <si>
    <t>https://www.saveur.com/uploads/2019/03/18/VEJGMTPDVYRJWH2QBJJJBROTRI.jpg?auto=webp</t>
  </si>
  <si>
    <t>Raw garden egg adds a crunchy, slightly bitter bite.</t>
  </si>
  <si>
    <t>Side for grilled chicken, fish, jollof or fried rice. You add: oil, lemon, salt.</t>
  </si>
  <si>
    <t>Garden egg is high in fibre and potassium and very low in calories. Tomatoes bring vitamin C and lycopene; cooking them in a little oil makes the lycopene easier to absorb.</t>
  </si>
  <si>
    <t>Garden egg, Tomato, Cucumber, Onion</t>
  </si>
  <si>
    <t>Garden egg (Jan-Oct)</t>
  </si>
  <si>
    <t>1. Dice garden eggs, tomatoes, cucumber and onion into small even pieces.
2. Chop the parsley.
3. Dress with lemon juice, olive oil and salt.
4. Rest 5 minutes before serving.</t>
  </si>
  <si>
    <t>Scent leaf instead of parsley gives it a distinctly Nigerian finish.</t>
  </si>
  <si>
    <t>R026</t>
  </si>
  <si>
    <t>Grilled Pineapple &amp; Chicken Salad</t>
  </si>
  <si>
    <t>Lunch / Dinner</t>
  </si>
  <si>
    <t>Hawaiian grilled chicken salad</t>
  </si>
  <si>
    <t>RecipeTin Eats</t>
  </si>
  <si>
    <t>https://www.recipetineats.com/hawaiian-chicken-salad/</t>
  </si>
  <si>
    <t>https://www.recipetineats.com/tachyon/2016/06/Hawaiian-Chicken-Salad-Lime-Dressing_3.jpg</t>
  </si>
  <si>
    <t>Yaji-rubbed chicken and local lettuce.</t>
  </si>
  <si>
    <t>You add: grilled chicken, oil, honey.</t>
  </si>
  <si>
    <t>Contains meat</t>
  </si>
  <si>
    <t>Pineapple is rich in vitamin C and manganese, and bromelain that helps digest protein. Cucumber is mostly water with vitamin K, for hydration and crunch.</t>
  </si>
  <si>
    <t>Pineapple, Lettuce, Cucumber, Red bell pepper</t>
  </si>
  <si>
    <t>1. Rub chicken with yaji, oil and salt. Grill or pan-fry 6 minutes a side.
2. Grill pineapple rings until charred.
3. Whisk lime juice, honey and oil into a dressing.
4. Toss lettuce, cucumber, tatashe and spring onion with dressing. Top with sliced chicken and pineapple.</t>
  </si>
  <si>
    <t>R027</t>
  </si>
  <si>
    <t>Avocado, Mango &amp; Cucumber Salad</t>
  </si>
  <si>
    <t>Mexican mango and avocado salad</t>
  </si>
  <si>
    <t>My Ginger Garlic Kitchen</t>
  </si>
  <si>
    <t>https://www.mygingergarlickitchen.com/mango-avocado-salad/</t>
  </si>
  <si>
    <t>https://www.mygingergarlickitchen.com/wp-content/uploads/2025/07/mango-avocado-salad-recipe-4.jpg</t>
  </si>
  <si>
    <t>Ata rodo for heat, coriander for freshness.</t>
  </si>
  <si>
    <t>Side for grilled fish or suya. You add: oil, lime, salt.</t>
  </si>
  <si>
    <t>Avocado gives potassium, folate, vitamin E and heart-friendly fats that help absorb vitamins from the rest of the plate. Mango brings vitamin A (as beta-carotene), vitamin C and folate.</t>
  </si>
  <si>
    <t>Avocado, Mango, Cucumber, Onion</t>
  </si>
  <si>
    <t>1. Cube avocado, mango and cucumber.
2. Finely slice onion and ata rodo.
3. Toss with lime juice, olive oil and salt.
4. Scatter coriander over the top.</t>
  </si>
  <si>
    <t>Best Feb to May. Use pineapple off season.</t>
  </si>
  <si>
    <t>R028</t>
  </si>
  <si>
    <t>Watermelon, Cucumber &amp; Grilled Wara Salad</t>
  </si>
  <si>
    <t>Watermelon and feta salad (Greece / Levant)</t>
  </si>
  <si>
    <t>https://www.bbcgoodfood.com/recipes/watermelon-feta-salad</t>
  </si>
  <si>
    <t>https://images.immediate.co.uk/production/volatile/sites/30/2020/08/gfmelons_salad-2a5c171.jpg?resize=440%2C230</t>
  </si>
  <si>
    <t>Grilled wara (local soft cheese) replaces feta.</t>
  </si>
  <si>
    <t>You add: wara (local soft cheese) or feta, oil.</t>
  </si>
  <si>
    <t>Watermelon is 92% water with potassium and lycopene: a hydration fruit. Cucumber is mostly water with vitamin K, for hydration and crunch.</t>
  </si>
  <si>
    <t>Watermelon, Cucumber, Onion, Mint</t>
  </si>
  <si>
    <t>1. Slice wara and sear in a hot pan until golden on both sides.
2. Cube watermelon and cucumber, thinly slice the onion.
3. Toss with lime juice, mint and olive oil.
4. Top with the warm wara and black pepper.</t>
  </si>
  <si>
    <t>R029</t>
  </si>
  <si>
    <t>Lighter Chicken Caesar Salad</t>
  </si>
  <si>
    <t>Caesar salad (Tijuana, Mexico)</t>
  </si>
  <si>
    <t>Serious Eats</t>
  </si>
  <si>
    <t>https://www.seriouseats.com/the-best-caesar-salad-recipe</t>
  </si>
  <si>
    <t>https://www.seriouseats.com/thmb/Fi_FEyVa3_-_uzfXh6OdLrzal2M=/1500x0/filters:no_upscale():max_bytes(150000):strip_icc()/the-best-caesar-salad-recipe-06-40e70f549ba2489db09355abd62f79a9.jpg</t>
  </si>
  <si>
    <t>Yoghurt, garlic and lemon dressing instead of a mayo-heavy one.</t>
  </si>
  <si>
    <t>You add: grilled chicken, yoghurt, parmesan or any hard cheese, bread for croutons.</t>
  </si>
  <si>
    <t>Tomatoes bring vitamin C and lycopene; cooking them in a little oil makes the lycopene easier to absorb. Lemon juice adds vitamin C and helps the body absorb plant iron from greens.</t>
  </si>
  <si>
    <t>Lettuce, Tomato, Lemon, Garlic</t>
  </si>
  <si>
    <t>1. Season and grill the chicken, then slice.
2. Whisk yoghurt, grated garlic, lemon juice, mustard and half the parmesan.
3. Tear lettuce and toss with tomatoes and dressing.
4. Top with chicken, croutons and the rest of the parmesan.</t>
  </si>
  <si>
    <t>R030</t>
  </si>
  <si>
    <t>Crunchy Groundnut Cabbage Slaw</t>
  </si>
  <si>
    <t>Slaw</t>
  </si>
  <si>
    <t>Side / Lunch</t>
  </si>
  <si>
    <t>Thai / Asian slaw with peanut dressing</t>
  </si>
  <si>
    <t>https://www.recipetineats.com/asian-slaw/</t>
  </si>
  <si>
    <t>https://www.recipetineats.com/tachyon/2014/07/Asian-Slaw_2.jpg</t>
  </si>
  <si>
    <t>Local groundnut paste and both cabbages.</t>
  </si>
  <si>
    <t>Side for jollof, fried rice, suya or grilled chicken. You add: groundnut paste, soy sauce.</t>
  </si>
  <si>
    <t>Plant-based, Weight management</t>
  </si>
  <si>
    <t>Purple cabbage has even more vitamin C than white, plus anthocyanins. Carrot is the classic vitamin A source: one carrot covers a day's beta-carotene.</t>
  </si>
  <si>
    <t>Cabbage, Purple cabbage, Carrot, Spring onion</t>
  </si>
  <si>
    <t>1. Finely shred both cabbages and julienne the carrots.
2. Whisk groundnut paste, lime juice, grated ginger, soy and honey with a splash of water.
3. Toss vegetables with dressing.
4. Top with spring onion, coriander and roasted groundnuts.</t>
  </si>
  <si>
    <t>Holds well for 2 days, so it is a good meal-prep side.</t>
  </si>
  <si>
    <t>R031</t>
  </si>
  <si>
    <t>Greek Salad with Wara</t>
  </si>
  <si>
    <t>Horiatiki (Greece)</t>
  </si>
  <si>
    <t>https://www.saveur.com/article/Recipes/Greek-Salad-Horiatiki/</t>
  </si>
  <si>
    <t>https://www.saveur.com/uploads/2019/01/22/PFWVJL672VPBJNPJ4G7CYAT5MA.jpg?auto=webp</t>
  </si>
  <si>
    <t>Wara replaces feta, local green pepper stays.</t>
  </si>
  <si>
    <t>You add: wara or feta, olives, olive oil.</t>
  </si>
  <si>
    <t>Tomatoes bring vitamin C and lycopene; cooking them in a little oil makes the lycopene easier to absorb. Cucumber is mostly water with vitamin K, for hydration and crunch.</t>
  </si>
  <si>
    <t>Tomato, Cucumber, Green / yellow bell pepper, Onion</t>
  </si>
  <si>
    <t>1. Cut tomatoes and cucumber into chunks.
2. Slice green pepper and onion into rings.
3. Add olives and cubes of wara.
4. Dress with olive oil, lemon and oregano.</t>
  </si>
  <si>
    <t>R032</t>
  </si>
  <si>
    <t>Orange, Spinach &amp; Tiger Nut Salad</t>
  </si>
  <si>
    <t>Californian citrus spinach salad</t>
  </si>
  <si>
    <t>https://www.loveandlemons.com/spinach-salad/</t>
  </si>
  <si>
    <t>https://cdn.loveandlemons.com/wp-content/uploads/opengraph/2023/11/spinach-salad-1.jpg</t>
  </si>
  <si>
    <t>Local oranges or tangerines and tiger nuts for crunch.</t>
  </si>
  <si>
    <t>You add: oil, honey, mustard. Tiger nuts from Basket.</t>
  </si>
  <si>
    <t>Spinach is one of the richest sources of vitamin K and folate, with iron and magnesium. One orange covers most of a day's vitamin C and adds folate and potassium.</t>
  </si>
  <si>
    <t>Baby spinach, Orange, Onion, Tiger nut</t>
  </si>
  <si>
    <t>Tiger nut (Nov-May, Jul-Sep)</t>
  </si>
  <si>
    <t>1. Peel and segment the oranges, saving the juice.
2. Whisk saved juice with lemon, honey and olive oil.
3. Toss spinach, onion, avocado and orange segments with the dressing.
4. Scatter sliced tiger nuts on top.</t>
  </si>
  <si>
    <t>Best Oct to Jan when citrus is at its peak. Use dates instead of honey to keep it vegan.</t>
  </si>
  <si>
    <t>R033</t>
  </si>
  <si>
    <t>Roast Sweet Potato &amp; Efo Salad</t>
  </si>
  <si>
    <t>Lunch</t>
  </si>
  <si>
    <t>Roasted sweet potato and kale salad (US)</t>
  </si>
  <si>
    <t>Primavera Kitchen</t>
  </si>
  <si>
    <t>https://www.primaverakitchen.com/roasted-sweet-potato-kale-salad/</t>
  </si>
  <si>
    <t>https://www.primaverakitchen.com/wp-content/uploads/2017/01/Sweet-Potato-Kale-Salad-2.jpg</t>
  </si>
  <si>
    <t>Young efo tete or ugu replaces kale.</t>
  </si>
  <si>
    <t>Lunch on its own or beside grilled chicken. You add: oil, lemon.</t>
  </si>
  <si>
    <t>Sweet potato is one of the best vitamin A sources available, with potassium and fibre. Efo tete brings vitamin K, vitamin A, folate, iron, calcium and magnesium.</t>
  </si>
  <si>
    <t>Sweet potato, Amaranth greens, Onion, Groundnut</t>
  </si>
  <si>
    <t>1. Cube sweet potatoes, toss with oil, paprika and salt. Roast at 200C for 25 minutes.
2. Massage the efo with a little salt and lime juice for 1 minute.
3. Whisk remaining lime with honey and a splash of oil.
4. Toss warm potatoes with greens and onion, top with groundnuts.</t>
  </si>
  <si>
    <t>R034</t>
  </si>
  <si>
    <t>Black-Eyed Bean 'Lagos Caviar'</t>
  </si>
  <si>
    <t>Texas caviar (US South)</t>
  </si>
  <si>
    <t>American Heart Association Recipes</t>
  </si>
  <si>
    <t>https://recipes.heart.org/en/recipes/texas-caviar</t>
  </si>
  <si>
    <t>https://recipes.heart.org/-/media/AHA/Recipe/Recipe-Images/Texas-Caviar-DP.jpg?sc_lang=en&amp;hash=DB2552F8DC5A394460E10C009D425865</t>
  </si>
  <si>
    <t>Black-eyed beans are the original bean in the US recipe. Tatashe and ata rodo bring it home.</t>
  </si>
  <si>
    <t>Side or dip with yam chips. You add: cooked black-eyed beans (ewa), oil, lime.</t>
  </si>
  <si>
    <t>Sweet corn brings fibre, B vitamins and slow-release carbohydrate. Tatashe (red bell pepper) has about twice the vitamin C of an orange by weight, plus beta-carotene.</t>
  </si>
  <si>
    <t>Sweet corn, Red bell pepper, Tomato, Onion</t>
  </si>
  <si>
    <t>Sweet corn (Apr-Aug)</t>
  </si>
  <si>
    <t>1. Cook the beans until just tender (or use leftover beans). Cool.
2. Boil or char the corn and cut off the kernels.
3. Dice tatashe, tomatoes, onion and ata rodo.
4. Toss everything with lime juice, olive oil, salt and coriander.</t>
  </si>
  <si>
    <t>Even better the next day.</t>
  </si>
  <si>
    <t>R035</t>
  </si>
  <si>
    <t>Lagos Nicoise</t>
  </si>
  <si>
    <t>Salade nicoise (Nice, France)</t>
  </si>
  <si>
    <t>https://www.bbcgoodfood.com/recipes/salade-nicoise</t>
  </si>
  <si>
    <t>https://images.immediate.co.uk/production/volatile/sites/30/2020/08/salade-nicoise-565173e.jpg?resize=440%2C230</t>
  </si>
  <si>
    <t>Jos potatoes and green beans with canned tuna or sardines.</t>
  </si>
  <si>
    <t>You add: boiled eggs, tinned or grilled fish, potatoes, oil.</t>
  </si>
  <si>
    <t>Pescatarian</t>
  </si>
  <si>
    <t>Potatoes bring potassium, vitamin C and vitamin B6. Green beans bring fibre, vitamin K and folate.</t>
  </si>
  <si>
    <t>Irish potato, Green beans, Tomato, Lettuce</t>
  </si>
  <si>
    <t>1. Boil potatoes until tender. Add green beans for the last 3 minutes. Boil the eggs.
2. Whisk lemon juice, mustard, olive oil and salt.
3. Arrange lettuce, potatoes, beans, tomatoes, onion, tuna, halved eggs and olives.
4. Spoon over the dressing.</t>
  </si>
  <si>
    <t>R036</t>
  </si>
  <si>
    <t>Green Pawpaw Salad</t>
  </si>
  <si>
    <t>Som tam (Thailand)</t>
  </si>
  <si>
    <t>Hot Thai Kitchen</t>
  </si>
  <si>
    <t>https://hot-thai-kitchen.com/papaya-salad-v3/</t>
  </si>
  <si>
    <t>https://hot-thai-kitchen.com/wp-content/uploads/2016/06/papaya-salad-new-sq.jpg</t>
  </si>
  <si>
    <t>Unripe Nigerian pawpaw is the same fruit Thai cooks use. Groundnuts replace peanuts.</t>
  </si>
  <si>
    <t>Side for grilled fish or chicken. You add: fish sauce or soy, groundnuts, lime.</t>
  </si>
  <si>
    <t>Pawpaw is one of the richest local sources of vitamin C and beta-carotene (vitamin A), with papain for digestion. Carrot is the classic vitamin A source: one carrot covers a day's beta-carotene.</t>
  </si>
  <si>
    <t>Pawpaw, Carrot, Tomato, Garlic</t>
  </si>
  <si>
    <t>1. Peel and finely shred the green pawpaw and carrot.
2. Pound garlic and ata rodo, then add lime, fish sauce and honey.
3. Lightly bruise tomatoes and green beans in the dressing.
4. Toss with pawpaw and carrot. Top with groundnuts.</t>
  </si>
  <si>
    <t>Use soy sauce instead of fish sauce to make it vegan.</t>
  </si>
  <si>
    <t>R037</t>
  </si>
  <si>
    <t>Moroccan Carrot &amp; Orange Salad</t>
  </si>
  <si>
    <t>Side</t>
  </si>
  <si>
    <t>Moroccan carrot salad</t>
  </si>
  <si>
    <t>Taste of Maroc</t>
  </si>
  <si>
    <t>https://tasteofmaroc.com/moroccan-carrot-and-orange-salad/</t>
  </si>
  <si>
    <t>https://tasteofmaroc.com/wp-content/uploads/2017/10/carrot-oange-salad-nada-1.jpg</t>
  </si>
  <si>
    <t>Jos carrots, local oranges and fresh mint.</t>
  </si>
  <si>
    <t>Side for grilled meat or couscous. You add: oil, cumin, honey.</t>
  </si>
  <si>
    <t>Carrot is the classic vitamin A source: one carrot covers a day's beta-carotene. One orange covers most of a day's vitamin C and adds folate and potassium.</t>
  </si>
  <si>
    <t>Carrot, Orange, Mint, Lemon</t>
  </si>
  <si>
    <t>1. Coarsely grate the carrots.
2. Segment the orange and add the juice.
3. Season with lemon, cumin, cinnamon, olive oil and salt.
4. Toss with torn mint.</t>
  </si>
  <si>
    <t>R038</t>
  </si>
  <si>
    <t>Beetroot, Orange &amp; Avocado Salad</t>
  </si>
  <si>
    <t>Bistro beet and citrus salad</t>
  </si>
  <si>
    <t>https://www.loveandlemons.com/beet-salad-recipe/</t>
  </si>
  <si>
    <t>https://cdn.loveandlemons.com/wp-content/uploads/opengraph/2021/11/beet-salad-1.jpg</t>
  </si>
  <si>
    <t>Local beetroot, boiled rather than roasted to save gas.</t>
  </si>
  <si>
    <t>Side or light lunch. You add: oil, lemon, optional wara.</t>
  </si>
  <si>
    <t>Beetroot brings folate, manganese and nitrates linked to blood flow. One orange covers most of a day's vitamin C and adds folate and potassium.</t>
  </si>
  <si>
    <t>Beetroot, Orange, Avocado, Lettuce</t>
  </si>
  <si>
    <t>1. Boil beetroot until tender, about 40 minutes. Cool, peel and slice.
2. Segment the orange and slice the avocado.
3. Arrange on lettuce with onion.
4. Dress with lemon, honey and olive oil. Top with groundnuts.</t>
  </si>
  <si>
    <t>R039</t>
  </si>
  <si>
    <t>Kachumbari</t>
  </si>
  <si>
    <t>Kachumbari (Kenya / Tanzania)</t>
  </si>
  <si>
    <t>Grantourismo Travels</t>
  </si>
  <si>
    <t>https://grantourismotravels.com/kachumbari-recipe-kenyan-salad/</t>
  </si>
  <si>
    <t>https://grantourismotravels.com/wp-content/uploads/2025/10/Kachumbari-Recipe-for-a-Kenyan-Salad-©-Copyright-2025-Terence-Carter-Grantourismo-T.jpg</t>
  </si>
  <si>
    <t>Ata rodo for heat. Built to sit next to grilled fish, suya or rice.</t>
  </si>
  <si>
    <t>Side for jollof, suya, grilled fish or beans. You add: lime, salt.</t>
  </si>
  <si>
    <t>Weight management, Plant-based</t>
  </si>
  <si>
    <t>Tomato, Onion, Cucumber, Scotch bonnet</t>
  </si>
  <si>
    <t>1. Dice tomatoes and cucumber.
2. Slice onion very thinly and rinse in cold water to tame it.
3. Finely chop ata rodo and coriander.
4. Toss with lime juice and salt.</t>
  </si>
  <si>
    <t>R089</t>
  </si>
  <si>
    <t>Crunchy Apple, Pear &amp; Grape Salad</t>
  </si>
  <si>
    <t>Lunch / Snack</t>
  </si>
  <si>
    <t>Waldorf salad (New York, US)</t>
  </si>
  <si>
    <t>Simply Recipes</t>
  </si>
  <si>
    <t>https://www.simplyrecipes.com/recipes/waldorf_salad/</t>
  </si>
  <si>
    <t>https://www.simplyrecipes.com/thmb/1andE66Sp56BsvCPyPZODLzmppA=/1500x0/filters:no_upscale():max_bytes(150000):strip_icc()/__opt__aboutcom__coeus__resources__content_migration__simply_recipes__uploads__2007__10__waldorf-salad-vertical-a3-1500-8245e9d470c04234b22c2905118ed82f.jpg</t>
  </si>
  <si>
    <t>Roasted groundnuts instead of walnuts, yoghurt instead of mayo.</t>
  </si>
  <si>
    <t>Lunch or snack. You add: yoghurt or mayo, lemon.</t>
  </si>
  <si>
    <t>Pears are one of the higher-fibre fruits.</t>
  </si>
  <si>
    <t>Apple, Pear, Grapes, Lettuce</t>
  </si>
  <si>
    <t>1. Core and dice apples and pear. Halve the grapes.
2. Mix yoghurt, lemon juice and honey.
3. Toss fruit with lettuce and dressing.
4. Top with roasted groundnuts.</t>
  </si>
  <si>
    <t>A natural recipe for the premium fruit box.</t>
  </si>
  <si>
    <t>R080</t>
  </si>
  <si>
    <t>Sweet Potato Wedges with Yaji Yoghurt</t>
  </si>
  <si>
    <t>Cooked side</t>
  </si>
  <si>
    <t>Side / Snack</t>
  </si>
  <si>
    <t>Sweet potato fries</t>
  </si>
  <si>
    <t>https://www.loveandlemons.com/sweet-potato-fries/</t>
  </si>
  <si>
    <t>https://cdn.loveandlemons.com/wp-content/uploads/opengraph/2024/01/sweet-potato-fries-1.jpg</t>
  </si>
  <si>
    <t>Yaji-spiced yoghurt dip instead of ketchup.</t>
  </si>
  <si>
    <t>Side or snack. You add: oil, yoghurt, yaji.</t>
  </si>
  <si>
    <t>Sweet potato is one of the best vitamin A sources available, with potassium and fibre. Lime juice adds vitamin C and helps the body absorb plant iron from greens.</t>
  </si>
  <si>
    <t>Sweet potato, Lime, Garlic</t>
  </si>
  <si>
    <t>1. Cut sweet potatoes into wedges, toss with oil, paprika and salt.
2. Roast at 200C for 25 to 30 minutes.
3. Mix yoghurt with yaji, grated garlic and lime.
4. Serve wedges with the dip.</t>
  </si>
  <si>
    <t>R083</t>
  </si>
  <si>
    <t>Okra &amp; Corn Succotash</t>
  </si>
  <si>
    <t>Succotash (US South)</t>
  </si>
  <si>
    <t>The Local Palate</t>
  </si>
  <si>
    <t>https://thelocalpalate.com/recipes/southern-style-succotash/</t>
  </si>
  <si>
    <t>https://thelocalpalate.com/wp-content/uploads/2022/07/succotash-12x630-1.jpg</t>
  </si>
  <si>
    <t>Nigerian okra and fresh corn, with ata rodo.</t>
  </si>
  <si>
    <t>Side for grilled fish or chicken, or on rice. You add: oil or butter.</t>
  </si>
  <si>
    <t>Okra brings soluble fibre, vitamin K, folate and magnesium. Sweet corn brings fibre, B vitamins and slow-release carbohydrate.</t>
  </si>
  <si>
    <t>Okra, Sweet corn, Tomato, Onion</t>
  </si>
  <si>
    <t>1. Slice okra into rounds and cut kernels off the corn.
2. Soften onion, garlic and tatashe in oil and butter.
3. Add okra and corn, cook 6 minutes on high so the okra stays crisp.
4. Add diced tomatoes and ata rodo, cook 3 minutes. Season.</t>
  </si>
  <si>
    <t>R040</t>
  </si>
  <si>
    <t>Chicken Suya Power Bowl</t>
  </si>
  <si>
    <t>Bowls &amp; Snacks</t>
  </si>
  <si>
    <t>Bowl</t>
  </si>
  <si>
    <t>Fast-casual grain bowls (US, e.g. Sweetgreen)</t>
  </si>
  <si>
    <t>Eat the Gains</t>
  </si>
  <si>
    <t>https://eatthegains.com/sweetgreen-harvest-bowl/</t>
  </si>
  <si>
    <t>https://eatthegains.com/wp-content/uploads/2021/03/Sweetgreen-Harvest-Bowl-9-1.jpg</t>
  </si>
  <si>
    <t>Suya-spiced chicken with the classic suya garnish of onion, tomato and cabbage.</t>
  </si>
  <si>
    <t>You add: chicken, yaji, rice or quinoa.</t>
  </si>
  <si>
    <t>Tomatoes bring vitamin C and lycopene; cooking them in a little oil makes the lycopene easier to absorb.</t>
  </si>
  <si>
    <t>Cabbage, Tomato, Onion, Cucumber</t>
  </si>
  <si>
    <t>1. Cook the rice.
2. Coat chicken in yaji and oil, then grill or pan-fry 6 minutes a side. Slice.
3. Shred cabbage, slice tomatoes, onion and cucumber, slice the avocado.
4. Build bowls: rice, vegetables, chicken. Finish with lime and extra yaji.</t>
  </si>
  <si>
    <t>Swap rice for quinoa or extra cabbage on lower-carb days.</t>
  </si>
  <si>
    <t>R041</t>
  </si>
  <si>
    <t>Burrito Bowl</t>
  </si>
  <si>
    <t>Burrito bowl (Tex-Mex)</t>
  </si>
  <si>
    <t>Olive Magazine</t>
  </si>
  <si>
    <t>https://www.olivemagazine.com/recipes/meat-and-poultry/chicken-burrito-bowl/</t>
  </si>
  <si>
    <t>https://images.immediate.co.uk/production/volatile/sites/2/2022/09/chicken-burrito-bowl-2d56799.jpg?resize=800%2C419</t>
  </si>
  <si>
    <t>Ripe plantain and black-eyed beans take the place of pinto beans and sweet corn.</t>
  </si>
  <si>
    <t>You add: rice, beans, chicken or beef, yoghurt. Dodo optional.</t>
  </si>
  <si>
    <t>Plantain brings potassium, vitamin B6 and resistant starch when green. Sweet corn brings fibre, B vitamins and slow-release carbohydrate.</t>
  </si>
  <si>
    <t>Plantain, Sweet corn, Tomato, Onion</t>
  </si>
  <si>
    <t>1. Cook rice. Warm beans with cumin and salt.
2. Slice plantain and roast or pan-fry until caramelised. Char the corn and slice off the kernels.
3. Make a quick salsa: tomato, onion, ata rodo, coriander, lime.
4. Build bowls with lettuce, rice, beans, plantain, corn, salsa and sliced avocado.</t>
  </si>
  <si>
    <t>R042</t>
  </si>
  <si>
    <t>Mango Prawn Poke-Style Bowl</t>
  </si>
  <si>
    <t>Poke (Hawaii)</t>
  </si>
  <si>
    <t>Just One Cookbook</t>
  </si>
  <si>
    <t>https://www.justonecookbook.com/poke-bowl/</t>
  </si>
  <si>
    <t>https://www.justonecookbook.com/wp-content/uploads/2023/08/Poke-Bowl-2001-I-1.jpg</t>
  </si>
  <si>
    <t>Cooked prawns instead of raw fish, which is safer for home delivery. Mango for sweetness.</t>
  </si>
  <si>
    <t>You add: prawns or fish, rice, soy sauce.</t>
  </si>
  <si>
    <t>Mango brings vitamin A (as beta-carotene), vitamin C and folate. Cucumber is mostly water with vitamin K, for hydration and crunch.</t>
  </si>
  <si>
    <t>Mango, Cucumber, Carrot, Avocado</t>
  </si>
  <si>
    <t>1. Cook rice and let it cool slightly.
2. Saute prawns 2 to 3 minutes until pink. Toss in soy, sesame oil, honey and lime.
3. Dice mango, cucumber and avocado. Shred the carrot.
4. Build bowls and top with spring onion.</t>
  </si>
  <si>
    <t>R043</t>
  </si>
  <si>
    <t>Teriyaki Chicken &amp; Broccoli Bowl</t>
  </si>
  <si>
    <t>Dinner</t>
  </si>
  <si>
    <t>Japanese-American teriyaki bowl</t>
  </si>
  <si>
    <t>Tastemade</t>
  </si>
  <si>
    <t>https://www.tastemade.com/recipes/teriyaki-chicken-bowl</t>
  </si>
  <si>
    <t>https://assets.tastemadecdn.net/images/ed3c38/b6e0074754be433cf71c/70ab0f.png</t>
  </si>
  <si>
    <t>Fresh ginger and garlic glaze. Green beans are the budget swap for broccoli.</t>
  </si>
  <si>
    <t>You add: chicken, rice, soy sauce, honey.</t>
  </si>
  <si>
    <t>Broccoli is dense in vitamin C, vitamin K, folate and fibre. Carrot is the classic vitamin A source: one carrot covers a day's beta-carotene.</t>
  </si>
  <si>
    <t>Broccoli, Carrot, Spring onion, Ginger</t>
  </si>
  <si>
    <t>1. Cook rice.
2. Simmer soy, honey, grated ginger and garlic for 2 minutes to make the glaze.
3. Pan-fry chicken pieces until cooked, then toss in the glaze.
4. Steam broccoli and sliced carrots 4 minutes. Serve over rice with spring onion.</t>
  </si>
  <si>
    <t>R044</t>
  </si>
  <si>
    <t>Black-Eyed Bean Falafel Bowl</t>
  </si>
  <si>
    <t>Falafel bowl (Levant)</t>
  </si>
  <si>
    <t>Plant Based Folk</t>
  </si>
  <si>
    <t>https://plantbasedfolk.com/falafel-bowl-recipe/</t>
  </si>
  <si>
    <t>https://plantbasedfolk.com/wp-content/uploads/2023/06/Lebanese-Falafel-Bowl-Recipe.jpg</t>
  </si>
  <si>
    <t>Black-eyed beans (akara's cousin) replace chickpeas. Scent leaf joins parsley.</t>
  </si>
  <si>
    <t>You add: cooked black-eyed beans, yoghurt, flatbread or rice.</t>
  </si>
  <si>
    <t>Garlic adds allicin and vitamin B6. Parsley is startlingly rich in vitamin K and vitamin C for a garnish.</t>
  </si>
  <si>
    <t>Onion, Garlic, Parsley, Scent leaf</t>
  </si>
  <si>
    <t>1. Blend soaked, peeled beans with onion, garlic, herbs, cumin and salt into a coarse paste.
2. Shape into small patties and bake at 200C for 20 minutes, flipping once (or shallow fry).
3. Mix yoghurt with lemon juice and a little grated garlic.
4. Serve with chopped lettuce, tomatoes, cucumber, pita and the yoghurt sauce.</t>
  </si>
  <si>
    <t>The paste is basically akara batter with herbs, so most Nigerian cooks nail it first try.</t>
  </si>
  <si>
    <t>R045</t>
  </si>
  <si>
    <t>Sweet Potato Buddha Bowl with Ugu Pesto</t>
  </si>
  <si>
    <t>Buddha bowl (US vegan cafes)</t>
  </si>
  <si>
    <t>Minimalist Baker</t>
  </si>
  <si>
    <t>https://minimalistbaker.com/sweet-potato-chickpea-buddha-bowl/</t>
  </si>
  <si>
    <t>https://minimalistbaker.com/wp-content/uploads/2015/04/AMAZING-Sweet-Potato-Chickpea-Buddha-Bowl-with-Kale-Red-Onion-and-a-STUNNING-Tahini-maple-sauce-vegan-glutenfree-dinner-1.jpg</t>
  </si>
  <si>
    <t>Ugu and groundnut pesto replaces tahini dressing.</t>
  </si>
  <si>
    <t>You add: rice or quinoa, groundnuts, oil. Optional egg or chicken.</t>
  </si>
  <si>
    <t>Sweet potato is one of the best vitamin A sources available, with potassium and fibre. Ugu is rich in vitamin A, vitamin K, folate, iron and calcium; eat it with a vitamin C food to absorb the iron.</t>
  </si>
  <si>
    <t>Sweet potato, Fluted pumpkin leaf, Groundnut, Garlic</t>
  </si>
  <si>
    <t>1. Roast cubed sweet potato with oil and salt at 200C for 25 to 30 minutes.
2. Cook quinoa or rice. Warm the chickpeas or beans.
3. Blend ugu, groundnuts, garlic, lemon, olive oil and salt into a pesto.
4. Build bowls with grain, sweet potato, beans, cucumber and grated carrot. Spoon over the pesto.</t>
  </si>
  <si>
    <t>R046</t>
  </si>
  <si>
    <t>Bibimbap-Style Beef Bowl</t>
  </si>
  <si>
    <t>Bibimbap (Korea)</t>
  </si>
  <si>
    <t>https://www.loveandlemons.com/bibimbap-recipe/</t>
  </si>
  <si>
    <t>https://cdn.loveandlemons.com/wp-content/uploads/opengraph/2020/03/bibimbap.jpg</t>
  </si>
  <si>
    <t>Efo tete stands in for spinach. A honey and ata rodo sauce replaces gochujang.</t>
  </si>
  <si>
    <t>You add: beef, rice, eggs, soy sauce, chilli paste.</t>
  </si>
  <si>
    <t>Efo tete brings vitamin K, vitamin A, folate, iron, calcium and magnesium. Carrot is the classic vitamin A source: one carrot covers a day's beta-carotene.</t>
  </si>
  <si>
    <t>Amaranth greens, Carrot, Cucumber, Mushrooms</t>
  </si>
  <si>
    <t>1. Cook rice.
2. Brown beef with garlic and half the soy. Saute mushrooms, then wilt the efo.
3. Mix the rest of the soy with honey, sesame oil and finely chopped ata rodo.
4. Top rice with julienned carrot and cucumber, the cooked vegetables, beef and a fried egg. Drizzle sauce.</t>
  </si>
  <si>
    <t>R047</t>
  </si>
  <si>
    <t>Thai Groundnut Wara Bowl</t>
  </si>
  <si>
    <t>Thai peanut tofu bowl</t>
  </si>
  <si>
    <t>Urban Farmie</t>
  </si>
  <si>
    <t>https://urbanfarmie.com/thai-peanut-tofu-bowls/</t>
  </si>
  <si>
    <t>https://urbanfarmie.com/wp-content/uploads/Crispy-Peanut-Tofu-Bowl-Web-4537.jpg</t>
  </si>
  <si>
    <t>Wara soya is Nigerian tofu. Groundnut sauce does the rest.</t>
  </si>
  <si>
    <t>You add: wara or tofu, groundnut paste, soy, rice or noodles.</t>
  </si>
  <si>
    <t>Purple cabbage, Carrot, Cucumber, Spring onion</t>
  </si>
  <si>
    <t>1. Press and cube the wara soya, then pan-fry until golden.
2. Blend groundnut paste, soy, lime juice, ginger, garlic, dates and warm water into a pourable sauce.
3. Cook rice or noodles. Shred cabbage and carrot, slice cucumber.
4. Build bowls, pour over sauce, top with spring onion and coriander.</t>
  </si>
  <si>
    <t>R048</t>
  </si>
  <si>
    <t>Greek Chicken Gyro Bowl with Tzatziki</t>
  </si>
  <si>
    <t>Gyro (Greece)</t>
  </si>
  <si>
    <t>Recipe Runner</t>
  </si>
  <si>
    <t>https://reciperunner.com/chicken-gyro-bowls/</t>
  </si>
  <si>
    <t>https://reciperunner.com/wp-content/uploads/2022/05/chicken-gyro-bowls-4.jpg</t>
  </si>
  <si>
    <t>Tzatziki made with local cucumber, mint or parsley.</t>
  </si>
  <si>
    <t>You add: chicken, yoghurt, rice or flatbread.</t>
  </si>
  <si>
    <t>Cucumber is mostly water with vitamin K, for hydration and crunch. Tomatoes bring vitamin C and lycopene; cooking them in a little oil makes the lycopene easier to absorb.</t>
  </si>
  <si>
    <t>Cucumber, Tomato, Onion, Lettuce</t>
  </si>
  <si>
    <t>1. Marinate chicken in lemon juice, garlic, oregano, oil and salt for 10 minutes, then grill and slice.
2. Cook rice.
3. Grate half the cucumber, squeeze dry, mix with yoghurt, garlic and chopped mint.
4. Build bowls with lettuce, tomatoes, onion, the rest of the cucumber, chicken and tzatziki.</t>
  </si>
  <si>
    <t>R049</t>
  </si>
  <si>
    <t>Coconut Prawn &amp; Mango Rice Bowl</t>
  </si>
  <si>
    <t>Caribbean / Thai coconut rice bowls</t>
  </si>
  <si>
    <t>The Endless Meal</t>
  </si>
  <si>
    <t>https://www.theendlessmeal.com/coconut-shrimp-bowls/</t>
  </si>
  <si>
    <t>https://www.theendlessmeal.com/wp-content/uploads/2024/05/coconut-shrimp-bowls-7.jpg</t>
  </si>
  <si>
    <t>Rice cooked in fresh coconut milk with a mango salsa.</t>
  </si>
  <si>
    <t>You add: prawns, rice, coconut milk.</t>
  </si>
  <si>
    <t>Coconut, Mango, Onion, Red bell pepper</t>
  </si>
  <si>
    <t>1. Cook rice in fresh coconut milk topped up with water.
2. Saute prawns with garlic and a pinch of salt, 3 minutes.
3. Dice mango, tatashe, onion and ata rodo. Toss with lime and coriander.
4. Serve rice topped with prawns and salsa.</t>
  </si>
  <si>
    <t>R050</t>
  </si>
  <si>
    <t>Lighter Chicken Shawarma</t>
  </si>
  <si>
    <t>Shawarma (Levant, via Lagos street food)</t>
  </si>
  <si>
    <t>The Mediterranean Dish</t>
  </si>
  <si>
    <t>https://www.themediterraneandish.com/chicken-shawarma-recipe/</t>
  </si>
  <si>
    <t>https://www.themediterraneandish.com/wp-content/uploads/2026/05/TMD-Chicken-Shawarma-Leads-05.jpg</t>
  </si>
  <si>
    <t>Grilled not fried, yoghurt-garlic sauce instead of mayo, twice the vegetables.</t>
  </si>
  <si>
    <t>You add: chicken, shawarma bread or flatbread, yoghurt for the garlic sauce.</t>
  </si>
  <si>
    <t>Carrot is the classic vitamin A source: one carrot covers a day's beta-carotene. Cucumber is mostly water with vitamin K, for hydration and crunch.</t>
  </si>
  <si>
    <t>Cabbage, Carrot, Cucumber, Tomato</t>
  </si>
  <si>
    <t>1. Toss sliced chicken with curry powder, paprika, oil and salt. Pan-grill until charred.
2. Mix yoghurt, grated garlic, lemon and salt.
3. Shred cabbage and carrot, slice cucumber, tomatoes and onion.
4. Spread sauce on warm wraps, fill with vegetables and chicken, roll tight and toast seam-side down.</t>
  </si>
  <si>
    <t>The one people will order every week. Make it the hero of the launch menu.</t>
  </si>
  <si>
    <t>R051</t>
  </si>
  <si>
    <t>Fish Tacos with Pineapple Salsa</t>
  </si>
  <si>
    <t>Baja fish tacos (Mexico)</t>
  </si>
  <si>
    <t>Mexico in my Kitchen</t>
  </si>
  <si>
    <t>https://www.mexicoinmykitchen.com/baja-fish-tacos/</t>
  </si>
  <si>
    <t>https://www.mexicoinmykitchen.com/wp-content/uploads/2025/07/Fish-Tacos-12.jpg</t>
  </si>
  <si>
    <t>Croaker or tilapia, pineapple and ata rodo salsa, cabbage slaw.</t>
  </si>
  <si>
    <t>You add: white fish, tortillas or small flatbreads, yoghurt.</t>
  </si>
  <si>
    <t>Pineapple is rich in vitamin C and manganese, and bromelain that helps digest protein. Ata rodo is dense in vitamin C and capsaicin; a little goes a long way.</t>
  </si>
  <si>
    <t>Pineapple, Onion, Scotch bonnet, Coriander</t>
  </si>
  <si>
    <t>1. Season fish with paprika, salt and lime. Pan-fry 3 minutes a side and flake.
2. Dice pineapple, onion and ata rodo. Mix with coriander and lime.
3. Shred cabbage and toss with lime and salt.
4. Warm tortillas and fill with slaw, fish, salsa and avocado.</t>
  </si>
  <si>
    <t>R052</t>
  </si>
  <si>
    <t>Chicken Lettuce Cups</t>
  </si>
  <si>
    <t>San choy bau (Cantonese)</t>
  </si>
  <si>
    <t>https://www.recipetineats.com/san-choy-bow-chinese-lettuce-wraps/</t>
  </si>
  <si>
    <t>https://www.recipetineats.com/tachyon/2017/02/Lettuce-Wraps-2.jpg</t>
  </si>
  <si>
    <t>Local iceberg cups with groundnuts for crunch.</t>
  </si>
  <si>
    <t>You add: minced chicken, soy sauce, oil.</t>
  </si>
  <si>
    <t>Weight management, Training</t>
  </si>
  <si>
    <t>Carrot is the classic vitamin A source: one carrot covers a day's beta-carotene. Tatashe (red bell pepper) has about twice the vitamin C of an orange by weight, plus beta-carotene.</t>
  </si>
  <si>
    <t>Lettuce, Carrot, Red bell pepper, Spring onion</t>
  </si>
  <si>
    <t>1. Finely chop or mince the chicken.
2. Stir-fry garlic and ginger for 30 seconds, add chicken, cook until no longer pink.
3. Add diced carrot and tatashe, soy and lime. Cook 2 minutes.
4. Spoon into lettuce cups. Top with spring onion and crushed groundnuts.</t>
  </si>
  <si>
    <t>Low-carb and quick. A strong pick for the weight-management goal filter.</t>
  </si>
  <si>
    <t>R053</t>
  </si>
  <si>
    <t>Suya Beef Lettuce Wraps</t>
  </si>
  <si>
    <t>Korean ssam (lettuce wraps)</t>
  </si>
  <si>
    <t>Tara's Multicultural Table</t>
  </si>
  <si>
    <t>https://tarasmulticulturaltable.com/bulgogi-ssam-korean-marinated-beef-lettuce-wraps/</t>
  </si>
  <si>
    <t>https://tarasmulticulturaltable.com/wp-content/uploads/2013/11/bulgogi-ssam-2-of-3.jpg</t>
  </si>
  <si>
    <t>Suya beef with the full suya garnish, wrapped in lettuce.</t>
  </si>
  <si>
    <t>You add: beef, yaji, oil.</t>
  </si>
  <si>
    <t>Lettuce, Onion, Tomato, Cucumber</t>
  </si>
  <si>
    <t>1. Rub thin beef slices with yaji, oil and salt.
2. Sear in a very hot pan, 1 to 2 minutes a side.
3. Slice onion, tomatoes and cucumber.
4. Wrap beef and vegetables in lettuce leaves. Squeeze lime over.</t>
  </si>
  <si>
    <t>R054</t>
  </si>
  <si>
    <t>Corn, Tatashe &amp; Efo Quesadilla</t>
  </si>
  <si>
    <t>Quesadilla (Mexico)</t>
  </si>
  <si>
    <t>https://www.loveandlemons.com/quesadilla/</t>
  </si>
  <si>
    <t>https://cdn.loveandlemons.com/wp-content/uploads/opengraph/2024/01/quesadilla-recipe.jpg</t>
  </si>
  <si>
    <t>Local sweet corn, tatashe and efo inside.</t>
  </si>
  <si>
    <t>You add: tortillas or flatbread, cheese, oil.</t>
  </si>
  <si>
    <t>Sweet corn, Red bell pepper, Onion, Amaranth greens</t>
  </si>
  <si>
    <t>1. Slice corn off the cob. Saute with onion, tatashe, ata rodo and cumin for 4 minutes.
2. Stir in efo until wilted.
3. Layer half of each tortilla with cheese and filling, fold, then toast 2 minutes a side.
4. Cut into wedges. Serve with sliced avocado.</t>
  </si>
  <si>
    <t>R066</t>
  </si>
  <si>
    <t>Stuffed Tatashe with Beef &amp; Corn</t>
  </si>
  <si>
    <t>Stuffed veg</t>
  </si>
  <si>
    <t>Stuffed peppers (US / Mediterranean)</t>
  </si>
  <si>
    <t>https://downshiftology.com/recipes/stuffed-peppers/</t>
  </si>
  <si>
    <t>https://i2.wp.com/www.downshiftology.com/wp-content/uploads/2023/08/Stuffed-Peppers-main.jpg</t>
  </si>
  <si>
    <t>The filling is a jollof-spiced rice and beef mix.</t>
  </si>
  <si>
    <t>On its own or with rice. You add: minced beef, oil, optional cheese.</t>
  </si>
  <si>
    <t>Tatashe (red bell pepper) has about twice the vitamin C of an orange by weight, plus beta-carotene. Sweet corn brings fibre, B vitamins and slow-release carbohydrate.</t>
  </si>
  <si>
    <t>Red bell pepper, Sweet corn, Tomato, Onion</t>
  </si>
  <si>
    <t>1. Halve tatashe and remove seeds.
2. Brown beef with onion, garlic, ata rodo, curry and thyme. Add chopped tomatoes and corn, cook 5 minutes.
3. Stir in the cooked rice.
4. Fill the peppers, top with cheese and bake at 190C for 25 minutes.</t>
  </si>
  <si>
    <t>R078</t>
  </si>
  <si>
    <t>Guacamole with Garden Egg Crudites</t>
  </si>
  <si>
    <t>Snack / dip</t>
  </si>
  <si>
    <t>Snack / Starter</t>
  </si>
  <si>
    <t>Guacamole (Mexico)</t>
  </si>
  <si>
    <t>https://www.simplyrecipes.com/recipes/perfect_guacamole/</t>
  </si>
  <si>
    <t>https://www.simplyrecipes.com/thmb/ABEbXCQ9f72GcbVMVq_7o648sjA=/1500x0/filters:no_upscale():max_bytes(150000):strip_icc()/Guacamole-LEAD-1-03bd5fe902084843ae6d3154726f1472.jpg</t>
  </si>
  <si>
    <t>Garden egg, cucumber and carrot sticks to dip instead of tortilla chips.</t>
  </si>
  <si>
    <t>Snack or starter. You add: salt, lime.</t>
  </si>
  <si>
    <t>1. Mash avocados with lime juice and salt.
2. Fold in diced tomato, onion, ata rodo and coriander.
3. Cut garden eggs, cucumber and carrots into sticks.
4. Serve together.</t>
  </si>
  <si>
    <t>R079</t>
  </si>
  <si>
    <t>Garden Egg Baba Ganoush</t>
  </si>
  <si>
    <t>Snack / Side</t>
  </si>
  <si>
    <t>Baba ganoush (Levant)</t>
  </si>
  <si>
    <t>Cookie and Kate</t>
  </si>
  <si>
    <t>https://cookieandkate.com/epic-baba-ganoush-recipe/</t>
  </si>
  <si>
    <t>https://cookieandkate.com/images/2017/10/baba-ganoush-recipe-2.jpg</t>
  </si>
  <si>
    <t>Charred garden eggs, with groundnut paste in place of tahini.</t>
  </si>
  <si>
    <t>With bread, yam chips or carrot sticks. You add: oil, yoghurt or tahini, garlic.</t>
  </si>
  <si>
    <t>Garden egg is high in fibre and potassium and very low in calories. Garlic adds allicin and vitamin B6.</t>
  </si>
  <si>
    <t>Garden egg, Garlic, Lemon, Parsley</t>
  </si>
  <si>
    <t>1. Char garden eggs over a flame or under the grill until soft and blackened.
2. Peel and roughly chop.
3. Mash with garlic, lemon, groundnut paste, cumin, olive oil and salt.
4. Top with parsley. Serve with carrot sticks or bread.</t>
  </si>
  <si>
    <t>R081</t>
  </si>
  <si>
    <t>Black-Eyed Bean Hummus with Veggie Sticks</t>
  </si>
  <si>
    <t>Hummus (Levant)</t>
  </si>
  <si>
    <t>https://cookieandkate.com/best-hummus-recipe/</t>
  </si>
  <si>
    <t>https://cookieandkate.com/images/2018/05/best-hummus-recipe-6.jpg</t>
  </si>
  <si>
    <t>Black-eyed beans and groundnut paste replace chickpeas and tahini.</t>
  </si>
  <si>
    <t>Snack. You add: cooked black-eyed beans, oil, lemon.</t>
  </si>
  <si>
    <t>Garlic adds allicin and vitamin B6. Lemon juice adds vitamin C and helps the body absorb plant iron from greens.</t>
  </si>
  <si>
    <t>Garlic, Lemon, Carrot, Cucumber</t>
  </si>
  <si>
    <t>1. Blend beans, groundnut paste, garlic, lemon juice, cumin and olive oil with a splash of cold water until very smooth.
2. Season with salt.
3. Cut carrots, cucumber, tatashe and garden eggs into sticks.
4. Serve together.</t>
  </si>
  <si>
    <t>R082</t>
  </si>
  <si>
    <t>Roasted Corn with Lime &amp; Yaji Butter</t>
  </si>
  <si>
    <t>Corn snack</t>
  </si>
  <si>
    <t>Elote (Mexico)</t>
  </si>
  <si>
    <t>The Modern Proper</t>
  </si>
  <si>
    <t>https://themodernproper.com/elote-mexican-street-corn</t>
  </si>
  <si>
    <t>https://images.themodernproper.com/production/posts/2019/Elote-Mexican-Street-Corn-6.jpg?w=1200&amp;h=630&amp;q=82&amp;fm=jpg&amp;fit=crop&amp;dm=1745369528&amp;s=ad4f2faf097ceee25e801389d684f29f</t>
  </si>
  <si>
    <t>Roadside roasted corn meets yaji and lime. Pair with ube in season.</t>
  </si>
  <si>
    <t>Snack. You add: butter, yaji, lime from Basket.</t>
  </si>
  <si>
    <t>Sweet corn brings fibre, B vitamins and slow-release carbohydrate. Lime juice adds vitamin C and helps the body absorb plant iron from greens.</t>
  </si>
  <si>
    <t>Sweet corn, Lime, Coriander</t>
  </si>
  <si>
    <t>1. Roast corn over a flame or under the grill until charred all over.
2. Mix soft butter with yaji.
3. Brush corn with yaji butter.
4. Squeeze lime over and scatter coriander and cheese.</t>
  </si>
  <si>
    <t>Fresh corn Apr to Aug. Bundle with ube as a rainy season drop.</t>
  </si>
  <si>
    <t>R058</t>
  </si>
  <si>
    <t>Ginger Chicken &amp; Veg Stir-Fry</t>
  </si>
  <si>
    <t>Stews &amp; Sauces</t>
  </si>
  <si>
    <t>Stir-fry</t>
  </si>
  <si>
    <t>Chinese stir-fry</t>
  </si>
  <si>
    <t>https://www.recipetineats.com/chicken-stir-fry-chop-suey/</t>
  </si>
  <si>
    <t>https://www.recipetineats.com/tachyon/2017/11/Chicken-Stir-Fry-Chop-Suey-5.jpg</t>
  </si>
  <si>
    <t>The 'Chinese restaurant' order Lagos loves, made with half the oil.</t>
  </si>
  <si>
    <t>Boiled rice or noodles. You add: chicken, soy sauce, oil.</t>
  </si>
  <si>
    <t>Broccoli, Carrot, Red bell pepper, Green / yellow bell pepper</t>
  </si>
  <si>
    <t>1. Slice chicken thin and toss with 1 tbsp soy and the cornflour.
2. Stir-fry chicken in a very hot pan until browned. Remove.
3. Stir-fry garlic, ginger, broccoli, carrots and peppers for 3 to 4 minutes.
4. Return chicken with the rest of the soy and a splash of water. Toss, top with spring onion. Serve with rice or noodles.</t>
  </si>
  <si>
    <t>R059</t>
  </si>
  <si>
    <t>Thai Green Curry with Pumpkin &amp; Ugu</t>
  </si>
  <si>
    <t>Curry</t>
  </si>
  <si>
    <t>Thai green curry</t>
  </si>
  <si>
    <t>https://www.recipetineats.com/thai-green-curry/</t>
  </si>
  <si>
    <t>https://www.recipetineats.com/tachyon/2019/02/Thai-Green-Curry_5.jpg</t>
  </si>
  <si>
    <t>Elegede pumpkin, ugu greens and scent leaf, which is a basil, just like Thai basil.</t>
  </si>
  <si>
    <t>Boiled rice. You add: coconut milk, chicken or prawns, curry paste or powder.</t>
  </si>
  <si>
    <t>Green beans bring fibre, vitamin K and folate. Ugu is rich in vitamin A, vitamin K, folate, iron and calcium; eat it with a vitamin C food to absorb the iron.</t>
  </si>
  <si>
    <t>Pumpkin, Green beans, Fluted pumpkin leaf, Lemongrass</t>
  </si>
  <si>
    <t>1. Fry curry paste with bruised lemongrass, ginger and garlic for 1 minute.
2. Add chicken and brown lightly, then pour in coconut milk.
3. Add pumpkin and simmer 12 minutes until tender. Add green beans for the last 4.
4. Stir in ugu and scent leaf, season with fish sauce and lime. Serve with rice.</t>
  </si>
  <si>
    <t>R060</t>
  </si>
  <si>
    <t>Pepper Steak Stir-Fry</t>
  </si>
  <si>
    <t>Chinese-American pepper steak</t>
  </si>
  <si>
    <t>Alphafoodie</t>
  </si>
  <si>
    <t>https://www.alphafoodie.com/pepper-steak-recipe/</t>
  </si>
  <si>
    <t>https://www.alphafoodie.com/wp-content/uploads/2023/04/Pepper-Steak-square.jpeg</t>
  </si>
  <si>
    <t>Tatashe and green pepper with local onions.</t>
  </si>
  <si>
    <t>Boiled rice or noodles. You add: beef, soy sauce, oil.</t>
  </si>
  <si>
    <t>Tatashe (red bell pepper) has about twice the vitamin C of an orange by weight, plus beta-carotene. Green pepper adds vitamin C and fibre with very few calories.</t>
  </si>
  <si>
    <t>Red bell pepper, Green / yellow bell pepper, Onion, Garlic</t>
  </si>
  <si>
    <t>1. Slice beef very thin across the grain. Toss with 1 tbsp soy and cornflour.
2. Sear beef in batches in a very hot pan. Remove.
3. Stir-fry onion, peppers, garlic and ginger for 3 minutes.
4. Return beef with remaining soy and a splash of water. Finish with spring onion. Serve with rice.</t>
  </si>
  <si>
    <t>R061</t>
  </si>
  <si>
    <t>Prawn Cauliflower Fried 'Rice'</t>
  </si>
  <si>
    <t>Cauliflower rice (low-carb trend) and Chinese fried rice</t>
  </si>
  <si>
    <t>https://downshiftology.com/recipes/cauliflower-fried-rice/</t>
  </si>
  <si>
    <t>https://i2.wp.com/www.downshiftology.com/wp-content/uploads/2016/12/Cauliflower-Fried-Rice-9.jpg</t>
  </si>
  <si>
    <t>Party fried rice vegetables, with cauliflower standing in for rice.</t>
  </si>
  <si>
    <t>A light main on its own. You add: prawns, eggs, soy sauce, oil.</t>
  </si>
  <si>
    <t>Cauliflower is a vitamin C and folate source with a fraction of the carbs of rice. Carrot is the classic vitamin A source: one carrot covers a day's beta-carotene.</t>
  </si>
  <si>
    <t>Cauliflower, Carrot, Green beans, Spring onion</t>
  </si>
  <si>
    <t>1. Pulse cauliflower in a blender until rice-sized.
2. Stir-fry prawns with garlic and ginger, 2 minutes. Remove.
3. Stir-fry diced carrots and green beans 3 minutes, push aside, scramble the eggs.
4. Add cauliflower and soy, fry 4 minutes. Return prawns, finish with spring onion.</t>
  </si>
  <si>
    <t>R062</t>
  </si>
  <si>
    <t>Mango Salsa for Grilled Fish</t>
  </si>
  <si>
    <t>Salsa</t>
  </si>
  <si>
    <t>Caribbean grilled fish with mango salsa</t>
  </si>
  <si>
    <t>Food.com (Associated Press recipe)</t>
  </si>
  <si>
    <t>https://www.food.com/recipe/caribbean-grilled-catfish-with-tropical-fruit-salsa-177946</t>
  </si>
  <si>
    <t>https://img.sndimg.com/food/image/upload/q_92,fl_progressive,w_1200,c_scale/v1/gk-static/fdc-new/img/fdc-shareGraphic.png</t>
  </si>
  <si>
    <t>Croaker or tilapia, and plantain roasted rather than fried.</t>
  </si>
  <si>
    <t>Spoon over grilled or fried fish, chicken or suya. You add: the fish, oil, salt. Roast plantain optional.</t>
  </si>
  <si>
    <t>Plantain brings potassium, vitamin B6 and resistant starch when green. Mango brings vitamin A (as beta-carotene), vitamin C and folate.</t>
  </si>
  <si>
    <t>Plantain, Mango, Onion, Scotch bonnet</t>
  </si>
  <si>
    <t>1. Rub fish with grated garlic, ginger, paprika, lime and salt. Rest 10 minutes.
2. Roast plantain slices at 200C for 20 minutes, flipping once.
3. Grill or oven-bake the fish for 15 to 20 minutes.
4. Mix diced mango, onion, ata rodo, coriander and lime. Spoon over the fish.</t>
  </si>
  <si>
    <t>Mango Feb to May. Pineapple works the rest of the year.</t>
  </si>
  <si>
    <t>R063</t>
  </si>
  <si>
    <t>Chickpea &amp; Efo Curry</t>
  </si>
  <si>
    <t>Chana saag (India)</t>
  </si>
  <si>
    <t>Ministry of Curry</t>
  </si>
  <si>
    <t>https://ministryofcurry.com/chana-saag-chickpeas-and-spinach/</t>
  </si>
  <si>
    <t>https://ministryofcurry.com/wp-content/uploads/2016/12/Chana-Saag_-3.jpg</t>
  </si>
  <si>
    <t>Efo tete for spinach, fresh coconut milk for cream.</t>
  </si>
  <si>
    <t>Boiled rice or flatbread. You add: cooked chickpeas or beans, curry powder, oil.</t>
  </si>
  <si>
    <t>Efo tete brings vitamin K, vitamin A, folate, iron, calcium and magnesium. Tomatoes bring vitamin C and lycopene; cooking them in a little oil makes the lycopene easier to absorb.</t>
  </si>
  <si>
    <t>Amaranth greens, Tomato, Onion, Garlic</t>
  </si>
  <si>
    <t>1. Soften onion, then add garlic, ginger, ata rodo, curry powder and cumin for 1 minute.
2. Add chopped tomatoes and cook down 8 minutes.
3. Stir in chickpeas and coconut milk. Simmer 10 minutes.
4. Fold in efo until wilted. Serve with rice or flatbread.</t>
  </si>
  <si>
    <t>R064</t>
  </si>
  <si>
    <t>Caribbean Curry Chicken &amp; Sweet Potato</t>
  </si>
  <si>
    <t>Jamaican curry chicken</t>
  </si>
  <si>
    <t>Jamaican Foods and Recipes</t>
  </si>
  <si>
    <t>https://jamaicanfoodsandrecipes.com/jamaican-curry-chicken-recipe/</t>
  </si>
  <si>
    <t>https://jamaicanfoodsandrecipes.com/wp-content/uploads/2016/11/curry-chicken-jamaican-recipe-copy.webp</t>
  </si>
  <si>
    <t>Scotch bonnet is already ours. Sweet potato replaces potato.</t>
  </si>
  <si>
    <t>Boiled rice. You add: chicken, curry powder, coconut milk, oil.</t>
  </si>
  <si>
    <t>Sweet potato is one of the best vitamin A sources available, with potassium and fibre. Garlic adds allicin and vitamin B6.</t>
  </si>
  <si>
    <t>Sweet potato, Onion, Garlic, Ginger</t>
  </si>
  <si>
    <t>1. Season chicken with curry powder, thyme, garlic, ginger and salt.
2. Brown chicken in oil, add onion, tomatoes and the whole ata rodo.
3. Add water to half-cover, simmer 20 minutes.
4. Add cubed sweet potato and simmer 15 more until tender. Finish with spring onion. Serve with rice.</t>
  </si>
  <si>
    <t>Leave the ata rodo whole for flavour without too much heat.</t>
  </si>
  <si>
    <t>R065</t>
  </si>
  <si>
    <t>Fresh Tomato &amp; Basil Garden Pasta</t>
  </si>
  <si>
    <t>Pasta sauce</t>
  </si>
  <si>
    <t>Pasta al pomodoro (Italy)</t>
  </si>
  <si>
    <t>Bon Appetit</t>
  </si>
  <si>
    <t>https://www.bonappetit.com/recipe/pasta-al-pomodoro</t>
  </si>
  <si>
    <t>https://assets.bonappetit.com/photos/57b000ccf1c801a1038bd5fc/16:9/w_1280,c_limit/mare-pasta-al-pomodoro-h.jpg</t>
  </si>
  <si>
    <t>Plum tomatoes plus tatashe for a sweeter sauce. Scent leaf works if basil is scarce.</t>
  </si>
  <si>
    <t>Spaghetti or any pasta. You add: pasta, oil, garlic, cheese if you like.</t>
  </si>
  <si>
    <t>Tomato, Red bell pepper, Onion, Garlic</t>
  </si>
  <si>
    <t>1. Cook pasta.
2. Soften onion and garlic in olive oil, add chopped tomatoes and tatashe. Simmer 12 minutes.
3. Add mushrooms and spinach, cook 2 minutes.
4. Toss with pasta, torn basil and parmesan.</t>
  </si>
  <si>
    <t>R067</t>
  </si>
  <si>
    <t>Light Vegetable Egg Fried Rice</t>
  </si>
  <si>
    <t>Yangzhou fried rice (China)</t>
  </si>
  <si>
    <t>Made With Lau</t>
  </si>
  <si>
    <t>https://www.madewithlau.com/recipes/yangzhou-fried-rice</t>
  </si>
  <si>
    <t>https://cdn.sanity.io/images/2r0kdewr/production/d7c3c91224833e5444fceb592847de7bc4492079-1000x563.jpg</t>
  </si>
  <si>
    <t>Party fried rice vegetables, with a fraction of the oil.</t>
  </si>
  <si>
    <t>A light main on its own. You add: leftover rice, eggs, soy sauce, oil.</t>
  </si>
  <si>
    <t>Carrot is the classic vitamin A source: one carrot covers a day's beta-carotene. Green beans bring fibre, vitamin K and folate.</t>
  </si>
  <si>
    <t>Carrot, Green beans, Sweet corn, Spring onion</t>
  </si>
  <si>
    <t>1. Dice carrots and green beans. Slice corn off the cob.
2. Scramble the eggs in a hot pan, then remove.
3. Stir-fry garlic, ginger and vegetables 4 minutes.
4. Add rice, soy and curry powder. Fry until hot, fold in eggs and spring onion.</t>
  </si>
  <si>
    <t>Day-old rice fries best.</t>
  </si>
  <si>
    <t>R068</t>
  </si>
  <si>
    <t>Kerala-Style Okra &amp; Prawn Coconut Curry</t>
  </si>
  <si>
    <t>Kerala prawn curry / bhindi masala (India)</t>
  </si>
  <si>
    <t>https://www.bbcgoodfood.com/recipes/kerala-prawn-curry</t>
  </si>
  <si>
    <t>https://images.immediate.co.uk/production/volatile/sites/30/2020/08/recipe-image-legacy-id-1259479_9-6b53954.jpg?resize=440%2C230</t>
  </si>
  <si>
    <t>Nigerian okra cooked whole so it stays crisp, not slimy.</t>
  </si>
  <si>
    <t>Boiled rice. You add: prawns, coconut milk, curry leaves or powder, oil.</t>
  </si>
  <si>
    <t>Okra brings soluble fibre, vitamin K, folate and magnesium. Tomatoes bring vitamin C and lycopene; cooking them in a little oil makes the lycopene easier to absorb.</t>
  </si>
  <si>
    <t>Okra, Onion, Tomato, Garlic</t>
  </si>
  <si>
    <t>Turmeric (Sep-Jun)</t>
  </si>
  <si>
    <t>1. Trim okra and leave whole. Pan-fry in oil for 4 minutes, then set aside.
2. Soften onion, add garlic, ginger, grated turmeric, ata rodo and curry powder.
3. Add chopped tomatoes and cook 5 minutes, then the coconut milk.
4. Add prawns and okra, simmer 4 minutes. Finish with lime. Serve with rice.</t>
  </si>
  <si>
    <t>R069</t>
  </si>
  <si>
    <t>Garden Egg Ratatouille</t>
  </si>
  <si>
    <t>Vegetable stew</t>
  </si>
  <si>
    <t>Dinner / Side</t>
  </si>
  <si>
    <t>Ratatouille (Provence, France)</t>
  </si>
  <si>
    <t>https://cookieandkate.com/best-ratatouille-recipe/</t>
  </si>
  <si>
    <t>https://cookieandkate.com/images/2019/09/best-ratatouille-recipe-1-1.jpg</t>
  </si>
  <si>
    <t>Garden egg replaces aubergine. Zucchini optional.</t>
  </si>
  <si>
    <t>Rice, boiled yam, bread or pasta. Add grilled chicken or fish if you like. You add: oil.</t>
  </si>
  <si>
    <t>Garden egg is high in fibre and potassium and very low in calories. Tatashe (red bell pepper) has about twice the vitamin C of an orange by weight, plus beta-carotene.</t>
  </si>
  <si>
    <t>Garden egg, Zucchini, Red bell pepper, Green / yellow bell pepper</t>
  </si>
  <si>
    <t>1. Cut all vegetables into similar bite-sized chunks.
2. Soften onion and garlic in olive oil, add peppers for 5 minutes.
3. Add garden eggs and zucchini for 5 minutes, then tomatoes and thyme.
4. Simmer gently 25 minutes. Finish with torn scent leaf.</t>
  </si>
  <si>
    <t>Serve with rice, bread or grilled fish. Better the next day.</t>
  </si>
  <si>
    <t>R070</t>
  </si>
  <si>
    <t>Scent Leaf Chimichurri</t>
  </si>
  <si>
    <t>Herb sauce</t>
  </si>
  <si>
    <t>Chimichurri (Argentina)</t>
  </si>
  <si>
    <t>Cafe Delites</t>
  </si>
  <si>
    <t>https://cafedelites.com/authentic-chimichurri-uruguay-argentina/</t>
  </si>
  <si>
    <t>https://cafedelites.com/wp-content/uploads/2017/04/Chimichurri-Chicken-Salad-IMAGE-88.jpg</t>
  </si>
  <si>
    <t>Scent leaf (efirin) and parsley base, ata rodo for heat.</t>
  </si>
  <si>
    <t>Spoon over grilled chicken, beef, fish or roast vegetables. You add: the protein, oil, vinegar.</t>
  </si>
  <si>
    <t>Scent leaf (efirin) adds vitamin A and K and has traditional antimicrobial uses. Parsley is startlingly rich in vitamin K and vitamin C for a garnish.</t>
  </si>
  <si>
    <t>Scent leaf, Parsley, Garlic, Scotch bonnet</t>
  </si>
  <si>
    <t>1. Roast sweet potato wedges at 200C for 25 minutes.
2. Season and grill the chicken.
3. Finely chop scent leaf, parsley, garlic and ata rodo. Mix with vinegar, lime, olive oil and salt.
4. Slice chicken and spoon chimichurri over it. Serve with the wedges.</t>
  </si>
  <si>
    <t>Chimichurri keeps a week in the fridge. Great on fish and eggs too.</t>
  </si>
  <si>
    <t>R072</t>
  </si>
  <si>
    <t>Ugu &amp; Groundnut Pesto Pasta</t>
  </si>
  <si>
    <t>Pesto alla genovese (Italy)</t>
  </si>
  <si>
    <t>The Clever Meal</t>
  </si>
  <si>
    <t>https://theclevermeal.com/pesto-alla-genovese/</t>
  </si>
  <si>
    <t>https://theclevermeal.com/wp-content/uploads/2025/06/pesto-alla-genovese_1-1.jpg</t>
  </si>
  <si>
    <t>Ugu and groundnuts replace basil and pine nuts, which cost a fortune here.</t>
  </si>
  <si>
    <t>Pasta, or spread on bread. You add: pasta, oil, cheese if you like. Groundnuts from Basket.</t>
  </si>
  <si>
    <t>Ugu is rich in vitamin A, vitamin K, folate, iron and calcium; eat it with a vitamin C food to absorb the iron. Scent leaf (efirin) adds vitamin A and K and has traditional antimicrobial uses.</t>
  </si>
  <si>
    <t>Fluted pumpkin leaf, Scent leaf, Groundnut, Garlic</t>
  </si>
  <si>
    <t>1. Cook pasta.
2. Blanch ugu for 30 seconds, then cool in cold water and squeeze dry.
3. Blend ugu, scent leaf, groundnuts, garlic, lemon, parmesan and olive oil.
4. Toss pasta with pesto and a splash of pasta water. Top with halved tomatoes.</t>
  </si>
  <si>
    <t>Skip the parmesan and add extra groundnuts to make it vegan.</t>
  </si>
  <si>
    <t>R091</t>
  </si>
  <si>
    <t>Vegetable Egg Sauce</t>
  </si>
  <si>
    <t>Nigerian egg sauce (Eat Well Abi)</t>
  </si>
  <si>
    <t>Eat Well Abi</t>
  </si>
  <si>
    <t>https://eatwellabi.com/egg-sauce-scrambled-eggs-nigerian-way/</t>
  </si>
  <si>
    <t>https://eatwellabi.com/wp-content/uploads/2022/11/egg-sauce-37.jpg</t>
  </si>
  <si>
    <t>The Lagos classic, with the oil cut from half a cup to three tablespoons and a handful of ugu folded in at the end so the plate is mostly vegetables.</t>
  </si>
  <si>
    <t>Agege bread, toast or boiled yam. You add: eggs, oil, curry powder.</t>
  </si>
  <si>
    <t>Tatashe and tomato give more than a day's vitamin C per serving, and the vitamin C helps your body absorb the iron in the ugu.</t>
  </si>
  <si>
    <t>Tomato (plum), Red bell pepper, Fluted pumpkin leaf, Onion (red &amp; white)</t>
  </si>
  <si>
    <t>1. Heat the oil and soften the onion for 2 minutes.
2. Add the garlic, tomato, tatashe and ata rodo. Fry 6 to 8 minutes until the tomato breaks down and the oil shows at the edges.
3. Season with curry powder and salt.
4. Beat the eggs and pour them in. Leave 20 seconds, then fold slowly so you get big soft curds, not scrambled crumbs.
5. When the eggs are just set, stir in the ugu and take the pan off the heat. The leaves wilt in the steam.
6. Serve at once with bread or yam.</t>
  </si>
  <si>
    <t>Half a seasoning cube is plenty; the tatashe brings its own sweetness.</t>
  </si>
  <si>
    <t>R092</t>
  </si>
  <si>
    <t>Boiled Yam &amp; Pepper Egg Sauce</t>
  </si>
  <si>
    <t>Breakfast / Brunch</t>
  </si>
  <si>
    <t>Yam and egg sauce (My Active Kitchen)</t>
  </si>
  <si>
    <t>My Active Kitchen</t>
  </si>
  <si>
    <t>https://www.myactivekitchen.com/yam-and-egg-sauce/</t>
  </si>
  <si>
    <t>https://www.myactivekitchen.com/wp-content/uploads/2015/03/yam-and-egg-sauce-image.jpg</t>
  </si>
  <si>
    <t>Yam and the pepper sauce both come from the box. Two eggs fewer and more tomato than the usual version, with grated ginger in the oil.</t>
  </si>
  <si>
    <t>On its own. You add: eggs, oil, seasoning. Swap yam for sweet potato or Irish potato another day.</t>
  </si>
  <si>
    <t>Energy, Training</t>
  </si>
  <si>
    <t>Yam brings potassium, vitamin C and resistant starch. Plum tomatoes bring vitamin C and lycopene; cooking them in a little oil makes the lycopene easier to absorb.</t>
  </si>
  <si>
    <t>Yam, Tomato (plum), Red bell pepper, Ginger</t>
  </si>
  <si>
    <t>1. Boil the yam in salted water 15 to 20 minutes until a knife slides in. Drain.
2. Meanwhile heat the oil, add the onion and ginger and cook 2 minutes.
3. Add tomato, tatashe and ata rodo with the curry powder and thyme. Fry 8 minutes until thick.
4. Beat the eggs with a pinch of salt and pour over the sauce. Fold gently until just set.
5. Serve the sauce over the hot yam.</t>
  </si>
  <si>
    <t>Cut the yam the same thickness so every piece is done at the same time.</t>
  </si>
  <si>
    <t>R093</t>
  </si>
  <si>
    <t>Menemen</t>
  </si>
  <si>
    <t>Menemen, Turkish tomato and pepper eggs (Ozlem's Turkish Table)</t>
  </si>
  <si>
    <t>Ozlem's Turkish Table</t>
  </si>
  <si>
    <t>https://ozlemsturkishtable.com/2010/07/tomato-pepper-feta-cheese-scrambled-egg-menemen/</t>
  </si>
  <si>
    <t>https://ozlemsturkishtable.com/wp-content/uploads/2010/07/IMG_3419-700x525.jpg</t>
  </si>
  <si>
    <t>Turkey's egg sauce uses green pepper and spring onion instead of tatashe, and the eggs stay soft and wet. Wara stands in for Turkish white cheese and a pinch of ata rodo for the pepper flakes.</t>
  </si>
  <si>
    <t>Warm Agege bread or any soft bread for scooping. You add: eggs, oil, butter, wara or feta.</t>
  </si>
  <si>
    <t>Plum tomatoes bring vitamin C and lycopene; cooking them in a little oil makes the lycopene easier to absorb. Green pepper adds vitamin C and fibre with very few calories.</t>
  </si>
  <si>
    <t>Tomato (plum), Green / yellow bell pepper, Spring onion</t>
  </si>
  <si>
    <t>1. Warm the oil and butter. Add the green pepper and spring onion and cook 3 minutes until soft.
2. Add the tomato and ata rodo. Cook 5 minutes until the tomato collapses into a loose sauce.
3. Crack the eggs straight into the pan and stir slowly over low heat. Stop while they are still glossy and a little runny.
4. Scatter the cheese over, season and serve from the pan.</t>
  </si>
  <si>
    <t>Low heat is the whole trick. Menemen should be a sauce you scoop, not a dry scramble.</t>
  </si>
  <si>
    <t>R094</t>
  </si>
  <si>
    <t>Pan con Tomate</t>
  </si>
  <si>
    <t>Catalan tomato bread (The Mediterranean Dish)</t>
  </si>
  <si>
    <t>https://www.themediterraneandish.com/pan-con-tomate/</t>
  </si>
  <si>
    <t>Spain's five-minute breakfast: grated ripe tomato rubbed onto garlicky toast. Thick-cut Agege bread toasted in a dry pan, lime instead of lemon, torn scent leaf on top.</t>
  </si>
  <si>
    <t>Add a fried egg or sliced avocado for a full plate. You add: bread, olive oil, salt.</t>
  </si>
  <si>
    <t>Plum tomatoes bring vitamin C and lycopene; cooking them in a little oil makes the lycopene easier to absorb. Garlic adds allicin and vitamin B6.</t>
  </si>
  <si>
    <t>Tomato (plum), Garlic, Scent leaf</t>
  </si>
  <si>
    <t>1. Halve the tomatoes and grate the cut sides on a box grater; discard the skins. Season the pulp with salt and a squeeze of lime.
2. Toast the bread in a dry pan or under the grill until the edges char.
3. Rub the hot toast with the cut garlic.
4. Spoon the tomato pulp over, drizzle with oil and finish with torn scent leaf.</t>
  </si>
  <si>
    <t>Only make this with soft, deep-red tomatoes. Pale ones taste of nothing.</t>
  </si>
  <si>
    <t>R095</t>
  </si>
  <si>
    <t>Bruschetta al Pomodoro</t>
  </si>
  <si>
    <t>Bruschetta al pomodoro, Italy (Love and Lemons)</t>
  </si>
  <si>
    <t>https://www.loveandlemons.com/bruschetta-recipe/</t>
  </si>
  <si>
    <t>https://cdn.loveandlemons.com/wp-content/uploads/2025/05/bruschetta-recipe.jpg</t>
  </si>
  <si>
    <t>A mix of plum and cherry tomatoes diced with basil and garlic. Lime replaces balsamic; the bread is whatever local loaf toasts well.</t>
  </si>
  <si>
    <t>Breakfast, starter or snack. You add: bread, olive oil, salt.</t>
  </si>
  <si>
    <t>Plum tomatoes bring vitamin C and lycopene; cooking them in a little oil makes the lycopene easier to absorb. Cherry tomatoes are a sweet source of vitamin C and lycopene.</t>
  </si>
  <si>
    <t>Tomato (plum), Cherry tomato, Basil (sweet), Garlic</t>
  </si>
  <si>
    <t>1. Mix the diced tomatoes with the garlic, basil, lime juice, a tablespoon of oil and salt. Rest 10 minutes so the juices run.
2. Brush the bread with oil and toast until golden.
3. Pile the tomato on top just before eating so the toast stays crisp.</t>
  </si>
  <si>
    <t>Drain off some of the tomato juice if the bowl is swimming; keep it for a salad dressing.</t>
  </si>
  <si>
    <t>R096</t>
  </si>
  <si>
    <t>Garlic Mushroom Toast</t>
  </si>
  <si>
    <t>Garlic mushrooms on toast (BBC Good Food)</t>
  </si>
  <si>
    <t>https://www.bbcgoodfood.com/recipes/garlic-mushrooms-toast</t>
  </si>
  <si>
    <t>https://images.immediate.co.uk/production/volatile/sites/30/2020/08/recipe-image-legacy-id-775515_11-dd6e1ab.jpg</t>
  </si>
  <si>
    <t>Oyster or button mushrooms fried hard with garlic and finished with a spoon of yoghurt instead of soft cheese, and parsley or spring onion from the box.</t>
  </si>
  <si>
    <t>Add a poached or fried egg. You add: bread, oil, yoghurt.</t>
  </si>
  <si>
    <t>Mushrooms bring B vitamins, selenium and potassium with almost no calories. Garlic adds allicin and vitamin B6.</t>
  </si>
  <si>
    <t>Mushrooms (oyster / button), Garlic, Parsley</t>
  </si>
  <si>
    <t>1. Get the pan very hot, add the oil and the mushrooms in one layer. Do not stir for 2 minutes so they brown.
2. Toss, add the garlic and cook 2 minutes more.
3. Take off the heat, stir in the yoghurt, parsley, spring onion and seasoning.
4. Pile onto hot toast.</t>
  </si>
  <si>
    <t>Salt the mushrooms only at the end; salting early makes them steam instead of brown.</t>
  </si>
  <si>
    <t>R097</t>
  </si>
  <si>
    <t>Tomato &amp; Egg Stir-Fry</t>
  </si>
  <si>
    <t>Breakfast / Lunch</t>
  </si>
  <si>
    <t>Chinese stir-fried tomato and egg (The Woks of Life)</t>
  </si>
  <si>
    <t>The Woks of Life</t>
  </si>
  <si>
    <t>https://thewoksoflife.com/stir-fried-tomato-and-egg/</t>
  </si>
  <si>
    <t>https://thewoksoflife.com/wp-content/uploads/2019/05/tomato-egg-11.jpg</t>
  </si>
  <si>
    <t>China's home-cooking staple: eggs scrambled fast, then folded through a quick tomato sauce. No wine or sesame needed; a pinch of sugar and spring onion carry it.</t>
  </si>
  <si>
    <t>Leftover rice, boiled yam or toast. You add: eggs, oil, sugar.</t>
  </si>
  <si>
    <t>Wellness, Energy</t>
  </si>
  <si>
    <t>Plum tomatoes bring vitamin C and lycopene; cooking them in a little oil makes the lycopene easier to absorb. Spring onion adds vitamin K and folate.</t>
  </si>
  <si>
    <t>Tomato (plum), Spring onion</t>
  </si>
  <si>
    <t>1. Beat the eggs with a pinch of salt. Heat half the oil until shimmering, pour in the eggs and scramble 30 seconds until just set. Tip out.
2. Add the rest of the oil, then the tomatoes and the white parts of the spring onion. Fry 2 minutes.
3. Add the sugar, salt and water. Simmer 2 minutes until saucy.
4. Return the eggs, fold through for 30 seconds and finish with the green spring onion.</t>
  </si>
  <si>
    <t>Ripe, soft tomatoes break down fastest. Firm ones need a splash more water.</t>
  </si>
  <si>
    <t>R098</t>
  </si>
  <si>
    <t>Masala Omelette</t>
  </si>
  <si>
    <t>Omelette</t>
  </si>
  <si>
    <t>Indian street-stall masala omelette (Serious Eats)</t>
  </si>
  <si>
    <t>https://www.seriouseats.com/beyond-curry-indian-masala-omelet-recipe</t>
  </si>
  <si>
    <t>Onion, tomato, coriander and chilli beaten into the eggs. Ata rodo or long red chilli for the green chillies, a little dry pepper for the chilli powder, served in Agege bread like the Mumbai stalls do.</t>
  </si>
  <si>
    <t>Agege bread for an omelette sandwich. You add: eggs, oil.</t>
  </si>
  <si>
    <t>Onions supply quercetin and prebiotic fibre that feeds gut bacteria. Plum tomatoes bring vitamin C and lycopene; cooking them in a little oil makes the lycopene easier to absorb.</t>
  </si>
  <si>
    <t>Onion (red &amp; white), Tomato (plum), Coriander (cilantro), Long red chilli</t>
  </si>
  <si>
    <t>1. Beat the eggs with the salt, chilli powder, onion, tomato, chilli and coriander.
2. Heat half the oil in a small pan, pour in half the mix and swirl thin.
3. Cook 2 minutes until the top is almost set, fold in half, slide out. Repeat.
4. Serve hot in bread or with sliced cucumber.</t>
  </si>
  <si>
    <t>Squeeze the tomato pieces a little so the omelette does not go watery.</t>
  </si>
  <si>
    <t>R099</t>
  </si>
  <si>
    <t>Huevos a la Mexicana</t>
  </si>
  <si>
    <t>Mexican scrambled eggs with tomato, onion and chilli (Mexico in my Kitchen)</t>
  </si>
  <si>
    <t>https://www.mexicoinmykitchen.com/mexican-style-scrambled-eggs/</t>
  </si>
  <si>
    <t>https://www.mexicoinmykitchen.com/wp-content/uploads/2025/02/Huevos-a-la-Mexicana-8.jpg</t>
  </si>
  <si>
    <t>The green, white and red of the Mexican flag in a pan: chilli, onion, tomato. Half an ata rodo stands in for the serrano, and avocado on the side instead of refried beans.</t>
  </si>
  <si>
    <t>Agege bread, boiled yam or warm tortillas. You add: eggs, oil.</t>
  </si>
  <si>
    <t>Plum tomatoes bring vitamin C and lycopene; cooking them in a little oil makes the lycopene easier to absorb. Onions supply quercetin and prebiotic fibre that feeds gut bacteria.</t>
  </si>
  <si>
    <t>Tomato (plum), Onion (red &amp; white), Avocado, Scotch bonnet</t>
  </si>
  <si>
    <t>1. Fry the onion and chilli in the oil for 2 minutes.
2. Add the tomato and cook 3 minutes until it softens but still holds shape.
3. Pour in the beaten eggs, season, and stir gently until just set.
4. Serve with sliced avocado and coriander.</t>
  </si>
  <si>
    <t>Take the pan off the heat while the eggs still look slightly wet; they finish cooking on the plate.</t>
  </si>
  <si>
    <t>R100</t>
  </si>
  <si>
    <t>Cherry Tomato &amp; Wara Scramble (Strapatsada)</t>
  </si>
  <si>
    <t>Strapatsada, Greek tomato and feta eggs (The Mediterranean Dish)</t>
  </si>
  <si>
    <t>https://www.themediterraneandish.com/strapatsada-greek-tomato-feta-scrambled-eggs/</t>
  </si>
  <si>
    <t>Greece's version uses sweet tomatoes cooked down with garlic and salty cheese. Cherry tomatoes and a grated plum tomato replace the paste; wara stands in for feta; scent leaf for parsley.</t>
  </si>
  <si>
    <t>Crusty bread or Agege. You add: eggs, olive oil, wara or feta.</t>
  </si>
  <si>
    <t>Cherry tomatoes are a sweet source of vitamin C and lycopene. Garlic adds allicin and vitamin B6.</t>
  </si>
  <si>
    <t>Cherry tomato, Garlic, Scent leaf</t>
  </si>
  <si>
    <t>1. Cook the cherry tomatoes and garlic in the oil 4 minutes until they burst.
2. Add the grated tomato and simmer 3 minutes to a thick sauce.
3. Pour in the beaten eggs and fold slowly until creamy.
4. Stir in the cheese and scent leaf and serve.</t>
  </si>
  <si>
    <t>Grating a tomato gives you instant 'paste' without opening a tin.</t>
  </si>
  <si>
    <t>R101</t>
  </si>
  <si>
    <t>Persian Tomato Omelette with Turmeric</t>
  </si>
  <si>
    <t>Omlet-e gojeh farangi, Iran (The Caspian Chef)</t>
  </si>
  <si>
    <t>The Caspian Chef</t>
  </si>
  <si>
    <t>https://thecaspianchef.com/2020/03/omlet-e-gojeh-farangi-tomato-omelette/</t>
  </si>
  <si>
    <t>https://i0.wp.com/thecaspianchef.com/wp-content/uploads/2021/06/om1.jpeg</t>
  </si>
  <si>
    <t>Iran's tomato omelette is a slow-cooked tomato sauce with turmeric that the eggs are set into. Fresh Basket turmeric grated in, a whole ata rodo for gentle heat, bread or yam alongside.</t>
  </si>
  <si>
    <t>Flatbread, Agege bread or boiled yam. You add: eggs, oil or butter.</t>
  </si>
  <si>
    <t>Plum tomatoes bring vitamin C and lycopene; cooking them in a little oil makes the lycopene easier to absorb. Fresh turmeric adds curcumin; black pepper and oil improve its absorption.</t>
  </si>
  <si>
    <t>Tomato (plum), Turmeric (fresh), Onion (red &amp; white)</t>
  </si>
  <si>
    <t>1. Soften the onion in the oil 5 minutes. Add garlic and turmeric for a minute.
2. Add the tomato and the whole ata rodo. Simmer 12 to 15 minutes until jammy.
3. Beat the eggs, pour over, and stir slowly until just set. Remove the pepper.
4. Serve with bread.</t>
  </si>
  <si>
    <t>Leave the ata rodo whole for aroma without heat; chop it if you want fire.</t>
  </si>
  <si>
    <t>R102</t>
  </si>
  <si>
    <t>Broccoli &amp; Spring Onion Frittata</t>
  </si>
  <si>
    <t>Frittata</t>
  </si>
  <si>
    <t>Vegetable frittata (Love and Lemons)</t>
  </si>
  <si>
    <t>https://www.loveandlemons.com/frittata-recipe/</t>
  </si>
  <si>
    <t>https://cdn.loveandlemons.com/wp-content/uploads/2019/04/frittata.jpg</t>
  </si>
  <si>
    <t>The Italian oven omelette done on the hob with a lid, since not every Lagos kitchen has an oven. Broccoli and spring onion from the box; swap in tatashe and spinach, or mushrooms, for other days.</t>
  </si>
  <si>
    <t>Warm or cold, with a side salad. You add: eggs, milk, oil, optional cheese.</t>
  </si>
  <si>
    <t>Broccoli is dense in vitamin C, vitamin K, folate and fibre. Spring onion adds vitamin K and folate.</t>
  </si>
  <si>
    <t>Broccoli, Spring onion, Garlic</t>
  </si>
  <si>
    <t>1. Whisk the eggs, milk, salt, pepper and paprika.
2. In a lidded non-stick pan, fry the broccoli and spring onion in the oil 4 minutes. Add garlic for 30 seconds.
3. Pour in the eggs, scatter cheese on top, cover and cook on the lowest heat 15 to 18 minutes until set in the middle.
4. Slide out, cut into wedges.</t>
  </si>
  <si>
    <t>Keeps 3 days in the fridge; a wedge in bread is a good packed lunch.</t>
  </si>
  <si>
    <t>R103</t>
  </si>
  <si>
    <t>Tomato, Spinach &amp; Wara Omelette</t>
  </si>
  <si>
    <t>Tomato, spinach and feta omelette (Sims Home Kitchen)</t>
  </si>
  <si>
    <t>Sims Home Kitchen</t>
  </si>
  <si>
    <t>https://simshomekitchen.com/easy-tomato-omelette-recipe-4/</t>
  </si>
  <si>
    <t>https://simshomekitchen.com/wp-content/uploads/2020/04/Tomato-omelette-in-a-plate-with-spinach.jpg</t>
  </si>
  <si>
    <t>A folded omelette with sliced tomato, garlic and greens. Baby spinach or ugu, wara for feta, a little spring onion.</t>
  </si>
  <si>
    <t>Toast or on its own. You add: eggs, oil, wara or feta.</t>
  </si>
  <si>
    <t>Plum tomatoes bring vitamin C and lycopene; cooking them in a little oil makes the lycopene easier to absorb. Spinach is one of the richest sources of vitamin K and folate, with iron and magnesium.</t>
  </si>
  <si>
    <t>Tomato (plum), Baby spinach, Garlic</t>
  </si>
  <si>
    <t>1. Fry the garlic and tomato slices in the oil for a minute each side.
2. Add the spinach and let it wilt, 30 seconds.
3. Pour in the beaten, seasoned eggs and tilt the pan so they spread.
4. When the base is set, scatter the cheese and spring onion, fold and serve.</t>
  </si>
  <si>
    <t>Dry the spinach well; wet leaves make a soggy omelette.</t>
  </si>
  <si>
    <t>R104</t>
  </si>
  <si>
    <t>Israeli Breakfast Plate</t>
  </si>
  <si>
    <t>Breakfast plate</t>
  </si>
  <si>
    <t>Israeli breakfast: herb omelette with chopped salad (Jamie Geller)</t>
  </si>
  <si>
    <t>Jamie Geller</t>
  </si>
  <si>
    <t>https://jamiegeller.com/recipes/israeli-breakfast-for-two/</t>
  </si>
  <si>
    <t>The hotel-buffet breakfast of Tel Aviv shrunk to one plate: a herb omelette, a cucumber-tomato chopped salad, thick yoghurt and bread. Lime for lemon, sliced avocado added.</t>
  </si>
  <si>
    <t>Warm bread and thick yoghurt. You add: eggs, oil, yoghurt, bread.</t>
  </si>
  <si>
    <t>Cucumber is mostly water with vitamin K, for hydration and crunch. Plum tomatoes bring vitamin C and lycopene; cooking them in a little oil makes the lycopene easier to absorb.</t>
  </si>
  <si>
    <t>Cucumber, Tomato (plum), Parsley, Avocado</t>
  </si>
  <si>
    <t>1. Toss the cucumber, tomato and onion with half the herbs, lime juice, 2 tablespoons oil and salt.
2. Beat the eggs with the rest of the herbs and the spring onion.
3. Cook two thin omelettes in the remaining oil, folding each in half.
4. Plate the omelette, salad, avocado and a spoon of yoghurt together.</t>
  </si>
  <si>
    <t>Dice the salad small, the Israeli way, so every spoon has everything.</t>
  </si>
  <si>
    <t>R105</t>
  </si>
  <si>
    <t>Kachumbari Eggs</t>
  </si>
  <si>
    <t>Mayai pasua, Kenyan boiled eggs with kachumbari (Soulful Kitchen Co)</t>
  </si>
  <si>
    <t>Soulful Kitchen Co</t>
  </si>
  <si>
    <t>https://www.soulfulkitchenco.com/recipe_d?rno=200</t>
  </si>
  <si>
    <t>https://www.soulfulkitchenco.com/storage/SHVSE5UIIk8BbnN1lgRCLsne4GtXD5uU7X7M7TYK.png</t>
  </si>
  <si>
    <t>Nairobi's street snack of boiled eggs split and stuffed with a sharp tomato-onion salsa, done as a plate: halved eggs under a heap of kachumbari with lime and chilli.</t>
  </si>
  <si>
    <t>Agege bread or boiled sweet potato. You add: eggs, salt.</t>
  </si>
  <si>
    <t>Tomato (plum), Onion (red &amp; white), Coriander (cilantro), Lime</t>
  </si>
  <si>
    <t>1. Boil the eggs 9 minutes, cool in cold water, peel and halve.
2. Mix the tomato, onion, coriander, chilli, lime juice and salt.
3. Arrange the egg halves and spoon the kachumbari over generously.</t>
  </si>
  <si>
    <t>Soak the chopped onion in the lime juice for 5 minutes first to take the raw edge off.</t>
  </si>
  <si>
    <t>R106</t>
  </si>
  <si>
    <t>Chunky Vegetable Stew (Ata Dindin Style)</t>
  </si>
  <si>
    <t>Ata dindin, Yoruba fried pepper sauce (Chef Lola's Kitchen)</t>
  </si>
  <si>
    <t>Chef Lola's Kitchen</t>
  </si>
  <si>
    <t>https://cheflolaskitchen.com/nigerian-pepper-sauce-ata-dindin/</t>
  </si>
  <si>
    <t>https://cheflolaskitchen.com/wp-content/uploads/2025/07/Nigerian-Pepper-Sauce-Ata-dindin.jpg.webp</t>
  </si>
  <si>
    <t>Instead of blending everything, the tatashe, tomatoes and onion are cut in big pieces and fried hard so the stew has bite and colour. Oil is halved; beef, tripe, iru and crayfish are left to the customer.</t>
  </si>
  <si>
    <t>Boiled rice, pasta, boiled yam or potatoes, or bread. Add your own chicken, fish, beef or boiled eggs. Boiled eggs dropped in at the end are the classic.</t>
  </si>
  <si>
    <t>Four tatashe give this stew more than a full day of vitamin C per serving plus beta-carotene; frying in a little oil helps the body absorb the carotene.</t>
  </si>
  <si>
    <t>Red bell pepper, Tomato (plum), Scotch bonnet, Onion (red &amp; white)</t>
  </si>
  <si>
    <t>1. Heat the oil until it shimmers. Fry the sliced onion 3 minutes.
2. Add garlic and ginger for 1 minute, then the tatashe. Fry on high 5 minutes, stirring now and then, until the edges blister.
3. Add the tomato wedges and ata rodo. Keep the heat high and fry 8 to 10 minutes; the tomatoes should soften but still hold their shape.
4. Season with thyme, stock powder and salt. Stir in the diced onion and cook 2 minutes more so it stays crunchy.
5. Serve over rice or yam, or spoon beside your protein.</t>
  </si>
  <si>
    <t>Do not cover the pan. Steam turns a fried stew into a boiled one.</t>
  </si>
  <si>
    <t>R107</t>
  </si>
  <si>
    <t>Nigerian Mixed Vegetable Sauce</t>
  </si>
  <si>
    <t>Nigerian mixed vegetable sauce (Nigerian Food TV)</t>
  </si>
  <si>
    <t>Nigerian Food TV</t>
  </si>
  <si>
    <t>https://www.nigerianfoodtv.com/nigerian-mixed-vegetable-sauce/</t>
  </si>
  <si>
    <t>https://1.bp.blogspot.com/-qPLc1ryDw0s/U6YSCpdqWaI/AAAAAAAADTo/9dWnOL4cUNA/s1600/mixed+vegetable+sauce+white+sauce+1.jpg</t>
  </si>
  <si>
    <t>The party-style 'white sauce' with carrots, cabbage, potato, green pepper and chunky tomato. Chicken is optional and added by the customer; green beans stretch it.</t>
  </si>
  <si>
    <t>Boiled rice, yam or potatoes. You add: chicken or any protein, oil, seasoning. Good on its own as a light meal.</t>
  </si>
  <si>
    <t>Carrot is the classic vitamin A source: one carrot covers a day's beta-carotene. Cabbage is rich in vitamin C and vitamin K and very low in calories.</t>
  </si>
  <si>
    <t>Carrot, Cabbage (white), Irish potato, Tomato (plum), Green / yellow bell pepper</t>
  </si>
  <si>
    <t>1. Boil the potato cubes 8 minutes until almost done. Drain.
2. Fry the onion in the oil 2 minutes. Add carrots and green beans, 4 minutes.
3. Add tomato chunks, curry, thyme and stock cube with a splash of water. Simmer 5 minutes.
4. Add potato, cabbage and green pepper. Toss 4 minutes so the cabbage softens but keeps colour.
5. Finish with spring onion and salt.</t>
  </si>
  <si>
    <t>Cut everything the same size so it cooks evenly and looks like the party version.</t>
  </si>
  <si>
    <t>R108</t>
  </si>
  <si>
    <t>Ugu &amp; Tatashe Greens Stew</t>
  </si>
  <si>
    <t>Greens stew</t>
  </si>
  <si>
    <t>Efo riro, vegan version (Olive Magazine)</t>
  </si>
  <si>
    <t>https://www.olivemagazine.com/recipes/vegan/nigerian-efo-riro-spinach-stew</t>
  </si>
  <si>
    <t>https://images.immediate.co.uk/production/volatile/sites/2/2025/03/EfoRiroSpinachStewpreview-a4df697.jpg?quality=90&amp;resize=708%2C643</t>
  </si>
  <si>
    <t>A lighter, greens-first efo riro: fresh ugu or efo tete instead of frozen spinach, far less oil, and the pepper base chopped rather than blended so it reads as a vegetable sauce. Smoked fish or beef is the customer's call.</t>
  </si>
  <si>
    <t>Rice, boiled yam, or as a side to any protein. You add: oil, seasoning, optional smoked fish, iru or crayfish.</t>
  </si>
  <si>
    <t>Wellness, Iron</t>
  </si>
  <si>
    <t>Ugu is rich in iron, folate and vitamin A; the vitamin C from tatashe and tomato in the same pot helps the iron absorb.</t>
  </si>
  <si>
    <t>Fluted pumpkin leaf, Red bell pepper, Tomato (plum), Scent leaf</t>
  </si>
  <si>
    <t>1. Fry the onion in the oil 3 minutes. Add garlic, tatashe, tomato and ata rodo.
2. Cook on medium-high 12 minutes until thick and the oil separates.
3. Season with curry, thyme and the stock cube.
4. Pile in the greens, stir, cover 2 minutes, then uncover and cook 3 minutes until just wilted and still bright.
5. Stir in the scent leaf and serve.</t>
  </si>
  <si>
    <t>Squeeze excess water out of the washed leaves first so the stew is not watery.</t>
  </si>
  <si>
    <t>R109</t>
  </si>
  <si>
    <t>Stewed Okra &amp; Tomatoes</t>
  </si>
  <si>
    <t>Southern US stewed okra (Food Fidelity)</t>
  </si>
  <si>
    <t>Food Fidelity</t>
  </si>
  <si>
    <t>https://www.foodfidelity.com/stewed-okra/</t>
  </si>
  <si>
    <t>https://www.foodfidelity.com/wp-content/uploads/2021/06/stewed-okra-bowl-vert-best-1-683x1024.jpg</t>
  </si>
  <si>
    <t>Okra cooked in a bright tomato, onion and garlic sauce with lemon so it stays fresh rather than slimy. Ata rodo for cayenne, scent leaf to finish.</t>
  </si>
  <si>
    <t>Rice, or beside grilled or fried fish. You add: oil, paprika.</t>
  </si>
  <si>
    <t>Okra brings soluble fibre, vitamin K, folate and magnesium. Plum tomatoes bring vitamin C and lycopene; cooking them in a little oil makes the lycopene easier to absorb.</t>
  </si>
  <si>
    <t>Okra, Tomato (plum), Lemon, Onion (red &amp; white)</t>
  </si>
  <si>
    <t>1. Soften the onion in the oil 4 minutes. Add garlic and paprika for 1 minute.
2. Add tomato, ata rodo and a quarter cup of water. Simmer 5 minutes.
3. Add okra and lemon juice, cover and simmer 12 minutes until tender.
4. Season, stir in scent leaf and serve.</t>
  </si>
  <si>
    <t>The lemon juice is not just flavour; the acid keeps the okra from going gluey.</t>
  </si>
  <si>
    <t>R110</t>
  </si>
  <si>
    <t>Lecsó (Hungarian Pepper &amp; Tomato Stew)</t>
  </si>
  <si>
    <t>Lecsó, Hungary (Krumpli)</t>
  </si>
  <si>
    <t>Krumpli</t>
  </si>
  <si>
    <t>https://www.krumpli.co.uk/hungarian-lecso/</t>
  </si>
  <si>
    <t>https://www.krumpli.co.uk/wp-content/uploads/2023/10/Hungarian-Lecso-05.jpg</t>
  </si>
  <si>
    <t>Hungary's summer stew is tatashe and green pepper strips cooked slowly with onion, tomato wedges and a lot of sweet paprika. No bacon or salami; stir eggs through at the end for breakfast or serve with rice for dinner.</t>
  </si>
  <si>
    <t>Bread, rice or boiled potatoes. You add: oil, paprika, optional eggs or sausage.</t>
  </si>
  <si>
    <t>Green pepper adds vitamin C and fibre with very few calories. Tatashe (red bell pepper) has about twice the vitamin C of an orange by weight, plus beta-carotene.</t>
  </si>
  <si>
    <t>Green / yellow bell pepper, Red bell pepper, Tomato (plum), Onion (red &amp; white)</t>
  </si>
  <si>
    <t>1. Cook the onion slowly in the oil 8 minutes until golden.
2. Take off the heat, stir in the paprika (it burns easily), then add the peppers and garlic.
3. Return to medium heat and cook 10 minutes until the peppers soften.
4. Add the tomato wedges and chilli, cover and simmer 20 minutes. Season.</t>
  </si>
  <si>
    <t>For a one-pan breakfast, crack 4 eggs into the finished lecsó and stir until just set.</t>
  </si>
  <si>
    <t>R111</t>
  </si>
  <si>
    <t>Pepperonata</t>
  </si>
  <si>
    <t>Lunch / Dinner / Side</t>
  </si>
  <si>
    <t>Peperonata, Italy (Lovefood)</t>
  </si>
  <si>
    <t>Lovefood</t>
  </si>
  <si>
    <t>https://www.lovefood.com/recipes/57231/peperonata-recipe</t>
  </si>
  <si>
    <t>https://loveincorporated.blob.core.windows.net/contentimages/main/peperonatars.jpg</t>
  </si>
  <si>
    <t>Italy's slow-cooked pepper stew: tatashe and green pepper melted down with onion, garlic and tomato until sweet and silky. Eaten hot with grilled chicken, cold on bread, or stirred into pasta.</t>
  </si>
  <si>
    <t>Bread, rice, pasta, or beside grilled chicken or fish. You add: olive oil.</t>
  </si>
  <si>
    <t>Red bell pepper, Green / yellow bell pepper, Onion (red &amp; white), Tomato (plum)</t>
  </si>
  <si>
    <t>1. Soften the onion and garlic in the oil with the bay leaves, 8 minutes.
2. Add all the pepper strips and cook on medium 10 minutes, stirring often.
3. Add tomato, season, cover and simmer 15 minutes until everything is soft and jammy.
4. Finish with basil. Serve hot or at room temperature.</t>
  </si>
  <si>
    <t>Keeps 4 days in the fridge and tastes better on day two.</t>
  </si>
  <si>
    <t>R112</t>
  </si>
  <si>
    <t>Piperade (Basque Pepper Base with Eggs)</t>
  </si>
  <si>
    <t>Pepper sauce</t>
  </si>
  <si>
    <t>Piperade basquaise (Food Network)</t>
  </si>
  <si>
    <t>Food Network</t>
  </si>
  <si>
    <t>https://www.foodnetwork.com/recipes/piperade-basquaise-recipe.html</t>
  </si>
  <si>
    <t>https://food.fnr.sndimg.com/content/dam/images/food/editorial/homepage/fn-feature.jpg.rend.hgtvcom.826.620.suffix/1474463768097.webp</t>
  </si>
  <si>
    <t>The Basque pepper-and-tomato base is nearly a Nigerian stew already. Tatashe plus green pepper, half an ata rodo for the chilli flakes, scent leaf or basil. The ham is dropped; eggs or leftover chicken go in at the end.</t>
  </si>
  <si>
    <t>Crusty bread, rice or over grilled fish. You add: eggs, oil, butter, optional leftover chicken.</t>
  </si>
  <si>
    <t>Plum tomatoes bring vitamin C and lycopene; cooking them in a little oil makes the lycopene easier to absorb. Tatashe (red bell pepper) has about twice the vitamin C of an orange by weight, plus beta-carotene.</t>
  </si>
  <si>
    <t>Tomato (plum), Red bell pepper, Green / yellow bell pepper, Basil (sweet)</t>
  </si>
  <si>
    <t>1. Soften onion, garlic and peppers in the oil 10 minutes.
2. Add tomato, ata rodo and basil. Simmer 15 minutes until thick.
3. Beat the eggs with salt, pour in and stir slowly until softly set.
4. Scatter parsley and serve.</t>
  </si>
  <si>
    <t>Stop before the eggs look fully cooked; the sauce should still be loose enough to mop with bread.</t>
  </si>
  <si>
    <t>R113</t>
  </si>
  <si>
    <t>Matbucha (Slow-Cooked Tomato &amp; Tatashe Spread)</t>
  </si>
  <si>
    <t>Sauce / spread</t>
  </si>
  <si>
    <t>Any</t>
  </si>
  <si>
    <t>Matbucha, Morocco (Jewish Food Society)</t>
  </si>
  <si>
    <t>Jewish Food Society</t>
  </si>
  <si>
    <t>https://jewishfoodsociety.org/recipes/matbucha-moroccan-tomato-and-pepper-spread</t>
  </si>
  <si>
    <t>https://images.prismic.io/jewishfoodsociety/c1fc9ab7-50c2-4a77-a57c-63a6bd400bab_04_Matbucha_%28Tomato_and_Pepper_Dip%29_366.jpeg?h=1100&amp;auto=format&amp;rect=11%2C0%2C727%2C500&amp;__type=intro-left-side</t>
  </si>
  <si>
    <t>A Sunday batch cook: ripe tomatoes and tatashe cooked down for two hours into a thick, sweet, spicy spread. It is a dip for bread, a sauce for rice, and the base for shakshuka later in the week.</t>
  </si>
  <si>
    <t>Bread as a dip, over rice, or under fried eggs. You add: oil, paprika, salt.</t>
  </si>
  <si>
    <t>Tomato (plum), Red bell pepper, Garlic, Long red chilli</t>
  </si>
  <si>
    <t>1. Char the tatashe over a flame or in a dry pan until blackened, steam in a covered bowl, peel and chop.
2. Put tomatoes, peppers, garlic, chilli, oil, paprika and salt in a wide pan.
3. Simmer gently, uncovered, stirring every 15 minutes, for about 2 hours until dark, thick and glossy.
4. Cool and keep in a jar in the fridge up to a week.</t>
  </si>
  <si>
    <t>A wide pan matters more than anything else: more surface means faster evaporation.</t>
  </si>
  <si>
    <t>R114</t>
  </si>
  <si>
    <t>Ezme (Turkish Chopped Tomato &amp; Pepper Spread)</t>
  </si>
  <si>
    <t>Ezme, Turkey (Ozlem's Turkish Table)</t>
  </si>
  <si>
    <t>https://ozlemsturkishtable.com/2013/01/ezme-delicious-spread-of-tomatoes-onions-peppers-and-herbs-with-red-pepper-paste/</t>
  </si>
  <si>
    <t>https://ozlemsturkishtable.com/wp-content/uploads/2013/01/Ozlem_Shot_54_0623_-559x700.jpg</t>
  </si>
  <si>
    <t>A raw, finely chopped tomato, onion, pepper and herb spread from Turkish kebab houses. Long red chilli for the Turkish peppers, and it belongs next to suya.</t>
  </si>
  <si>
    <t>Suya, grilled fish or flatbread. You add: tomato paste, olive oil, salt.</t>
  </si>
  <si>
    <t>Tomato (plum), Onion (red &amp; white), Parsley, Mint</t>
  </si>
  <si>
    <t>1. Chop everything as finely as you have patience for; the texture should be close to a coarse salsa.
2. Mix with tomato paste, lemon juice, oil and seasoning.
3. Rest 15 minutes before serving.</t>
  </si>
  <si>
    <t>Seed the tomatoes or the spread turns watery within the hour.</t>
  </si>
  <si>
    <t>R115</t>
  </si>
  <si>
    <t>Pico de Gallo</t>
  </si>
  <si>
    <t>Pico de gallo, Mexico (Love and Lemons)</t>
  </si>
  <si>
    <t>https://www.loveandlemons.com/pico-de-gallo/</t>
  </si>
  <si>
    <t>https://cdn.loveandlemons.com/wp-content/uploads/2024/04/what-is-pico-de-gallo.jpg</t>
  </si>
  <si>
    <t>Diced tomato, onion, coriander and lime with half an ata rodo for the jalapeño. A fresh topping for grilled fish, eggs, jollof or wraps.</t>
  </si>
  <si>
    <t>Grilled fish or chicken, eggs, rice bowls, wraps, yam chips. You add: salt.</t>
  </si>
  <si>
    <t>1. Mix everything in a bowl.
2. Rest 10 minutes, taste, add salt or lime.
3. Eat the same day.</t>
  </si>
  <si>
    <t>Firm tomatoes work better here than soft ones; save the soft ones for stew.</t>
  </si>
  <si>
    <t>R116</t>
  </si>
  <si>
    <t>Roasted Salsa Roja</t>
  </si>
  <si>
    <t>Salsa roja, Mexico (Chef Billy Parisi)</t>
  </si>
  <si>
    <t>Chef Billy Parisi</t>
  </si>
  <si>
    <t>https://www.billyparisi.com/salsa-roja/</t>
  </si>
  <si>
    <t>https://www.billyparisi.com/wp-content/uploads/2026/06/salsa-roja-5-683x1024.jpg</t>
  </si>
  <si>
    <t>Tomatoes, onion, garlic and chilli charred in a dry pan then blended coarse. The smoky flavour is close to roasted pepper for suya. Long red chilli or one ata rodo for serranos.</t>
  </si>
  <si>
    <t>Grilled meat, fish, eggs, rice, yam chips. You add: oil, salt.</t>
  </si>
  <si>
    <t>Tomato (plum), Onion (red &amp; white), Garlic, Long red chilli</t>
  </si>
  <si>
    <t>1. Heat a dry heavy pan. Char the tomatoes, onion, chillies and garlic, turning, 10 to 15 minutes until blackened in spots.
2. Peel the garlic. Blend everything with the oil, lime and salt in short pulses so it stays a little chunky.
3. Stir in the coriander. Keeps 5 days.</t>
  </si>
  <si>
    <t>Leave the tomato skins on; the charred bits are the flavour.</t>
  </si>
  <si>
    <t>R117</t>
  </si>
  <si>
    <t>Arrabbiata Sauce</t>
  </si>
  <si>
    <t>Sugo all'arrabbiata, Italy (Love and Lemons)</t>
  </si>
  <si>
    <t>https://www.loveandlemons.com/arrabbiata-sauce/</t>
  </si>
  <si>
    <t>https://cdn.loveandlemons.com/wp-content/uploads/2025/09/arrabiata.jpg</t>
  </si>
  <si>
    <t>Rome's 'angry' tomato sauce made from fresh plum tomatoes instead of a tin, with a chopped ata rodo doing the job of chilli flakes. Scent leaf or basil to finish.</t>
  </si>
  <si>
    <t>Penne or spaghetti, or over rice or boiled yam. You add: pasta, olive oil, optional cheese.</t>
  </si>
  <si>
    <t>Tomato (plum), Garlic, Scotch bonnet, Basil (sweet)</t>
  </si>
  <si>
    <t>1. Score the tomatoes, dip in boiling water 30 seconds, peel and chop.
2. Soften onion, garlic and ata rodo in the oil 3 minutes.
3. Add tomatoes, salt and sugar. Simmer 20 minutes, crushing with a spoon, until thick.
4. Toss with cooked pasta and basil.</t>
  </si>
  <si>
    <t>Save a cup of pasta water and loosen the sauce with it as you toss.</t>
  </si>
  <si>
    <t>R118</t>
  </si>
  <si>
    <t>Puttanesca Sauce</t>
  </si>
  <si>
    <t>Pasta alla puttanesca, Naples (Love and Lemons)</t>
  </si>
  <si>
    <t>https://www.loveandlemons.com/pasta-puttanesca/</t>
  </si>
  <si>
    <t>https://cdn.loveandlemons.com/wp-content/uploads/2025/07/pasta-puttanesca.jpg</t>
  </si>
  <si>
    <t>Tomato, shallot, garlic, olives and parsley. Olives are a Lagos supermarket item; skip the capers and add a squeeze of lemon. Tinned sardines are the easy protein add.</t>
  </si>
  <si>
    <t>Spaghetti. You add: pasta, olive oil, olives, optional sardines or anchovies.</t>
  </si>
  <si>
    <t>Tomato (plum), Shallots, Garlic, Parsley</t>
  </si>
  <si>
    <t>1. Soften shallot, garlic and ata rodo in the oil 3 minutes.
2. Add tomatoes and olives. Simmer 15 minutes until thick.
3. Stir in parsley and lemon juice. Toss with pasta.</t>
  </si>
  <si>
    <t>Taste before salting; olives carry a lot already.</t>
  </si>
  <si>
    <t>R119</t>
  </si>
  <si>
    <t>Briam (Greek Baked Vegetables)</t>
  </si>
  <si>
    <t>Tray bake</t>
  </si>
  <si>
    <t>Briam, Greece (My Greek Dish)</t>
  </si>
  <si>
    <t>My Greek Dish</t>
  </si>
  <si>
    <t>https://www.mygreekdish.com/recipe/briam-recipe-greek-mixed-roasted-vegetables/</t>
  </si>
  <si>
    <t>https://www.mygreekdish.com/wp-content/uploads/2014/02/Briam-recipe-Greek-mixed-Roasted-Vegetables-3-scaled.jpg</t>
  </si>
  <si>
    <t>Sliced potatoes, zucchini, garden egg and tomatoes baked slowly in olive oil until soft and caramelised. Oil cut to a third of the Greek amount; a tatashe added for colour.</t>
  </si>
  <si>
    <t>Bread and wara or feta, or beside grilled chicken. You add: olive oil.</t>
  </si>
  <si>
    <t>Potatoes bring potassium, vitamin C and vitamin B6. Zucchini is light, hydrating and adds vitamin C and potassium.</t>
  </si>
  <si>
    <t>Irish potato, Zucchini (courgette), Garden egg, Tomato (plum)</t>
  </si>
  <si>
    <t>1. Heat the oven to 200C. Toss all the vegetables with oil, garlic, salt and pepper.
2. Layer or jumble into a roasting tin with half the tomato slices on top.
3. Bake 60 to 75 minutes, turning once, until the potatoes are soft and the edges are browned.
4. Scatter parsley and rest 10 minutes.</t>
  </si>
  <si>
    <t>No oven? Cook it covered in a wide pan on low heat for 45 minutes, then uncover for 10.</t>
  </si>
  <si>
    <t>R120</t>
  </si>
  <si>
    <t>Tikil Gomen (Cabbage, Carrot &amp; Potato)</t>
  </si>
  <si>
    <t>Ye'tikil gomen, Ethiopia (Burlap &amp; Barrel)</t>
  </si>
  <si>
    <t>Burlap &amp; Barrel</t>
  </si>
  <si>
    <t>https://www.burlapandbarrel.com/blogs/recipes/ye-tikil-gomen-alicha-caulo-music-in-your-mouth-cabbage-with-potatoes-and-carrots</t>
  </si>
  <si>
    <t>https://images.getrecipekit.com/20250422192139-img_3996-202.jpg?width=1200&amp;quality=90</t>
  </si>
  <si>
    <t>Ethiopia's mild yellow cabbage stew: cabbage, carrot and potato braised with onion, garlic, ginger and fresh turmeric. Oil cut from half a cup to three tablespoons; a whole ata rodo instead of jalapeño.</t>
  </si>
  <si>
    <t>Rice, boiled yam or flatbread. Add grilled chicken or fish. You add: oil, salt.</t>
  </si>
  <si>
    <t>Cabbage is rich in vitamin C and vitamin K and very low in calories. Carrot is the classic vitamin A source: one carrot covers a day's beta-carotene.</t>
  </si>
  <si>
    <t>Cabbage (white), Carrot, Irish potato, Turmeric (fresh)</t>
  </si>
  <si>
    <t>1. Cook the onion in the oil 8 minutes until soft. Add garlic, ginger and turmeric for 1 minute.
2. Add carrot and potato with half a cup of water. Cover and cook 10 minutes.
3. Add the cabbage and the whole pepper. Cover and cook 20 minutes, stirring twice, until everything is tender.
4. Season and remove the pepper.</t>
  </si>
  <si>
    <t>Turmeric stains; use a dark or steel spoon, not a white plastic one.</t>
  </si>
  <si>
    <t>R121</t>
  </si>
  <si>
    <t>Caribbean Creole Sauce</t>
  </si>
  <si>
    <t>Sauce for fish</t>
  </si>
  <si>
    <t>French Caribbean creole sauce (CaribbeanPot)</t>
  </si>
  <si>
    <t>CaribbeanPot</t>
  </si>
  <si>
    <t>https://caribbeanpot.com/french-caribbean-creole-sauce-for-fish-and-grilled-meats/</t>
  </si>
  <si>
    <t>https://caribbeanpot.com/wp-content/uploads/2013/04/Creole-Sauce.jpg</t>
  </si>
  <si>
    <t>The St Martin fish sauce: onion, green pepper, tomato, garlic, spring onion, a little scotch bonnet and herbs simmered in stock. Celery is dropped; rosemary or thyme from the box.</t>
  </si>
  <si>
    <t>Fried or grilled fish with white rice. You add: the fish, stock cube, oil, butter.</t>
  </si>
  <si>
    <t>Onions supply quercetin and prebiotic fibre that feeds gut bacteria. Green pepper adds vitamin C and fibre with very few calories.</t>
  </si>
  <si>
    <t>Onion (red &amp; white), Green / yellow bell pepper, Tomato (plum), Spring onion</t>
  </si>
  <si>
    <t>1. Soften onion, green pepper and garlic in the oil 6 minutes.
2. Add tomato, tomato paste, ata rodo, rosemary and stock. Simmer 25 minutes until reduced by a third.
3. Stir in butter, spring onion and parsley. Spoon over fish and rice.</t>
  </si>
  <si>
    <t>Make it while the fish fries; both finish at the same time.</t>
  </si>
  <si>
    <t>R122</t>
  </si>
  <si>
    <t>Bhuna Masala (Onion-Tomato Curry Base)</t>
  </si>
  <si>
    <t>Curry base</t>
  </si>
  <si>
    <t>Bhuna masala, India (My Food Story)</t>
  </si>
  <si>
    <t>My Food Story</t>
  </si>
  <si>
    <t>https://myfoodstory.com/bhuna-masala-or-everyday-indian-curry-paste-recipe/</t>
  </si>
  <si>
    <t>https://myfoodstory.com/wp-content/uploads/2016/02/Bhuna-Masala-3.jpg</t>
  </si>
  <si>
    <t>The Indian 'stew base': a kilo of onions cooked down with tomato, garlic, ginger, fresh turmeric and spices into a paste you freeze in portions. Groundnuts replace cashews. A spoonful with green beans, cauliflower or boiled eggs is dinner.</t>
  </si>
  <si>
    <t>Rice or flatbread. Simmer with any vegetable, boiled eggs or chicken. You add: oil, spices.</t>
  </si>
  <si>
    <t>Onion (red &amp; white), Tomato (plum), Ginger, Garlic, Turmeric (fresh)</t>
  </si>
  <si>
    <t>1. Blend garlic, ginger, chillies and groundnuts to a paste.
2. Fry cumin seeds in the oil, add onions and cook 25 minutes, stirring, until deep golden.
3. Add the paste and turmeric, 5 minutes. Add tomato puree and ground spices.
4. Cook on low 45 to 60 minutes, stirring, until the oil separates and the paste is dark. Cool and freeze in 6 portions.</t>
  </si>
  <si>
    <t>One portion plus 400 g of any vegetable and a cup of water, simmered 15 minutes, is a curry.</t>
  </si>
  <si>
    <t>R123</t>
  </si>
  <si>
    <t>Romesco (Tatashe &amp; Groundnut Sauce)</t>
  </si>
  <si>
    <t>Romesco, Catalonia (Love and Lemons)</t>
  </si>
  <si>
    <t>https://www.loveandlemons.com/romesco-sauce/</t>
  </si>
  <si>
    <t>https://cdn.loveandlemons.com/wp-content/uploads/2020/07/romesco.jpg</t>
  </si>
  <si>
    <t>Catalonia's roasted red pepper and nut sauce rebuilt on tatashe and toasted groundnuts, with a slice of bread for body and lime for the vinegar. For grilled chicken, roasted sweet potato, boiled yam or fish.</t>
  </si>
  <si>
    <t>Grilled chicken or fish, roast vegetables, bread, boiled yam. You add: olive oil, tomato paste, bread.</t>
  </si>
  <si>
    <t>Tatashe (red bell pepper) has about twice the vitamin C of an orange by weight, plus beta-carotene. Groundnuts add plant protein, vitamin E, magnesium and niacin.</t>
  </si>
  <si>
    <t>Red bell pepper, Groundnut (fresh or roasted), Garlic</t>
  </si>
  <si>
    <t>1. Char the tatashe over a flame or in a hot dry pan 10 minutes, steam in a covered bowl, peel and seed.
2. Blend with groundnuts, garlic, bread, tomato paste, lime, paprika, salt and a quarter cup of water.
3. Stream in the oil while blending until thick and spoonable.</t>
  </si>
  <si>
    <t>Keeps a week in the fridge. Thin with water for a dressing.</t>
  </si>
  <si>
    <t>R124</t>
  </si>
  <si>
    <t>Creamy Mushroom Sauce</t>
  </si>
  <si>
    <t>Sauce for chicken</t>
  </si>
  <si>
    <t>Creamy mushroom sauce (RecipeTin Eats)</t>
  </si>
  <si>
    <t>https://www.recipetineats.com/mushroom-sauce/</t>
  </si>
  <si>
    <t>https://www.recipetineats.com/tachyon/2018/09/Creamy-Mushroom-Sauce_3.jpg</t>
  </si>
  <si>
    <t>Mushrooms browned hard with garlic and rosemary, finished with cooking cream or evaporated milk. No wine, no parmesan needed. For grilled chicken, mashed yam or boiled potatoes.</t>
  </si>
  <si>
    <t>Grilled chicken, steak, mashed yam or boiled potatoes. You add: butter, cream or evaporated milk, stock cube.</t>
  </si>
  <si>
    <t>Comfort</t>
  </si>
  <si>
    <t>Mushrooms (oyster / button), Garlic, Rosemary</t>
  </si>
  <si>
    <t>1. Melt the butter on high heat, add the mushrooms and leave 2 minutes before stirring so they brown.
2. Add garlic and rosemary, 1 minute.
3. Add stock and simmer 2 minutes. Add cream and simmer 3 minutes until it coats a spoon.
4. Season, add lemon juice, spoon over the plate.</t>
  </si>
  <si>
    <t>Evaporated milk splits if boiled hard; keep it at a gentle simmer.</t>
  </si>
  <si>
    <t>R125</t>
  </si>
  <si>
    <t>Classic Creamy Coleslaw</t>
  </si>
  <si>
    <t>Coleslaw (RecipeTin Eats)</t>
  </si>
  <si>
    <t>https://www.recipetineats.com/coleslaw/</t>
  </si>
  <si>
    <t>https://www.recipetineats.com/tachyon/2018/06/Coleslaw_7a.jpg</t>
  </si>
  <si>
    <t>Half the mayo swapped for yoghurt, lime in place of vinegar, ordinary salt for celery salt. Shredded fine and rested so the cabbage softens.</t>
  </si>
  <si>
    <t>Side for jollof, fried rice, grilled chicken, fish or suya. You add: mayonnaise, yoghurt, mustard, sugar.</t>
  </si>
  <si>
    <t>Cabbage (white), Carrot</t>
  </si>
  <si>
    <t>1. Whisk the mayo, yoghurt, mustard, sugar, lime juice and seasoning.
2. Toss with the cabbage and carrot.
3. Rest 30 minutes in the fridge before serving.</t>
  </si>
  <si>
    <t>Shred the cabbage across the grain, as thin as you can; thick slaw never softens.</t>
  </si>
  <si>
    <t>R126</t>
  </si>
  <si>
    <t>Purple Cabbage Lime Slaw</t>
  </si>
  <si>
    <t>Mexican slaw with cilantro and lime (Feasting at Home)</t>
  </si>
  <si>
    <t>Feasting at Home</t>
  </si>
  <si>
    <t>https://www.feastingathome.com/mexican-slaw/</t>
  </si>
  <si>
    <t>https://www.feastingathome.com/wp-content/uploads/2019/09/Mexican-Slaw-Recipe-101.jpg</t>
  </si>
  <si>
    <t>No mayo: purple cabbage, onion and a whole cup of coriander dressed in lime, oil and cumin. Seeded ata rodo for jalapeño; grated carrot for colour.</t>
  </si>
  <si>
    <t>Fish tacos, grilled fish, suya or jollof. You add: oil, cumin, salt.</t>
  </si>
  <si>
    <t>Purple cabbage has even more vitamin C than white, plus anthocyanins. Coriander leaves add vitamin K and vitamin A.</t>
  </si>
  <si>
    <t>Purple cabbage, Coriander (cilantro), Lime, Carrot</t>
  </si>
  <si>
    <t>1. Whisk lime zest and juice with the oil, cumin and salt.
2. Toss with cabbage, onion, carrot, chilli and coriander.
3. Rest 15 minutes; it softens and turns a deeper purple.</t>
  </si>
  <si>
    <t>Keeps 3 days and does not go soggy, unlike creamy slaw.</t>
  </si>
  <si>
    <t>R127</t>
  </si>
  <si>
    <t>Nigerian Party Coleslaw with Sweet Corn</t>
  </si>
  <si>
    <t>Nigerian coleslaw (All Nigerian Recipes)</t>
  </si>
  <si>
    <t>All Nigerian Recipes</t>
  </si>
  <si>
    <t>https://www.allnigerianrecipes.com/salads/coleslaw/</t>
  </si>
  <si>
    <t>https://www.allnigerianrecipes.com/wp-content/uploads/2019/03/classic-creamy-coleslaw-with-jollof-rice.jpg</t>
  </si>
  <si>
    <t>The owambe coleslaw: cabbage, carrot, green pepper and onion in salad cream, with fresh sweet corn cut off the cob instead of tinned peas.</t>
  </si>
  <si>
    <t>Jollof rice, fried rice, chicken. You add: salad cream, mayonnaise, sugar.</t>
  </si>
  <si>
    <t>Cabbage (white), Carrot, Sweet corn, Green / yellow bell pepper</t>
  </si>
  <si>
    <t>1. Boil the corn cob 5 minutes, cool, cut the kernels off.
2. Mix cabbage, carrot, pepper, onion and corn.
3. Fold in salad cream, mayo, sugar and salt. Chill 30 minutes.</t>
  </si>
  <si>
    <t>Dress it no more than an hour before the party; cabbage weeps if it sits overnight.</t>
  </si>
  <si>
    <t>R128</t>
  </si>
  <si>
    <t>Tabbouleh (Herb Salad)</t>
  </si>
  <si>
    <t>Tabbouleh, Lebanon (Cookie and Kate)</t>
  </si>
  <si>
    <t>https://cookieandkate.com/best-tabbouleh-recipe/</t>
  </si>
  <si>
    <t>The Lebanese version is mostly parsley, not mostly grain. Bulgur is hard to find in Lagos so it is left out; extra cucumber gives body. Lemon, mint, spring onion and good oil.</t>
  </si>
  <si>
    <t>Grilled chicken, fish, suya or flatbread. You add: olive oil, salt.</t>
  </si>
  <si>
    <t>Parsley is one of the richest vitamin K sources in the market; one serving covers several days' worth.</t>
  </si>
  <si>
    <t>Parsley, Mint, Tomato (plum), Cucumber</t>
  </si>
  <si>
    <t>1. Salt the cucumber and tomato in a sieve for 10 minutes and drain.
2. Chop the parsley and mint very fine.
3. Toss everything with lemon, garlic, oil and salt. Rest 15 minutes.</t>
  </si>
  <si>
    <t>Dry the parsley completely before chopping or it turns to mush.</t>
  </si>
  <si>
    <t>R129</t>
  </si>
  <si>
    <t>Fattoush with Agege Croutons</t>
  </si>
  <si>
    <t>Fattoush, Lebanon (Cookie and Kate)</t>
  </si>
  <si>
    <t>https://cookieandkate.com/fattoush-salad-recipe/</t>
  </si>
  <si>
    <t>Chopped lettuce, tomato, cucumber, onion and mint with crisp torn bread. Toasted day-old Agege stands in for pita, extra lemon zest for sumac, cucumber ribbons for radish.</t>
  </si>
  <si>
    <t>Lunch on its own or beside grilled chicken. You add: bread, olive oil, honey.</t>
  </si>
  <si>
    <t>Romaine lettuce adds vitamin K, vitamin A and folate. Cherry tomatoes are a sweet source of vitamin C and lycopene.</t>
  </si>
  <si>
    <t>Lettuce (iceberg / romaine / local), Cherry tomato, Cucumber, Mint</t>
  </si>
  <si>
    <t>1. Toss the torn bread with a tablespoon of oil and salt; bake or pan-toast until crisp.
2. Whisk lemon juice and zest, garlic, honey, the rest of the oil and salt.
3. Toss the vegetables and mint with the dressing, add the croutons last.</t>
  </si>
  <si>
    <t>Add the bread at the table so it stays crunchy.</t>
  </si>
  <si>
    <t>R130</t>
  </si>
  <si>
    <t>Panzanella</t>
  </si>
  <si>
    <t>Panzanella, Tuscany (Love and Lemons)</t>
  </si>
  <si>
    <t>https://www.loveandlemons.com/panzanella/</t>
  </si>
  <si>
    <t>https://cdn.loveandlemons.com/wp-content/uploads/2022/07/panzanella-1.jpg</t>
  </si>
  <si>
    <t>Tuscany's bread salad: ripe tomato wedges, cucumber, red onion and basil over toasted bread cubes that soak up the juices. Day-old baguette or Agege; lime if there is no vinegar.</t>
  </si>
  <si>
    <t>Lunch, or beside grilled fish. You add: bread, olive oil, vinegar, optional mozzarella.</t>
  </si>
  <si>
    <t>Plum tomatoes bring vitamin C and lycopene; cooking them in a little oil makes the lycopene easier to absorb. Cucumber is mostly water with vitamin K, for hydration and crunch.</t>
  </si>
  <si>
    <t>Tomato (plum), Cucumber, Basil (sweet), Onion (red &amp; white)</t>
  </si>
  <si>
    <t>1. Toss bread cubes with a tablespoon of oil and toast in the oven or a pan until golden.
2. Whisk the remaining oil, vinegar, garlic, mustard and salt.
3. Toss tomatoes, cucumber, onion and bread with the dressing. Rest 20 minutes, then add basil.</t>
  </si>
  <si>
    <t>This is the salad for tomatoes that are too soft for anything else.</t>
  </si>
  <si>
    <t>R131</t>
  </si>
  <si>
    <t>Caprese Salad</t>
  </si>
  <si>
    <t>Side / Starter</t>
  </si>
  <si>
    <t>Insalata caprese, Italy (Love and Lemons)</t>
  </si>
  <si>
    <t>https://www.loveandlemons.com/caprese-salad/</t>
  </si>
  <si>
    <t>https://cdn.loveandlemons.com/wp-content/uploads/2019/08/caprese-salad-recipe.jpg</t>
  </si>
  <si>
    <t>Sliced ripe tomato, basil, oil and salt. Mozzarella is the customer's add; sliced avocado is the dairy-free stand-in that works surprisingly well.</t>
  </si>
  <si>
    <t>Starter or side. You add: mozzarella or avocado, olive oil, optional balsamic.</t>
  </si>
  <si>
    <t>Plum tomatoes bring vitamin C and lycopene; cooking them in a little oil makes the lycopene easier to absorb. Basil adds vitamin K and aroma.</t>
  </si>
  <si>
    <t>Tomato (plum), Basil (sweet)</t>
  </si>
  <si>
    <t>1. Alternate slices of tomato and cheese on a plate.
2. Tuck basil leaves between.
3. Drizzle oil, season generously, serve at once.</t>
  </si>
  <si>
    <t>Room-temperature tomatoes taste twice as sweet as fridge-cold ones.</t>
  </si>
  <si>
    <t>R132</t>
  </si>
  <si>
    <t>Smashed Cucumber Salad</t>
  </si>
  <si>
    <t>Chinese smashed cucumber salad (RecipeTin Eats)</t>
  </si>
  <si>
    <t>https://www.recipetineats.com/smashed-cucumber-salad/</t>
  </si>
  <si>
    <t>https://www.recipetineats.com/tachyon/2019/11/Smashed-Cucumbers_5.jpg</t>
  </si>
  <si>
    <t>Cucumbers whacked with a rolling pin so the dressing gets into the cracks: ginger, garlic, soy, a little sugar and a sliced long red chilli. Lime for rice vinegar.</t>
  </si>
  <si>
    <t>Fried rice, stir-fries, grilled fish. You add: soy sauce, sesame oil, sugar.</t>
  </si>
  <si>
    <t>Weight management, Hydration</t>
  </si>
  <si>
    <t>Cucumber is mostly water with vitamin K, for hydration and crunch. Ginger is traditionally used for digestion and nausea.</t>
  </si>
  <si>
    <t>Cucumber, Ginger, Coriander (cilantro), Spring onion</t>
  </si>
  <si>
    <t>1. Smash the cucumbers with a rolling pin until they crack, then cut into chunks.
2. Salt them 10 minutes and drain the water.
3. Toss with ginger, lime, soy, sesame oil, sugar, chilli, spring onion and coriander.</t>
  </si>
  <si>
    <t>Serve within the hour; it is best cold and crunchy.</t>
  </si>
  <si>
    <t>R133</t>
  </si>
  <si>
    <t>Sunomono (Japanese Cucumber Salad)</t>
  </si>
  <si>
    <t>Sunomono, Japan (Just One Cookbook)</t>
  </si>
  <si>
    <t>https://www.justonecookbook.com/sunomono/</t>
  </si>
  <si>
    <t>https://cdn.justonecookbook.com/spai/q_glossy+ret_img+to_auto/www.justonecookbook.com/wp-content/uploads/2023/07/Japanese-Cucumber-Salad-Sunomono-0755-I-250x250.jpg</t>
  </si>
  <si>
    <t>Paper-thin cucumber in a sweet-sour dressing. Lime plus a little sugar when there is no rice vinegar; thin strips of tatashe for colour instead of seaweed.</t>
  </si>
  <si>
    <t>Rice bowls, grilled fish, fried rice. You add: vinegar or lime, sugar, soy.</t>
  </si>
  <si>
    <t>Cucumber is mostly water with vitamin K, for hydration and crunch. Tatashe (red bell pepper) has about twice the vitamin C of an orange by weight, plus beta-carotene.</t>
  </si>
  <si>
    <t>Cucumber, Red bell pepper</t>
  </si>
  <si>
    <t>1. Salt the cucumber slices 10 minutes, then squeeze out the water.
2. Mix vinegar, sugar, soy and a pinch of salt.
3. Toss with the cucumber and pepper. Chill.</t>
  </si>
  <si>
    <t>Squeezing the cucumber is the step people skip and then wonder why it is watery.</t>
  </si>
  <si>
    <t>R134</t>
  </si>
  <si>
    <t>Kachumber (Indian Chopped Salad)</t>
  </si>
  <si>
    <t>Kachumber, India (Hebbars Kitchen)</t>
  </si>
  <si>
    <t>Hebbars Kitchen</t>
  </si>
  <si>
    <t>https://hebbarskitchen.com/kachumber-salad-recipe-cucumber-salad/</t>
  </si>
  <si>
    <t>https://hebbarskitchen.com/wp-content/uploads/mainPhotos/kachumber-salad-recipe-kuchumber-salad-recipe-onion-cucumber-salad-2.jpeg</t>
  </si>
  <si>
    <t>Everything chopped small: cucumber, tomato, carrot, onion, cabbage, coriander, chilli, lemon. Cumin in place of chaat masala. The side that goes with any rice dish.</t>
  </si>
  <si>
    <t>Rice, curry, jollof, grilled meat. You add: salt, cumin.</t>
  </si>
  <si>
    <t>Cucumber, Tomato (plum), Carrot, Coriander (cilantro)</t>
  </si>
  <si>
    <t>1. Chop all the vegetables to the same small size.
2. Toss with lemon, cumin, salt and pepper.
3. Finish with mint.</t>
  </si>
  <si>
    <t>Make it just before eating; it should crunch.</t>
  </si>
  <si>
    <t>R135</t>
  </si>
  <si>
    <t>Shepherd's Salad (Çoban Salatası)</t>
  </si>
  <si>
    <t>Çoban salatası, Turkey (Ozlem's Turkish Table)</t>
  </si>
  <si>
    <t>https://ozlemsturkishtable.com/2010/10/shepherds-salad-of-tomato-and-cucumbers-coban-salata/</t>
  </si>
  <si>
    <t>https://ozlemsturkishtable.com/wp-content/uploads/2014/03/IMG_2453.jpg</t>
  </si>
  <si>
    <t>Turkey's everyday salad: tomato, cucumber, spring onion and parsley in lemon and oil. Extra lemon zest in place of sumac; a little green pepper and mint added.</t>
  </si>
  <si>
    <t>Grilled meat, suya, rice. You add: olive oil, salt.</t>
  </si>
  <si>
    <t>Tomato (plum), Cucumber, Parsley, Spring onion</t>
  </si>
  <si>
    <t>1. Combine the vegetables and herbs.
2. Dress with lemon, zest, oil, salt and pepper.
3. Serve straight away.</t>
  </si>
  <si>
    <t>Chop coarse, not fine; this is a chunky salad, unlike ezme.</t>
  </si>
  <si>
    <t>R136</t>
  </si>
  <si>
    <t>Melon, Cucumber &amp; Mint Salad</t>
  </si>
  <si>
    <t>Watermelon salad with cucumber and mint (Love and Lemons)</t>
  </si>
  <si>
    <t>https://www.loveandlemons.com/watermelon-salad/</t>
  </si>
  <si>
    <t>https://cdn.loveandlemons.com/wp-content/uploads/2013/08/watermelon-salad.jpg</t>
  </si>
  <si>
    <t>Sweet melon (cantaloupe) cubes with cucumber, red onion, mint and lime, a hydrating plate for the heat. Add wara or feta if you want it savoury.</t>
  </si>
  <si>
    <t>Snack, side for grilled chicken, or a light lunch. You add: olive oil, optional wara.</t>
  </si>
  <si>
    <t>Sweet melon is a hydration fruit with beta-carotene and vitamin C. Cucumber is mostly water with vitamin K, for hydration and crunch.</t>
  </si>
  <si>
    <t>Sweet melon (golden / cantaloupe), Cucumber, Mint, Lime</t>
  </si>
  <si>
    <t>1. Whisk lime juice, oil and salt.
2. Toss with melon, cucumber, onion and chilli.
3. Add mint at the last moment.</t>
  </si>
  <si>
    <t>Swap in watermelon or pineapple for the melon when that is what is in season.</t>
  </si>
  <si>
    <t>R137</t>
  </si>
  <si>
    <t>Garlic Sautéed Greens (Spinach or Ugu)</t>
  </si>
  <si>
    <t>Sautéed spinach (Love and Lemons)</t>
  </si>
  <si>
    <t>https://www.loveandlemons.com/sauteed-spinach/</t>
  </si>
  <si>
    <t>https://cdn.loveandlemons.com/wp-content/uploads/2023/01/sauteed-spinach.jpg</t>
  </si>
  <si>
    <t>Three minutes, one pan. Baby spinach, ugu, efo tete or waterleaf wilted in garlic oil and finished with lime. The fastest way to put greens on a plate of rice and chicken.</t>
  </si>
  <si>
    <t>Any plate: rice and stew, grilled fish, eggs. You add: oil, salt.</t>
  </si>
  <si>
    <t>Spinach is one of the richest sources of vitamin K and folate, with iron and magnesium. Garlic adds allicin and vitamin B6.</t>
  </si>
  <si>
    <t>Baby spinach, Garlic, Lime</t>
  </si>
  <si>
    <t>1. Warm the oil and garlic 30 seconds until fragrant.
2. Add the leaves and toss 2 to 3 minutes until just wilted (tougher ugu takes a minute more).
3. Season, squeeze lime, serve.</t>
  </si>
  <si>
    <t>Do not cover and do not overcook; bright green means the vitamins are still there.</t>
  </si>
  <si>
    <t>R138</t>
  </si>
  <si>
    <t>Charred Broccoli with Lemon &amp; Garlic</t>
  </si>
  <si>
    <t>Roasted broccoli (Love and Lemons)</t>
  </si>
  <si>
    <t>https://www.loveandlemons.com/roasted-broccoli/</t>
  </si>
  <si>
    <t>https://cdn.loveandlemons.com/wp-content/uploads/2020/01/broccoli-recipes.jpg</t>
  </si>
  <si>
    <t>Broccoli roasted hot until the edges char, with garlic in the last minutes, lemon and a crumble of groundnuts. No oven: a very hot dry pan with a lid does the same job.</t>
  </si>
  <si>
    <t>Grilled chicken, fish, pasta or rice. You add: oil, salt.</t>
  </si>
  <si>
    <t>Broccoli is dense in vitamin C, vitamin K, folate and fibre. Lemon juice adds vitamin C and helps the body absorb plant iron from greens.</t>
  </si>
  <si>
    <t>Broccoli, Lemon, Garlic, Groundnut (fresh or roasted)</t>
  </si>
  <si>
    <t>1. Heat the oven to 220C (or a heavy pan on high). Toss broccoli with oil, salt and pepper.
2. Roast 15 minutes until the edges blacken; add the garlic for the last 4 minutes.
3. Squeeze lemon over, scatter groundnuts and chilli.</t>
  </si>
  <si>
    <t>Dry the florets well after washing; wet broccoli steams instead of charring.</t>
  </si>
  <si>
    <t>R139</t>
  </si>
  <si>
    <t>Honey-Roasted Carrots with Ginger</t>
  </si>
  <si>
    <t>Roasted carrots (Love and Lemons)</t>
  </si>
  <si>
    <t>https://www.loveandlemons.com/roasted-carrots/</t>
  </si>
  <si>
    <t>https://cdn.loveandlemons.com/wp-content/uploads/2024/03/roasted-carrots-recipe.jpg</t>
  </si>
  <si>
    <t>Carrot barrels roasted with a little honey and oil until caramelised, with grated ginger in the glaze and parsley on top.</t>
  </si>
  <si>
    <t>Roast or grilled chicken, rice. You add: oil, honey, salt.</t>
  </si>
  <si>
    <t>One serving gives well over a day's vitamin A as beta-carotene, and roasting in oil makes it easier to absorb.</t>
  </si>
  <si>
    <t>Carrot, Ginger, Parsley</t>
  </si>
  <si>
    <t>1. Toss the carrots with oil, honey, ginger, salt and pepper.
2. Roast at 220C for 20 minutes, turning once, until tender and browned at the edges.
3. Scatter parsley.</t>
  </si>
  <si>
    <t>Cut thicker pieces in half lengthways so everything cooks at the same rate.</t>
  </si>
  <si>
    <t>R140</t>
  </si>
  <si>
    <t>Green Beans with Groundnuts &amp; Chilli</t>
  </si>
  <si>
    <t>Spicy green beans with peanuts (Food Network)</t>
  </si>
  <si>
    <t>https://www.foodnetwork.com/recipes/food-network-kitchen/spicy-green-beans-with-peanuts-3364417</t>
  </si>
  <si>
    <t>https://food.fnr.sndimg.com/content/dam/images/food/fullset/2015/11/18/2/FNM_120115-Spicy-Green-Beans-wth-Peanuts-Recipe_s4x3.jpg.rend.hgtvcom.826.620.suffix/1448311308191.webp</t>
  </si>
  <si>
    <t>Blistered green beans tossed with garlic, ginger, a long red chilli, spring onion and crushed roasted groundnuts. A mashed ata rodo with a splash of soy replaces chilli-garlic sauce.</t>
  </si>
  <si>
    <t>Rice, fried rice, grilled chicken. You add: oil, soy sauce, sugar.</t>
  </si>
  <si>
    <t>Green beans bring fibre, vitamin K and folate. Groundnuts add plant protein, vitamin E, magnesium and niacin.</t>
  </si>
  <si>
    <t>Green beans, Groundnut (fresh or roasted), Ginger, Garlic</t>
  </si>
  <si>
    <t>1. Heat half the oil very hot and fry the beans 5 minutes until blistered. Remove.
2. Add the rest of the oil, garlic, ginger and chilli, 30 seconds.
3. Return the beans with soy, sugar, spring onion and groundnuts. Toss 1 minute.</t>
  </si>
  <si>
    <t>Cook the beans in two batches if the pan is small; crowding makes them steam.</t>
  </si>
  <si>
    <t>R141</t>
  </si>
  <si>
    <t>Grilled Zucchini with Lemon &amp; Herbs</t>
  </si>
  <si>
    <t>Grilled zucchini (Love and Lemons)</t>
  </si>
  <si>
    <t>https://www.loveandlemons.com/grilled-zucchini/</t>
  </si>
  <si>
    <t>https://cdn.loveandlemons.com/wp-content/uploads/2023/05/grilled-zucchini-recipes.jpg</t>
  </si>
  <si>
    <t>Zucchini planks on a hot griddle or suya grill, then lemon, garlic, parsley and basil. A spoon of yoghurt and mint turns it into a meze.</t>
  </si>
  <si>
    <t>Grilled fish, chicken, suya, couscous or rice. You add: olive oil, salt.</t>
  </si>
  <si>
    <t>Zucchini is light, hydrating and adds vitamin C and potassium. Lemon juice adds vitamin C and helps the body absorb plant iron from greens.</t>
  </si>
  <si>
    <t>Zucchini (courgette), Lemon, Parsley, Basil (sweet)</t>
  </si>
  <si>
    <t>1. Brush the planks with oil, salt and pepper.
2. Grill or griddle on high 2 to 3 minutes a side until marked and tender.
3. Toss with garlic, herbs and a squeeze of lemon.</t>
  </si>
  <si>
    <t>Cut lengthways, not in rounds; planks do not fall through the grill.</t>
  </si>
  <si>
    <t>R142</t>
  </si>
  <si>
    <t>Turmeric Roasted Cauliflower</t>
  </si>
  <si>
    <t>Roasted turmeric cauliflower (The Endless Meal)</t>
  </si>
  <si>
    <t>https://www.theendlessmeal.com/roasted-turmeric-cauliflower</t>
  </si>
  <si>
    <t>https://www.theendlessmeal.com/wp-content/uploads/2017/01/turmeric-cauliflower-3-750x750.jpg</t>
  </si>
  <si>
    <t>Cauliflower florets roasted golden with fresh grated turmeric and ginger, lemon slices in the tray, coriander to finish. Dry pepper for chilli powder.</t>
  </si>
  <si>
    <t>Rice, curry, grilled chicken. You add: oil, salt.</t>
  </si>
  <si>
    <t>Cauliflower is a vitamin C and folate source with a fraction of the carbs of rice. Fresh turmeric adds curcumin; black pepper and oil improve its absorption.</t>
  </si>
  <si>
    <t>Cauliflower, Turmeric (fresh), Ginger, Lemon</t>
  </si>
  <si>
    <t>1. Toss florets with oil, turmeric, ginger, dry pepper, salt and pepper.
2. Spread on a tray with the lemon slices. Roast at 200C for 30 to 35 minutes, turning once.
3. Scatter coriander.</t>
  </si>
  <si>
    <t>Fresh turmeric is gentler than ground; two thumbs is right.</t>
  </si>
  <si>
    <t>R143</t>
  </si>
  <si>
    <t>Sautéed Mushrooms with Garlic &amp; Parsley</t>
  </si>
  <si>
    <t>Sautéed mushrooms (Love and Lemons)</t>
  </si>
  <si>
    <t>https://www.loveandlemons.com/sauteed-mushrooms/</t>
  </si>
  <si>
    <t>https://cdn.loveandlemons.com/wp-content/uploads/2020/02/sauteed-mushrooms.jpg</t>
  </si>
  <si>
    <t>Mushrooms browned in an uncrowded pan, then garlic, a splash of soy, lime and parsley. Rosemary deepens it.</t>
  </si>
  <si>
    <t>Grilled chicken, steak, rice, toast. You add: oil, soy sauce.</t>
  </si>
  <si>
    <t>1. Heat the oil until very hot. Add the mushrooms in one layer and leave 3 minutes.
2. Toss and cook 4 minutes more until browned.
3. Off the heat add garlic, soy, lime, rosemary and parsley.</t>
  </si>
  <si>
    <t>Salt at the end only.</t>
  </si>
  <si>
    <t>R144</t>
  </si>
  <si>
    <t>Bhindi Masala (Stir-Fried Okra)</t>
  </si>
  <si>
    <t>Bhindi masala, India (Swasthi's Recipes)</t>
  </si>
  <si>
    <t>Swasthi's Indian Healthy Recipes</t>
  </si>
  <si>
    <t>https://www.indianhealthyrecipes.com/bhindi-masala/</t>
  </si>
  <si>
    <t>https://www.indianhealthyrecipes.com/wp-content/uploads/2021/06/bhindi-masala.jpg</t>
  </si>
  <si>
    <t>Okra fried dry first so it never goes slimy, then tossed through an onion-tomato masala. Curry powder plus cumin for garam masala, fresh ginger and garlic blended.</t>
  </si>
  <si>
    <t>Rice or flatbread. You add: oil, spices.</t>
  </si>
  <si>
    <t>Okra brings soluble fibre, vitamin K, folate and magnesium. Onions supply quercetin and prebiotic fibre that feeds gut bacteria.</t>
  </si>
  <si>
    <t>Okra, Onion (red &amp; white), Tomato (plum), Ginger</t>
  </si>
  <si>
    <t>1. Fry the okra in 2 tablespoons of oil on medium-high 8 minutes until no longer sticky. Remove.
2. In the rest of the oil fry cumin seeds, then onion 5 minutes. Add blended ginger-garlic and chilli, 1 minute.
3. Add tomato, curry powder, turmeric and salt; cook 5 minutes.
4. Return the okra, toss 3 minutes, finish with coriander.</t>
  </si>
  <si>
    <t>Wash okra the night before and dry it completely; wet okra is slimy okra.</t>
  </si>
  <si>
    <t>R145</t>
  </si>
  <si>
    <t>Roasted Pumpkin with Lemon Yoghurt</t>
  </si>
  <si>
    <t>Roasted pumpkin with yoghurt sauce (RecipeTin Eats)</t>
  </si>
  <si>
    <t>https://www.recipetineats.com/roasted-pumpkin/</t>
  </si>
  <si>
    <t>https://www.recipetineats.com/tachyon/2020/10/Roasted-Pumpkin-with-Yogurt-Sauce_2.jpg?w=900</t>
  </si>
  <si>
    <t>Pumpkin cubes roasted until caramelised, over a garlicky lemon yoghurt, with toasted groundnuts and coriander. Paprika for sumac.</t>
  </si>
  <si>
    <t>Grilled chicken or as a light lunch with flatbread. You add: yoghurt, oil, paprika.</t>
  </si>
  <si>
    <t>Pumpkin is a beta-carotene (vitamin A) source with potassium and fibre. Lemon juice adds vitamin C and helps the body absorb plant iron from greens.</t>
  </si>
  <si>
    <t>Pumpkin (squash), Lemon, Garlic, Coriander (cilantro)</t>
  </si>
  <si>
    <t>1. Toss pumpkin with 2 tablespoons oil, a clove of garlic, salt and pepper. Roast at 220C for 25 to 30 minutes until browned.
2. Mix yoghurt with the rest of the garlic, lemon, a tablespoon of oil and salt.
3. Spread the yoghurt on a plate, pile the pumpkin on, scatter groundnuts, coriander and paprika.</t>
  </si>
  <si>
    <t>Sweet potato works the same way when pumpkin is not around.</t>
  </si>
  <si>
    <t>R146</t>
  </si>
  <si>
    <t>Crispy Smashed Potatoes with Rosemary</t>
  </si>
  <si>
    <t>Crispy smashed potatoes (Love and Lemons)</t>
  </si>
  <si>
    <t>https://www.loveandlemons.com/crispy-smashed-potatoes/</t>
  </si>
  <si>
    <t>https://cdn.loveandlemons.com/wp-content/uploads/2021/11/smashed-potatoes-150x150.jpg</t>
  </si>
  <si>
    <t>Small Irish potatoes boiled, flattened and roasted until the edges shatter, with grated garlic and rosemary. A yoghurt-lime-coriander dip on the side.</t>
  </si>
  <si>
    <t>Grilled chicken, fish, eggs. You add: oil, salt.</t>
  </si>
  <si>
    <t>Potatoes bring potassium, vitamin C and vitamin B6. Garlic adds allicin and vitamin B6.</t>
  </si>
  <si>
    <t>Irish potato, Garlic, Rosemary</t>
  </si>
  <si>
    <t>1. Boil the potatoes in salted water 20 minutes until tender. Drain and steam dry.
2. Put on an oiled tray and press each one flat with a glass.
3. Brush with oil, garlic, salt and pepper. Roast at 220C for 25 minutes until crisp. Scatter rosemary.</t>
  </si>
  <si>
    <t>The flatter you smash, the crispier they get.</t>
  </si>
  <si>
    <t>R147</t>
  </si>
  <si>
    <t>Garlic Stir-Fried Cabbage &amp; Carrot</t>
  </si>
  <si>
    <t>Sautéed cabbage (Love and Lemons)</t>
  </si>
  <si>
    <t>https://www.loveandlemons.com/sauteed-cabbage/</t>
  </si>
  <si>
    <t>https://cdn.loveandlemons.com/wp-content/uploads/2025/12/sauteed-cabbage.jpg</t>
  </si>
  <si>
    <t>Thin-sliced cabbage and grated carrot in garlic oil with ginger, spring onion and a sliced chilli, finished with lime. It tastes like the vegetables in Nigerian fried rice, on their own.</t>
  </si>
  <si>
    <t>Rice, stew, grilled fish, or folded into fried rice. You add: oil, salt.</t>
  </si>
  <si>
    <t>Cabbage (white), Carrot, Garlic, Ginger</t>
  </si>
  <si>
    <t>1. Heat the oil, add garlic and ginger 30 seconds.
2. Add cabbage, carrot and chilli. Stir-fry on high 6 to 8 minutes until softened with some browned edges.
3. Season, add spring onion and lime.</t>
  </si>
  <si>
    <t>Keep the heat high; slow-cooked cabbage smells like a school kitchen.</t>
  </si>
  <si>
    <t>R148</t>
  </si>
  <si>
    <t>Garlic Stir-Fried Efo Tete</t>
  </si>
  <si>
    <t>Stir-fried amaranth greens, China (The Woks of Life)</t>
  </si>
  <si>
    <t>https://thewoksoflife.com/stir-fried-pink-amaranth-greens/</t>
  </si>
  <si>
    <t>China cooks the same amaranth we call efo tete: a hot wok, lots of smashed garlic, oil, salt, a pinch of sugar, two minutes. Groundnut oil and a few slivers of ata rodo make it local.</t>
  </si>
  <si>
    <t>Rice, stew, grilled fish, eggs. You add: oil, salt.</t>
  </si>
  <si>
    <t>Efo tete is high in vitamin K, vitamin A, folate and iron; quick cooking in oil keeps the vitamins and helps absorb the vitamin A.</t>
  </si>
  <si>
    <t>Amaranth greens (Nigerian spinach), Garlic</t>
  </si>
  <si>
    <t>1. Wash the leaves well and shake dry.
2. Heat the oil very hot, add garlic and chilli 20 seconds.
3. Add the greens, toss constantly 2 to 3 minutes until wilted and glossy. Season with salt and sugar.</t>
  </si>
  <si>
    <t>Pull the leaves off the thick stems; the stems take longer and stay stringy.</t>
  </si>
  <si>
    <t>R149</t>
  </si>
  <si>
    <t>Nigerian Fruit Salad with Condensed Milk</t>
  </si>
  <si>
    <t>Snack / Dessert</t>
  </si>
  <si>
    <t>Nigerian street fruit salad, Ozoz Sokoh's 'Chop Chop' (CBC Life)</t>
  </si>
  <si>
    <t>CBC Life (Ozoz Sokoh)</t>
  </si>
  <si>
    <t>https://www.cbc.ca/life/food/street-food-salad-ozoz-sokoh-chop-chop-1.7572600</t>
  </si>
  <si>
    <t>https://i.cbc.ca/ais/1.7572603,1751035234000/full/max/0/default.jpg?im=Crop%2Crect%3D%280%2C0%2C2000%2C1125%29%3BResize%3D620</t>
  </si>
  <si>
    <t>The roadside classic as it should be: pineapple, pawpaw, watermelon, carrot, cucumber and coconut, with Peak milk drizzled over and roasted groundnuts on top. The milk is measured, not poured.</t>
  </si>
  <si>
    <t>On its own. You add: condensed milk. Groundnuts and coconut from Basket.</t>
  </si>
  <si>
    <t>Pineapple and pawpaw cover a day's vitamin C and the carrot and pawpaw add vitamin A; the groundnuts bring protein and vitamin E.</t>
  </si>
  <si>
    <t>Pineapple, Pawpaw (papaya), Watermelon, Carrot, Coconut</t>
  </si>
  <si>
    <t>1. Chop all the fruit the same size and chill.
2. Mix with carrot, cucumber and coconut.
3. Drizzle a tablespoon of condensed milk per bowl and scatter groundnuts.</t>
  </si>
  <si>
    <t>A tablespoon of condensed milk per person is plenty; the fruit is already sweet.</t>
  </si>
  <si>
    <t>R150</t>
  </si>
  <si>
    <t>Filipino-Style Fruit Salad with Cream</t>
  </si>
  <si>
    <t>Filipino fruit salad (Panlasang Pinoy)</t>
  </si>
  <si>
    <t>Panlasang Pinoy</t>
  </si>
  <si>
    <t>https://panlasangpinoy.com/fruit-salad-recipe/</t>
  </si>
  <si>
    <t>https://panlasangpinoy.com/wp-content/uploads/2010/02/FruitSalad2.jpg</t>
  </si>
  <si>
    <t>The Philippines' Christmas fruit salad, with fresh fruit instead of tinned cocktail: pineapple, pawpaw, apple, grapes, banana and fresh coconut in condensed milk and cream, chilled hard.</t>
  </si>
  <si>
    <t>Party dessert. You add: condensed milk, tinned cream or thick yoghurt.</t>
  </si>
  <si>
    <t>Pineapple is rich in vitamin C and manganese, and bromelain that helps digest protein. Pawpaw is one of the richest local sources of vitamin C and beta-carotene (vitamin A), with papain for digestion.</t>
  </si>
  <si>
    <t>Pineapple, Pawpaw (papaya), Apple (red &amp; green), Grapes (red / black seedless), Coconut</t>
  </si>
  <si>
    <t>1. Dice the fruit and drain off any juice.
2. Stir condensed milk and cream together, fold through the fruit.
3. Chill at least 4 hours. Add the banana just before serving.</t>
  </si>
  <si>
    <t>Drain the pineapple well or the cream splits.</t>
  </si>
  <si>
    <t>R151</t>
  </si>
  <si>
    <t>Bionico (Mexican Fruit Bowl with Sweet Cream)</t>
  </si>
  <si>
    <t>Bionico, Guadalajara (Mexico in my Kitchen)</t>
  </si>
  <si>
    <t>https://www.mexicoinmykitchen.com/bionico-fruit-cocktail-recipe/</t>
  </si>
  <si>
    <t>https://www.mexicoinmykitchen.com/wp-content/uploads/2025/03/Bionico-8.jpg</t>
  </si>
  <si>
    <t>Guadalajara's fruit cup: strawberry, sweet melon, pawpaw and pineapple under a yoghurt and condensed milk cream, topped with coconut and groundnuts in place of granola and pecans.</t>
  </si>
  <si>
    <t>Breakfast or snack. You add: yoghurt, condensed milk, vanilla.</t>
  </si>
  <si>
    <t>Strawberries deliver more vitamin C per cup than an orange, plus folate and manganese. Sweet melon is a hydration fruit with beta-carotene and vitamin C.</t>
  </si>
  <si>
    <t>Strawberry, Sweet melon (golden / cantaloupe), Pawpaw (papaya), Pineapple</t>
  </si>
  <si>
    <t>1. Whisk yoghurt, condensed milk and vanilla.
2. Layer the fruit in glasses and spoon the cream over.
3. Top with coconut and groundnuts.</t>
  </si>
  <si>
    <t>Swap the strawberries for mango or guava when they are in season.</t>
  </si>
  <si>
    <t>R152</t>
  </si>
  <si>
    <t>Indian Fruit Chaat</t>
  </si>
  <si>
    <t>Fruit chaat, India (Cook With Manali)</t>
  </si>
  <si>
    <t>Cook With Manali</t>
  </si>
  <si>
    <t>https://www.cookwithmanali.com/fruit-chaat/</t>
  </si>
  <si>
    <t>https://www.cookwithmanali.com/wp-content/uploads/2018/10/Fruit-Chaat-Indian.jpg</t>
  </si>
  <si>
    <t>Apple, banana, grapes, pawpaw and pineapple tossed with lime, mint and a salty-spicy seasoning. A pinch of yaji, salt and cumin stands in for chaat masala.</t>
  </si>
  <si>
    <t>Snack. You add: salt, cumin, yaji.</t>
  </si>
  <si>
    <t>Apples bring soluble fibre (pectin) and polyphenols. Banana is the easy potassium and vitamin B6 source.</t>
  </si>
  <si>
    <t>Apple (red &amp; green), Banana, Grapes (red / black seedless), Pawpaw (papaya)</t>
  </si>
  <si>
    <t>1. Mix lime juice, yaji, cumin and salt.
2. Toss with the fruit and mint.
3. Eat within 20 minutes, before the banana browns.</t>
  </si>
  <si>
    <t>Salt on fruit sounds wrong until you try it.</t>
  </si>
  <si>
    <t>R153</t>
  </si>
  <si>
    <t>Thai Mango with Coconut Cream</t>
  </si>
  <si>
    <t>Khao niao mamuang, Thailand (Hot Thai Kitchen)</t>
  </si>
  <si>
    <t>https://hot-thai-kitchen.com/mango-sticky-rice/</t>
  </si>
  <si>
    <t>https://hot-thai-kitchen.com/wp-content/uploads/2024/05/rainbow-mango-sticky-rice-sq.jpg</t>
  </si>
  <si>
    <t>Mango sticky rice without the rice: ripe mango slices under a warm, lightly salted coconut cream made from a fresh Basket coconut. Add sticky rice from an Asian store if you want the full dish.</t>
  </si>
  <si>
    <t>Dessert. You add: sugar, salt, optional glutinous rice.</t>
  </si>
  <si>
    <t>Mango brings vitamin A (as beta-carotene), vitamin C and folate. Fresh coconut adds fibre, manganese and satisfying fat.</t>
  </si>
  <si>
    <t>Mango, Coconut</t>
  </si>
  <si>
    <t>1. Blend the coconut flesh with warm water and squeeze through a cloth for about a cup of thick coconut cream.
2. Warm it gently with the sugar and salt 3 minutes; do not boil.
3. Fan the mango slices on plates, pour the cream over, finish with lime zest.</t>
  </si>
  <si>
    <t>The pinch of salt is what makes it Thai; do not skip it.</t>
  </si>
  <si>
    <t>R154</t>
  </si>
  <si>
    <t>Winter Citrus Salad with Mint &amp; Honey</t>
  </si>
  <si>
    <t>Winter citrus salad (Food52)</t>
  </si>
  <si>
    <t>Food52</t>
  </si>
  <si>
    <t>https://food52.com/recipes/33792-winter-citrus-salad</t>
  </si>
  <si>
    <t>Orange, grapefruit and tangerine rounds with mint, honey and pomegranate, the harmattan season plate. A squeeze of lime balances the grapefruit.</t>
  </si>
  <si>
    <t>Breakfast or snack. You add: honey.</t>
  </si>
  <si>
    <t>Wellness, Immunity</t>
  </si>
  <si>
    <t>Three kinds of citrus make this the simplest way to get well over a day's vitamin C; pomegranate adds fibre and polyphenols.</t>
  </si>
  <si>
    <t>Orange, Grapefruit, Tangerine, Pomegranate</t>
  </si>
  <si>
    <t>1. Cut the peel and pith off the citrus and slice into rounds.
2. Arrange on a plate, scatter pomegranate and mint.
3. Drizzle honey and lime.</t>
  </si>
  <si>
    <t>Slice over a bowl and pour the collected juice back over the plate.</t>
  </si>
  <si>
    <t>R155</t>
  </si>
  <si>
    <t>Baked Bananas with Cinnamon &amp; Dark Chocolate</t>
  </si>
  <si>
    <t>Cinnamon maple dark chocolate baked bananas (Food52 / Cupful of Kale)</t>
  </si>
  <si>
    <t>https://food52.com/recipes/76546-cinnamon-maple-dark-chocolate-baked-bananas</t>
  </si>
  <si>
    <t>Bananas split in their skins, baked with honey and cinnamon until soft, dark chocolate melted into the slit. Works in a covered frying pan with no oven; ripe plantain gives a bigger portion.</t>
  </si>
  <si>
    <t>Dessert. You add: honey, cinnamon, dark chocolate.</t>
  </si>
  <si>
    <t>Comfort, Energy</t>
  </si>
  <si>
    <t>Banana is the easy potassium and vitamin B6 source.</t>
  </si>
  <si>
    <t>1. Slit each banana lengthways through the skin, not all the way through.
2. Drizzle honey and cinnamon into the slit. Bake at 200C for 15 minutes, or cook in a covered pan on low for 12.
3. Push chocolate squares into the hot slit, scatter groundnuts.</t>
  </si>
  <si>
    <t>Use bananas that are spotty; they bake sweeter.</t>
  </si>
  <si>
    <t>R156</t>
  </si>
  <si>
    <t>Tropical Fruit Salad with Passion Fruit &amp; Guava Dressing</t>
  </si>
  <si>
    <t>Tropical fruit salad (Immaculate Bites)</t>
  </si>
  <si>
    <t>Immaculate Bites</t>
  </si>
  <si>
    <t>https://www.africanbites.com/tropical-fruit-salad-recipe/</t>
  </si>
  <si>
    <t>https://www.africanbites.com/wp-content/uploads/2026/04/Tropical-Fruit-Salad-1.jpg</t>
  </si>
  <si>
    <t>Pineapple, mango, pawpaw and kiwi dressed in passion fruit pulp and blended guava with lime. No sugar syrup; every ingredient is in the box.</t>
  </si>
  <si>
    <t>On its own. You add: nothing, or a spoon of honey if the fruit is sharp.</t>
  </si>
  <si>
    <t>Immunity, Wellness</t>
  </si>
  <si>
    <t>Guava, kiwi, pineapple and passion fruit together give several days' worth of vitamin C in one serving, with vitamin A from the mango and pawpaw.</t>
  </si>
  <si>
    <t>Pineapple, Mango, Pawpaw (papaya), Kiwi, Passion fruit, Guava</t>
  </si>
  <si>
    <t>1. Blend the guava with the lime and lemon juice and strain out the seeds.
2. Stir the passion fruit pulp into the guava.
3. Pour over the diced fruit and chill 30 minutes.</t>
  </si>
  <si>
    <t>Make the dressing a day ahead; it keeps and gets fruitier.</t>
  </si>
  <si>
    <t>R157</t>
  </si>
  <si>
    <t>Vitamin A Plate: Mango, Pawpaw &amp; Carrot</t>
  </si>
  <si>
    <t>Mango and papaya fruit salad with honey-lime (The Kitchn)</t>
  </si>
  <si>
    <t>The Kitchn</t>
  </si>
  <si>
    <t>https://www.thekitchn.com/recipe-mango-and-papaya-fruit-salad-242503</t>
  </si>
  <si>
    <t>Mango and pawpaw cubes in a lime and honey dressing, with grated carrot folded in for crunch and extra beta-carotene. Built around the three orange foods in the box.</t>
  </si>
  <si>
    <t>On its own or with a spoon of yoghurt. You add: honey.</t>
  </si>
  <si>
    <t>Eye health, Immunity</t>
  </si>
  <si>
    <t>Mango, pawpaw and carrot are all beta-carotene foods; one serving covers a day's vitamin A, with vitamin C from the lime and pawpaw on top.</t>
  </si>
  <si>
    <t>Mango, Pawpaw (papaya), Carrot, Lime</t>
  </si>
  <si>
    <t>1. Whisk lime zest, juice and honey.
2. Toss with mango, pawpaw and carrot.
3. Chill 15 minutes and finish with mint.</t>
  </si>
  <si>
    <t>Orange-fleshed fruit plus a little fat (yoghurt or avocado alongside) absorbs best.</t>
  </si>
  <si>
    <t>R158</t>
  </si>
  <si>
    <t>Vitamin C Plate: Orange, Kiwi &amp; Strawberry</t>
  </si>
  <si>
    <t>Winter fruit salad with honey-lime (Minimalist Baker)</t>
  </si>
  <si>
    <t>https://minimalistbaker.com/easy-winter-fruit-salad/</t>
  </si>
  <si>
    <t>https://minimalistbaker.com/wp-content/uploads/2023/12/Winter-Fruit-Salad-13.jpg</t>
  </si>
  <si>
    <t>Orange, kiwi, strawberry and apple with lime and honey; guava added when in season because nothing beats it for vitamin C.</t>
  </si>
  <si>
    <t>On its own. You add: honey.</t>
  </si>
  <si>
    <t>Orange, kiwi, strawberry and guava are the four highest vitamin C fruits in the box; one serving gives more than a day's need.</t>
  </si>
  <si>
    <t>Orange, Kiwi, Strawberry, Guava</t>
  </si>
  <si>
    <t>1. Whisk lime juice and honey.
2. Toss with the fruit.
3. Finish with mint.</t>
  </si>
  <si>
    <t>Cut the apple last and toss it in the lime straight away so it stays white.</t>
  </si>
  <si>
    <t>R159</t>
  </si>
  <si>
    <t>Potassium Plate: Banana, Dates &amp; Coconut</t>
  </si>
  <si>
    <t>Training-day fruit plate (Basket original, built from the Nutrition tab)</t>
  </si>
  <si>
    <t>Basket original</t>
  </si>
  <si>
    <t>Sliced banana, chopped dates, fresh coconut and groundnuts with a squeeze of lime: the three highest-potassium items in the box on one plate, for after training or a long day in the heat.</t>
  </si>
  <si>
    <t>On its own or over yoghurt or oats. You add: nothing.</t>
  </si>
  <si>
    <t>Training, Hydration</t>
  </si>
  <si>
    <t>Banana, dates and coconut are the potassium foods of the box; this plate gives a third of a day's potassium plus magnesium and vitamin B6.</t>
  </si>
  <si>
    <t>Banana, Dates, Coconut, Groundnut (fresh or roasted)</t>
  </si>
  <si>
    <t>1. Slice the banana and toss with lime juice.
2. Scatter dates, coconut and groundnuts over.
3. Eat at once.</t>
  </si>
  <si>
    <t>Freeze the banana slices first for a cold version.</t>
  </si>
  <si>
    <t>R160</t>
  </si>
  <si>
    <t>Chocolate Avocado Mousse</t>
  </si>
  <si>
    <t>Chocolate avocado pudding (Downshiftology)</t>
  </si>
  <si>
    <t>https://downshiftology.com/recipes/chocolate-avocado-pudding/</t>
  </si>
  <si>
    <t>https://i2.wp.com/www.downshiftology.com/wp-content/uploads/2020/09/Chocolate-Avocado-Pudding-main.jpg</t>
  </si>
  <si>
    <t>Ripe avocado blended with cocoa, fresh coconut milk and soft dates or honey into a mousse nobody can tell is avocado. Groundnuts and strawberries on top.</t>
  </si>
  <si>
    <t>Dessert. You add: cocoa powder, honey or dates.</t>
  </si>
  <si>
    <t>Avocado gives potassium, folate, vitamin E and heart-friendly fats that help absorb vitamins from the rest of the plate. Fresh coconut adds fibre, manganese and satisfying fat.</t>
  </si>
  <si>
    <t>Avocado, Coconut, Dates</t>
  </si>
  <si>
    <t>1. Blend coconut flesh with half a cup of warm water and strain for coconut milk.
2. Blend avocado, coconut milk, dates, cocoa, vanilla and salt until completely smooth.
3. Chill 30 minutes. Top with strawberries and groundnuts.</t>
  </si>
  <si>
    <t>Taste before chilling; add a date or two if the cocoa is bitter.</t>
  </si>
  <si>
    <t>R161</t>
  </si>
  <si>
    <t>Fruit Skewers with Yoghurt Dip</t>
  </si>
  <si>
    <t>Fruit skewers with honey-yoghurt dip (Love and Lemons)</t>
  </si>
  <si>
    <t>https://www.loveandlemons.com/fruit-dip/</t>
  </si>
  <si>
    <t>https://cdn.loveandlemons.com/wp-content/uploads/2025/05/fruit-dip-recipe.jpg</t>
  </si>
  <si>
    <t>Strawberry, pineapple, banana, grapes, kiwi and mango threaded on suya sticks with a dip of yoghurt, honey and groundnut paste. Children's party food that adults finish.</t>
  </si>
  <si>
    <t>Snack or party plate. You add: yoghurt, honey, groundnut paste.</t>
  </si>
  <si>
    <t>Strawberries deliver more vitamin C per cup than an orange, plus folate and manganese. Pineapple is rich in vitamin C and manganese, and bromelain that helps digest protein.</t>
  </si>
  <si>
    <t>Strawberry, Pineapple, Banana, Grapes (red / black seedless), Kiwi, Mango</t>
  </si>
  <si>
    <t>1. Whisk yoghurt, honey, groundnut paste and cinnamon.
2. Thread the fruit onto skewers, alternating colours.
3. Serve with the dip.</t>
  </si>
  <si>
    <t>Soak wooden suya sticks 10 minutes so the fruit slides on without splitting.</t>
  </si>
  <si>
    <t>R162</t>
  </si>
  <si>
    <t>Pineapple Carpaccio with Mint &amp; Lime</t>
  </si>
  <si>
    <t>Dessert / Snack</t>
  </si>
  <si>
    <t>Pineapple carpaccio (Jamie Oliver)</t>
  </si>
  <si>
    <t>Jamie Oliver</t>
  </si>
  <si>
    <t>https://www.jamieoliver.com/recipes/fruit/pineapple-carpaccio/</t>
  </si>
  <si>
    <t>https://asset.jamieoliver.com/images/cq7w2e71/production/8e6e317c75f970d89bc576e6025d843f9e8c4435-958x1280.png/64975504.webp?rect=0,2,958,1277&amp;w=544&amp;h=725&amp;fm=webp&amp;q=80&amp;fit=crop&amp;auto=format</t>
  </si>
  <si>
    <t>Pineapple sliced so thin you can see through it, with a mint-lime oil, blueberries or pomegranate and a spoon of coconut yoghurt.</t>
  </si>
  <si>
    <t>Dessert or starter. You add: yoghurt, a little oil.</t>
  </si>
  <si>
    <t>Pineapple is rich in vitamin C and manganese, and bromelain that helps digest protein. Mint aids digestion and adds vitamin A.</t>
  </si>
  <si>
    <t>Pineapple, Mint, Lime, Blueberry</t>
  </si>
  <si>
    <t>1. Peel the pineapple and slice it paper-thin with your sharpest knife.
2. Bash the mint with the oil and lime zest in a pestle, or chop very fine and mix.
3. Lay the slices out, spoon over the mint oil, lime juice, berries and yoghurt.</t>
  </si>
  <si>
    <t>Chill the pineapple first; cold fruit slices thinner.</t>
  </si>
  <si>
    <t>R163</t>
  </si>
  <si>
    <t>Strawberries with Balsamic &amp; Black Pepper</t>
  </si>
  <si>
    <t>Balsamic strawberries (Food52)</t>
  </si>
  <si>
    <t>https://food52.com/recipes/4792-balsamic-strawberries</t>
  </si>
  <si>
    <t>Quartered strawberries macerated with a little sugar, balsamic, orange and lemon zest and black pepper. Honey and lime if there is no balsamic. Over thick yoghurt.</t>
  </si>
  <si>
    <t>Over yoghurt or on its own. You add: sugar or honey, balsamic vinegar.</t>
  </si>
  <si>
    <t>Strawberries deliver more vitamin C per cup than an orange, plus folate and manganese. One orange covers most of a day's vitamin C and adds folate and potassium.</t>
  </si>
  <si>
    <t>Strawberry, Orange, Lemon</t>
  </si>
  <si>
    <t>1. Toss strawberries with sugar, balsamic, zests, salt and pepper.
2. Rest 15 to 30 minutes until syrupy.
3. Serve with the juices.</t>
  </si>
  <si>
    <t>Do not leave it longer than an hour; the berries go soft.</t>
  </si>
  <si>
    <t>R164</t>
  </si>
  <si>
    <t>Oranges with Dark Chocolate &amp; Sea Salt</t>
  </si>
  <si>
    <t>Oranges with olive oil and chocolate, Alice Medrich (Food52)</t>
  </si>
  <si>
    <t>https://food52.com/recipes/67491-oranges-with-olive-oil-and-chocolate</t>
  </si>
  <si>
    <t>Orange and tangerine rounds with a thread of olive oil, shaved dark chocolate and flaky salt. A grapefruit adds contrast; mint for colour.</t>
  </si>
  <si>
    <t>Dessert. You add: dark chocolate, olive oil, salt.</t>
  </si>
  <si>
    <t>Vitamin C from the citrus helps the body absorb the iron in dark chocolate.</t>
  </si>
  <si>
    <t>Orange, Tangerine, Grapefruit</t>
  </si>
  <si>
    <t>1. Slice the peeled citrus into rounds and arrange on a plate.
2. Drizzle the oil, scatter the chocolate and salt.
3. Finish with mint.</t>
  </si>
  <si>
    <t>Shave the chocolate with a vegetable peeler straight from the fridge.</t>
  </si>
  <si>
    <t>R165</t>
  </si>
  <si>
    <t>Watermelon Pizza with Yoghurt &amp; Mint</t>
  </si>
  <si>
    <t>Watermelon pizza (Food Dolls)</t>
  </si>
  <si>
    <t>Food Dolls</t>
  </si>
  <si>
    <t>https://www.fooddolls.com/healthy-watermelon-pizza-recipe/</t>
  </si>
  <si>
    <t>https://www.fooddolls.com/wp-content/uploads/2024/07/Food-Dolls_07_02_24_WatermelonPizza_11341_Retouched_CROP_1200x1800px.jpg</t>
  </si>
  <si>
    <t>A thick round of watermelon spread with honey yoghurt and topped with strawberries, kiwi, mango and mint, cut into wedges. Crushed tiger nuts and groundnuts for the granola.</t>
  </si>
  <si>
    <t>Snack or party plate. You add: yoghurt, honey.</t>
  </si>
  <si>
    <t>Watermelon is 92% water with potassium and lycopene: a hydration fruit. Strawberries deliver more vitamin C per cup than an orange, plus folate and manganese.</t>
  </si>
  <si>
    <t>Watermelon, Strawberry, Kiwi, Mango, Mint</t>
  </si>
  <si>
    <t>1. Cut a round slice through the middle of the watermelon and pat the surface dry.
2. Spread with yoghurt mixed with honey.
3. Top with the fruit, tiger nuts and mint. Cut into 6 wedges.</t>
  </si>
  <si>
    <t>Dry the watermelon surface or the yoghurt slides off.</t>
  </si>
  <si>
    <t>R166</t>
  </si>
  <si>
    <t>Honey-Baked Apples with Groundnuts &amp; Yoghurt</t>
  </si>
  <si>
    <t>Honey baked apples with hazelnuts and yoghurt (Olive Magazine)</t>
  </si>
  <si>
    <t>https://www.olivemagazine.com/recipes/baking-and-desserts/honey-baked-apples-with-hazelnuts-and-yogurt/</t>
  </si>
  <si>
    <t>https://images.immediate.co.uk/production/volatile/sites/2/2017/10/OLI1117-Healthy-HoneyBakedApples_014966-e1833c5.jpg?crop=10px%2C3302px%2C5464px%2C2322px&amp;resize=1200%2C630</t>
  </si>
  <si>
    <t>Apples baked with honey, cinnamon and a squeeze of lime until soft, served with yoghurt and roasted groundnuts in place of hazelnuts. Pears work the same.</t>
  </si>
  <si>
    <t>Dessert. You add: honey, cinnamon, yoghurt.</t>
  </si>
  <si>
    <t>Comfort, Gut health</t>
  </si>
  <si>
    <t>Apples bring soluble fibre (pectin) and polyphenols. Groundnuts add plant protein, vitamin E, magnesium and niacin.</t>
  </si>
  <si>
    <t>Apple (red &amp; green), Groundnut (fresh or roasted), Lime</t>
  </si>
  <si>
    <t>1. Core the apples and score a line around the middle so they do not burst.
2. Sit in a dish, drizzle honey, lime and cinnamon. Bake at 180C for 40 minutes (or covered pan, low heat, 30 minutes).
3. Serve warm with yoghurt and groundnuts.</t>
  </si>
  <si>
    <t>Spoon the pan juices back over the apples before serving.</t>
  </si>
  <si>
    <t>R167</t>
  </si>
  <si>
    <t>Roasted Grapes with Yoghurt &amp; Basil</t>
  </si>
  <si>
    <t>Crostini with roasted grapes, vanilla yoghurt and basil (Food52)</t>
  </si>
  <si>
    <t>https://food52.com/recipes/73404-crostini-with-roasted-grapes-vanilla-yogurt-and-fresh-basil</t>
  </si>
  <si>
    <t>Grapes roasted hot until they blister and turn jammy, spooned warm over thick vanilla yoghurt with torn basil. The bread base is optional.</t>
  </si>
  <si>
    <t>Dessert. You add: thick yoghurt, vanilla, honey, optional toast.</t>
  </si>
  <si>
    <t>Grapes bring vitamin K and resveratrol. Basil adds vitamin K and aroma.</t>
  </si>
  <si>
    <t>Grapes (red / black seedless), Basil (sweet)</t>
  </si>
  <si>
    <t>1. Toss the grapes with the oil and roast at 220C for 10 to 12 minutes until they split (a hot dry pan with a lid works too).
2. Stir vanilla and honey into the yoghurt.
3. Spoon the hot grapes and juices over the yoghurt, scatter basil.</t>
  </si>
  <si>
    <t>Pull them out as soon as the first ones burst; a minute more and they collapse.</t>
  </si>
  <si>
    <t>R168</t>
  </si>
  <si>
    <t>Chicken Shawarma Bowl</t>
  </si>
  <si>
    <t>Chicken shawarma salad bowls (The Mediterranean Dish)</t>
  </si>
  <si>
    <t>https://www.themediterraneandish.com/chicken-shawarma-salad-bowls/</t>
  </si>
  <si>
    <t>https://www.themediterraneandish.com/wp-content/uploads/2026/01/Chicken-Shawarma-Salad-Bowls-Edited-5.jpg</t>
  </si>
  <si>
    <t>The Lagos shawarma without the wrap: spiced chicken over lettuce, tomato, cucumber and red onion with a lemon-garlic dressing and a yoghurt garlic sauce. Fresh turmeric in the marinade.</t>
  </si>
  <si>
    <t>A bowl on its own, or add rice. You add: chicken thighs, spices, olive oil, yoghurt.</t>
  </si>
  <si>
    <t>Omnivore</t>
  </si>
  <si>
    <t>Romaine lettuce adds vitamin K, vitamin A and folate. Plum tomatoes bring vitamin C and lycopene; cooking them in a little oil makes the lycopene easier to absorb.</t>
  </si>
  <si>
    <t>Lettuce (iceberg / romaine / local), Tomato (plum), Cucumber, Onion (red &amp; white), Lemon</t>
  </si>
  <si>
    <t>1. Marinate the chicken 15 minutes in spices, turmeric, half the garlic, half the lemon, sliced onion and 2 tablespoons oil.
2. Grill or pan-fry 6 minutes a side, rest, slice.
3. Mix yoghurt with the remaining garlic and a squeeze of lemon.
4. Toss lettuce, tomato, cucumber and red onion with lemon, oil and salt.
5. Build bowls: salad, chicken, garlic sauce, parsley.</t>
  </si>
  <si>
    <t>Marinate overnight if you can; the turmeric colour deepens.</t>
  </si>
  <si>
    <t>R169</t>
  </si>
  <si>
    <t>Nigerian Salad Bowl</t>
  </si>
  <si>
    <t>The classic Nigerian salad (Chef Lola's Kitchen)</t>
  </si>
  <si>
    <t>https://cheflolaskitchen.com/the-classic-nigerian-salad/</t>
  </si>
  <si>
    <t>https://cheflolaskitchen.com/wp-content/uploads/2016/01/Nigerian-salad-31.jpg</t>
  </si>
  <si>
    <t>The party salad as a lunch bowl: more vegetables, less dressing. Lettuce, cabbage, carrot, tomato, cucumber, fresh sweet corn and boiled potato, with eggs and baked beans from the customer and salad cream on the side.</t>
  </si>
  <si>
    <t>Lunch on its own. You add: boiled eggs, baked beans, salad cream or mayo, optional chicken.</t>
  </si>
  <si>
    <t>Romaine lettuce adds vitamin K, vitamin A and folate. Cabbage is rich in vitamin C and vitamin K and very low in calories.</t>
  </si>
  <si>
    <t>Lettuce (iceberg / romaine / local), Cabbage (white), Carrot, Sweet corn, Cucumber</t>
  </si>
  <si>
    <t>1. Boil the potatoes and corn; cool and cut.
2. Layer lettuce, cabbage, carrot, tomato, cucumber, corn, potato and avocado in bowls.
3. Top with eggs and beans. Serve the salad cream on the side so each bowl is dressed to taste.</t>
  </si>
  <si>
    <t>Dress at the table. Pre-dressed Nigerian salad is soup by the second hour.</t>
  </si>
  <si>
    <t>R170</t>
  </si>
  <si>
    <t>Mediterranean Garden Egg &amp; Chickpea Bowl</t>
  </si>
  <si>
    <t>Mediterranean eggplant nourish bowl (Minimalist Baker)</t>
  </si>
  <si>
    <t>https://minimalistbaker.com/easy-mediterranean-inspired-nourish-bowls/</t>
  </si>
  <si>
    <t>https://minimalistbaker.com/wp-content/uploads/2023/05/Mediterranean-Eggplant-Nourish-Bowl-8.jpg</t>
  </si>
  <si>
    <t>Roasted garden egg and crispy chickpeas over rice with a cherry tomato, cucumber, green pepper and parsley salad and a lemon-garlic yoghurt instead of tahini. Black-eyed beans work for the chickpeas.</t>
  </si>
  <si>
    <t>You add: rice, tinned chickpeas or cooked beans, olive oil, yoghurt.</t>
  </si>
  <si>
    <t>Garden egg is high in fibre and potassium and very low in calories. Cherry tomatoes are a sweet source of vitamin C and lycopene.</t>
  </si>
  <si>
    <t>Garden egg, Cherry tomato, Cucumber, Parsley, Lemon</t>
  </si>
  <si>
    <t>1. Toss garden egg and chickpeas with 2 tablespoons oil and salt. Roast at 220C for 25 minutes, or pan-fry in batches.
2. Mix tomato, cucumber, pepper and parsley with half the lemon, a tablespoon of oil and salt.
3. Stir the rest of the lemon and the garlic into the yoghurt.
4. Build bowls on rice and spinach: roasted veg, salad, yoghurt.</t>
  </si>
  <si>
    <t>Salt the garden egg 10 minutes and pat dry before roasting; it browns better.</t>
  </si>
  <si>
    <t>R171</t>
  </si>
  <si>
    <t>Roasted Vegetable &amp; Hummus Bowl</t>
  </si>
  <si>
    <t>Roasted veggie bowl with chive hummus (Post Punk Kitchen)</t>
  </si>
  <si>
    <t>Post Punk Kitchen</t>
  </si>
  <si>
    <t>https://www.theppk.com/2026/04/roasted-veggie-bowl-with-chive-hummus/</t>
  </si>
  <si>
    <t>https://www.theppk.com/wp-content/uploads/2026/04/RoastedVegHummusBowl.jpg</t>
  </si>
  <si>
    <t>Tatashe, garden egg, mushrooms, zucchini and red onion roasted together over couscous or rice with a spring-onion hummus and spinach. The hummus can be the black-eyed bean one from this library.</t>
  </si>
  <si>
    <t>You add: couscous or rice, hummus (or cooked beans to blend), olive oil.</t>
  </si>
  <si>
    <t>Tatashe (red bell pepper) has about twice the vitamin C of an orange by weight, plus beta-carotene. Garden egg is high in fibre and potassium and very low in calories.</t>
  </si>
  <si>
    <t>Red bell pepper, Garden egg, Mushrooms (oyster / button), Zucchini (courgette)</t>
  </si>
  <si>
    <t>1. Toss the vegetables with oil, salt and pepper. Roast at 220C for 25 to 30 minutes, turning once.
2. Stir spring onion and lemon into the hummus.
3. Build bowls: grain, spinach, roasted vegetables, a big spoon of hummus, parsley.</t>
  </si>
  <si>
    <t>Roast double and keep half for tomorrow's wrap.</t>
  </si>
  <si>
    <t>R172</t>
  </si>
  <si>
    <t>Mexican Street Corn &amp; Chicken Bowl</t>
  </si>
  <si>
    <t>Mexican corn and chicken bowls (Delish)</t>
  </si>
  <si>
    <t>Delish</t>
  </si>
  <si>
    <t>https://www.delish.com/cooking/recipe-ideas/a61792761/mexican-corn-and-chicken-bowls-recipe/</t>
  </si>
  <si>
    <t>https://hips.hearstapps.com/hmg-prod/images/mexican-corn-and-chicken-bowls-index-66b53ec1b2867.jpg?crop=1.00xw:1.00xh;0,0&amp;resize=1200:*</t>
  </si>
  <si>
    <t>Lime-coriander chicken over rice with charred fresh sweet corn in a creamy chilli dressing, avocado, cherry tomatoes and purple cabbage. Ata rodo for jalapeño, wara for cotija.</t>
  </si>
  <si>
    <t>You add: chicken thighs, rice, mayonnaise, honey, crumbly cheese.</t>
  </si>
  <si>
    <t>Sweet corn brings fibre, B vitamins and slow-release carbohydrate. Avocado gives potassium, folate, vitamin E and heart-friendly fats that help absorb vitamins from the rest of the plate.</t>
  </si>
  <si>
    <t>Sweet corn, Avocado, Coriander (cilantro), Lime, Purple cabbage</t>
  </si>
  <si>
    <t>1. Marinate the chicken in half the coriander, garlic, half the lime, honey, half the chilli, 2 tablespoons oil and salt. Cook the rice.
2. Grill or pan-fry the chicken 6 minutes a side; rest and slice.
3. Char the corn kernels in a hot dry pan 5 minutes. Toss with mayo, a squeeze of lime and the sliced chilli.
4. Stir the rest of the coriander and lime into the rice.
5. Build bowls: rice, chicken, corn, avocado, tomato, cabbage, cheese.</t>
  </si>
  <si>
    <t>Char the corn in a dry pan without stirring for the first 2 minutes.</t>
  </si>
  <si>
    <t>R173</t>
  </si>
  <si>
    <t>Grilled Vegetable Couscous Bowl with Yoghurt</t>
  </si>
  <si>
    <t>Grilled vegetables with couscous and yoghurt sauce (Food Network)</t>
  </si>
  <si>
    <t>https://www.foodnetwork.com/recipes/food-network-kitchen/grilled-vegetables-with-couscous-and-yogurt-sauce-recipe-1973747</t>
  </si>
  <si>
    <t>https://food.fnr.sndimg.com/content/dam/images/food/fullset/2011/5/4/0/FNM_060111-WN-Dinners-041_s4x3.jpg.rend.hgtvcom.826.620.suffix/1382539709976.webp</t>
  </si>
  <si>
    <t>Peppers, zucchini, mushrooms and red onion grilled with garlic and rosemary over couscous or rice, with yoghurt and crushed groundnuts instead of almonds.</t>
  </si>
  <si>
    <t>You add: couscous or rice, olive oil, plain yoghurt.</t>
  </si>
  <si>
    <t>Tatashe (red bell pepper) has about twice the vitamin C of an orange by weight, plus beta-carotene. Zucchini is light, hydrating and adds vitamin C and potassium.</t>
  </si>
  <si>
    <t>Red bell pepper, Zucchini (courgette), Mushrooms (oyster / button), Onion (red &amp; white)</t>
  </si>
  <si>
    <t>1. Brush the vegetables with oil, salt and pepper and grill or griddle 10 to 12 minutes, turning, with the garlic and rosemary.
2. Prepare the couscous with boiling water and a little oil.
3. Chop the grilled garlic into the yoghurt with a pinch of salt.
4. Serve vegetables on couscous with yoghurt and groundnuts.</t>
  </si>
  <si>
    <t>Thread the mushrooms on skewers so they do not fall through the grill.</t>
  </si>
  <si>
    <t>R174</t>
  </si>
  <si>
    <t>Esquites (Mexican Street Corn Cups)</t>
  </si>
  <si>
    <t>Esquites, Mexico (Serious Eats)</t>
  </si>
  <si>
    <t>https://www.seriouseats.com/esquites-mexican-street-corn-salad-recipe</t>
  </si>
  <si>
    <t>https://www.seriouseats.com/thmb/Ua6AQAB90reXko4lseEKNzxk_mI=/1500x0/filters:no_upscale():max_bytes(150000):strip_icc()/esquites-mexican-street-corn-salad-recipe-10-9586c88e47084597ac6d34d1e71d4583.jpg</t>
  </si>
  <si>
    <t>Fresh corn kernels charred in a pan then tossed warm with spring onion, coriander, chilli, garlic, lime and a spoon of mayo, with wara crumbled over. Agbado in a cup.</t>
  </si>
  <si>
    <t>Snack in a cup, or a side for grilled chicken. You add: oil, mayonnaise, crumbly cheese.</t>
  </si>
  <si>
    <t>Sweet corn brings fibre, B vitamins and slow-release carbohydrate. Spring onion adds vitamin K and folate.</t>
  </si>
  <si>
    <t>Sweet corn, Spring onion, Coriander (cilantro), Lime</t>
  </si>
  <si>
    <t>1. Heat the oil very hot and add the kernels in one layer. Do not stir for 2 minutes so they char; then toss 5 minutes more.
2. Tip into a bowl with spring onion, coriander, chilli, garlic, lime, mayo and salt.
3. Spoon into cups, top with cheese and dry pepper.</t>
  </si>
  <si>
    <t>Stand the cob in a bowl and cut downwards; the kernels fall in, not across the kitchen.</t>
  </si>
  <si>
    <t>R175</t>
  </si>
  <si>
    <t>Sweet Corn Fritters</t>
  </si>
  <si>
    <t>Snack / Breakfast</t>
  </si>
  <si>
    <t>Crispy corn fritters (RecipeTin Eats)</t>
  </si>
  <si>
    <t>https://www.recipetineats.com/crispy-corn-fritters/</t>
  </si>
  <si>
    <t>https://www.recipetineats.com/tachyon/2020/05/Crispy-Corn-Fritters_0-copy.jpg</t>
  </si>
  <si>
    <t>Fresh corn kernels, spring onion, coriander and diced tatashe in a light batter, shallow-fried crisp. Served with the pico de gallo or a yoghurt-lime dip.</t>
  </si>
  <si>
    <t>Snack or breakfast with a fried egg. You add: flour, cornflour, egg, milk, oil, optional cheese.</t>
  </si>
  <si>
    <t>Sweet corn, Spring onion, Coriander (cilantro), Red bell pepper</t>
  </si>
  <si>
    <t>1. Whisk flour, cornflour, baking powder, salt, egg and milk into a thick batter.
2. Stir in corn, spring onion, coriander and pepper.
3. Shallow-fry heaped tablespoons in hot oil 2 to 3 minutes a side until golden. Drain on paper.</t>
  </si>
  <si>
    <t>Keep the batter thick; it should barely hold the corn together.</t>
  </si>
  <si>
    <t>R176</t>
  </si>
  <si>
    <t>Oven-Baked Yam Chips with Salsa</t>
  </si>
  <si>
    <t>Oven baked yam chips (My Active Kitchen)</t>
  </si>
  <si>
    <t>https://www.myactivekitchen.com/oven-baked-yam-chips-recipe/</t>
  </si>
  <si>
    <t>https://www.myactivekitchen.com/wp-content/uploads/2015/12/yam-chips3-e1555025934938.jpg</t>
  </si>
  <si>
    <t>A lighter dundun: yam batons tossed in garlic oil and baked crisp, dusted with yaji, with a quick tomato salsa for dipping.</t>
  </si>
  <si>
    <t>Snack. You add: oil, salt, yaji.</t>
  </si>
  <si>
    <t>Yam, Tomato (plum), Onion (red &amp; white), Lime</t>
  </si>
  <si>
    <t>1. Soak the yam batons in cold water 10 minutes, drain and dry.
2. Toss with the garlic oil and salt. Bake at 220C for 20 to 25 minutes, turning once, until golden.
3. Mix tomato, onion, chilli, coriander, lime and a pinch of salt.
4. Dust the chips with yaji and serve with the salsa.</t>
  </si>
  <si>
    <t>Dry the yam completely before oiling; wet yam steams and goes soft.</t>
  </si>
  <si>
    <t>R177</t>
  </si>
  <si>
    <t>Crispy Kale Chips</t>
  </si>
  <si>
    <t>Kale chips (Culinary Hill)</t>
  </si>
  <si>
    <t>Culinary Hill</t>
  </si>
  <si>
    <t>https://www.culinaryhill.com/crispy-kale-chips/</t>
  </si>
  <si>
    <t>Torn kale leaves massaged with a little oil and salt and baked until they shatter. Works with ugu if the leaves are dried very well. Yaji on top.</t>
  </si>
  <si>
    <t>Kale is the top green for vitamin K and also brings vitamin A and C; a handful of chips is a serving of greens.</t>
  </si>
  <si>
    <t>1. Wash and dry the leaves completely.
2. Massage with oil and salt so every leaf is lightly coated.
3. Spread in one layer and bake at 150C for 20 minutes until crisp but still green.</t>
  </si>
  <si>
    <t>Low oven, single layer, bone-dry leaves. Any one missing gives you chewy kale.</t>
  </si>
  <si>
    <t>R178</t>
  </si>
  <si>
    <t>Grilled Vegetable Skewers</t>
  </si>
  <si>
    <t>Grilled vegetable kabobs (The Mediterranean Dish)</t>
  </si>
  <si>
    <t>https://www.themediterraneandish.com/vegetable-kabobs/</t>
  </si>
  <si>
    <t>https://www.themediterraneandish.com/wp-content/uploads/2021/06/grilled-vegetable-kabobs-4.jpg</t>
  </si>
  <si>
    <t>Zucchini, mushrooms, cherry tomatoes, tatashe, onion and broccoli on suya sticks, in a garlic, parsley and lemon marinade, grilled over charcoal or a griddle.</t>
  </si>
  <si>
    <t>Snack, or a side for suya and grilled chicken. You add: olive oil, oregano.</t>
  </si>
  <si>
    <t>Zucchini is light, hydrating and adds vitamin C and potassium. Mushrooms bring B vitamins, selenium and potassium with almost no calories.</t>
  </si>
  <si>
    <t>Zucchini (courgette), Mushrooms (oyster / button), Cherry tomato, Red bell pepper</t>
  </si>
  <si>
    <t>1. Whisk oil, lemon, garlic, parsley, chilli, oregano and salt.
2. Thread the vegetables onto soaked skewers and brush with the marinade.
3. Grill on high 8 to 10 minutes, turning, until charred. Brush with more marinade to serve.</t>
  </si>
  <si>
    <t>Keep each skewer to one or two vegetables so everything cooks at the same speed.</t>
  </si>
  <si>
    <t>R179</t>
  </si>
  <si>
    <t>Stuffed Mushrooms with Spinach &amp; Garlic</t>
  </si>
  <si>
    <t>Stuffed mushrooms (BBC Good Food)</t>
  </si>
  <si>
    <t>https://www.bbcgoodfood.com/recipes/stuffed-mushrooms</t>
  </si>
  <si>
    <t>https://images.immediate.co.uk/production/volatile/sites/30/2020/08/stuffed-mushrooms-fd50faf.jpg?resize=440%2C230</t>
  </si>
  <si>
    <t>Large mushrooms filled with shallot, garlic, chopped spinach, spring onion and breadcrumbs, baked with a little cheese. The bacon is dropped; minced beef is the customer's option.</t>
  </si>
  <si>
    <t>Starter or snack. You add: breadcrumbs, cheese, oil, optional minced beef.</t>
  </si>
  <si>
    <t>Mushrooms bring B vitamins, selenium and potassium with almost no calories. Spinach is one of the richest sources of vitamin K and folate, with iron and magnesium.</t>
  </si>
  <si>
    <t>Mushrooms (oyster / button), Baby spinach, Shallots, Garlic</t>
  </si>
  <si>
    <t>1. Fry the chopped stems, shallot and garlic in the oil 3 minutes. Add spinach until wilted.
2. Mix with breadcrumbs, spring onion, half the cheese and seasoning.
3. Fill the mushroom caps, top with the rest of the cheese and bake at 200C for 20 minutes.</t>
  </si>
  <si>
    <t>Choose caps that sit flat so the filling stays in.</t>
  </si>
  <si>
    <t>R180</t>
  </si>
  <si>
    <t>Chilli-Lime Roasted Groundnuts</t>
  </si>
  <si>
    <t>Chili lime peanuts (Serious Eats)</t>
  </si>
  <si>
    <t>https://www.seriouseats.com/chili-lime-peanuts-recipe</t>
  </si>
  <si>
    <t>https://www.seriouseats.com/thmb/ccffYjjfOi9E5e7lLOh6jvwxKCs=/1500x0/filters:no_upscale():max_bytes(150000):strip_icc()/__opt__aboutcom__coeus__resources__content_migration__serious_eats__seriouseats.com__recipes__20110216-137656-chili-lime-peanuts-1-31f63e04f6634a0790e1dbb41d069de5.jpg</t>
  </si>
  <si>
    <t>Raw groundnuts tossed in lime juice and zest, salt, sugar and ground dried chilli, then roasted until dry and crunchy. Yaji is the natural finishing dust.</t>
  </si>
  <si>
    <t>Snack. You add: salt, sugar, chilli powder or yaji.</t>
  </si>
  <si>
    <t>Groundnuts add plant protein, vitamin E, magnesium and niacin. Lime juice adds vitamin C and helps the body absorb plant iron from greens.</t>
  </si>
  <si>
    <t>Groundnut (fresh or roasted), Lime</t>
  </si>
  <si>
    <t>1. Mix lime juice, zest, chilli, salt and sugar. Toss with the groundnuts.
2. Spread on a tray and roast at 150C for 30 minutes, stirring every 10, until dry and crunchy.
3. Cool completely before storing in a jar.</t>
  </si>
  <si>
    <t>They crisp up as they cool; do not judge them hot from the oven.</t>
  </si>
  <si>
    <t>R181</t>
  </si>
  <si>
    <t>Carrot &amp; Cucumber Yaji Sticks</t>
  </si>
  <si>
    <t>Lagos roadside cucumber and carrot with pepper (Basket original)</t>
  </si>
  <si>
    <t>Carrot and cucumber batons, a wedge of lime and a pinch of yaji in a cup. The simplest snack in the library and the one people already buy at the roadside.</t>
  </si>
  <si>
    <t>Snack. You add: yaji, salt.</t>
  </si>
  <si>
    <t>Carrot, Cucumber, Lime</t>
  </si>
  <si>
    <t>1. Cut the carrot and cucumber into finger-length batons.
2. Stand them in a cup with the lime wedges.
3. Squeeze lime and dust with yaji and salt to eat.</t>
  </si>
  <si>
    <t>Keep the batons in cold water in the fridge; they stay crisp for two days.</t>
  </si>
  <si>
    <t>Recipe ID</t>
  </si>
  <si>
    <t>Ingredient</t>
  </si>
  <si>
    <t>Qty</t>
  </si>
  <si>
    <t>Unit</t>
  </si>
  <si>
    <t>Produce ID</t>
  </si>
  <si>
    <t>Note</t>
  </si>
  <si>
    <t>Est. g</t>
  </si>
  <si>
    <t>Rolled oats</t>
  </si>
  <si>
    <t>cup</t>
  </si>
  <si>
    <t>Pantry</t>
  </si>
  <si>
    <t>Milk or tiger nut milk</t>
  </si>
  <si>
    <t>Plain yoghurt</t>
  </si>
  <si>
    <t>Chia seeds</t>
  </si>
  <si>
    <t>tbsp</t>
  </si>
  <si>
    <t>pc</t>
  </si>
  <si>
    <t>Basket</t>
  </si>
  <si>
    <t>diced</t>
  </si>
  <si>
    <t>pulp</t>
  </si>
  <si>
    <t>Honey</t>
  </si>
  <si>
    <t>tsp</t>
  </si>
  <si>
    <t>optional</t>
  </si>
  <si>
    <t>small, ripe</t>
  </si>
  <si>
    <t>Greek yoghurt</t>
  </si>
  <si>
    <t>Granola</t>
  </si>
  <si>
    <t>zest and juice</t>
  </si>
  <si>
    <t>roasted, crushed</t>
  </si>
  <si>
    <t>very ripe</t>
  </si>
  <si>
    <t>Eggs</t>
  </si>
  <si>
    <t>Protein</t>
  </si>
  <si>
    <t>blended to flour</t>
  </si>
  <si>
    <t>Ground cinnamon</t>
  </si>
  <si>
    <t>finely diced</t>
  </si>
  <si>
    <t>Oil</t>
  </si>
  <si>
    <t>Staple</t>
  </si>
  <si>
    <t>plum, chopped</t>
  </si>
  <si>
    <t>chopped</t>
  </si>
  <si>
    <t>cloves</t>
  </si>
  <si>
    <t>Cumin or curry powder</t>
  </si>
  <si>
    <t>Bread</t>
  </si>
  <si>
    <t>slices</t>
  </si>
  <si>
    <t>to serve</t>
  </si>
  <si>
    <t>Salt</t>
  </si>
  <si>
    <t>pinch</t>
  </si>
  <si>
    <t>ripe</t>
  </si>
  <si>
    <t>red</t>
  </si>
  <si>
    <t>Wholewheat bread</t>
  </si>
  <si>
    <t>boiled, optional</t>
  </si>
  <si>
    <t>medium</t>
  </si>
  <si>
    <t>stalk</t>
  </si>
  <si>
    <t>Paprika</t>
  </si>
  <si>
    <t>cups</t>
  </si>
  <si>
    <t>grated</t>
  </si>
  <si>
    <t>for 1 cup fresh milk</t>
  </si>
  <si>
    <t>pitted</t>
  </si>
  <si>
    <t>zest</t>
  </si>
  <si>
    <t>Wraps</t>
  </si>
  <si>
    <t>spears</t>
  </si>
  <si>
    <t>in season</t>
  </si>
  <si>
    <t>Yaji (suya spice)</t>
  </si>
  <si>
    <t>ripe, frozen</t>
  </si>
  <si>
    <t>roasted</t>
  </si>
  <si>
    <t>Rice</t>
  </si>
  <si>
    <t>for fresh milk</t>
  </si>
  <si>
    <t>or scent leaf</t>
  </si>
  <si>
    <t>juiced</t>
  </si>
  <si>
    <t>Olive oil</t>
  </si>
  <si>
    <t>Chicken breast</t>
  </si>
  <si>
    <t>in rings</t>
  </si>
  <si>
    <t>head</t>
  </si>
  <si>
    <t>handful</t>
  </si>
  <si>
    <t>cubed</t>
  </si>
  <si>
    <t>small bunch</t>
  </si>
  <si>
    <t>Wara (cow milk cheese)</t>
  </si>
  <si>
    <t>g</t>
  </si>
  <si>
    <t>Black pepper</t>
  </si>
  <si>
    <t>romaine or local</t>
  </si>
  <si>
    <t>clove</t>
  </si>
  <si>
    <t>Parmesan</t>
  </si>
  <si>
    <t>Mustard</t>
  </si>
  <si>
    <t>Croutons</t>
  </si>
  <si>
    <t>stalks</t>
  </si>
  <si>
    <t>thumb</t>
  </si>
  <si>
    <t>Groundnut paste (peanut butter)</t>
  </si>
  <si>
    <t>Soy sauce</t>
  </si>
  <si>
    <t>or 1 date</t>
  </si>
  <si>
    <t>green</t>
  </si>
  <si>
    <t>Olives</t>
  </si>
  <si>
    <t>Dried oregano</t>
  </si>
  <si>
    <t>or young efo tete</t>
  </si>
  <si>
    <t>or 4 tangerines</t>
  </si>
  <si>
    <t>sliced</t>
  </si>
  <si>
    <t>young leaves</t>
  </si>
  <si>
    <t>Black-eyed beans</t>
  </si>
  <si>
    <t>cooked</t>
  </si>
  <si>
    <t>cob</t>
  </si>
  <si>
    <t>Tuna</t>
  </si>
  <si>
    <t>can</t>
  </si>
  <si>
    <t>small, unripe, about 500g</t>
  </si>
  <si>
    <t>Fish sauce or soy sauce</t>
  </si>
  <si>
    <t>Ground cumin</t>
  </si>
  <si>
    <t>leaves</t>
  </si>
  <si>
    <t>cobs</t>
  </si>
  <si>
    <t>Butter</t>
  </si>
  <si>
    <t>Rice or quinoa</t>
  </si>
  <si>
    <t>uncooked</t>
  </si>
  <si>
    <t>ripe (optional)</t>
  </si>
  <si>
    <t>Prawns</t>
  </si>
  <si>
    <t>peeled</t>
  </si>
  <si>
    <t>Sesame oil</t>
  </si>
  <si>
    <t>Chicken breast or thighs</t>
  </si>
  <si>
    <t>or 200g green beans</t>
  </si>
  <si>
    <t>soaked and peeled</t>
  </si>
  <si>
    <t>Pita bread</t>
  </si>
  <si>
    <t>Chickpeas or beans</t>
  </si>
  <si>
    <t>Quinoa or rice</t>
  </si>
  <si>
    <t>Minced beef or thin steak</t>
  </si>
  <si>
    <t>Wara soya (tofu)</t>
  </si>
  <si>
    <t>Rice or noodles</t>
  </si>
  <si>
    <t>or parsley</t>
  </si>
  <si>
    <t>Large wraps or pita</t>
  </si>
  <si>
    <t>Curry powder and paprika</t>
  </si>
  <si>
    <t>White fish fillets (croaker / tilapia)</t>
  </si>
  <si>
    <t>Small tortillas</t>
  </si>
  <si>
    <t>Minced chicken</t>
  </si>
  <si>
    <t>iceberg</t>
  </si>
  <si>
    <t>Beef, thinly sliced</t>
  </si>
  <si>
    <t>Tortillas</t>
  </si>
  <si>
    <t>Grated cheese</t>
  </si>
  <si>
    <t>large</t>
  </si>
  <si>
    <t>Minced beef</t>
  </si>
  <si>
    <t>Curry powder and thyme</t>
  </si>
  <si>
    <t>for dipping</t>
  </si>
  <si>
    <t>Cornflour</t>
  </si>
  <si>
    <t>Chicken</t>
  </si>
  <si>
    <t>for 2 cups fresh milk</t>
  </si>
  <si>
    <t>Green curry paste</t>
  </si>
  <si>
    <t>Fish sauce</t>
  </si>
  <si>
    <t>Beef (sirloin or topside)</t>
  </si>
  <si>
    <t>green or yellow</t>
  </si>
  <si>
    <t>Whole fish or fillets</t>
  </si>
  <si>
    <t>for 1/2 cup fresh milk</t>
  </si>
  <si>
    <t>Curry powder</t>
  </si>
  <si>
    <t>Rice or flatbread</t>
  </si>
  <si>
    <t>Chicken pieces</t>
  </si>
  <si>
    <t>Dried thyme</t>
  </si>
  <si>
    <t>Pasta</t>
  </si>
  <si>
    <t>plum</t>
  </si>
  <si>
    <t>or efo tete</t>
  </si>
  <si>
    <t>cooked, day-old</t>
  </si>
  <si>
    <t>fresh</t>
  </si>
  <si>
    <t>or basil</t>
  </si>
  <si>
    <t>for wedges</t>
  </si>
  <si>
    <t>Vinegar</t>
  </si>
  <si>
    <t>or 2 plum tomatoes</t>
  </si>
  <si>
    <t>tatashe, diced</t>
  </si>
  <si>
    <t>ata rodo, finely chopped</t>
  </si>
  <si>
    <t>minced</t>
  </si>
  <si>
    <t>ugu, shredded</t>
  </si>
  <si>
    <t>Vegetable oil</t>
  </si>
  <si>
    <t>peeled, thick slices</t>
  </si>
  <si>
    <t>ata rodo, chopped</t>
  </si>
  <si>
    <t>small, diced</t>
  </si>
  <si>
    <t>thinly sliced</t>
  </si>
  <si>
    <t>finely chopped</t>
  </si>
  <si>
    <t>Wara or feta</t>
  </si>
  <si>
    <t>crumbled</t>
  </si>
  <si>
    <t>Salt and black pepper</t>
  </si>
  <si>
    <t>halved</t>
  </si>
  <si>
    <t>Scent leaf</t>
  </si>
  <si>
    <t>torn</t>
  </si>
  <si>
    <t>thick cut</t>
  </si>
  <si>
    <t>quartered</t>
  </si>
  <si>
    <t>juice</t>
  </si>
  <si>
    <t>baguette or Agege, 1 cm</t>
  </si>
  <si>
    <t>halved or torn</t>
  </si>
  <si>
    <t>crushed</t>
  </si>
  <si>
    <t>cut in wedges</t>
  </si>
  <si>
    <t>Sugar</t>
  </si>
  <si>
    <t>Water</t>
  </si>
  <si>
    <t>Dry pepper or chilli powder</t>
  </si>
  <si>
    <t>chopped, white</t>
  </si>
  <si>
    <t>sliced, to serve</t>
  </si>
  <si>
    <t>small, thinly sliced</t>
  </si>
  <si>
    <t>left whole</t>
  </si>
  <si>
    <t>Vegetable oil or butter</t>
  </si>
  <si>
    <t>small florets</t>
  </si>
  <si>
    <t>Milk</t>
  </si>
  <si>
    <t>Hard cheese or wara</t>
  </si>
  <si>
    <t>Smoked paprika</t>
  </si>
  <si>
    <t>red, finely chopped</t>
  </si>
  <si>
    <t>Thick yoghurt</t>
  </si>
  <si>
    <t>red, very finely diced</t>
  </si>
  <si>
    <t>tatashe, cut in 3 cm pieces</t>
  </si>
  <si>
    <t>large, cut in wedges</t>
  </si>
  <si>
    <t>ata rodo, sliced</t>
  </si>
  <si>
    <t>one sliced, one diced</t>
  </si>
  <si>
    <t>Vegetable or palm oil</t>
  </si>
  <si>
    <t>Stock powder</t>
  </si>
  <si>
    <t>firm, large chunks</t>
  </si>
  <si>
    <t>small, shredded</t>
  </si>
  <si>
    <t>strips</t>
  </si>
  <si>
    <t>trimmed, halved</t>
  </si>
  <si>
    <t>mixed</t>
  </si>
  <si>
    <t>Stock cube</t>
  </si>
  <si>
    <t>ugu or efo tete, washed, shredded</t>
  </si>
  <si>
    <t>tatashe, chopped</t>
  </si>
  <si>
    <t>large, chopped</t>
  </si>
  <si>
    <t>Palm or vegetable oil</t>
  </si>
  <si>
    <t>cut in 1 cm rounds</t>
  </si>
  <si>
    <t>Olive or vegetable oil</t>
  </si>
  <si>
    <t>wedges</t>
  </si>
  <si>
    <t>tatashe, strips</t>
  </si>
  <si>
    <t>Sweet paprika</t>
  </si>
  <si>
    <t>tatashe, thin strips</t>
  </si>
  <si>
    <t>thin strips</t>
  </si>
  <si>
    <t>red, thinly sliced</t>
  </si>
  <si>
    <t>Bay leaves</t>
  </si>
  <si>
    <t>peeled, chopped</t>
  </si>
  <si>
    <t>very ripe, about 1.4 kg, peeled, chopped</t>
  </si>
  <si>
    <t>tatashe, charred, peeled, chopped</t>
  </si>
  <si>
    <t>seeded, finely chopped</t>
  </si>
  <si>
    <t>Tomato paste</t>
  </si>
  <si>
    <t>white, diced</t>
  </si>
  <si>
    <t>cored</t>
  </si>
  <si>
    <t>unpeeled</t>
  </si>
  <si>
    <t>about 1 kg, peeled, chopped</t>
  </si>
  <si>
    <t>about 1 kg, chopped</t>
  </si>
  <si>
    <t>pitted, chopped</t>
  </si>
  <si>
    <t>peeled, sliced 1 cm</t>
  </si>
  <si>
    <t>sliced 1 cm</t>
  </si>
  <si>
    <t>about 800 g, sliced</t>
  </si>
  <si>
    <t>red, sliced</t>
  </si>
  <si>
    <t>tatashe, sliced</t>
  </si>
  <si>
    <t>about 800 g, 2 cm strips</t>
  </si>
  <si>
    <t>bite-size pieces</t>
  </si>
  <si>
    <t>whole</t>
  </si>
  <si>
    <t>sprigs</t>
  </si>
  <si>
    <t>or thyme</t>
  </si>
  <si>
    <t>Vegetable stock</t>
  </si>
  <si>
    <t>from a cube</t>
  </si>
  <si>
    <t>about 750 g, pureed</t>
  </si>
  <si>
    <t>thumbs</t>
  </si>
  <si>
    <t>soaked</t>
  </si>
  <si>
    <t>Cumin seeds</t>
  </si>
  <si>
    <t>Coriander powder</t>
  </si>
  <si>
    <t>Garam masala</t>
  </si>
  <si>
    <t>tatashe, roasted and peeled</t>
  </si>
  <si>
    <t>toasted</t>
  </si>
  <si>
    <t>slice</t>
  </si>
  <si>
    <t>thick, torn</t>
  </si>
  <si>
    <t>sprig</t>
  </si>
  <si>
    <t>leaves chopped</t>
  </si>
  <si>
    <t>Cooking cream or evaporated milk</t>
  </si>
  <si>
    <t>finely shredded</t>
  </si>
  <si>
    <t>Mayonnaise</t>
  </si>
  <si>
    <t>finely shredded, about 450 g</t>
  </si>
  <si>
    <t>red, very thinly sliced</t>
  </si>
  <si>
    <t>chopped, stems too</t>
  </si>
  <si>
    <t>small, about 600 g, shredded</t>
  </si>
  <si>
    <t>small, finely diced</t>
  </si>
  <si>
    <t>boiled, kernels cut off</t>
  </si>
  <si>
    <t>Salad cream</t>
  </si>
  <si>
    <t>leaves and thin stems, finely chopped</t>
  </si>
  <si>
    <t>diced small</t>
  </si>
  <si>
    <t>about 280 g, chopped</t>
  </si>
  <si>
    <t>red, chopped</t>
  </si>
  <si>
    <t>day-old, torn</t>
  </si>
  <si>
    <t>about 700 g, wedges</t>
  </si>
  <si>
    <t>half-moons</t>
  </si>
  <si>
    <t>crusty, 2.5 cm cubes</t>
  </si>
  <si>
    <t>or lime juice</t>
  </si>
  <si>
    <t>ripe, sliced</t>
  </si>
  <si>
    <t>Mozzarella</t>
  </si>
  <si>
    <t>or 1 avocado</t>
  </si>
  <si>
    <t>about 500 g</t>
  </si>
  <si>
    <t>small, about 300 g, very thinly sliced</t>
  </si>
  <si>
    <t>Rice vinegar</t>
  </si>
  <si>
    <t>coarsely chopped</t>
  </si>
  <si>
    <t>quartered and sliced</t>
  </si>
  <si>
    <t>roughly chopped</t>
  </si>
  <si>
    <t>thinly sliced, optional</t>
  </si>
  <si>
    <t>or ugu / efo tete</t>
  </si>
  <si>
    <t>florets</t>
  </si>
  <si>
    <t>juice, plus wedges</t>
  </si>
  <si>
    <t>sliced, optional</t>
  </si>
  <si>
    <t>5 cm barrels</t>
  </si>
  <si>
    <t>roasted, chopped</t>
  </si>
  <si>
    <t>Groundnut oil</t>
  </si>
  <si>
    <t>6 mm planks lengthways</t>
  </si>
  <si>
    <t>large, florets</t>
  </si>
  <si>
    <t>1 cm slices</t>
  </si>
  <si>
    <t>Dry pepper</t>
  </si>
  <si>
    <t>dried well, 2 cm pieces</t>
  </si>
  <si>
    <t>slit</t>
  </si>
  <si>
    <t>Turmeric powder</t>
  </si>
  <si>
    <t>kg</t>
  </si>
  <si>
    <t>peeled, 3 cm cubes</t>
  </si>
  <si>
    <t>toasted, chopped</t>
  </si>
  <si>
    <t>thick</t>
  </si>
  <si>
    <t>small</t>
  </si>
  <si>
    <t>or parsley, chopped</t>
  </si>
  <si>
    <t>small, about 700 g, thinly sliced</t>
  </si>
  <si>
    <t>efo tete, tough stems removed</t>
  </si>
  <si>
    <t>smashed</t>
  </si>
  <si>
    <t>slivers, optional</t>
  </si>
  <si>
    <t>firm-ripe, chopped</t>
  </si>
  <si>
    <t>small, chopped</t>
  </si>
  <si>
    <t>chunks or shavings</t>
  </si>
  <si>
    <t>roasted, skins off</t>
  </si>
  <si>
    <t>Condensed milk</t>
  </si>
  <si>
    <t>sliced, added last</t>
  </si>
  <si>
    <t>chunks</t>
  </si>
  <si>
    <t>halved, optional</t>
  </si>
  <si>
    <t>Tinned cream or thick yoghurt</t>
  </si>
  <si>
    <t>shredded</t>
  </si>
  <si>
    <t>Vanilla essence</t>
  </si>
  <si>
    <t>flesh blended with 1 cup water and squeezed for cream</t>
  </si>
  <si>
    <t>peeled, sliced in rounds</t>
  </si>
  <si>
    <t>peeled, sliced</t>
  </si>
  <si>
    <t>segmented</t>
  </si>
  <si>
    <t>arils</t>
  </si>
  <si>
    <t>Dark chocolate</t>
  </si>
  <si>
    <t>squares</t>
  </si>
  <si>
    <t>blended and strained</t>
  </si>
  <si>
    <t>diced, about 2 cups</t>
  </si>
  <si>
    <t>finely grated</t>
  </si>
  <si>
    <t>diced, optional</t>
  </si>
  <si>
    <t>shavings</t>
  </si>
  <si>
    <t>large, ripe, chilled</t>
  </si>
  <si>
    <t>flesh blended with water for milk</t>
  </si>
  <si>
    <t>soft, pitted</t>
  </si>
  <si>
    <t>sliced, to top</t>
  </si>
  <si>
    <t>Cocoa powder</t>
  </si>
  <si>
    <t>cubes</t>
  </si>
  <si>
    <t>thick slices</t>
  </si>
  <si>
    <t>Groundnut paste</t>
  </si>
  <si>
    <t>about 30 g</t>
  </si>
  <si>
    <t>or pomegranate arils</t>
  </si>
  <si>
    <t>stirred with a little coconut cream</t>
  </si>
  <si>
    <t>hulled, quartered</t>
  </si>
  <si>
    <t>zest in strips</t>
  </si>
  <si>
    <t>Sugar or honey</t>
  </si>
  <si>
    <t>Balsamic vinegar</t>
  </si>
  <si>
    <t>or honey and lime</t>
  </si>
  <si>
    <t>Black pepper and salt</t>
  </si>
  <si>
    <t>70%, shaved</t>
  </si>
  <si>
    <t>Flaky salt</t>
  </si>
  <si>
    <t>whole round, 2.5 cm thick, about 900 g</t>
  </si>
  <si>
    <t>about 400 g</t>
  </si>
  <si>
    <t>large, half sliced for chicken, half for salad</t>
  </si>
  <si>
    <t>Chicken thighs</t>
  </si>
  <si>
    <t>boneless</t>
  </si>
  <si>
    <t>Shawarma spice (cumin, paprika, coriander)</t>
  </si>
  <si>
    <t>for garlic sauce</t>
  </si>
  <si>
    <t>firm, sliced</t>
  </si>
  <si>
    <t>boiled, kernels off</t>
  </si>
  <si>
    <t>boiled, diced</t>
  </si>
  <si>
    <t>hard-boiled, quartered</t>
  </si>
  <si>
    <t>Baked beans</t>
  </si>
  <si>
    <t>Chickpeas</t>
  </si>
  <si>
    <t>tinned, drained</t>
  </si>
  <si>
    <t>Cooked rice</t>
  </si>
  <si>
    <t>tatashe, thick strips</t>
  </si>
  <si>
    <t>red, thick slices</t>
  </si>
  <si>
    <t>chopped, for the hummus</t>
  </si>
  <si>
    <t>Cooked couscous or rice</t>
  </si>
  <si>
    <t>Hummus</t>
  </si>
  <si>
    <t>or cooked beans to blend</t>
  </si>
  <si>
    <t>kernels cut off</t>
  </si>
  <si>
    <t>half in marinade, half sliced on top</t>
  </si>
  <si>
    <t>tatashe, quartered</t>
  </si>
  <si>
    <t>rounds</t>
  </si>
  <si>
    <t>red, thick rounds</t>
  </si>
  <si>
    <t>Couscous</t>
  </si>
  <si>
    <t>or rice</t>
  </si>
  <si>
    <t>kernels cut off, about 3 cups</t>
  </si>
  <si>
    <t>green parts, sliced</t>
  </si>
  <si>
    <t>raw kernels, about 2 cups</t>
  </si>
  <si>
    <t>tatashe, finely diced</t>
  </si>
  <si>
    <t>Plain flour</t>
  </si>
  <si>
    <t>Baking powder</t>
  </si>
  <si>
    <t>Egg</t>
  </si>
  <si>
    <t>for shallow frying</t>
  </si>
  <si>
    <t>peeled, thin batons</t>
  </si>
  <si>
    <t>stemmed, torn, about 200 g (8 cups)</t>
  </si>
  <si>
    <t>small, whole</t>
  </si>
  <si>
    <t>tatashe, chunks</t>
  </si>
  <si>
    <t>large, stems removed and chopped</t>
  </si>
  <si>
    <t>Breadcrumbs</t>
  </si>
  <si>
    <t>Cheddar or wara</t>
  </si>
  <si>
    <t>raw, shelled</t>
  </si>
  <si>
    <t>juice and zest of one</t>
  </si>
  <si>
    <t>Chilli powder or yaji</t>
  </si>
  <si>
    <t>batons</t>
  </si>
  <si>
    <t>Est. g is an estimate of the edible weight of the Basket produce on that row (pieces and cups converted with the typical weights on the Nutrition tab). Edit it and the recipe's vitamins update. Non-produce rows are left blank on purpose.</t>
  </si>
  <si>
    <t>Box / drop</t>
  </si>
  <si>
    <t>Window</t>
  </si>
  <si>
    <t>What's inside</t>
  </si>
  <si>
    <t>Recipes it unlocks</t>
  </si>
  <si>
    <t>Positioning line</t>
  </si>
  <si>
    <t>Agbalumo Season Drop</t>
  </si>
  <si>
    <t>Dec-May (peak Jan-Mar)</t>
  </si>
  <si>
    <t>Agbalumo x20, velvet tamarind (awin) cup</t>
  </si>
  <si>
    <t>Eat as-is</t>
  </si>
  <si>
    <t>The one fruit everybody waits for all year. Back for a few months only.</t>
  </si>
  <si>
    <t>Grade by size, sell by count. Limited quantity drives urgency. Pair with a 'last week of the season' push.</t>
  </si>
  <si>
    <t>Harmattan Citrus Box</t>
  </si>
  <si>
    <t>Oranges, tangerines, grapefruit, limes, lemons, mint, ginger</t>
  </si>
  <si>
    <t>R032, R037, R154, R158</t>
  </si>
  <si>
    <t>Peak citrus season. Vitamin C plates and salads, not another juice.</t>
  </si>
  <si>
    <t>Citrus is at its best Oct-Dec. Lowest-cost, highest-volume box of the year.</t>
  </si>
  <si>
    <t>Stew &amp; Sauce Starter</t>
  </si>
  <si>
    <t>Plum tomatoes x12, tatashe x6, ata rodo, onions x4, garlic, ginger, scent leaf, ugu</t>
  </si>
  <si>
    <t>R106, R111, R097, R091</t>
  </si>
  <si>
    <t>Everything for a week of stews and sauces. You add the rice and the protein.</t>
  </si>
  <si>
    <t>The core weekly box. Same produce feeds breakfast egg sauce and dinner stew, so nothing is wasted.</t>
  </si>
  <si>
    <t>Breakfast Plate Kit</t>
  </si>
  <si>
    <t>Plum tomatoes, onions, tatashe, ata rodo, avocado x2, spring onion, baby spinach, mushrooms</t>
  </si>
  <si>
    <t>R091, R093, R019, R096, R094</t>
  </si>
  <si>
    <t>Seven mornings of egg sauce, toast toppers and omelettes. Bring the eggs and bread.</t>
  </si>
  <si>
    <t>Pairs with the Agege bread run. Push on Sunday evening for the week ahead.</t>
  </si>
  <si>
    <t>Mango Rush</t>
  </si>
  <si>
    <t>Two mango varieties (Ogbomoso + cherry), limes, coconut, passion fruit, pawpaw</t>
  </si>
  <si>
    <t>R015, R027, R086, R088, R153</t>
  </si>
  <si>
    <t>It's mango season. Here's what to do with all of them.</t>
  </si>
  <si>
    <t>Mango volume is huge Mar-Apr; pre-sell the box a week before the peak.</t>
  </si>
  <si>
    <t>Hydration Box</t>
  </si>
  <si>
    <t>Year-round (best Dec-Apr)</t>
  </si>
  <si>
    <t>Watermelon, cucumber, mint, lemons, limes, pineapple, sweet melon</t>
  </si>
  <si>
    <t>R024, R028, R165, R136</t>
  </si>
  <si>
    <t>Built for the heat and for after training.</t>
  </si>
  <si>
    <t>Potassium and water-rich fruit. Lead with the hydration tagline the sheet generates.</t>
  </si>
  <si>
    <t>Training Fuel Basket</t>
  </si>
  <si>
    <t>Bananas, sweet potatoes, avocado, efo tete, dates, groundnuts, tatashe, broccoli</t>
  </si>
  <si>
    <t>R020, R040, R041, R064, R159</t>
  </si>
  <si>
    <t>The produce side of a training week.</t>
  </si>
  <si>
    <t>Potassium, fibre and slow carbs. Customers add their own chicken or beef.</t>
  </si>
  <si>
    <t>Salad Week Kit</t>
  </si>
  <si>
    <t>Lettuce, tomatoes, cucumber, carrots, both cabbages, red onion, lemons, garden eggs, parsley, sweet corn</t>
  </si>
  <si>
    <t>R025, R029, R030, R031, R039, R127</t>
  </si>
  <si>
    <t>Six different salads, zero wasted leaves.</t>
  </si>
  <si>
    <t>Add a printed card: one dressing base, six salads.</t>
  </si>
  <si>
    <t>Stir-Fry Night Kit</t>
  </si>
  <si>
    <t>Tatashe, green pepper, carrots, spring onion, ginger, garlic, broccoli or green beans, cabbage</t>
  </si>
  <si>
    <t>R058, R060, R061, R067, R147</t>
  </si>
  <si>
    <t>Takeaway-style dinners in 20 minutes.</t>
  </si>
  <si>
    <t>Pre-cut option later (Sunbasket model). Sells well midweek.</t>
  </si>
  <si>
    <t>Ube &amp; Corn Drop</t>
  </si>
  <si>
    <t>Ube x10, sweet corn x6, limes, scotch bonnet</t>
  </si>
  <si>
    <t>R082, R174, R175, eat as-is</t>
  </si>
  <si>
    <t>The rainy season classic, delivered.</t>
  </si>
  <si>
    <t>Corn is cheapest Jun-Aug. Three ways to use a cob besides roasting.</t>
  </si>
  <si>
    <t>Fruit Plate Box</t>
  </si>
  <si>
    <t>Pineapple, pawpaw, watermelon, banana, oranges, apples, grapes, limes, mint</t>
  </si>
  <si>
    <t>R149, R152, R161, R157</t>
  </si>
  <si>
    <t>Pre-portioned for a week of chopped fruit plates. Bring the Peak milk.</t>
  </si>
  <si>
    <t>The party fruit salad is the entry point; the vitamin plates are the upsell.</t>
  </si>
  <si>
    <t>Tiger Nut &amp; Snack Box</t>
  </si>
  <si>
    <t>Tiger nuts, dates, coconut, roasted groundnuts, carrots, cucumbers</t>
  </si>
  <si>
    <t>R022, R084, R181</t>
  </si>
  <si>
    <t>Snacks from local staples.</t>
  </si>
  <si>
    <t>Low cost, long shelf life, good add-on to any box.</t>
  </si>
  <si>
    <t>Imported Fruit Box (premium)</t>
  </si>
  <si>
    <t>Apples, pears, grapes, kiwi, blueberries, strawberries</t>
  </si>
  <si>
    <t>R089, R158, R163</t>
  </si>
  <si>
    <t>The fruit bowl, upgraded.</t>
  </si>
  <si>
    <t>Imported fruit is 3-7x local prices (Mint Foods). Keep it as a premium add-on.</t>
  </si>
  <si>
    <t>Player</t>
  </si>
  <si>
    <t>Type</t>
  </si>
  <si>
    <t>Market</t>
  </si>
  <si>
    <t>What they sell / do</t>
  </si>
  <si>
    <t>Price signals</t>
  </si>
  <si>
    <t>Recipe or meal approach</t>
  </si>
  <si>
    <t>Borrow</t>
  </si>
  <si>
    <t>Gap for Basket</t>
  </si>
  <si>
    <t>SwanCape Farms</t>
  </si>
  <si>
    <t>Farm + retail/B2B supplier</t>
  </si>
  <si>
    <t>Lagos</t>
  </si>
  <si>
    <t>Own farms in Epe and Irawo plus smallholders. HACCP handling, premium retail packaging, supplies supermarkets, chefs and households. Farm shop in Lekki Scheme 2. WhatsApp ordering.</t>
  </si>
  <si>
    <t>Weekly Veggie Box N8,000/week. Planner estimates: Egusi for 4 ~N14,000, Jollof for 6 ~N18,000, Pepper soup for 2 ~N8,000.</t>
  </si>
  <si>
    <t>Meal planner: type a dish and headcount, get a live-priced ingredient list sent to WhatsApp. Menu is traditional Nigerian (Egusi, Ogbono, Jollof, Efo riro).</t>
  </si>
  <si>
    <t>Dish-to-priced-cart flow. A simple weekly box price anchor.</t>
  </si>
  <si>
    <t>Their recipes are traditional soups and stews. Basket's library is light global dishes for goal-driven eaters. They also lead with 'AI' in copy, which Basket deliberately does not.</t>
  </si>
  <si>
    <t>swancapefarms.com, swancapefarms.com/meal-planner</t>
  </si>
  <si>
    <t>Mint Foods</t>
  </si>
  <si>
    <t>Online grocery (Shopify)</t>
  </si>
  <si>
    <t>Full grocery plus a strong premium produce range: hydroponic herbs, microgreens, imported berries, local and imported variants of the same item.</t>
  </si>
  <si>
    <t>Lemons: 4 local N1,900 vs 5 Dutch N13,800. Cauliflower local N2,750 vs imported N16,900. Blueberries 125g N5,720. Pineapple N1,300.</t>
  </si>
  <si>
    <t>None. Product descriptions suggest uses but there are no recipes.</t>
  </si>
  <si>
    <t>Origin-tiered variants on one product page. A ready-to-eat 'eat me' avocado pack.</t>
  </si>
  <si>
    <t>No recipes, no goal framing, no baskets.</t>
  </si>
  <si>
    <t>mintfoods.store</t>
  </si>
  <si>
    <t>The Fresh Place</t>
  </si>
  <si>
    <t>Prepared health food + fruit</t>
  </si>
  <si>
    <t>Lekki, Lagos</t>
  </si>
  <si>
    <t>Juices, smoothies, parfaits, salad trays, fruit bundles, detox plans, single fruits and vegetables. Saturday delivery for bundles.</t>
  </si>
  <si>
    <t>Juices N3,500-N4,500. Salad trays N30,000-N50,000. Family Fruit Bundle N35,000. Local lemon/tangerine N300 each, imported orange N950, avocado N2,000-N2,500.</t>
  </si>
  <si>
    <t>Finished products (Mango-licious, Avo-Cardio, 24 Carrot Gold) rather than recipes.</t>
  </si>
  <si>
    <t>Occasion bundles (Work Week Juice Bundle) and fruit hampers.</t>
  </si>
  <si>
    <t>Their prepared items cost several times the raw produce. Basket recipes let people make the same drinks and salads at home.</t>
  </si>
  <si>
    <t>thefreshplace.ng</t>
  </si>
  <si>
    <t>Home Basket by Aduke</t>
  </si>
  <si>
    <t>Online supermarket</t>
  </si>
  <si>
    <t>Lagos Island</t>
  </si>
  <si>
    <t>Groceries and pantry from a Sura market base, curated bundles, WhatsApp support.</t>
  </si>
  <si>
    <t>Not captured. Catalogue loads client-side.</t>
  </si>
  <si>
    <t>None visible.</t>
  </si>
  <si>
    <t>Market-adjacent sourcing story, curated bundles.</t>
  </si>
  <si>
    <t>Positioned as a general supermarket. Not health-led.</t>
  </si>
  <si>
    <t>homebasketng.com</t>
  </si>
  <si>
    <t>Freshcart.ng</t>
  </si>
  <si>
    <t>Online produce</t>
  </si>
  <si>
    <t>Could not be checked. The site blocks automated access and has no indexed pages.</t>
  </si>
  <si>
    <t>-</t>
  </si>
  <si>
    <t>Check manually and on Instagram.</t>
  </si>
  <si>
    <t>freshcart.ng</t>
  </si>
  <si>
    <t>Chef4Me</t>
  </si>
  <si>
    <t>Chef marketplace + meal delivery</t>
  </si>
  <si>
    <t>Lagos (US-registered)</t>
  </si>
  <si>
    <t>Hire private chefs, order home-cooked meals, and an assistant that suggests meals by health goal or by what you have at home. Blog content like a modern jollof guide.</t>
  </si>
  <si>
    <t>Per chef / per order.</t>
  </si>
  <si>
    <t>Chef-cooked meals, not cook-at-home recipes.</t>
  </si>
  <si>
    <t>Dietary preference capture during ordering.</t>
  </si>
  <si>
    <t>No produce. Basket can be the ingredient layer for people who want to cook themselves.</t>
  </si>
  <si>
    <t>chef4me.ai, Google Play listing</t>
  </si>
  <si>
    <t>HelloFresh</t>
  </si>
  <si>
    <t>Meal kit</t>
  </si>
  <si>
    <t>US / global</t>
  </si>
  <si>
    <t>100+ weekly menu and market items. Menus: Meat &amp; Veggies, Veggie, Family Friendly, Fit &amp; Wholesome, Quick &amp; Easy, Pescatarian. 21+ protein and side swaps.</t>
  </si>
  <si>
    <t>About $8.99-$11.99 per serving.</t>
  </si>
  <si>
    <t>~30 min recipes, Quick &amp; Easy 20 min or less. Step-by-step photo cards with timings.</t>
  </si>
  <si>
    <t>Goal-named menus. Time on every card. Swap chips.</t>
  </si>
  <si>
    <t>Imported-ingredient model does not translate to Lagos. Recipe adaptation does.</t>
  </si>
  <si>
    <t>hellofresh.com, Plated Verdict, MealFan</t>
  </si>
  <si>
    <t>Sunbasket</t>
  </si>
  <si>
    <t>US</t>
  </si>
  <si>
    <t>Organic-leaning kits and semi-prepared meals with diet-led plans.</t>
  </si>
  <si>
    <t>Premium.</t>
  </si>
  <si>
    <t>Semi-prepared kits cut cooking time.</t>
  </si>
  <si>
    <t>Part-prepped produce as an add-on (relevant if Fresh Cuts returns).</t>
  </si>
  <si>
    <t>Price point far above Lagos mass market.</t>
  </si>
  <si>
    <t>Taste of Home 2026 review</t>
  </si>
  <si>
    <t>Home Chef</t>
  </si>
  <si>
    <t>Classic kits, 15-minute kits, oven-ready and microwave meals. 'Customize It' protein swaps. Calorie- and carb-conscious filters.</t>
  </si>
  <si>
    <t>About $9.99 per serving; family plan minimums.</t>
  </si>
  <si>
    <t>Several effort levels in one menu.</t>
  </si>
  <si>
    <t>Effort tiers (no-cook / quick / standard) and protein swaps. Both are in the Recipes tab.</t>
  </si>
  <si>
    <t>Built around supplied proteins. Basket supplies produce only.</t>
  </si>
  <si>
    <t>Plated Verdict, The Meal Kit Review, MealDigest</t>
  </si>
  <si>
    <t>Marley Spoon</t>
  </si>
  <si>
    <t>US / EU / AU</t>
  </si>
  <si>
    <t>Martha Stewart-developed recipes. Large weekly menu with add-ons. Diet filters: low-carb, under 650 cal, Mediterranean, vegetarian, vegan, climatarian.</t>
  </si>
  <si>
    <t>About $9-$13 per serving.</t>
  </si>
  <si>
    <t>Seasonal, internationally inspired, more technique-heavy.</t>
  </si>
  <si>
    <t>Seasonal 'what's good this week' editorial. Diet filters.</t>
  </si>
  <si>
    <t>Basket can do seasonal editorial with real Nigerian seasons, which no international kit can.</t>
  </si>
  <si>
    <t>MealFan, MealDigest, The Meal Kit Review</t>
  </si>
  <si>
    <t>URL</t>
  </si>
  <si>
    <t>Used for</t>
  </si>
  <si>
    <t>SwanCape Farms homepage</t>
  </si>
  <si>
    <t>https://swancapefarms.com/</t>
  </si>
  <si>
    <t>Positioning, Weekly Veggie Box price</t>
  </si>
  <si>
    <t>SwanCape Farms meal planner</t>
  </si>
  <si>
    <t>https://swancapefarms.com/meal-planner</t>
  </si>
  <si>
    <t>Planner flow and dish price estimates</t>
  </si>
  <si>
    <t>Mint Foods produce collection</t>
  </si>
  <si>
    <t>https://mintfoods.store/collections/fresh-fruits-vegetables</t>
  </si>
  <si>
    <t>Product range, local vs imported variants, benchmark prices</t>
  </si>
  <si>
    <t>https://thefreshplace.ng/</t>
  </si>
  <si>
    <t>Product range, bundles, juices, benchmark prices</t>
  </si>
  <si>
    <t>The Fresh Place fruits &amp; vegetables</t>
  </si>
  <si>
    <t>https://thefreshplace.ng/product-category/fruits-and-vegetables/</t>
  </si>
  <si>
    <t>Single-item produce prices</t>
  </si>
  <si>
    <t>https://www.homebasketng.com/</t>
  </si>
  <si>
    <t>Positioning</t>
  </si>
  <si>
    <t>https://chef4me.ai/</t>
  </si>
  <si>
    <t>Product description</t>
  </si>
  <si>
    <t>Chef4Me on Google Play</t>
  </si>
  <si>
    <t>https://play.google.com/store/apps/details?id=com.chefuser</t>
  </si>
  <si>
    <t>Kitchen Butterfly: Nigerian Seasonal Produce Calendar V1.3 (2018)</t>
  </si>
  <si>
    <t>https://www.kitchenbutterfly.com/wp-content/uploads/2018/01/2018_Nigerian_SeasonalProduceCalendar_V1.3.pdf</t>
  </si>
  <si>
    <t>Season months for 'Sourced' rows</t>
  </si>
  <si>
    <t>Kitchen Butterfly: Nigeria's dry season produce</t>
  </si>
  <si>
    <t>https://www.kitchenbutterfly.com/nigerias-dry-seasons-produce-januaryfebruary/</t>
  </si>
  <si>
    <t>Agbalumo, citrus, watermelon notes</t>
  </si>
  <si>
    <t>Kitchen Butterfly: dry-wet season produce</t>
  </si>
  <si>
    <t>https://www.kitchenbutterfly.com/nigerias-dry-wet-seasons-produce-februarymarch/</t>
  </si>
  <si>
    <t>Soursop, guava, velvet tamarind, local names</t>
  </si>
  <si>
    <t>HelloFresh: best meal kits 2026</t>
  </si>
  <si>
    <t>https://www.hellofresh.com/stories/research/top-meal-kit-reviews</t>
  </si>
  <si>
    <t>Meal-kit formats and timings</t>
  </si>
  <si>
    <t>Plated Verdict: best meal kits 2026</t>
  </si>
  <si>
    <t>https://platedverdict.com/guides/best-meal-kits/</t>
  </si>
  <si>
    <t>HelloFresh menus, Home Chef pricing</t>
  </si>
  <si>
    <t>MealFan: Marley Spoon vs HelloFresh</t>
  </si>
  <si>
    <t>https://mealfan.com/marley-spoon-vs-hellofresh/</t>
  </si>
  <si>
    <t>Menu categories, diet filters, card format</t>
  </si>
  <si>
    <t>The Meal Kit Review: Home Chef vs Marley Spoon</t>
  </si>
  <si>
    <t>https://www.themealkitreview.com/compare/home-chef-vs-marley-spoon/</t>
  </si>
  <si>
    <t>Effort tiers, Customize It</t>
  </si>
  <si>
    <t>MealDigest: Home Chef vs Marley Spoon</t>
  </si>
  <si>
    <t>https://mealdigest.com/blog/home-chef-vs-marley-spoon-variety</t>
  </si>
  <si>
    <t>Menu size, customization</t>
  </si>
  <si>
    <t>Taste of Home: best meal kits 2026</t>
  </si>
  <si>
    <t>https://www.tasteofhome.com/article/best-meal-kit-delivery-2026/</t>
  </si>
  <si>
    <t>Sunbasket semi-prepared kits</t>
  </si>
  <si>
    <t>Reference recipe and image for Mango &amp; Passion Fruit Overnight Oats (R015)</t>
  </si>
  <si>
    <t>Reference recipe and image for Pawpaw Boats with Yoghurt &amp; Groundnut Crunch (R016)</t>
  </si>
  <si>
    <t>Reference recipe and image for Banana Oat Pancakes with Pineapple Compote (R017)</t>
  </si>
  <si>
    <t>Reference recipe and image for Shakshuka with Tatashe &amp; Efo (R018)</t>
  </si>
  <si>
    <t>Reference recipe and image for Avocado Toast with Ata Rodo Salsa (R019)</t>
  </si>
  <si>
    <t>Reference recipe and image for Sweet Potato Breakfast Hash (R020)</t>
  </si>
  <si>
    <t>Reference recipe and image for Tropical Parfait with Tiger Nut Crumble (R022)</t>
  </si>
  <si>
    <t>Reference recipe and image for Coconut Chia Pudding with Mango (R023)</t>
  </si>
  <si>
    <t>Reference recipe and image for Egg &amp; Avocado Breakfast Wrap (R055)</t>
  </si>
  <si>
    <t>Reference recipe and image for Chilli-Lime Fruit Cup (Yaji Edition) (R024)</t>
  </si>
  <si>
    <t>Reference recipe and image for Banana Groundnut Nice Cream (R084)</t>
  </si>
  <si>
    <t>Reference recipe and image for Grilled Pineapple with Coconut &amp; Lime (R085)</t>
  </si>
  <si>
    <t>Reference recipe and image for Mango Coconut Rice Pudding (R086)</t>
  </si>
  <si>
    <t>Reference recipe and image for No-Churn Mango Passion Sorbet (R088)</t>
  </si>
  <si>
    <t>Reference recipe and image for Garden Egg Chopped Salad (R025)</t>
  </si>
  <si>
    <t>Reference recipe and image for Grilled Pineapple &amp; Chicken Salad (R026)</t>
  </si>
  <si>
    <t>Reference recipe and image for Avocado, Mango &amp; Cucumber Salad (R027)</t>
  </si>
  <si>
    <t>Reference recipe and image for Watermelon, Cucumber &amp; Grilled Wara Salad (R028)</t>
  </si>
  <si>
    <t>Reference recipe and image for Lighter Chicken Caesar Salad (R029)</t>
  </si>
  <si>
    <t>Reference recipe and image for Crunchy Groundnut Cabbage Slaw (R030)</t>
  </si>
  <si>
    <t>Reference recipe and image for Greek Salad with Wara (R031)</t>
  </si>
  <si>
    <t>Reference recipe and image for Orange, Spinach &amp; Tiger Nut Salad (R032)</t>
  </si>
  <si>
    <t>Reference recipe and image for Roast Sweet Potato &amp; Efo Salad (R033)</t>
  </si>
  <si>
    <t>Reference recipe and image for Black-Eyed Bean 'Lagos Caviar' (R034)</t>
  </si>
  <si>
    <t>Reference recipe and image for Lagos Nicoise (R035)</t>
  </si>
  <si>
    <t>Reference recipe and image for Green Pawpaw Salad (R036)</t>
  </si>
  <si>
    <t>Reference recipe and image for Moroccan Carrot &amp; Orange Salad (R037)</t>
  </si>
  <si>
    <t>Reference recipe and image for Beetroot, Orange &amp; Avocado Salad (R038)</t>
  </si>
  <si>
    <t>Reference recipe and image for Kachumbari (R039)</t>
  </si>
  <si>
    <t>Reference recipe and image for Crunchy Apple, Pear &amp; Grape Salad (R089)</t>
  </si>
  <si>
    <t>Reference recipe and image for Sweet Potato Wedges with Yaji Yoghurt (R080)</t>
  </si>
  <si>
    <t>Reference recipe and image for Okra &amp; Corn Succotash (R083)</t>
  </si>
  <si>
    <t>Reference recipe and image for Chicken Suya Power Bowl (R040)</t>
  </si>
  <si>
    <t>Reference recipe and image for Burrito Bowl (R041)</t>
  </si>
  <si>
    <t>Reference recipe and image for Mango Prawn Poke-Style Bowl (R042)</t>
  </si>
  <si>
    <t>Reference recipe and image for Teriyaki Chicken &amp; Broccoli Bowl (R043)</t>
  </si>
  <si>
    <t>Reference recipe and image for Black-Eyed Bean Falafel Bowl (R044)</t>
  </si>
  <si>
    <t>Reference recipe and image for Sweet Potato Buddha Bowl with Ugu Pesto (R045)</t>
  </si>
  <si>
    <t>Reference recipe and image for Bibimbap-Style Beef Bowl (R046)</t>
  </si>
  <si>
    <t>Reference recipe and image for Thai Groundnut Wara Bowl (R047)</t>
  </si>
  <si>
    <t>Reference recipe and image for Greek Chicken Gyro Bowl with Tzatziki (R048)</t>
  </si>
  <si>
    <t>Reference recipe and image for Coconut Prawn &amp; Mango Rice Bowl (R049)</t>
  </si>
  <si>
    <t>Reference recipe and image for Lighter Chicken Shawarma (R050)</t>
  </si>
  <si>
    <t>Reference recipe and image for Fish Tacos with Pineapple Salsa (R051)</t>
  </si>
  <si>
    <t>Reference recipe and image for Chicken Lettuce Cups (R052)</t>
  </si>
  <si>
    <t>Reference recipe and image for Suya Beef Lettuce Wraps (R053)</t>
  </si>
  <si>
    <t>Reference recipe and image for Corn, Tatashe &amp; Efo Quesadilla (R054)</t>
  </si>
  <si>
    <t>Reference recipe and image for Stuffed Tatashe with Beef &amp; Corn (R066)</t>
  </si>
  <si>
    <t>Reference recipe and image for Guacamole with Garden Egg Crudites (R078)</t>
  </si>
  <si>
    <t>Reference recipe and image for Garden Egg Baba Ganoush (R079)</t>
  </si>
  <si>
    <t>Reference recipe and image for Black-Eyed Bean Hummus with Veggie Sticks (R081)</t>
  </si>
  <si>
    <t>Reference recipe and image for Roasted Corn with Lime &amp; Yaji Butter (R082)</t>
  </si>
  <si>
    <t>Reference recipe and image for Ginger Chicken &amp; Veg Stir-Fry (R058)</t>
  </si>
  <si>
    <t>Reference recipe and image for Thai Green Curry with Pumpkin &amp; Ugu (R059)</t>
  </si>
  <si>
    <t>Reference recipe and image for Pepper Steak Stir-Fry (R060)</t>
  </si>
  <si>
    <t>Reference recipe and image for Prawn Cauliflower Fried 'Rice' (R061)</t>
  </si>
  <si>
    <t>Reference recipe and image for Mango Salsa for Grilled Fish (R062)</t>
  </si>
  <si>
    <t>Reference recipe and image for Chickpea &amp; Efo Curry (R063)</t>
  </si>
  <si>
    <t>Reference recipe and image for Caribbean Curry Chicken &amp; Sweet Potato (R064)</t>
  </si>
  <si>
    <t>Reference recipe and image for Fresh Tomato &amp; Basil Garden Pasta (R065)</t>
  </si>
  <si>
    <t>Reference recipe and image for Light Vegetable Egg Fried Rice (R067)</t>
  </si>
  <si>
    <t>Reference recipe and image for Kerala-Style Okra &amp; Prawn Coconut Curry (R068)</t>
  </si>
  <si>
    <t>Reference recipe and image for Garden Egg Ratatouille (R069)</t>
  </si>
  <si>
    <t>Reference recipe and image for Scent Leaf Chimichurri (R070)</t>
  </si>
  <si>
    <t>Reference recipe and image for Ugu &amp; Groundnut Pesto Pasta (R072)</t>
  </si>
  <si>
    <t>Reference recipe and image for Vegetable Egg Sauce (R091)</t>
  </si>
  <si>
    <t>Reference recipe and image for Boiled Yam &amp; Pepper Egg Sauce (R092)</t>
  </si>
  <si>
    <t>Reference recipe and image for Menemen (R093)</t>
  </si>
  <si>
    <t>Reference recipe and image for Pan con Tomate (R094)</t>
  </si>
  <si>
    <t>Reference recipe and image for Bruschetta al Pomodoro (R095)</t>
  </si>
  <si>
    <t>Reference recipe and image for Garlic Mushroom Toast (R096)</t>
  </si>
  <si>
    <t>Reference recipe and image for Tomato &amp; Egg Stir-Fry (R097)</t>
  </si>
  <si>
    <t>Reference recipe and image for Masala Omelette (R098)</t>
  </si>
  <si>
    <t>Reference recipe and image for Huevos a la Mexicana (R099)</t>
  </si>
  <si>
    <t>Reference recipe and image for Cherry Tomato &amp; Wara Scramble (Strapatsada) (R100)</t>
  </si>
  <si>
    <t>Reference recipe and image for Persian Tomato Omelette with Turmeric (R101)</t>
  </si>
  <si>
    <t>Reference recipe and image for Broccoli &amp; Spring Onion Frittata (R102)</t>
  </si>
  <si>
    <t>Reference recipe and image for Tomato, Spinach &amp; Wara Omelette (R103)</t>
  </si>
  <si>
    <t>Reference recipe and image for Israeli Breakfast Plate (R104)</t>
  </si>
  <si>
    <t>Reference recipe and image for Kachumbari Eggs (R105)</t>
  </si>
  <si>
    <t>Reference recipe and image for Chunky Vegetable Stew (Ata Dindin Style) (R106)</t>
  </si>
  <si>
    <t>Reference recipe and image for Nigerian Mixed Vegetable Sauce (R107)</t>
  </si>
  <si>
    <t>Reference recipe and image for Ugu &amp; Tatashe Greens Stew (R108)</t>
  </si>
  <si>
    <t>Reference recipe and image for Stewed Okra &amp; Tomatoes (R109)</t>
  </si>
  <si>
    <t>Reference recipe and image for Lecsó (Hungarian Pepper &amp; Tomato Stew) (R110)</t>
  </si>
  <si>
    <t>Reference recipe and image for Pepperonata (R111)</t>
  </si>
  <si>
    <t>Reference recipe and image for Piperade (Basque Pepper Base with Eggs) (R112)</t>
  </si>
  <si>
    <t>Reference recipe and image for Matbucha (Slow-Cooked Tomato &amp; Tatashe Spread) (R113)</t>
  </si>
  <si>
    <t>Reference recipe and image for Ezme (Turkish Chopped Tomato &amp; Pepper Spread) (R114)</t>
  </si>
  <si>
    <t>Reference recipe and image for Pico de Gallo (R115)</t>
  </si>
  <si>
    <t>Reference recipe and image for Roasted Salsa Roja (R116)</t>
  </si>
  <si>
    <t>Reference recipe and image for Arrabbiata Sauce (R117)</t>
  </si>
  <si>
    <t>Reference recipe and image for Puttanesca Sauce (R118)</t>
  </si>
  <si>
    <t>Reference recipe and image for Briam (Greek Baked Vegetables) (R119)</t>
  </si>
  <si>
    <t>Reference recipe and image for Tikil Gomen (Cabbage, Carrot &amp; Potato) (R120)</t>
  </si>
  <si>
    <t>Reference recipe and image for Caribbean Creole Sauce (R121)</t>
  </si>
  <si>
    <t>Reference recipe and image for Bhuna Masala (Onion-Tomato Curry Base) (R122)</t>
  </si>
  <si>
    <t>Reference recipe and image for Romesco (Tatashe &amp; Groundnut Sauce) (R123)</t>
  </si>
  <si>
    <t>Reference recipe and image for Creamy Mushroom Sauce (R124)</t>
  </si>
  <si>
    <t>Reference recipe and image for Classic Creamy Coleslaw (R125)</t>
  </si>
  <si>
    <t>Reference recipe and image for Purple Cabbage Lime Slaw (R126)</t>
  </si>
  <si>
    <t>Reference recipe and image for Nigerian Party Coleslaw with Sweet Corn (R127)</t>
  </si>
  <si>
    <t>Reference recipe and image for Tabbouleh (Herb Salad) (R128)</t>
  </si>
  <si>
    <t>Reference recipe and image for Fattoush with Agege Croutons (R129)</t>
  </si>
  <si>
    <t>Reference recipe and image for Panzanella (R130)</t>
  </si>
  <si>
    <t>Reference recipe and image for Caprese Salad (R131)</t>
  </si>
  <si>
    <t>Reference recipe and image for Smashed Cucumber Salad (R132)</t>
  </si>
  <si>
    <t>Reference recipe and image for Sunomono (Japanese Cucumber Salad) (R133)</t>
  </si>
  <si>
    <t>Reference recipe and image for Kachumber (Indian Chopped Salad) (R134)</t>
  </si>
  <si>
    <t>Reference recipe and image for Shepherd's Salad (Çoban Salatası) (R135)</t>
  </si>
  <si>
    <t>Reference recipe and image for Melon, Cucumber &amp; Mint Salad (R136)</t>
  </si>
  <si>
    <t>Reference recipe and image for Garlic Sautéed Greens (Spinach or Ugu) (R137)</t>
  </si>
  <si>
    <t>Reference recipe and image for Charred Broccoli with Lemon &amp; Garlic (R138)</t>
  </si>
  <si>
    <t>Reference recipe and image for Honey-Roasted Carrots with Ginger (R139)</t>
  </si>
  <si>
    <t>Reference recipe and image for Green Beans with Groundnuts &amp; Chilli (R140)</t>
  </si>
  <si>
    <t>Reference recipe and image for Grilled Zucchini with Lemon &amp; Herbs (R141)</t>
  </si>
  <si>
    <t>Reference recipe and image for Turmeric Roasted Cauliflower (R142)</t>
  </si>
  <si>
    <t>Reference recipe and image for Sautéed Mushrooms with Garlic &amp; Parsley (R143)</t>
  </si>
  <si>
    <t>Reference recipe and image for Bhindi Masala (Stir-Fried Okra) (R144)</t>
  </si>
  <si>
    <t>Reference recipe and image for Roasted Pumpkin with Lemon Yoghurt (R145)</t>
  </si>
  <si>
    <t>Reference recipe and image for Crispy Smashed Potatoes with Rosemary (R146)</t>
  </si>
  <si>
    <t>Reference recipe and image for Garlic Stir-Fried Cabbage &amp; Carrot (R147)</t>
  </si>
  <si>
    <t>Reference recipe and image for Garlic Stir-Fried Efo Tete (R148)</t>
  </si>
  <si>
    <t>Reference recipe and image for Nigerian Fruit Salad with Condensed Milk (R149)</t>
  </si>
  <si>
    <t>Reference recipe and image for Filipino-Style Fruit Salad with Cream (R150)</t>
  </si>
  <si>
    <t>Reference recipe and image for Bionico (Mexican Fruit Bowl with Sweet Cream) (R151)</t>
  </si>
  <si>
    <t>Reference recipe and image for Indian Fruit Chaat (R152)</t>
  </si>
  <si>
    <t>Reference recipe and image for Thai Mango with Coconut Cream (R153)</t>
  </si>
  <si>
    <t>Reference recipe and image for Winter Citrus Salad with Mint &amp; Honey (R154)</t>
  </si>
  <si>
    <t>Reference recipe and image for Baked Bananas with Cinnamon &amp; Dark Chocolate (R155)</t>
  </si>
  <si>
    <t>Reference recipe and image for Tropical Fruit Salad with Passion Fruit &amp; Guava Dressing (R156)</t>
  </si>
  <si>
    <t>Reference recipe and image for Vitamin A Plate: Mango, Pawpaw &amp; Carrot (R157)</t>
  </si>
  <si>
    <t>Reference recipe and image for Vitamin C Plate: Orange, Kiwi &amp; Strawberry (R158)</t>
  </si>
  <si>
    <t>Reference recipe and image for Chocolate Avocado Mousse (R160)</t>
  </si>
  <si>
    <t>Reference recipe and image for Fruit Skewers with Yoghurt Dip (R161)</t>
  </si>
  <si>
    <t>Reference recipe and image for Pineapple Carpaccio with Mint &amp; Lime (R162)</t>
  </si>
  <si>
    <t>Reference recipe and image for Strawberries with Balsamic &amp; Black Pepper (R163)</t>
  </si>
  <si>
    <t>Reference recipe and image for Oranges with Dark Chocolate &amp; Sea Salt (R164)</t>
  </si>
  <si>
    <t>Reference recipe and image for Watermelon Pizza with Yoghurt &amp; Mint (R165)</t>
  </si>
  <si>
    <t>Reference recipe and image for Honey-Baked Apples with Groundnuts &amp; Yoghurt (R166)</t>
  </si>
  <si>
    <t>Reference recipe and image for Roasted Grapes with Yoghurt &amp; Basil (R167)</t>
  </si>
  <si>
    <t>Reference recipe and image for Chicken Shawarma Bowl (R168)</t>
  </si>
  <si>
    <t>Reference recipe and image for Nigerian Salad Bowl (R169)</t>
  </si>
  <si>
    <t>Reference recipe and image for Mediterranean Garden Egg &amp; Chickpea Bowl (R170)</t>
  </si>
  <si>
    <t>Reference recipe and image for Roasted Vegetable &amp; Hummus Bowl (R171)</t>
  </si>
  <si>
    <t>Reference recipe and image for Mexican Street Corn &amp; Chicken Bowl (R172)</t>
  </si>
  <si>
    <t>Reference recipe and image for Grilled Vegetable Couscous Bowl with Yoghurt (R173)</t>
  </si>
  <si>
    <t>Reference recipe and image for Esquites (Mexican Street Corn Cups) (R174)</t>
  </si>
  <si>
    <t>Reference recipe and image for Sweet Corn Fritters (R175)</t>
  </si>
  <si>
    <t>Reference recipe and image for Oven-Baked Yam Chips with Salsa (R176)</t>
  </si>
  <si>
    <t>Reference recipe and image for Crispy Kale Chips (R177)</t>
  </si>
  <si>
    <t>Reference recipe and image for Grilled Vegetable Skewers (R178)</t>
  </si>
  <si>
    <t>Reference recipe and image for Stuffed Mushrooms with Spinach &amp; Garlic (R179)</t>
  </si>
  <si>
    <t>Reference recipe and image for Chilli-Lime Roasted Groundnuts (R180)</t>
  </si>
  <si>
    <t>USDA FoodData Central</t>
  </si>
  <si>
    <t>https://fdc.nal.usda.gov/</t>
  </si>
  <si>
    <t>Per-100 g nutrition values on the Nutrition tab</t>
  </si>
  <si>
    <t>FAO/INFOODS West African Food Composition Table (2019)</t>
  </si>
  <si>
    <t>https://www.fao.org/infoods/infoods/tables-and-databases/faoinfoods-databases/en/</t>
  </si>
  <si>
    <t>Nutrition values for West African produce with no USDA entry</t>
  </si>
  <si>
    <t>EU Regulation 1169/2011 Annex XIII (nutrient reference values)</t>
  </si>
  <si>
    <t>https://eur-lex.europa.eu/legal-content/EN/TXT/?uri=CELEX:32011R1169</t>
  </si>
  <si>
    <t>Daily values used for the % daily columns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</si>
</sst>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
    <numFmt numFmtId="165" formatCode="0.0"/>
    <numFmt numFmtId="166" formatCode="0.0#"/>
  </numFmts>
  <fonts count="15" x14ac:knownFonts="1">
    <font>
      <sz val="11"/>
      <color theme="1"/>
      <name val="Calibri"/>
      <family val="2"/>
      <charset val="1"/>
    </font>
    <font>
      <b/>
      <sz val="10"/>
      <name val="Arial"/>
      <charset val="1"/>
    </font>
    <font>
      <sz val="10"/>
      <color rgb="FF0000FF"/>
      <name val="Arial"/>
      <charset val="1"/>
    </font>
    <font>
      <sz val="10"/>
      <name val="Arial"/>
      <charset val="1"/>
    </font>
    <font>
      <b/>
      <sz val="10"/>
      <color rgb="FFFFFFFF"/>
      <name val="Arial"/>
      <charset val="1"/>
    </font>
    <font>
      <i/>
      <sz val="9"/>
      <color rgb="FF555555"/>
      <name val="Arial"/>
      <charset val="1"/>
    </font>
    <font>
      <sz val="10"/>
      <name val="Arial"/>
    </font>
    <font>
      <b/>
      <sz val="18"/>
      <color rgb="FF1F3D2B"/>
      <name val="Arial"/>
    </font>
    <font>
      <b/>
      <sz val="12"/>
      <color rgb="FF1F3D2B"/>
      <name val="Arial"/>
    </font>
    <font>
      <b/>
      <sz val="10"/>
      <name val="Arial"/>
    </font>
    <font>
      <sz val="10"/>
      <color rgb="FF0000FF"/>
      <name val="Arial"/>
    </font>
    <font>
      <b/>
      <sz val="10"/>
      <color rgb="FFFFFFFF"/>
      <name val="Arial"/>
    </font>
    <font>
      <u/>
      <sz val="10"/>
      <color rgb="FF0563C1"/>
      <name val="Arial"/>
    </font>
    <font>
      <sz val="10"/>
      <color rgb="FF008000"/>
      <name val="Arial"/>
    </font>
    <font>
      <i/>
      <sz val="9"/>
      <name val="Arial"/>
    </font>
  </fonts>
  <fills count="6">
    <fill>
      <patternFill patternType="none"/>
    </fill>
    <fill>
      <patternFill patternType="gray125"/>
    </fill>
    <fill>
      <patternFill patternType="solid">
        <fgColor rgb="FFFFF2B3"/>
        <bgColor rgb="FFFFFF99"/>
      </patternFill>
    </fill>
    <fill>
      <patternFill patternType="solid">
        <fgColor rgb="FF1F3D2B"/>
        <bgColor rgb="FF333300"/>
      </patternFill>
    </fill>
    <fill>
      <patternFill patternType="solid">
        <fgColor rgb="FFFFF2B3"/>
      </patternFill>
    </fill>
    <fill>
      <patternFill patternType="solid">
        <fgColor rgb="FF1F3D2B"/>
      </patternFill>
    </fill>
  </fills>
  <borders count="2">
    <border>
      <left/>
      <right/>
      <top/>
      <bottom/>
      <diagonal/>
    </border>
    <border>
      <left/>
      <right/>
      <top/>
      <bottom style="thin">
        <color rgb="FFD9D9D9"/>
      </bottom>
      <diagonal/>
    </border>
  </borders>
  <cellStyleXfs count="1">
    <xf numFmtId="0" fontId="0" fillId="0" borderId="0"/>
  </cellStyleXfs>
  <cellXfs count="42">
    <xf numFmtId="0" fontId="0" fillId="0" borderId="0" xfId="0" applyAlignment="1"/>
    <xf numFmtId="0" fontId="0" fillId="0" borderId="0" xfId="0"/>
    <xf numFmtId="0" fontId="7" fillId="0" borderId="0" xfId="0" applyFont="1"/>
    <xf numFmtId="0" fontId="6" fillId="0" borderId="0" xfId="0" applyFont="1"/>
    <xf numFmtId="0" fontId="8" fillId="0" borderId="0" xfId="0" applyFont="1"/>
    <xf numFmtId="0" fontId="9" fillId="0" borderId="0" xfId="0" applyFont="1"/>
    <xf numFmtId="9" fontId="10" fillId="4" borderId="0" xfId="0" applyNumberFormat="1" applyFont="1" applyFill="1"/>
    <xf numFmtId="0" fontId="6" fillId="0" borderId="0" xfId="0" applyFont="1" applyAlignment="1">
      <alignment vertical="top" wrapText="1"/>
    </xf>
    <xf numFmtId="0" fontId="10" fillId="4" borderId="0" xfId="0" applyFont="1" applyFill="1"/>
    <xf numFmtId="1" fontId="9" fillId="0" borderId="0" xfId="0" applyNumberFormat="1" applyFont="1"/>
    <xf numFmtId="9" fontId="9" fillId="0" borderId="0" xfId="0" applyNumberFormat="1" applyFont="1"/>
    <xf numFmtId="0" fontId="0" fillId="0" borderId="0" xfId="0" applyAlignment="1"/>
    <xf numFmtId="0" fontId="4" fillId="3" borderId="0" xfId="0" applyFont="1" applyFill="1" applyAlignment="1">
      <alignment vertical="center" wrapText="1"/>
    </xf>
    <xf numFmtId="0" fontId="3" fillId="0" borderId="1" xfId="0" applyFont="1" applyBorder="1" applyAlignment="1">
      <alignment vertical="top"/>
    </xf>
    <xf numFmtId="0" fontId="1" fillId="0" borderId="1" xfId="0" applyFont="1" applyBorder="1" applyAlignment="1">
      <alignment vertical="top"/>
    </xf>
    <xf numFmtId="0" fontId="3" fillId="0" borderId="1" xfId="0" applyFont="1" applyBorder="1" applyAlignment="1">
      <alignment vertical="top" wrapText="1"/>
    </xf>
    <xf numFmtId="3" fontId="2" fillId="0" borderId="1" xfId="0" applyNumberFormat="1" applyFont="1" applyBorder="1" applyAlignment="1">
      <alignment vertical="top"/>
    </xf>
    <xf numFmtId="3" fontId="3" fillId="2" borderId="1" xfId="0" applyNumberFormat="1" applyFont="1" applyFill="1" applyBorder="1" applyAlignment="1">
      <alignment vertical="top"/>
    </xf>
    <xf numFmtId="0" fontId="3" fillId="2" borderId="1" xfId="0" applyFont="1" applyFill="1" applyBorder="1" applyAlignment="1">
      <alignment vertical="top"/>
    </xf>
    <xf numFmtId="0" fontId="3" fillId="0" borderId="1" xfId="0" applyFont="1" applyBorder="1" applyAlignment="1">
      <alignment horizontal="center" vertical="top"/>
    </xf>
    <xf numFmtId="0" fontId="5" fillId="0" borderId="0" xfId="0" applyFont="1" applyAlignment="1"/>
    <xf numFmtId="0" fontId="11" fillId="5" borderId="0" xfId="0" applyFont="1" applyFill="1" applyAlignment="1">
      <alignment vertical="center" wrapText="1"/>
    </xf>
    <xf numFmtId="0" fontId="6" fillId="0" borderId="0" xfId="0" applyFont="1" applyAlignment="1">
      <alignment vertical="top"/>
    </xf>
    <xf numFmtId="0" fontId="9" fillId="0" borderId="0" xfId="0" applyFont="1" applyAlignment="1">
      <alignment vertical="top"/>
    </xf>
    <xf numFmtId="166" fontId="10" fillId="0" borderId="0" xfId="0" applyNumberFormat="1" applyFont="1" applyAlignment="1">
      <alignment vertical="top"/>
    </xf>
    <xf numFmtId="0" fontId="10" fillId="0" borderId="0" xfId="0" applyFont="1" applyAlignment="1">
      <alignment vertical="top"/>
    </xf>
    <xf numFmtId="0" fontId="14" fillId="0" borderId="0" xfId="0" applyFont="1" applyAlignment="1"/>
    <xf numFmtId="0" fontId="12" fillId="0" borderId="0" xfId="0" applyFont="1" applyAlignment="1">
      <alignment vertical="top" wrapText="1"/>
    </xf>
    <xf numFmtId="0" fontId="6" fillId="0" borderId="0" xfId="0" applyFont="1" applyAlignment="1">
      <alignment horizontal="center" vertical="top"/>
    </xf>
    <xf numFmtId="1" fontId="6" fillId="0" borderId="0" xfId="0" applyNumberFormat="1" applyFont="1" applyAlignment="1">
      <alignment vertical="top"/>
    </xf>
    <xf numFmtId="165" fontId="6" fillId="0" borderId="0" xfId="0" applyNumberFormat="1" applyFont="1" applyAlignment="1">
      <alignment vertical="top"/>
    </xf>
    <xf numFmtId="9" fontId="6" fillId="0" borderId="0" xfId="0" applyNumberFormat="1" applyFont="1" applyAlignment="1">
      <alignment vertical="top"/>
    </xf>
    <xf numFmtId="0" fontId="6" fillId="4" borderId="0" xfId="0" applyFont="1" applyFill="1" applyAlignment="1">
      <alignment vertical="top"/>
    </xf>
    <xf numFmtId="0" fontId="13" fillId="0" borderId="0" xfId="0" applyFont="1" applyAlignment="1">
      <alignment vertical="top"/>
    </xf>
    <xf numFmtId="164" fontId="6" fillId="0" borderId="0" xfId="0" applyNumberFormat="1" applyFont="1" applyAlignment="1">
      <alignment vertical="top"/>
    </xf>
    <xf numFmtId="1" fontId="10" fillId="4" borderId="0" xfId="0" applyNumberFormat="1" applyFont="1" applyFill="1" applyAlignment="1">
      <alignment vertical="top"/>
    </xf>
    <xf numFmtId="0" fontId="14" fillId="0" borderId="0" xfId="0" applyFont="1"/>
    <xf numFmtId="0" fontId="9" fillId="0" borderId="0" xfId="0" applyFont="1" applyAlignment="1">
      <alignment vertical="top" wrapText="1"/>
    </xf>
    <xf numFmtId="0" fontId="1" fillId="0" borderId="1" xfId="0" applyFont="1" applyBorder="1" applyAlignment="1">
      <alignment vertical="top" wrapText="1"/>
    </xf>
    <xf numFmtId="0" fontId="6" fillId="0" borderId="1" xfId="0" applyFont="1" applyBorder="1" applyAlignment="1">
      <alignment vertical="top" wrapText="1"/>
    </xf>
    <xf numFmtId="0" fontId="6" fillId="0" borderId="0" xfId="0" applyFont="1" applyAlignment="1">
      <alignment vertical="top" wrapText="1"/>
    </xf>
    <xf numFmtId="0" fontId="0" fillId="0" borderId="0" xfId="0"/>
  </cellXfs>
  <cellStyles count="1">
    <cellStyle name="Normal" xfId="0" builtinId="0"/>
  </cellStyles>
  <dxfs count="7">
    <dxf>
      <fill>
        <patternFill patternType="solid">
          <fgColor rgb="FFC6EFCE"/>
        </patternFill>
      </fill>
    </dxf>
    <dxf>
      <fill>
        <patternFill patternType="solid">
          <fgColor rgb="FFC6EFCE"/>
        </patternFill>
      </fill>
    </dxf>
    <dxf>
      <font>
        <sz val="9"/>
        <color rgb="FF3A6B2E"/>
        <name val="Arial"/>
        <charset val="1"/>
      </font>
      <fill>
        <patternFill>
          <bgColor rgb="FFCFE5C3"/>
        </patternFill>
      </fill>
    </dxf>
    <dxf>
      <font>
        <b/>
        <sz val="9"/>
        <color rgb="FFFFFFFF"/>
        <name val="Arial"/>
        <charset val="1"/>
      </font>
      <fill>
        <patternFill>
          <bgColor rgb="FF6FA35A"/>
        </patternFill>
      </fill>
    </dxf>
    <dxf>
      <font>
        <color rgb="FF999999"/>
        <name val="Arial"/>
        <charset val="1"/>
      </font>
    </dxf>
    <dxf>
      <fill>
        <patternFill>
          <bgColor rgb="FFCFE5C3"/>
        </patternFill>
      </fill>
    </dxf>
    <dxf>
      <font>
        <b/>
        <color rgb="FFFFFFFF"/>
        <name val="Arial"/>
        <charset val="1"/>
      </font>
      <fill>
        <patternFill>
          <bgColor rgb="FF6FA35A"/>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2E6B1F"/>
      <rgbColor rgb="FF000080"/>
      <rgbColor rgb="FF808000"/>
      <rgbColor rgb="FF800080"/>
      <rgbColor rgb="FF008080"/>
      <rgbColor rgb="FFC0C0C0"/>
      <rgbColor rgb="FF6FA35A"/>
      <rgbColor rgb="FF9999FF"/>
      <rgbColor rgb="FF993366"/>
      <rgbColor rgb="FFFFF2B3"/>
      <rgbColor rgb="FFCCFFFF"/>
      <rgbColor rgb="FF660066"/>
      <rgbColor rgb="FFFF8080"/>
      <rgbColor rgb="FF1155CC"/>
      <rgbColor rgb="FFD9D9D9"/>
      <rgbColor rgb="FF000080"/>
      <rgbColor rgb="FFFF00FF"/>
      <rgbColor rgb="FFFFFF00"/>
      <rgbColor rgb="FF00FFFF"/>
      <rgbColor rgb="FF800080"/>
      <rgbColor rgb="FF800000"/>
      <rgbColor rgb="FF008080"/>
      <rgbColor rgb="FF0000FF"/>
      <rgbColor rgb="FF00CCFF"/>
      <rgbColor rgb="FFCCFFFF"/>
      <rgbColor rgb="FFCFE5C3"/>
      <rgbColor rgb="FFFFFF99"/>
      <rgbColor rgb="FF99CCFF"/>
      <rgbColor rgb="FFFF99CC"/>
      <rgbColor rgb="FFCC99FF"/>
      <rgbColor rgb="FFFFCC99"/>
      <rgbColor rgb="FF3366FF"/>
      <rgbColor rgb="FF33CCCC"/>
      <rgbColor rgb="FF99CC00"/>
      <rgbColor rgb="FFFFCC00"/>
      <rgbColor rgb="FFFF9900"/>
      <rgbColor rgb="FFFF6600"/>
      <rgbColor rgb="FF555555"/>
      <rgbColor rgb="FF999999"/>
      <rgbColor rgb="FF003366"/>
      <rgbColor rgb="FF3A6B2E"/>
      <rgbColor rgb="FF003300"/>
      <rgbColor rgb="FF333300"/>
      <rgbColor rgb="FF993300"/>
      <rgbColor rgb="FF993366"/>
      <rgbColor rgb="FF333399"/>
      <rgbColor rgb="FF1F3D2B"/>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5.xml.rels><?xml version="1.0" encoding="UTF-8" standalone="yes"?>
<Relationships xmlns="http://schemas.openxmlformats.org/package/2006/relationships"><Relationship Id="rId117" Type="http://schemas.openxmlformats.org/officeDocument/2006/relationships/hyperlink" Target="https://jamaicanfoodsandrecipes.com/jamaican-curry-chicken-recipe/" TargetMode="External"/><Relationship Id="rId21" Type="http://schemas.openxmlformats.org/officeDocument/2006/relationships/hyperlink" Target="https://www.loveandlemons.com/banana-ice-cream/" TargetMode="External"/><Relationship Id="rId63" Type="http://schemas.openxmlformats.org/officeDocument/2006/relationships/hyperlink" Target="https://thelocalpalate.com/recipes/southern-style-succotash/" TargetMode="External"/><Relationship Id="rId159" Type="http://schemas.openxmlformats.org/officeDocument/2006/relationships/hyperlink" Target="https://www.nigerianfoodtv.com/nigerian-mixed-vegetable-sauce/" TargetMode="External"/><Relationship Id="rId170" Type="http://schemas.openxmlformats.org/officeDocument/2006/relationships/hyperlink" Target="https://food.fnr.sndimg.com/content/dam/images/food/editorial/homepage/fn-feature.jpg.rend.hgtvcom.826.620.suffix/1474463768097.webp" TargetMode="External"/><Relationship Id="rId226" Type="http://schemas.openxmlformats.org/officeDocument/2006/relationships/hyperlink" Target="https://cdn.loveandlemons.com/wp-content/uploads/2023/05/grilled-zucchini-recipes.jpg" TargetMode="External"/><Relationship Id="rId268" Type="http://schemas.openxmlformats.org/officeDocument/2006/relationships/hyperlink" Target="https://images.immediate.co.uk/production/volatile/sites/2/2017/10/OLI1117-Healthy-HoneyBakedApples_014966-e1833c5.jpg?crop=10px%2C3302px%2C5464px%2C2322px&amp;resize=1200%2C630" TargetMode="External"/><Relationship Id="rId32" Type="http://schemas.openxmlformats.org/officeDocument/2006/relationships/hyperlink" Target="https://www.recipetineats.com/tachyon/2016/06/Hawaiian-Chicken-Salad-Lime-Dressing_3.jpg" TargetMode="External"/><Relationship Id="rId74" Type="http://schemas.openxmlformats.org/officeDocument/2006/relationships/hyperlink" Target="https://plantbasedfolk.com/wp-content/uploads/2023/06/Lebanese-Falafel-Bowl-Recipe.jpg" TargetMode="External"/><Relationship Id="rId128" Type="http://schemas.openxmlformats.org/officeDocument/2006/relationships/hyperlink" Target="https://cafedelites.com/wp-content/uploads/2017/04/Chimichurri-Chicken-Salad-IMAGE-88.jpg" TargetMode="External"/><Relationship Id="rId5" Type="http://schemas.openxmlformats.org/officeDocument/2006/relationships/hyperlink" Target="https://www.bbcgoodfood.com/recipes/banana-pancakes" TargetMode="External"/><Relationship Id="rId181" Type="http://schemas.openxmlformats.org/officeDocument/2006/relationships/hyperlink" Target="https://www.loveandlemons.com/pasta-puttanesca/" TargetMode="External"/><Relationship Id="rId237" Type="http://schemas.openxmlformats.org/officeDocument/2006/relationships/hyperlink" Target="https://www.loveandlemons.com/sauteed-cabbage/" TargetMode="External"/><Relationship Id="rId279" Type="http://schemas.openxmlformats.org/officeDocument/2006/relationships/hyperlink" Target="https://hips.hearstapps.com/hmg-prod/images/mexican-corn-and-chicken-bowls-index-66b53ec1b2867.jpg?crop=1.00xw:1.00xh;0,0&amp;resize=1200:*" TargetMode="External"/><Relationship Id="rId43" Type="http://schemas.openxmlformats.org/officeDocument/2006/relationships/hyperlink" Target="https://www.loveandlemons.com/spinach-salad/" TargetMode="External"/><Relationship Id="rId139" Type="http://schemas.openxmlformats.org/officeDocument/2006/relationships/hyperlink" Target="https://cdn.loveandlemons.com/wp-content/uploads/2025/05/bruschetta-recipe.jpg" TargetMode="External"/><Relationship Id="rId290" Type="http://schemas.openxmlformats.org/officeDocument/2006/relationships/hyperlink" Target="https://www.themediterraneandish.com/wp-content/uploads/2021/06/grilled-vegetable-kabobs-4.jpg" TargetMode="External"/><Relationship Id="rId85" Type="http://schemas.openxmlformats.org/officeDocument/2006/relationships/hyperlink" Target="https://www.themediterraneandish.com/chicken-shawarma-recipe/" TargetMode="External"/><Relationship Id="rId150" Type="http://schemas.openxmlformats.org/officeDocument/2006/relationships/hyperlink" Target="https://www.loveandlemons.com/frittata-recipe/" TargetMode="External"/><Relationship Id="rId192" Type="http://schemas.openxmlformats.org/officeDocument/2006/relationships/hyperlink" Target="https://cdn.loveandlemons.com/wp-content/uploads/2020/07/romesco.jpg" TargetMode="External"/><Relationship Id="rId206" Type="http://schemas.openxmlformats.org/officeDocument/2006/relationships/hyperlink" Target="https://cdn.loveandlemons.com/wp-content/uploads/2019/08/caprese-salad-recipe.jpg" TargetMode="External"/><Relationship Id="rId248" Type="http://schemas.openxmlformats.org/officeDocument/2006/relationships/hyperlink" Target="https://hot-thai-kitchen.com/mango-sticky-rice/" TargetMode="External"/><Relationship Id="rId12" Type="http://schemas.openxmlformats.org/officeDocument/2006/relationships/hyperlink" Target="https://www.budgetbytes.com/wp-content/uploads/2023/12/Sweet-Potato-Hash-Plated.jpg" TargetMode="External"/><Relationship Id="rId33" Type="http://schemas.openxmlformats.org/officeDocument/2006/relationships/hyperlink" Target="https://www.mygingergarlickitchen.com/mango-avocado-salad/" TargetMode="External"/><Relationship Id="rId108" Type="http://schemas.openxmlformats.org/officeDocument/2006/relationships/hyperlink" Target="https://www.recipetineats.com/tachyon/2019/02/Thai-Green-Curry_5.jpg" TargetMode="External"/><Relationship Id="rId129" Type="http://schemas.openxmlformats.org/officeDocument/2006/relationships/hyperlink" Target="https://theclevermeal.com/pesto-alla-genovese/" TargetMode="External"/><Relationship Id="rId280" Type="http://schemas.openxmlformats.org/officeDocument/2006/relationships/hyperlink" Target="https://www.foodnetwork.com/recipes/food-network-kitchen/grilled-vegetables-with-couscous-and-yogurt-sauce-recipe-1973747" TargetMode="External"/><Relationship Id="rId54" Type="http://schemas.openxmlformats.org/officeDocument/2006/relationships/hyperlink" Target="https://tasteofmaroc.com/wp-content/uploads/2017/10/carrot-oange-salad-nada-1.jpg" TargetMode="External"/><Relationship Id="rId75" Type="http://schemas.openxmlformats.org/officeDocument/2006/relationships/hyperlink" Target="https://minimalistbaker.com/sweet-potato-chickpea-buddha-bowl/" TargetMode="External"/><Relationship Id="rId96" Type="http://schemas.openxmlformats.org/officeDocument/2006/relationships/hyperlink" Target="https://i2.wp.com/www.downshiftology.com/wp-content/uploads/2023/08/Stuffed-Peppers-main.jpg" TargetMode="External"/><Relationship Id="rId140" Type="http://schemas.openxmlformats.org/officeDocument/2006/relationships/hyperlink" Target="https://www.bbcgoodfood.com/recipes/garlic-mushrooms-toast" TargetMode="External"/><Relationship Id="rId161" Type="http://schemas.openxmlformats.org/officeDocument/2006/relationships/hyperlink" Target="https://www.olivemagazine.com/recipes/vegan/nigerian-efo-riro-spinach-stew" TargetMode="External"/><Relationship Id="rId182" Type="http://schemas.openxmlformats.org/officeDocument/2006/relationships/hyperlink" Target="https://cdn.loveandlemons.com/wp-content/uploads/2025/07/pasta-puttanesca.jpg" TargetMode="External"/><Relationship Id="rId217" Type="http://schemas.openxmlformats.org/officeDocument/2006/relationships/hyperlink" Target="https://www.loveandlemons.com/sauteed-spinach/" TargetMode="External"/><Relationship Id="rId6" Type="http://schemas.openxmlformats.org/officeDocument/2006/relationships/hyperlink" Target="https://images.immediate.co.uk/production/volatile/sites/30/2020/08/banana-pancakes-6cfd286.jpg?resize=440%2C230" TargetMode="External"/><Relationship Id="rId238" Type="http://schemas.openxmlformats.org/officeDocument/2006/relationships/hyperlink" Target="https://cdn.loveandlemons.com/wp-content/uploads/2025/12/sauteed-cabbage.jpg" TargetMode="External"/><Relationship Id="rId259" Type="http://schemas.openxmlformats.org/officeDocument/2006/relationships/hyperlink" Target="https://www.loveandlemons.com/fruit-dip/" TargetMode="External"/><Relationship Id="rId23" Type="http://schemas.openxmlformats.org/officeDocument/2006/relationships/hyperlink" Target="https://thishealthytable.com/blog/grilled-pineapple/" TargetMode="External"/><Relationship Id="rId119" Type="http://schemas.openxmlformats.org/officeDocument/2006/relationships/hyperlink" Target="https://www.bonappetit.com/recipe/pasta-al-pomodoro" TargetMode="External"/><Relationship Id="rId270" Type="http://schemas.openxmlformats.org/officeDocument/2006/relationships/hyperlink" Target="https://www.themediterraneandish.com/chicken-shawarma-salad-bowls/" TargetMode="External"/><Relationship Id="rId291" Type="http://schemas.openxmlformats.org/officeDocument/2006/relationships/hyperlink" Target="https://www.bbcgoodfood.com/recipes/stuffed-mushrooms" TargetMode="External"/><Relationship Id="rId44" Type="http://schemas.openxmlformats.org/officeDocument/2006/relationships/hyperlink" Target="https://cdn.loveandlemons.com/wp-content/uploads/opengraph/2023/11/spinach-salad-1.jpg" TargetMode="External"/><Relationship Id="rId65" Type="http://schemas.openxmlformats.org/officeDocument/2006/relationships/hyperlink" Target="https://eatthegains.com/sweetgreen-harvest-bowl/" TargetMode="External"/><Relationship Id="rId86" Type="http://schemas.openxmlformats.org/officeDocument/2006/relationships/hyperlink" Target="https://www.themediterraneandish.com/wp-content/uploads/2026/05/TMD-Chicken-Shawarma-Leads-05.jpg" TargetMode="External"/><Relationship Id="rId130" Type="http://schemas.openxmlformats.org/officeDocument/2006/relationships/hyperlink" Target="https://theclevermeal.com/wp-content/uploads/2025/06/pesto-alla-genovese_1-1.jpg" TargetMode="External"/><Relationship Id="rId151" Type="http://schemas.openxmlformats.org/officeDocument/2006/relationships/hyperlink" Target="https://cdn.loveandlemons.com/wp-content/uploads/2019/04/frittata.jpg" TargetMode="External"/><Relationship Id="rId172" Type="http://schemas.openxmlformats.org/officeDocument/2006/relationships/hyperlink" Target="https://images.prismic.io/jewishfoodsociety/c1fc9ab7-50c2-4a77-a57c-63a6bd400bab_04_Matbucha_%28Tomato_and_Pepper_Dip%29_366.jpeg?h=1100&amp;auto=format&amp;rect=11%2C0%2C727%2C500&amp;__type=intro-left-side" TargetMode="External"/><Relationship Id="rId193" Type="http://schemas.openxmlformats.org/officeDocument/2006/relationships/hyperlink" Target="https://www.recipetineats.com/mushroom-sauce/" TargetMode="External"/><Relationship Id="rId207" Type="http://schemas.openxmlformats.org/officeDocument/2006/relationships/hyperlink" Target="https://www.recipetineats.com/smashed-cucumber-salad/" TargetMode="External"/><Relationship Id="rId228" Type="http://schemas.openxmlformats.org/officeDocument/2006/relationships/hyperlink" Target="https://www.theendlessmeal.com/wp-content/uploads/2017/01/turmeric-cauliflower-3-750x750.jpg" TargetMode="External"/><Relationship Id="rId249" Type="http://schemas.openxmlformats.org/officeDocument/2006/relationships/hyperlink" Target="https://hot-thai-kitchen.com/wp-content/uploads/2024/05/rainbow-mango-sticky-rice-sq.jpg" TargetMode="External"/><Relationship Id="rId13" Type="http://schemas.openxmlformats.org/officeDocument/2006/relationships/hyperlink" Target="https://dishesdelish.com/yogurt-parfait/" TargetMode="External"/><Relationship Id="rId109" Type="http://schemas.openxmlformats.org/officeDocument/2006/relationships/hyperlink" Target="https://www.alphafoodie.com/pepper-steak-recipe/" TargetMode="External"/><Relationship Id="rId260" Type="http://schemas.openxmlformats.org/officeDocument/2006/relationships/hyperlink" Target="https://cdn.loveandlemons.com/wp-content/uploads/2025/05/fruit-dip-recipe.jpg" TargetMode="External"/><Relationship Id="rId281" Type="http://schemas.openxmlformats.org/officeDocument/2006/relationships/hyperlink" Target="https://food.fnr.sndimg.com/content/dam/images/food/fullset/2011/5/4/0/FNM_060111-WN-Dinners-041_s4x3.jpg.rend.hgtvcom.826.620.suffix/1382539709976.webp" TargetMode="External"/><Relationship Id="rId34" Type="http://schemas.openxmlformats.org/officeDocument/2006/relationships/hyperlink" Target="https://www.mygingergarlickitchen.com/wp-content/uploads/2025/07/mango-avocado-salad-recipe-4.jpg" TargetMode="External"/><Relationship Id="rId55" Type="http://schemas.openxmlformats.org/officeDocument/2006/relationships/hyperlink" Target="https://www.loveandlemons.com/beet-salad-recipe/" TargetMode="External"/><Relationship Id="rId76" Type="http://schemas.openxmlformats.org/officeDocument/2006/relationships/hyperlink" Target="https://minimalistbaker.com/wp-content/uploads/2015/04/AMAZING-Sweet-Potato-Chickpea-Buddha-Bowl-with-Kale-Red-Onion-and-a-STUNNING-Tahini-maple-sauce-vegan-glutenfree-dinner-1.jpg" TargetMode="External"/><Relationship Id="rId97" Type="http://schemas.openxmlformats.org/officeDocument/2006/relationships/hyperlink" Target="https://www.simplyrecipes.com/recipes/perfect_guacamole/" TargetMode="External"/><Relationship Id="rId120" Type="http://schemas.openxmlformats.org/officeDocument/2006/relationships/hyperlink" Target="https://assets.bonappetit.com/photos/57b000ccf1c801a1038bd5fc/16:9/w_1280,c_limit/mare-pasta-al-pomodoro-h.jpg" TargetMode="External"/><Relationship Id="rId141" Type="http://schemas.openxmlformats.org/officeDocument/2006/relationships/hyperlink" Target="https://images.immediate.co.uk/production/volatile/sites/30/2020/08/recipe-image-legacy-id-775515_11-dd6e1ab.jpg" TargetMode="External"/><Relationship Id="rId7" Type="http://schemas.openxmlformats.org/officeDocument/2006/relationships/hyperlink" Target="https://www.bbcgoodfood.com/recipes/shakshuka" TargetMode="External"/><Relationship Id="rId162" Type="http://schemas.openxmlformats.org/officeDocument/2006/relationships/hyperlink" Target="https://images.immediate.co.uk/production/volatile/sites/2/2025/03/EfoRiroSpinachStewpreview-a4df697.jpg?quality=90&amp;resize=708%2C643" TargetMode="External"/><Relationship Id="rId183" Type="http://schemas.openxmlformats.org/officeDocument/2006/relationships/hyperlink" Target="https://www.mygreekdish.com/recipe/briam-recipe-greek-mixed-roasted-vegetables/" TargetMode="External"/><Relationship Id="rId218" Type="http://schemas.openxmlformats.org/officeDocument/2006/relationships/hyperlink" Target="https://cdn.loveandlemons.com/wp-content/uploads/2023/01/sauteed-spinach.jpg" TargetMode="External"/><Relationship Id="rId239" Type="http://schemas.openxmlformats.org/officeDocument/2006/relationships/hyperlink" Target="https://thewoksoflife.com/stir-fried-pink-amaranth-greens/" TargetMode="External"/><Relationship Id="rId250" Type="http://schemas.openxmlformats.org/officeDocument/2006/relationships/hyperlink" Target="https://food52.com/recipes/33792-winter-citrus-salad" TargetMode="External"/><Relationship Id="rId271" Type="http://schemas.openxmlformats.org/officeDocument/2006/relationships/hyperlink" Target="https://www.themediterraneandish.com/wp-content/uploads/2026/01/Chicken-Shawarma-Salad-Bowls-Edited-5.jpg" TargetMode="External"/><Relationship Id="rId292" Type="http://schemas.openxmlformats.org/officeDocument/2006/relationships/hyperlink" Target="https://images.immediate.co.uk/production/volatile/sites/30/2020/08/stuffed-mushrooms-fd50faf.jpg?resize=440%2C230" TargetMode="External"/><Relationship Id="rId24" Type="http://schemas.openxmlformats.org/officeDocument/2006/relationships/hyperlink" Target="https://thishealthytable.com/wp-content/uploads/2022/08/grilled-pineapple.jpg" TargetMode="External"/><Relationship Id="rId45" Type="http://schemas.openxmlformats.org/officeDocument/2006/relationships/hyperlink" Target="https://www.primaverakitchen.com/roasted-sweet-potato-kale-salad/" TargetMode="External"/><Relationship Id="rId66" Type="http://schemas.openxmlformats.org/officeDocument/2006/relationships/hyperlink" Target="https://eatthegains.com/wp-content/uploads/2021/03/Sweetgreen-Harvest-Bowl-9-1.jpg" TargetMode="External"/><Relationship Id="rId87" Type="http://schemas.openxmlformats.org/officeDocument/2006/relationships/hyperlink" Target="https://www.mexicoinmykitchen.com/baja-fish-tacos/" TargetMode="External"/><Relationship Id="rId110" Type="http://schemas.openxmlformats.org/officeDocument/2006/relationships/hyperlink" Target="https://www.alphafoodie.com/wp-content/uploads/2023/04/Pepper-Steak-square.jpeg" TargetMode="External"/><Relationship Id="rId131" Type="http://schemas.openxmlformats.org/officeDocument/2006/relationships/hyperlink" Target="https://eatwellabi.com/egg-sauce-scrambled-eggs-nigerian-way/" TargetMode="External"/><Relationship Id="rId152" Type="http://schemas.openxmlformats.org/officeDocument/2006/relationships/hyperlink" Target="https://simshomekitchen.com/easy-tomato-omelette-recipe-4/" TargetMode="External"/><Relationship Id="rId173" Type="http://schemas.openxmlformats.org/officeDocument/2006/relationships/hyperlink" Target="https://ozlemsturkishtable.com/2013/01/ezme-delicious-spread-of-tomatoes-onions-peppers-and-herbs-with-red-pepper-paste/" TargetMode="External"/><Relationship Id="rId194" Type="http://schemas.openxmlformats.org/officeDocument/2006/relationships/hyperlink" Target="https://www.recipetineats.com/tachyon/2018/09/Creamy-Mushroom-Sauce_3.jpg" TargetMode="External"/><Relationship Id="rId208" Type="http://schemas.openxmlformats.org/officeDocument/2006/relationships/hyperlink" Target="https://www.recipetineats.com/tachyon/2019/11/Smashed-Cucumbers_5.jpg" TargetMode="External"/><Relationship Id="rId229" Type="http://schemas.openxmlformats.org/officeDocument/2006/relationships/hyperlink" Target="https://www.loveandlemons.com/sauteed-mushrooms/" TargetMode="External"/><Relationship Id="rId240" Type="http://schemas.openxmlformats.org/officeDocument/2006/relationships/hyperlink" Target="https://www.cbc.ca/life/food/street-food-salad-ozoz-sokoh-chop-chop-1.7572600" TargetMode="External"/><Relationship Id="rId261" Type="http://schemas.openxmlformats.org/officeDocument/2006/relationships/hyperlink" Target="https://www.jamieoliver.com/recipes/fruit/pineapple-carpaccio/" TargetMode="External"/><Relationship Id="rId14" Type="http://schemas.openxmlformats.org/officeDocument/2006/relationships/hyperlink" Target="https://dishesdelish.com/wp-content/uploads/2025/02/yogurt-parfait-horizontal-1200.jpg" TargetMode="External"/><Relationship Id="rId35" Type="http://schemas.openxmlformats.org/officeDocument/2006/relationships/hyperlink" Target="https://www.bbcgoodfood.com/recipes/watermelon-feta-salad" TargetMode="External"/><Relationship Id="rId56" Type="http://schemas.openxmlformats.org/officeDocument/2006/relationships/hyperlink" Target="https://cdn.loveandlemons.com/wp-content/uploads/opengraph/2021/11/beet-salad-1.jpg" TargetMode="External"/><Relationship Id="rId77" Type="http://schemas.openxmlformats.org/officeDocument/2006/relationships/hyperlink" Target="https://www.loveandlemons.com/bibimbap-recipe/" TargetMode="External"/><Relationship Id="rId100" Type="http://schemas.openxmlformats.org/officeDocument/2006/relationships/hyperlink" Target="https://cookieandkate.com/images/2017/10/baba-ganoush-recipe-2.jpg" TargetMode="External"/><Relationship Id="rId282" Type="http://schemas.openxmlformats.org/officeDocument/2006/relationships/hyperlink" Target="https://www.seriouseats.com/esquites-mexican-street-corn-salad-recipe" TargetMode="External"/><Relationship Id="rId8" Type="http://schemas.openxmlformats.org/officeDocument/2006/relationships/hyperlink" Target="https://images.immediate.co.uk/production/volatile/sites/30/2020/08/recipe-image-legacy-id-12141_11-fd804a3.jpg?resize=440%2C230" TargetMode="External"/><Relationship Id="rId98" Type="http://schemas.openxmlformats.org/officeDocument/2006/relationships/hyperlink" Target="https://www.simplyrecipes.com/thmb/ABEbXCQ9f72GcbVMVq_7o648sjA=/1500x0/filters:no_upscale():max_bytes(150000):strip_icc()/Guacamole-LEAD-1-03bd5fe902084843ae6d3154726f1472.jpg" TargetMode="External"/><Relationship Id="rId121" Type="http://schemas.openxmlformats.org/officeDocument/2006/relationships/hyperlink" Target="https://www.madewithlau.com/recipes/yangzhou-fried-rice" TargetMode="External"/><Relationship Id="rId142" Type="http://schemas.openxmlformats.org/officeDocument/2006/relationships/hyperlink" Target="https://thewoksoflife.com/stir-fried-tomato-and-egg/" TargetMode="External"/><Relationship Id="rId163" Type="http://schemas.openxmlformats.org/officeDocument/2006/relationships/hyperlink" Target="https://www.foodfidelity.com/stewed-okra/" TargetMode="External"/><Relationship Id="rId184" Type="http://schemas.openxmlformats.org/officeDocument/2006/relationships/hyperlink" Target="https://www.mygreekdish.com/wp-content/uploads/2014/02/Briam-recipe-Greek-mixed-Roasted-Vegetables-3-scaled.jpg" TargetMode="External"/><Relationship Id="rId219" Type="http://schemas.openxmlformats.org/officeDocument/2006/relationships/hyperlink" Target="https://www.loveandlemons.com/roasted-broccoli/" TargetMode="External"/><Relationship Id="rId230" Type="http://schemas.openxmlformats.org/officeDocument/2006/relationships/hyperlink" Target="https://cdn.loveandlemons.com/wp-content/uploads/2020/02/sauteed-mushrooms.jpg" TargetMode="External"/><Relationship Id="rId251" Type="http://schemas.openxmlformats.org/officeDocument/2006/relationships/hyperlink" Target="https://food52.com/recipes/76546-cinnamon-maple-dark-chocolate-baked-bananas" TargetMode="External"/><Relationship Id="rId25" Type="http://schemas.openxmlformats.org/officeDocument/2006/relationships/hyperlink" Target="https://thewanderlustkitchen.com/thai-mango-sticky-rice/" TargetMode="External"/><Relationship Id="rId46" Type="http://schemas.openxmlformats.org/officeDocument/2006/relationships/hyperlink" Target="https://www.primaverakitchen.com/wp-content/uploads/2017/01/Sweet-Potato-Kale-Salad-2.jpg" TargetMode="External"/><Relationship Id="rId67" Type="http://schemas.openxmlformats.org/officeDocument/2006/relationships/hyperlink" Target="https://www.olivemagazine.com/recipes/meat-and-poultry/chicken-burrito-bowl/" TargetMode="External"/><Relationship Id="rId272" Type="http://schemas.openxmlformats.org/officeDocument/2006/relationships/hyperlink" Target="https://cheflolaskitchen.com/the-classic-nigerian-salad/" TargetMode="External"/><Relationship Id="rId293" Type="http://schemas.openxmlformats.org/officeDocument/2006/relationships/hyperlink" Target="https://www.seriouseats.com/chili-lime-peanuts-recipe" TargetMode="External"/><Relationship Id="rId88" Type="http://schemas.openxmlformats.org/officeDocument/2006/relationships/hyperlink" Target="https://www.mexicoinmykitchen.com/wp-content/uploads/2025/07/Fish-Tacos-12.jpg" TargetMode="External"/><Relationship Id="rId111" Type="http://schemas.openxmlformats.org/officeDocument/2006/relationships/hyperlink" Target="https://downshiftology.com/recipes/cauliflower-fried-rice/" TargetMode="External"/><Relationship Id="rId132" Type="http://schemas.openxmlformats.org/officeDocument/2006/relationships/hyperlink" Target="https://eatwellabi.com/wp-content/uploads/2022/11/egg-sauce-37.jpg" TargetMode="External"/><Relationship Id="rId153" Type="http://schemas.openxmlformats.org/officeDocument/2006/relationships/hyperlink" Target="https://simshomekitchen.com/wp-content/uploads/2020/04/Tomato-omelette-in-a-plate-with-spinach.jpg" TargetMode="External"/><Relationship Id="rId174" Type="http://schemas.openxmlformats.org/officeDocument/2006/relationships/hyperlink" Target="https://ozlemsturkishtable.com/wp-content/uploads/2013/01/Ozlem_Shot_54_0623_-559x700.jpg" TargetMode="External"/><Relationship Id="rId195" Type="http://schemas.openxmlformats.org/officeDocument/2006/relationships/hyperlink" Target="https://www.recipetineats.com/coleslaw/" TargetMode="External"/><Relationship Id="rId209" Type="http://schemas.openxmlformats.org/officeDocument/2006/relationships/hyperlink" Target="https://www.justonecookbook.com/sunomono/" TargetMode="External"/><Relationship Id="rId220" Type="http://schemas.openxmlformats.org/officeDocument/2006/relationships/hyperlink" Target="https://cdn.loveandlemons.com/wp-content/uploads/2020/01/broccoli-recipes.jpg" TargetMode="External"/><Relationship Id="rId241" Type="http://schemas.openxmlformats.org/officeDocument/2006/relationships/hyperlink" Target="https://i.cbc.ca/ais/1.7572603,1751035234000/full/max/0/default.jpg?im=Crop%2Crect%3D%280%2C0%2C2000%2C1125%29%3BResize%3D620" TargetMode="External"/><Relationship Id="rId15" Type="http://schemas.openxmlformats.org/officeDocument/2006/relationships/hyperlink" Target="https://downshiftology.com/recipes/how-to-make-chia-seed-pudding/" TargetMode="External"/><Relationship Id="rId36" Type="http://schemas.openxmlformats.org/officeDocument/2006/relationships/hyperlink" Target="https://images.immediate.co.uk/production/volatile/sites/30/2020/08/gfmelons_salad-2a5c171.jpg?resize=440%2C230" TargetMode="External"/><Relationship Id="rId57" Type="http://schemas.openxmlformats.org/officeDocument/2006/relationships/hyperlink" Target="https://grantourismotravels.com/kachumbari-recipe-kenyan-salad/" TargetMode="External"/><Relationship Id="rId262" Type="http://schemas.openxmlformats.org/officeDocument/2006/relationships/hyperlink" Target="https://asset.jamieoliver.com/images/cq7w2e71/production/8e6e317c75f970d89bc576e6025d843f9e8c4435-958x1280.png/64975504.webp?rect=0,2,958,1277&amp;w=544&amp;h=725&amp;fm=webp&amp;q=80&amp;fit=crop&amp;auto=format" TargetMode="External"/><Relationship Id="rId283" Type="http://schemas.openxmlformats.org/officeDocument/2006/relationships/hyperlink" Target="https://www.seriouseats.com/thmb/Ua6AQAB90reXko4lseEKNzxk_mI=/1500x0/filters:no_upscale():max_bytes(150000):strip_icc()/esquites-mexican-street-corn-salad-recipe-10-9586c88e47084597ac6d34d1e71d4583.jpg" TargetMode="External"/><Relationship Id="rId78" Type="http://schemas.openxmlformats.org/officeDocument/2006/relationships/hyperlink" Target="https://cdn.loveandlemons.com/wp-content/uploads/opengraph/2020/03/bibimbap.jpg" TargetMode="External"/><Relationship Id="rId99" Type="http://schemas.openxmlformats.org/officeDocument/2006/relationships/hyperlink" Target="https://cookieandkate.com/epic-baba-ganoush-recipe/" TargetMode="External"/><Relationship Id="rId101" Type="http://schemas.openxmlformats.org/officeDocument/2006/relationships/hyperlink" Target="https://cookieandkate.com/best-hummus-recipe/" TargetMode="External"/><Relationship Id="rId122" Type="http://schemas.openxmlformats.org/officeDocument/2006/relationships/hyperlink" Target="https://cdn.sanity.io/images/2r0kdewr/production/d7c3c91224833e5444fceb592847de7bc4492079-1000x563.jpg" TargetMode="External"/><Relationship Id="rId143" Type="http://schemas.openxmlformats.org/officeDocument/2006/relationships/hyperlink" Target="https://thewoksoflife.com/wp-content/uploads/2019/05/tomato-egg-11.jpg" TargetMode="External"/><Relationship Id="rId164" Type="http://schemas.openxmlformats.org/officeDocument/2006/relationships/hyperlink" Target="https://www.foodfidelity.com/wp-content/uploads/2021/06/stewed-okra-bowl-vert-best-1-683x1024.jpg" TargetMode="External"/><Relationship Id="rId185" Type="http://schemas.openxmlformats.org/officeDocument/2006/relationships/hyperlink" Target="https://www.burlapandbarrel.com/blogs/recipes/ye-tikil-gomen-alicha-caulo-music-in-your-mouth-cabbage-with-potatoes-and-carrots" TargetMode="External"/><Relationship Id="rId9" Type="http://schemas.openxmlformats.org/officeDocument/2006/relationships/hyperlink" Target="https://www.loveandlemons.com/avocado-toast-recipe/" TargetMode="External"/><Relationship Id="rId210" Type="http://schemas.openxmlformats.org/officeDocument/2006/relationships/hyperlink" Target="https://cdn.justonecookbook.com/spai/q_glossy+ret_img+to_auto/www.justonecookbook.com/wp-content/uploads/2023/07/Japanese-Cucumber-Salad-Sunomono-0755-I-250x250.jpg" TargetMode="External"/><Relationship Id="rId26" Type="http://schemas.openxmlformats.org/officeDocument/2006/relationships/hyperlink" Target="https://thewanderlustkitchen.com/wp-content/uploads/2021/10/thai-mango-sticky-rice-square-1200-1.jpg" TargetMode="External"/><Relationship Id="rId231" Type="http://schemas.openxmlformats.org/officeDocument/2006/relationships/hyperlink" Target="https://www.indianhealthyrecipes.com/bhindi-masala/" TargetMode="External"/><Relationship Id="rId252" Type="http://schemas.openxmlformats.org/officeDocument/2006/relationships/hyperlink" Target="https://www.africanbites.com/tropical-fruit-salad-recipe/" TargetMode="External"/><Relationship Id="rId273" Type="http://schemas.openxmlformats.org/officeDocument/2006/relationships/hyperlink" Target="https://cheflolaskitchen.com/wp-content/uploads/2016/01/Nigerian-salad-31.jpg" TargetMode="External"/><Relationship Id="rId294" Type="http://schemas.openxmlformats.org/officeDocument/2006/relationships/hyperlink" Target="https://www.seriouseats.com/thmb/ccffYjjfOi9E5e7lLOh6jvwxKCs=/1500x0/filters:no_upscale():max_bytes(150000):strip_icc()/__opt__aboutcom__coeus__resources__content_migration__serious_eats__seriouseats.com__recipes__20110216-137656-chili-lime-peanuts-1-31f63e04f6634a0790e1dbb41d069de5.jpg" TargetMode="External"/><Relationship Id="rId47" Type="http://schemas.openxmlformats.org/officeDocument/2006/relationships/hyperlink" Target="https://recipes.heart.org/en/recipes/texas-caviar" TargetMode="External"/><Relationship Id="rId68" Type="http://schemas.openxmlformats.org/officeDocument/2006/relationships/hyperlink" Target="https://images.immediate.co.uk/production/volatile/sites/2/2022/09/chicken-burrito-bowl-2d56799.jpg?resize=800%2C419" TargetMode="External"/><Relationship Id="rId89" Type="http://schemas.openxmlformats.org/officeDocument/2006/relationships/hyperlink" Target="https://www.recipetineats.com/san-choy-bow-chinese-lettuce-wraps/" TargetMode="External"/><Relationship Id="rId112" Type="http://schemas.openxmlformats.org/officeDocument/2006/relationships/hyperlink" Target="https://i2.wp.com/www.downshiftology.com/wp-content/uploads/2016/12/Cauliflower-Fried-Rice-9.jpg" TargetMode="External"/><Relationship Id="rId133" Type="http://schemas.openxmlformats.org/officeDocument/2006/relationships/hyperlink" Target="https://www.myactivekitchen.com/yam-and-egg-sauce/" TargetMode="External"/><Relationship Id="rId154" Type="http://schemas.openxmlformats.org/officeDocument/2006/relationships/hyperlink" Target="https://jamiegeller.com/recipes/israeli-breakfast-for-two/" TargetMode="External"/><Relationship Id="rId175" Type="http://schemas.openxmlformats.org/officeDocument/2006/relationships/hyperlink" Target="https://www.loveandlemons.com/pico-de-gallo/" TargetMode="External"/><Relationship Id="rId196" Type="http://schemas.openxmlformats.org/officeDocument/2006/relationships/hyperlink" Target="https://www.recipetineats.com/tachyon/2018/06/Coleslaw_7a.jpg" TargetMode="External"/><Relationship Id="rId200" Type="http://schemas.openxmlformats.org/officeDocument/2006/relationships/hyperlink" Target="https://www.allnigerianrecipes.com/wp-content/uploads/2019/03/classic-creamy-coleslaw-with-jollof-rice.jpg" TargetMode="External"/><Relationship Id="rId16" Type="http://schemas.openxmlformats.org/officeDocument/2006/relationships/hyperlink" Target="https://i2.wp.com/www.downshiftology.com/wp-content/uploads/2020/01/Chia-Pudding-main.jpg" TargetMode="External"/><Relationship Id="rId221" Type="http://schemas.openxmlformats.org/officeDocument/2006/relationships/hyperlink" Target="https://www.loveandlemons.com/roasted-carrots/" TargetMode="External"/><Relationship Id="rId242" Type="http://schemas.openxmlformats.org/officeDocument/2006/relationships/hyperlink" Target="https://panlasangpinoy.com/fruit-salad-recipe/" TargetMode="External"/><Relationship Id="rId263" Type="http://schemas.openxmlformats.org/officeDocument/2006/relationships/hyperlink" Target="https://food52.com/recipes/4792-balsamic-strawberries" TargetMode="External"/><Relationship Id="rId284" Type="http://schemas.openxmlformats.org/officeDocument/2006/relationships/hyperlink" Target="https://www.recipetineats.com/crispy-corn-fritters/" TargetMode="External"/><Relationship Id="rId37" Type="http://schemas.openxmlformats.org/officeDocument/2006/relationships/hyperlink" Target="https://www.seriouseats.com/the-best-caesar-salad-recipe" TargetMode="External"/><Relationship Id="rId58" Type="http://schemas.openxmlformats.org/officeDocument/2006/relationships/hyperlink" Target="https://grantourismotravels.com/wp-content/uploads/2025/10/Kachumbari-Recipe-for-a-Kenyan-Salad-&#169;-Copyright-2025-Terence-Carter-Grantourismo-T.jpg" TargetMode="External"/><Relationship Id="rId79" Type="http://schemas.openxmlformats.org/officeDocument/2006/relationships/hyperlink" Target="https://urbanfarmie.com/thai-peanut-tofu-bowls/" TargetMode="External"/><Relationship Id="rId102" Type="http://schemas.openxmlformats.org/officeDocument/2006/relationships/hyperlink" Target="https://cookieandkate.com/images/2018/05/best-hummus-recipe-6.jpg" TargetMode="External"/><Relationship Id="rId123" Type="http://schemas.openxmlformats.org/officeDocument/2006/relationships/hyperlink" Target="https://www.bbcgoodfood.com/recipes/kerala-prawn-curry" TargetMode="External"/><Relationship Id="rId144" Type="http://schemas.openxmlformats.org/officeDocument/2006/relationships/hyperlink" Target="https://www.seriouseats.com/beyond-curry-indian-masala-omelet-recipe" TargetMode="External"/><Relationship Id="rId90" Type="http://schemas.openxmlformats.org/officeDocument/2006/relationships/hyperlink" Target="https://www.recipetineats.com/tachyon/2017/02/Lettuce-Wraps-2.jpg" TargetMode="External"/><Relationship Id="rId165" Type="http://schemas.openxmlformats.org/officeDocument/2006/relationships/hyperlink" Target="https://www.krumpli.co.uk/hungarian-lecso/" TargetMode="External"/><Relationship Id="rId186" Type="http://schemas.openxmlformats.org/officeDocument/2006/relationships/hyperlink" Target="https://images.getrecipekit.com/20250422192139-img_3996-202.jpg?width=1200&amp;quality=90" TargetMode="External"/><Relationship Id="rId211" Type="http://schemas.openxmlformats.org/officeDocument/2006/relationships/hyperlink" Target="https://hebbarskitchen.com/kachumber-salad-recipe-cucumber-salad/" TargetMode="External"/><Relationship Id="rId232" Type="http://schemas.openxmlformats.org/officeDocument/2006/relationships/hyperlink" Target="https://www.indianhealthyrecipes.com/wp-content/uploads/2021/06/bhindi-masala.jpg" TargetMode="External"/><Relationship Id="rId253" Type="http://schemas.openxmlformats.org/officeDocument/2006/relationships/hyperlink" Target="https://www.africanbites.com/wp-content/uploads/2026/04/Tropical-Fruit-Salad-1.jpg" TargetMode="External"/><Relationship Id="rId274" Type="http://schemas.openxmlformats.org/officeDocument/2006/relationships/hyperlink" Target="https://minimalistbaker.com/easy-mediterranean-inspired-nourish-bowls/" TargetMode="External"/><Relationship Id="rId27" Type="http://schemas.openxmlformats.org/officeDocument/2006/relationships/hyperlink" Target="https://inspiredbycharm.com/mango-sorbet-no-churn-recipe/" TargetMode="External"/><Relationship Id="rId48" Type="http://schemas.openxmlformats.org/officeDocument/2006/relationships/hyperlink" Target="https://recipes.heart.org/-/media/AHA/Recipe/Recipe-Images/Texas-Caviar-DP.jpg?sc_lang=en&amp;hash=DB2552F8DC5A394460E10C009D425865" TargetMode="External"/><Relationship Id="rId69" Type="http://schemas.openxmlformats.org/officeDocument/2006/relationships/hyperlink" Target="https://www.justonecookbook.com/poke-bowl/" TargetMode="External"/><Relationship Id="rId113" Type="http://schemas.openxmlformats.org/officeDocument/2006/relationships/hyperlink" Target="https://www.food.com/recipe/caribbean-grilled-catfish-with-tropical-fruit-salsa-177946" TargetMode="External"/><Relationship Id="rId134" Type="http://schemas.openxmlformats.org/officeDocument/2006/relationships/hyperlink" Target="https://www.myactivekitchen.com/wp-content/uploads/2015/03/yam-and-egg-sauce-image.jpg" TargetMode="External"/><Relationship Id="rId80" Type="http://schemas.openxmlformats.org/officeDocument/2006/relationships/hyperlink" Target="https://urbanfarmie.com/wp-content/uploads/Crispy-Peanut-Tofu-Bowl-Web-4537.jpg" TargetMode="External"/><Relationship Id="rId155" Type="http://schemas.openxmlformats.org/officeDocument/2006/relationships/hyperlink" Target="https://www.soulfulkitchenco.com/recipe_d?rno=200" TargetMode="External"/><Relationship Id="rId176" Type="http://schemas.openxmlformats.org/officeDocument/2006/relationships/hyperlink" Target="https://cdn.loveandlemons.com/wp-content/uploads/2024/04/what-is-pico-de-gallo.jpg" TargetMode="External"/><Relationship Id="rId197" Type="http://schemas.openxmlformats.org/officeDocument/2006/relationships/hyperlink" Target="https://www.feastingathome.com/mexican-slaw/" TargetMode="External"/><Relationship Id="rId201" Type="http://schemas.openxmlformats.org/officeDocument/2006/relationships/hyperlink" Target="https://cookieandkate.com/best-tabbouleh-recipe/" TargetMode="External"/><Relationship Id="rId222" Type="http://schemas.openxmlformats.org/officeDocument/2006/relationships/hyperlink" Target="https://cdn.loveandlemons.com/wp-content/uploads/2024/03/roasted-carrots-recipe.jpg" TargetMode="External"/><Relationship Id="rId243" Type="http://schemas.openxmlformats.org/officeDocument/2006/relationships/hyperlink" Target="https://panlasangpinoy.com/wp-content/uploads/2010/02/FruitSalad2.jpg" TargetMode="External"/><Relationship Id="rId264" Type="http://schemas.openxmlformats.org/officeDocument/2006/relationships/hyperlink" Target="https://food52.com/recipes/67491-oranges-with-olive-oil-and-chocolate" TargetMode="External"/><Relationship Id="rId285" Type="http://schemas.openxmlformats.org/officeDocument/2006/relationships/hyperlink" Target="https://www.recipetineats.com/tachyon/2020/05/Crispy-Corn-Fritters_0-copy.jpg" TargetMode="External"/><Relationship Id="rId17" Type="http://schemas.openxmlformats.org/officeDocument/2006/relationships/hyperlink" Target="https://www.loveandlemons.com/breakfast-burrito/" TargetMode="External"/><Relationship Id="rId38" Type="http://schemas.openxmlformats.org/officeDocument/2006/relationships/hyperlink" Target="https://www.seriouseats.com/thmb/Fi_FEyVa3_-_uzfXh6OdLrzal2M=/1500x0/filters:no_upscale():max_bytes(150000):strip_icc()/the-best-caesar-salad-recipe-06-40e70f549ba2489db09355abd62f79a9.jpg" TargetMode="External"/><Relationship Id="rId59" Type="http://schemas.openxmlformats.org/officeDocument/2006/relationships/hyperlink" Target="https://www.simplyrecipes.com/recipes/waldorf_salad/" TargetMode="External"/><Relationship Id="rId103" Type="http://schemas.openxmlformats.org/officeDocument/2006/relationships/hyperlink" Target="https://themodernproper.com/elote-mexican-street-corn" TargetMode="External"/><Relationship Id="rId124" Type="http://schemas.openxmlformats.org/officeDocument/2006/relationships/hyperlink" Target="https://images.immediate.co.uk/production/volatile/sites/30/2020/08/recipe-image-legacy-id-1259479_9-6b53954.jpg?resize=440%2C230" TargetMode="External"/><Relationship Id="rId70" Type="http://schemas.openxmlformats.org/officeDocument/2006/relationships/hyperlink" Target="https://www.justonecookbook.com/wp-content/uploads/2023/08/Poke-Bowl-2001-I-1.jpg" TargetMode="External"/><Relationship Id="rId91" Type="http://schemas.openxmlformats.org/officeDocument/2006/relationships/hyperlink" Target="https://tarasmulticulturaltable.com/bulgogi-ssam-korean-marinated-beef-lettuce-wraps/" TargetMode="External"/><Relationship Id="rId145" Type="http://schemas.openxmlformats.org/officeDocument/2006/relationships/hyperlink" Target="https://www.mexicoinmykitchen.com/mexican-style-scrambled-eggs/" TargetMode="External"/><Relationship Id="rId166" Type="http://schemas.openxmlformats.org/officeDocument/2006/relationships/hyperlink" Target="https://www.krumpli.co.uk/wp-content/uploads/2023/10/Hungarian-Lecso-05.jpg" TargetMode="External"/><Relationship Id="rId187" Type="http://schemas.openxmlformats.org/officeDocument/2006/relationships/hyperlink" Target="https://caribbeanpot.com/french-caribbean-creole-sauce-for-fish-and-grilled-meats/" TargetMode="External"/><Relationship Id="rId1" Type="http://schemas.openxmlformats.org/officeDocument/2006/relationships/hyperlink" Target="https://www.bbcgoodfood.com/recipes/overnight-oats" TargetMode="External"/><Relationship Id="rId212" Type="http://schemas.openxmlformats.org/officeDocument/2006/relationships/hyperlink" Target="https://hebbarskitchen.com/wp-content/uploads/mainPhotos/kachumber-salad-recipe-kuchumber-salad-recipe-onion-cucumber-salad-2.jpeg" TargetMode="External"/><Relationship Id="rId233" Type="http://schemas.openxmlformats.org/officeDocument/2006/relationships/hyperlink" Target="https://www.recipetineats.com/roasted-pumpkin/" TargetMode="External"/><Relationship Id="rId254" Type="http://schemas.openxmlformats.org/officeDocument/2006/relationships/hyperlink" Target="https://www.thekitchn.com/recipe-mango-and-papaya-fruit-salad-242503" TargetMode="External"/><Relationship Id="rId28" Type="http://schemas.openxmlformats.org/officeDocument/2006/relationships/hyperlink" Target="https://inspiredbycharm.com/wp-content/uploads/2022/07/recipe-for-homemade-mango-sorbet.jpg" TargetMode="External"/><Relationship Id="rId49" Type="http://schemas.openxmlformats.org/officeDocument/2006/relationships/hyperlink" Target="https://www.bbcgoodfood.com/recipes/salade-nicoise" TargetMode="External"/><Relationship Id="rId114" Type="http://schemas.openxmlformats.org/officeDocument/2006/relationships/hyperlink" Target="https://img.sndimg.com/food/image/upload/q_92,fl_progressive,w_1200,c_scale/v1/gk-static/fdc-new/img/fdc-shareGraphic.png" TargetMode="External"/><Relationship Id="rId275" Type="http://schemas.openxmlformats.org/officeDocument/2006/relationships/hyperlink" Target="https://minimalistbaker.com/wp-content/uploads/2023/05/Mediterranean-Eggplant-Nourish-Bowl-8.jpg" TargetMode="External"/><Relationship Id="rId60" Type="http://schemas.openxmlformats.org/officeDocument/2006/relationships/hyperlink" Target="https://www.simplyrecipes.com/thmb/1andE66Sp56BsvCPyPZODLzmppA=/1500x0/filters:no_upscale():max_bytes(150000):strip_icc()/__opt__aboutcom__coeus__resources__content_migration__simply_recipes__uploads__2007__10__waldorf-salad-vertical-a3-1500-8245e9d470c04234b22c2905118ed82f.jpg" TargetMode="External"/><Relationship Id="rId81" Type="http://schemas.openxmlformats.org/officeDocument/2006/relationships/hyperlink" Target="https://reciperunner.com/chicken-gyro-bowls/" TargetMode="External"/><Relationship Id="rId135" Type="http://schemas.openxmlformats.org/officeDocument/2006/relationships/hyperlink" Target="https://ozlemsturkishtable.com/2010/07/tomato-pepper-feta-cheese-scrambled-egg-menemen/" TargetMode="External"/><Relationship Id="rId156" Type="http://schemas.openxmlformats.org/officeDocument/2006/relationships/hyperlink" Target="https://www.soulfulkitchenco.com/storage/SHVSE5UIIk8BbnN1lgRCLsne4GtXD5uU7X7M7TYK.png" TargetMode="External"/><Relationship Id="rId177" Type="http://schemas.openxmlformats.org/officeDocument/2006/relationships/hyperlink" Target="https://www.billyparisi.com/salsa-roja/" TargetMode="External"/><Relationship Id="rId198" Type="http://schemas.openxmlformats.org/officeDocument/2006/relationships/hyperlink" Target="https://www.feastingathome.com/wp-content/uploads/2019/09/Mexican-Slaw-Recipe-101.jpg" TargetMode="External"/><Relationship Id="rId202" Type="http://schemas.openxmlformats.org/officeDocument/2006/relationships/hyperlink" Target="https://cookieandkate.com/fattoush-salad-recipe/" TargetMode="External"/><Relationship Id="rId223" Type="http://schemas.openxmlformats.org/officeDocument/2006/relationships/hyperlink" Target="https://www.foodnetwork.com/recipes/food-network-kitchen/spicy-green-beans-with-peanuts-3364417" TargetMode="External"/><Relationship Id="rId244" Type="http://schemas.openxmlformats.org/officeDocument/2006/relationships/hyperlink" Target="https://www.mexicoinmykitchen.com/bionico-fruit-cocktail-recipe/" TargetMode="External"/><Relationship Id="rId18" Type="http://schemas.openxmlformats.org/officeDocument/2006/relationships/hyperlink" Target="https://cdn.loveandlemons.com/wp-content/uploads/2026/08/breakfast-burrito-recipe.jpg" TargetMode="External"/><Relationship Id="rId39" Type="http://schemas.openxmlformats.org/officeDocument/2006/relationships/hyperlink" Target="https://www.recipetineats.com/asian-slaw/" TargetMode="External"/><Relationship Id="rId265" Type="http://schemas.openxmlformats.org/officeDocument/2006/relationships/hyperlink" Target="https://www.fooddolls.com/healthy-watermelon-pizza-recipe/" TargetMode="External"/><Relationship Id="rId286" Type="http://schemas.openxmlformats.org/officeDocument/2006/relationships/hyperlink" Target="https://www.myactivekitchen.com/oven-baked-yam-chips-recipe/" TargetMode="External"/><Relationship Id="rId50" Type="http://schemas.openxmlformats.org/officeDocument/2006/relationships/hyperlink" Target="https://images.immediate.co.uk/production/volatile/sites/30/2020/08/salade-nicoise-565173e.jpg?resize=440%2C230" TargetMode="External"/><Relationship Id="rId104" Type="http://schemas.openxmlformats.org/officeDocument/2006/relationships/hyperlink" Target="https://images.themodernproper.com/production/posts/2019/Elote-Mexican-Street-Corn-6.jpg?w=1200&amp;h=630&amp;q=82&amp;fm=jpg&amp;fit=crop&amp;dm=1745369528&amp;s=ad4f2faf097ceee25e801389d684f29f" TargetMode="External"/><Relationship Id="rId125" Type="http://schemas.openxmlformats.org/officeDocument/2006/relationships/hyperlink" Target="https://cookieandkate.com/best-ratatouille-recipe/" TargetMode="External"/><Relationship Id="rId146" Type="http://schemas.openxmlformats.org/officeDocument/2006/relationships/hyperlink" Target="https://www.mexicoinmykitchen.com/wp-content/uploads/2025/02/Huevos-a-la-Mexicana-8.jpg" TargetMode="External"/><Relationship Id="rId167" Type="http://schemas.openxmlformats.org/officeDocument/2006/relationships/hyperlink" Target="https://www.lovefood.com/recipes/57231/peperonata-recipe" TargetMode="External"/><Relationship Id="rId188" Type="http://schemas.openxmlformats.org/officeDocument/2006/relationships/hyperlink" Target="https://caribbeanpot.com/wp-content/uploads/2013/04/Creole-Sauce.jpg" TargetMode="External"/><Relationship Id="rId71" Type="http://schemas.openxmlformats.org/officeDocument/2006/relationships/hyperlink" Target="https://www.tastemade.com/recipes/teriyaki-chicken-bowl" TargetMode="External"/><Relationship Id="rId92" Type="http://schemas.openxmlformats.org/officeDocument/2006/relationships/hyperlink" Target="https://tarasmulticulturaltable.com/wp-content/uploads/2013/11/bulgogi-ssam-2-of-3.jpg" TargetMode="External"/><Relationship Id="rId213" Type="http://schemas.openxmlformats.org/officeDocument/2006/relationships/hyperlink" Target="https://ozlemsturkishtable.com/2010/10/shepherds-salad-of-tomato-and-cucumbers-coban-salata/" TargetMode="External"/><Relationship Id="rId234" Type="http://schemas.openxmlformats.org/officeDocument/2006/relationships/hyperlink" Target="https://www.recipetineats.com/tachyon/2020/10/Roasted-Pumpkin-with-Yogurt-Sauce_2.jpg?w=900" TargetMode="External"/><Relationship Id="rId2" Type="http://schemas.openxmlformats.org/officeDocument/2006/relationships/hyperlink" Target="https://images.immediate.co.uk/production/volatile/sites/30/2020/08/overnight-oats-32a2747.jpg?resize=440%2C230" TargetMode="External"/><Relationship Id="rId29" Type="http://schemas.openxmlformats.org/officeDocument/2006/relationships/hyperlink" Target="https://www.saveur.com/article/Recipes/Israeli-Chopped-Salad/" TargetMode="External"/><Relationship Id="rId255" Type="http://schemas.openxmlformats.org/officeDocument/2006/relationships/hyperlink" Target="https://minimalistbaker.com/easy-winter-fruit-salad/" TargetMode="External"/><Relationship Id="rId276" Type="http://schemas.openxmlformats.org/officeDocument/2006/relationships/hyperlink" Target="https://www.theppk.com/2026/04/roasted-veggie-bowl-with-chive-hummus/" TargetMode="External"/><Relationship Id="rId40" Type="http://schemas.openxmlformats.org/officeDocument/2006/relationships/hyperlink" Target="https://www.recipetineats.com/tachyon/2014/07/Asian-Slaw_2.jpg" TargetMode="External"/><Relationship Id="rId115" Type="http://schemas.openxmlformats.org/officeDocument/2006/relationships/hyperlink" Target="https://ministryofcurry.com/chana-saag-chickpeas-and-spinach/" TargetMode="External"/><Relationship Id="rId136" Type="http://schemas.openxmlformats.org/officeDocument/2006/relationships/hyperlink" Target="https://ozlemsturkishtable.com/wp-content/uploads/2010/07/IMG_3419-700x525.jpg" TargetMode="External"/><Relationship Id="rId157" Type="http://schemas.openxmlformats.org/officeDocument/2006/relationships/hyperlink" Target="https://cheflolaskitchen.com/nigerian-pepper-sauce-ata-dindin/" TargetMode="External"/><Relationship Id="rId178" Type="http://schemas.openxmlformats.org/officeDocument/2006/relationships/hyperlink" Target="https://www.billyparisi.com/wp-content/uploads/2026/06/salsa-roja-5-683x1024.jpg" TargetMode="External"/><Relationship Id="rId61" Type="http://schemas.openxmlformats.org/officeDocument/2006/relationships/hyperlink" Target="https://www.loveandlemons.com/sweet-potato-fries/" TargetMode="External"/><Relationship Id="rId82" Type="http://schemas.openxmlformats.org/officeDocument/2006/relationships/hyperlink" Target="https://reciperunner.com/wp-content/uploads/2022/05/chicken-gyro-bowls-4.jpg" TargetMode="External"/><Relationship Id="rId199" Type="http://schemas.openxmlformats.org/officeDocument/2006/relationships/hyperlink" Target="https://www.allnigerianrecipes.com/salads/coleslaw/" TargetMode="External"/><Relationship Id="rId203" Type="http://schemas.openxmlformats.org/officeDocument/2006/relationships/hyperlink" Target="https://www.loveandlemons.com/panzanella/" TargetMode="External"/><Relationship Id="rId19" Type="http://schemas.openxmlformats.org/officeDocument/2006/relationships/hyperlink" Target="https://www.isabeleats.com/mexican-fruit-cups/" TargetMode="External"/><Relationship Id="rId224" Type="http://schemas.openxmlformats.org/officeDocument/2006/relationships/hyperlink" Target="https://food.fnr.sndimg.com/content/dam/images/food/fullset/2015/11/18/2/FNM_120115-Spicy-Green-Beans-wth-Peanuts-Recipe_s4x3.jpg.rend.hgtvcom.826.620.suffix/1448311308191.webp" TargetMode="External"/><Relationship Id="rId245" Type="http://schemas.openxmlformats.org/officeDocument/2006/relationships/hyperlink" Target="https://www.mexicoinmykitchen.com/wp-content/uploads/2025/03/Bionico-8.jpg" TargetMode="External"/><Relationship Id="rId266" Type="http://schemas.openxmlformats.org/officeDocument/2006/relationships/hyperlink" Target="https://www.fooddolls.com/wp-content/uploads/2024/07/Food-Dolls_07_02_24_WatermelonPizza_11341_Retouched_CROP_1200x1800px.jpg" TargetMode="External"/><Relationship Id="rId287" Type="http://schemas.openxmlformats.org/officeDocument/2006/relationships/hyperlink" Target="https://www.myactivekitchen.com/wp-content/uploads/2015/12/yam-chips3-e1555025934938.jpg" TargetMode="External"/><Relationship Id="rId30" Type="http://schemas.openxmlformats.org/officeDocument/2006/relationships/hyperlink" Target="https://www.saveur.com/uploads/2019/03/18/VEJGMTPDVYRJWH2QBJJJBROTRI.jpg?auto=webp" TargetMode="External"/><Relationship Id="rId105" Type="http://schemas.openxmlformats.org/officeDocument/2006/relationships/hyperlink" Target="https://www.recipetineats.com/chicken-stir-fry-chop-suey/" TargetMode="External"/><Relationship Id="rId126" Type="http://schemas.openxmlformats.org/officeDocument/2006/relationships/hyperlink" Target="https://cookieandkate.com/images/2019/09/best-ratatouille-recipe-1-1.jpg" TargetMode="External"/><Relationship Id="rId147" Type="http://schemas.openxmlformats.org/officeDocument/2006/relationships/hyperlink" Target="https://www.themediterraneandish.com/strapatsada-greek-tomato-feta-scrambled-eggs/" TargetMode="External"/><Relationship Id="rId168" Type="http://schemas.openxmlformats.org/officeDocument/2006/relationships/hyperlink" Target="https://loveincorporated.blob.core.windows.net/contentimages/main/peperonatars.jpg" TargetMode="External"/><Relationship Id="rId51" Type="http://schemas.openxmlformats.org/officeDocument/2006/relationships/hyperlink" Target="https://hot-thai-kitchen.com/papaya-salad-v3/" TargetMode="External"/><Relationship Id="rId72" Type="http://schemas.openxmlformats.org/officeDocument/2006/relationships/hyperlink" Target="https://assets.tastemadecdn.net/images/ed3c38/b6e0074754be433cf71c/70ab0f.png" TargetMode="External"/><Relationship Id="rId93" Type="http://schemas.openxmlformats.org/officeDocument/2006/relationships/hyperlink" Target="https://www.loveandlemons.com/quesadilla/" TargetMode="External"/><Relationship Id="rId189" Type="http://schemas.openxmlformats.org/officeDocument/2006/relationships/hyperlink" Target="https://myfoodstory.com/bhuna-masala-or-everyday-indian-curry-paste-recipe/" TargetMode="External"/><Relationship Id="rId3" Type="http://schemas.openxmlformats.org/officeDocument/2006/relationships/hyperlink" Target="https://www.carolinescooking.com/papaya-boat/" TargetMode="External"/><Relationship Id="rId214" Type="http://schemas.openxmlformats.org/officeDocument/2006/relationships/hyperlink" Target="https://ozlemsturkishtable.com/wp-content/uploads/2014/03/IMG_2453.jpg" TargetMode="External"/><Relationship Id="rId235" Type="http://schemas.openxmlformats.org/officeDocument/2006/relationships/hyperlink" Target="https://www.loveandlemons.com/crispy-smashed-potatoes/" TargetMode="External"/><Relationship Id="rId256" Type="http://schemas.openxmlformats.org/officeDocument/2006/relationships/hyperlink" Target="https://minimalistbaker.com/wp-content/uploads/2023/12/Winter-Fruit-Salad-13.jpg" TargetMode="External"/><Relationship Id="rId277" Type="http://schemas.openxmlformats.org/officeDocument/2006/relationships/hyperlink" Target="https://www.theppk.com/wp-content/uploads/2026/04/RoastedVegHummusBowl.jpg" TargetMode="External"/><Relationship Id="rId116" Type="http://schemas.openxmlformats.org/officeDocument/2006/relationships/hyperlink" Target="https://ministryofcurry.com/wp-content/uploads/2016/12/Chana-Saag_-3.jpg" TargetMode="External"/><Relationship Id="rId137" Type="http://schemas.openxmlformats.org/officeDocument/2006/relationships/hyperlink" Target="https://www.themediterraneandish.com/pan-con-tomate/" TargetMode="External"/><Relationship Id="rId158" Type="http://schemas.openxmlformats.org/officeDocument/2006/relationships/hyperlink" Target="https://cheflolaskitchen.com/wp-content/uploads/2025/07/Nigerian-Pepper-Sauce-Ata-dindin.jpg.webp" TargetMode="External"/><Relationship Id="rId20" Type="http://schemas.openxmlformats.org/officeDocument/2006/relationships/hyperlink" Target="https://www.isabeleats.com/wp-content/uploads/2019/08/mexican-fruit-cups-029-small.jpg" TargetMode="External"/><Relationship Id="rId41" Type="http://schemas.openxmlformats.org/officeDocument/2006/relationships/hyperlink" Target="https://www.saveur.com/article/Recipes/Greek-Salad-Horiatiki/" TargetMode="External"/><Relationship Id="rId62" Type="http://schemas.openxmlformats.org/officeDocument/2006/relationships/hyperlink" Target="https://cdn.loveandlemons.com/wp-content/uploads/opengraph/2024/01/sweet-potato-fries-1.jpg" TargetMode="External"/><Relationship Id="rId83" Type="http://schemas.openxmlformats.org/officeDocument/2006/relationships/hyperlink" Target="https://www.theendlessmeal.com/coconut-shrimp-bowls/" TargetMode="External"/><Relationship Id="rId179" Type="http://schemas.openxmlformats.org/officeDocument/2006/relationships/hyperlink" Target="https://www.loveandlemons.com/arrabbiata-sauce/" TargetMode="External"/><Relationship Id="rId190" Type="http://schemas.openxmlformats.org/officeDocument/2006/relationships/hyperlink" Target="https://myfoodstory.com/wp-content/uploads/2016/02/Bhuna-Masala-3.jpg" TargetMode="External"/><Relationship Id="rId204" Type="http://schemas.openxmlformats.org/officeDocument/2006/relationships/hyperlink" Target="https://cdn.loveandlemons.com/wp-content/uploads/2022/07/panzanella-1.jpg" TargetMode="External"/><Relationship Id="rId225" Type="http://schemas.openxmlformats.org/officeDocument/2006/relationships/hyperlink" Target="https://www.loveandlemons.com/grilled-zucchini/" TargetMode="External"/><Relationship Id="rId246" Type="http://schemas.openxmlformats.org/officeDocument/2006/relationships/hyperlink" Target="https://www.cookwithmanali.com/fruit-chaat/" TargetMode="External"/><Relationship Id="rId267" Type="http://schemas.openxmlformats.org/officeDocument/2006/relationships/hyperlink" Target="https://www.olivemagazine.com/recipes/baking-and-desserts/honey-baked-apples-with-hazelnuts-and-yogurt/" TargetMode="External"/><Relationship Id="rId288" Type="http://schemas.openxmlformats.org/officeDocument/2006/relationships/hyperlink" Target="https://www.culinaryhill.com/crispy-kale-chips/" TargetMode="External"/><Relationship Id="rId106" Type="http://schemas.openxmlformats.org/officeDocument/2006/relationships/hyperlink" Target="https://www.recipetineats.com/tachyon/2017/11/Chicken-Stir-Fry-Chop-Suey-5.jpg" TargetMode="External"/><Relationship Id="rId127" Type="http://schemas.openxmlformats.org/officeDocument/2006/relationships/hyperlink" Target="https://cafedelites.com/authentic-chimichurri-uruguay-argentina/" TargetMode="External"/><Relationship Id="rId10" Type="http://schemas.openxmlformats.org/officeDocument/2006/relationships/hyperlink" Target="https://cdn.loveandlemons.com/wp-content/uploads/opengraph/2020/01/how-to-make-avocado-toast.jpg" TargetMode="External"/><Relationship Id="rId31" Type="http://schemas.openxmlformats.org/officeDocument/2006/relationships/hyperlink" Target="https://www.recipetineats.com/hawaiian-chicken-salad/" TargetMode="External"/><Relationship Id="rId52" Type="http://schemas.openxmlformats.org/officeDocument/2006/relationships/hyperlink" Target="https://hot-thai-kitchen.com/wp-content/uploads/2016/06/papaya-salad-new-sq.jpg" TargetMode="External"/><Relationship Id="rId73" Type="http://schemas.openxmlformats.org/officeDocument/2006/relationships/hyperlink" Target="https://plantbasedfolk.com/falafel-bowl-recipe/" TargetMode="External"/><Relationship Id="rId94" Type="http://schemas.openxmlformats.org/officeDocument/2006/relationships/hyperlink" Target="https://cdn.loveandlemons.com/wp-content/uploads/opengraph/2024/01/quesadilla-recipe.jpg" TargetMode="External"/><Relationship Id="rId148" Type="http://schemas.openxmlformats.org/officeDocument/2006/relationships/hyperlink" Target="https://thecaspianchef.com/2020/03/omlet-e-gojeh-farangi-tomato-omelette/" TargetMode="External"/><Relationship Id="rId169" Type="http://schemas.openxmlformats.org/officeDocument/2006/relationships/hyperlink" Target="https://www.foodnetwork.com/recipes/piperade-basquaise-recipe.html" TargetMode="External"/><Relationship Id="rId4" Type="http://schemas.openxmlformats.org/officeDocument/2006/relationships/hyperlink" Target="https://www.carolinescooking.com/wp-content/uploads/2024/04/papaya-boat-featured-pic-sq.jpg" TargetMode="External"/><Relationship Id="rId180" Type="http://schemas.openxmlformats.org/officeDocument/2006/relationships/hyperlink" Target="https://cdn.loveandlemons.com/wp-content/uploads/2025/09/arrabiata.jpg" TargetMode="External"/><Relationship Id="rId215" Type="http://schemas.openxmlformats.org/officeDocument/2006/relationships/hyperlink" Target="https://www.loveandlemons.com/watermelon-salad/" TargetMode="External"/><Relationship Id="rId236" Type="http://schemas.openxmlformats.org/officeDocument/2006/relationships/hyperlink" Target="https://cdn.loveandlemons.com/wp-content/uploads/2021/11/smashed-potatoes-150x150.jpg" TargetMode="External"/><Relationship Id="rId257" Type="http://schemas.openxmlformats.org/officeDocument/2006/relationships/hyperlink" Target="https://downshiftology.com/recipes/chocolate-avocado-pudding/" TargetMode="External"/><Relationship Id="rId278" Type="http://schemas.openxmlformats.org/officeDocument/2006/relationships/hyperlink" Target="https://www.delish.com/cooking/recipe-ideas/a61792761/mexican-corn-and-chicken-bowls-recipe/" TargetMode="External"/><Relationship Id="rId42" Type="http://schemas.openxmlformats.org/officeDocument/2006/relationships/hyperlink" Target="https://www.saveur.com/uploads/2019/01/22/PFWVJL672VPBJNPJ4G7CYAT5MA.jpg?auto=webp" TargetMode="External"/><Relationship Id="rId84" Type="http://schemas.openxmlformats.org/officeDocument/2006/relationships/hyperlink" Target="https://www.theendlessmeal.com/wp-content/uploads/2024/05/coconut-shrimp-bowls-7.jpg" TargetMode="External"/><Relationship Id="rId138" Type="http://schemas.openxmlformats.org/officeDocument/2006/relationships/hyperlink" Target="https://www.loveandlemons.com/bruschetta-recipe/" TargetMode="External"/><Relationship Id="rId191" Type="http://schemas.openxmlformats.org/officeDocument/2006/relationships/hyperlink" Target="https://www.loveandlemons.com/romesco-sauce/" TargetMode="External"/><Relationship Id="rId205" Type="http://schemas.openxmlformats.org/officeDocument/2006/relationships/hyperlink" Target="https://www.loveandlemons.com/caprese-salad/" TargetMode="External"/><Relationship Id="rId247" Type="http://schemas.openxmlformats.org/officeDocument/2006/relationships/hyperlink" Target="https://www.cookwithmanali.com/wp-content/uploads/2018/10/Fruit-Chaat-Indian.jpg" TargetMode="External"/><Relationship Id="rId107" Type="http://schemas.openxmlformats.org/officeDocument/2006/relationships/hyperlink" Target="https://www.recipetineats.com/thai-green-curry/" TargetMode="External"/><Relationship Id="rId289" Type="http://schemas.openxmlformats.org/officeDocument/2006/relationships/hyperlink" Target="https://www.themediterraneandish.com/vegetable-kabobs/" TargetMode="External"/><Relationship Id="rId11" Type="http://schemas.openxmlformats.org/officeDocument/2006/relationships/hyperlink" Target="https://www.budgetbytes.com/sweet-potato-hash/" TargetMode="External"/><Relationship Id="rId53" Type="http://schemas.openxmlformats.org/officeDocument/2006/relationships/hyperlink" Target="https://tasteofmaroc.com/moroccan-carrot-and-orange-salad/" TargetMode="External"/><Relationship Id="rId149" Type="http://schemas.openxmlformats.org/officeDocument/2006/relationships/hyperlink" Target="https://i0.wp.com/thecaspianchef.com/wp-content/uploads/2021/06/om1.jpeg" TargetMode="External"/><Relationship Id="rId95" Type="http://schemas.openxmlformats.org/officeDocument/2006/relationships/hyperlink" Target="https://downshiftology.com/recipes/stuffed-peppers/" TargetMode="External"/><Relationship Id="rId160" Type="http://schemas.openxmlformats.org/officeDocument/2006/relationships/hyperlink" Target="https://1.bp.blogspot.com/-qPLc1ryDw0s/U6YSCpdqWaI/AAAAAAAADTo/9dWnOL4cUNA/s1600/mixed+vegetable+sauce+white+sauce+1.jpg" TargetMode="External"/><Relationship Id="rId216" Type="http://schemas.openxmlformats.org/officeDocument/2006/relationships/hyperlink" Target="https://cdn.loveandlemons.com/wp-content/uploads/2013/08/watermelon-salad.jpg" TargetMode="External"/><Relationship Id="rId258" Type="http://schemas.openxmlformats.org/officeDocument/2006/relationships/hyperlink" Target="https://i2.wp.com/www.downshiftology.com/wp-content/uploads/2020/09/Chocolate-Avocado-Pudding-main.jpg" TargetMode="External"/><Relationship Id="rId22" Type="http://schemas.openxmlformats.org/officeDocument/2006/relationships/hyperlink" Target="https://cdn.loveandlemons.com/wp-content/uploads/2025/06/banana-ice-cream-social.jpg" TargetMode="External"/><Relationship Id="rId64" Type="http://schemas.openxmlformats.org/officeDocument/2006/relationships/hyperlink" Target="https://thelocalpalate.com/wp-content/uploads/2022/07/succotash-12x630-1.jpg" TargetMode="External"/><Relationship Id="rId118" Type="http://schemas.openxmlformats.org/officeDocument/2006/relationships/hyperlink" Target="https://jamaicanfoodsandrecipes.com/wp-content/uploads/2016/11/curry-chicken-jamaican-recipe-copy.webp" TargetMode="External"/><Relationship Id="rId171" Type="http://schemas.openxmlformats.org/officeDocument/2006/relationships/hyperlink" Target="https://jewishfoodsociety.org/recipes/matbucha-moroccan-tomato-and-pepper-spread" TargetMode="External"/><Relationship Id="rId227" Type="http://schemas.openxmlformats.org/officeDocument/2006/relationships/hyperlink" Target="https://www.theendlessmeal.com/roasted-turmeric-cauliflower" TargetMode="External"/><Relationship Id="rId269" Type="http://schemas.openxmlformats.org/officeDocument/2006/relationships/hyperlink" Target="https://food52.com/recipes/73404-crostini-with-roasted-grapes-vanilla-yogurt-and-fresh-basil"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play.google.com/store/apps/details?id=com.chefuser" TargetMode="External"/><Relationship Id="rId13" Type="http://schemas.openxmlformats.org/officeDocument/2006/relationships/hyperlink" Target="https://platedverdict.com/guides/best-meal-kits/" TargetMode="External"/><Relationship Id="rId3" Type="http://schemas.openxmlformats.org/officeDocument/2006/relationships/hyperlink" Target="https://mintfoods.store/collections/fresh-fruits-vegetables" TargetMode="External"/><Relationship Id="rId7" Type="http://schemas.openxmlformats.org/officeDocument/2006/relationships/hyperlink" Target="https://chef4me.ai/" TargetMode="External"/><Relationship Id="rId12" Type="http://schemas.openxmlformats.org/officeDocument/2006/relationships/hyperlink" Target="https://www.hellofresh.com/stories/research/top-meal-kit-reviews" TargetMode="External"/><Relationship Id="rId17" Type="http://schemas.openxmlformats.org/officeDocument/2006/relationships/hyperlink" Target="https://www.tasteofhome.com/article/best-meal-kit-delivery-2026/" TargetMode="External"/><Relationship Id="rId2" Type="http://schemas.openxmlformats.org/officeDocument/2006/relationships/hyperlink" Target="https://swancapefarms.com/meal-planner" TargetMode="External"/><Relationship Id="rId16" Type="http://schemas.openxmlformats.org/officeDocument/2006/relationships/hyperlink" Target="https://mealdigest.com/blog/home-chef-vs-marley-spoon-variety" TargetMode="External"/><Relationship Id="rId1" Type="http://schemas.openxmlformats.org/officeDocument/2006/relationships/hyperlink" Target="https://swancapefarms.com/" TargetMode="External"/><Relationship Id="rId6" Type="http://schemas.openxmlformats.org/officeDocument/2006/relationships/hyperlink" Target="https://www.homebasketng.com/" TargetMode="External"/><Relationship Id="rId11" Type="http://schemas.openxmlformats.org/officeDocument/2006/relationships/hyperlink" Target="https://www.kitchenbutterfly.com/nigerias-dry-wet-seasons-produce-februarymarch/" TargetMode="External"/><Relationship Id="rId5" Type="http://schemas.openxmlformats.org/officeDocument/2006/relationships/hyperlink" Target="https://thefreshplace.ng/product-category/fruits-and-vegetables/" TargetMode="External"/><Relationship Id="rId15" Type="http://schemas.openxmlformats.org/officeDocument/2006/relationships/hyperlink" Target="https://www.themealkitreview.com/compare/home-chef-vs-marley-spoon/" TargetMode="External"/><Relationship Id="rId10" Type="http://schemas.openxmlformats.org/officeDocument/2006/relationships/hyperlink" Target="https://www.kitchenbutterfly.com/nigerias-dry-seasons-produce-januaryfebruary/" TargetMode="External"/><Relationship Id="rId4" Type="http://schemas.openxmlformats.org/officeDocument/2006/relationships/hyperlink" Target="https://thefreshplace.ng/" TargetMode="External"/><Relationship Id="rId9" Type="http://schemas.openxmlformats.org/officeDocument/2006/relationships/hyperlink" Target="https://www.kitchenbutterfly.com/wp-content/uploads/2018/01/2018_Nigerian_SeasonalProduceCalendar_V1.3.pdf" TargetMode="External"/><Relationship Id="rId14" Type="http://schemas.openxmlformats.org/officeDocument/2006/relationships/hyperlink" Target="https://mealfan.com/marley-spoon-vs-hellofres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D68"/>
  <sheetViews>
    <sheetView tabSelected="1" workbookViewId="0"/>
  </sheetViews>
  <sheetFormatPr defaultRowHeight="15" x14ac:dyDescent="0.25"/>
  <cols>
    <col min="1" max="1" width="3" style="1" customWidth="1"/>
    <col min="2" max="2" width="34" style="1" customWidth="1"/>
    <col min="3" max="3" width="22" style="1" customWidth="1"/>
    <col min="4" max="4" width="70" style="1" customWidth="1"/>
  </cols>
  <sheetData>
    <row r="2" spans="2:4" ht="21.95" customHeight="1" x14ac:dyDescent="0.35">
      <c r="B2" s="2" t="s">
        <v>0</v>
      </c>
    </row>
    <row r="3" spans="2:4" x14ac:dyDescent="0.25">
      <c r="B3" s="3" t="s">
        <v>1</v>
      </c>
    </row>
    <row r="5" spans="2:4" ht="15.75" x14ac:dyDescent="0.25">
      <c r="B5" s="4" t="s">
        <v>2</v>
      </c>
    </row>
    <row r="6" spans="2:4" ht="24" customHeight="1" x14ac:dyDescent="0.25">
      <c r="B6" s="5" t="s">
        <v>3</v>
      </c>
      <c r="C6" s="6">
        <v>0.8</v>
      </c>
      <c r="D6" s="7" t="s">
        <v>4</v>
      </c>
    </row>
    <row r="8" spans="2:4" ht="15.75" x14ac:dyDescent="0.25">
      <c r="B8" s="4" t="s">
        <v>5</v>
      </c>
    </row>
    <row r="9" spans="2:4" x14ac:dyDescent="0.25">
      <c r="B9" s="5" t="s">
        <v>6</v>
      </c>
      <c r="C9" s="5" t="s">
        <v>7</v>
      </c>
      <c r="D9" s="5" t="s">
        <v>8</v>
      </c>
    </row>
    <row r="10" spans="2:4" ht="24" customHeight="1" x14ac:dyDescent="0.25">
      <c r="B10" s="3" t="s">
        <v>9</v>
      </c>
      <c r="C10" s="8">
        <v>25</v>
      </c>
      <c r="D10" s="7" t="s">
        <v>10</v>
      </c>
    </row>
    <row r="11" spans="2:4" ht="24" customHeight="1" x14ac:dyDescent="0.25">
      <c r="B11" s="3" t="s">
        <v>11</v>
      </c>
      <c r="C11" s="8">
        <v>80</v>
      </c>
      <c r="D11" s="7" t="s">
        <v>12</v>
      </c>
    </row>
    <row r="12" spans="2:4" ht="24" customHeight="1" x14ac:dyDescent="0.25">
      <c r="B12" s="3" t="s">
        <v>13</v>
      </c>
      <c r="C12" s="8">
        <v>800</v>
      </c>
      <c r="D12" s="7" t="s">
        <v>14</v>
      </c>
    </row>
    <row r="13" spans="2:4" ht="24" customHeight="1" x14ac:dyDescent="0.25">
      <c r="B13" s="3" t="s">
        <v>15</v>
      </c>
      <c r="C13" s="8">
        <v>75</v>
      </c>
      <c r="D13" s="7" t="s">
        <v>16</v>
      </c>
    </row>
    <row r="14" spans="2:4" ht="24" customHeight="1" x14ac:dyDescent="0.25">
      <c r="B14" s="3" t="s">
        <v>17</v>
      </c>
      <c r="C14" s="8">
        <v>200</v>
      </c>
      <c r="D14" s="7" t="s">
        <v>18</v>
      </c>
    </row>
    <row r="15" spans="2:4" ht="24" customHeight="1" x14ac:dyDescent="0.25">
      <c r="B15" s="3" t="s">
        <v>19</v>
      </c>
      <c r="C15" s="8">
        <v>2000</v>
      </c>
      <c r="D15" s="7" t="s">
        <v>20</v>
      </c>
    </row>
    <row r="16" spans="2:4" ht="24" customHeight="1" x14ac:dyDescent="0.25">
      <c r="B16" s="3" t="s">
        <v>21</v>
      </c>
      <c r="C16" s="8">
        <v>12</v>
      </c>
      <c r="D16" s="7" t="s">
        <v>22</v>
      </c>
    </row>
    <row r="17" spans="2:4" ht="24" customHeight="1" x14ac:dyDescent="0.25">
      <c r="B17" s="3" t="s">
        <v>23</v>
      </c>
      <c r="C17" s="8">
        <v>1.4</v>
      </c>
      <c r="D17" s="7" t="s">
        <v>24</v>
      </c>
    </row>
    <row r="18" spans="2:4" ht="24" customHeight="1" x14ac:dyDescent="0.25">
      <c r="B18" s="3" t="s">
        <v>25</v>
      </c>
      <c r="C18" s="8">
        <v>375</v>
      </c>
      <c r="D18" s="7" t="s">
        <v>26</v>
      </c>
    </row>
    <row r="19" spans="2:4" ht="24" customHeight="1" x14ac:dyDescent="0.25">
      <c r="B19" s="3" t="s">
        <v>27</v>
      </c>
      <c r="C19" s="8">
        <v>14</v>
      </c>
      <c r="D19" s="7" t="s">
        <v>28</v>
      </c>
    </row>
    <row r="21" spans="2:4" ht="15.75" x14ac:dyDescent="0.25">
      <c r="B21" s="4" t="s">
        <v>29</v>
      </c>
    </row>
    <row r="22" spans="2:4" x14ac:dyDescent="0.25">
      <c r="B22" s="3" t="s">
        <v>30</v>
      </c>
      <c r="C22" s="9">
        <f>COUNTA(Produce!A2:A500)</f>
        <v>84</v>
      </c>
    </row>
    <row r="23" spans="2:4" x14ac:dyDescent="0.25">
      <c r="B23" s="3" t="s">
        <v>31</v>
      </c>
      <c r="C23" s="9">
        <f>COUNTA(Recipes!A2:A500)</f>
        <v>156</v>
      </c>
    </row>
    <row r="24" spans="2:4" x14ac:dyDescent="0.25">
      <c r="B24" s="3" t="s">
        <v>32</v>
      </c>
      <c r="C24" s="9">
        <f>COUNTIF(Recipes!C2:C500,"Stews &amp; Sauces")</f>
        <v>32</v>
      </c>
    </row>
    <row r="25" spans="2:4" x14ac:dyDescent="0.25">
      <c r="B25" s="3" t="s">
        <v>33</v>
      </c>
      <c r="C25" s="9">
        <f>COUNTIF(Recipes!C2:C500,"Breakfast Plates")</f>
        <v>24</v>
      </c>
    </row>
    <row r="26" spans="2:4" x14ac:dyDescent="0.25">
      <c r="B26" s="3" t="s">
        <v>34</v>
      </c>
      <c r="C26" s="9">
        <f>COUNTIF(Recipes!C2:C500,"Salads &amp; Cooked Sides")</f>
        <v>42</v>
      </c>
    </row>
    <row r="27" spans="2:4" x14ac:dyDescent="0.25">
      <c r="B27" s="3" t="s">
        <v>35</v>
      </c>
      <c r="C27" s="9">
        <f>COUNTIF(Recipes!C2:C500,"Fruit Plates &amp; Desserts")</f>
        <v>24</v>
      </c>
    </row>
    <row r="28" spans="2:4" x14ac:dyDescent="0.25">
      <c r="B28" s="3" t="s">
        <v>36</v>
      </c>
      <c r="C28" s="9">
        <f>COUNTIF(Recipes!C2:C500,"Bowls &amp; Snacks")</f>
        <v>34</v>
      </c>
    </row>
    <row r="29" spans="2:4" x14ac:dyDescent="0.25">
      <c r="B29" s="3" t="s">
        <v>37</v>
      </c>
      <c r="C29" s="9">
        <f>COUNTIF(Recipes!AX2:AX500,"Yes")</f>
        <v>60</v>
      </c>
    </row>
    <row r="30" spans="2:4" x14ac:dyDescent="0.25">
      <c r="B30" s="3" t="s">
        <v>38</v>
      </c>
      <c r="C30" s="10">
        <f>AVERAGE(Recipes!AW2:AW500)</f>
        <v>0.73825650844881596</v>
      </c>
    </row>
    <row r="31" spans="2:4" x14ac:dyDescent="0.25">
      <c r="B31" s="3" t="s">
        <v>39</v>
      </c>
      <c r="C31" s="9">
        <f>COUNTIF(Recipes!AG2:AG500,"&gt;=0.5")</f>
        <v>92</v>
      </c>
    </row>
    <row r="32" spans="2:4" x14ac:dyDescent="0.25">
      <c r="B32" s="3" t="s">
        <v>40</v>
      </c>
      <c r="C32" s="9">
        <f>COUNTIF(Recipes!AH2:AH500,"&gt;=0.5")</f>
        <v>28</v>
      </c>
    </row>
    <row r="33" spans="2:4" x14ac:dyDescent="0.25">
      <c r="B33" s="3" t="s">
        <v>41</v>
      </c>
      <c r="C33" s="9">
        <f>COUNTIF(Recipes!I2:I500,"http*")</f>
        <v>140</v>
      </c>
    </row>
    <row r="34" spans="2:4" x14ac:dyDescent="0.25">
      <c r="B34" s="3" t="s">
        <v>42</v>
      </c>
      <c r="C34" s="9">
        <f ca="1">COUNTIF(Produce!J2:J500,"Peak")+COUNTIF(Produce!J2:J500,"In")</f>
        <v>69</v>
      </c>
    </row>
    <row r="35" spans="2:4" x14ac:dyDescent="0.25">
      <c r="B35" s="3" t="s">
        <v>43</v>
      </c>
      <c r="C35" s="9">
        <f>COUNTIF(Recipes!M2:M500,"Vegan")</f>
        <v>74</v>
      </c>
    </row>
    <row r="36" spans="2:4" x14ac:dyDescent="0.25">
      <c r="B36" s="3" t="s">
        <v>44</v>
      </c>
      <c r="C36" s="9">
        <f>COUNTIF(Recipes!Q2:Q500,"No-cook")</f>
        <v>45</v>
      </c>
    </row>
    <row r="38" spans="2:4" ht="15.75" x14ac:dyDescent="0.25">
      <c r="B38" s="4" t="s">
        <v>45</v>
      </c>
    </row>
    <row r="39" spans="2:4" ht="32.1" customHeight="1" x14ac:dyDescent="0.25">
      <c r="B39" s="5" t="s">
        <v>46</v>
      </c>
      <c r="C39" s="40" t="s">
        <v>47</v>
      </c>
      <c r="D39" s="41"/>
    </row>
    <row r="40" spans="2:4" ht="32.1" customHeight="1" x14ac:dyDescent="0.25">
      <c r="B40" s="5" t="s">
        <v>48</v>
      </c>
      <c r="C40" s="40" t="s">
        <v>49</v>
      </c>
      <c r="D40" s="41"/>
    </row>
    <row r="41" spans="2:4" ht="32.1" customHeight="1" x14ac:dyDescent="0.25">
      <c r="B41" s="5" t="s">
        <v>50</v>
      </c>
      <c r="C41" s="40" t="s">
        <v>51</v>
      </c>
      <c r="D41" s="41"/>
    </row>
    <row r="42" spans="2:4" ht="44.1" customHeight="1" x14ac:dyDescent="0.25">
      <c r="B42" s="5" t="s">
        <v>31</v>
      </c>
      <c r="C42" s="40" t="s">
        <v>52</v>
      </c>
      <c r="D42" s="41"/>
    </row>
    <row r="43" spans="2:4" ht="32.1" customHeight="1" x14ac:dyDescent="0.25">
      <c r="B43" s="5" t="s">
        <v>53</v>
      </c>
      <c r="C43" s="40" t="s">
        <v>54</v>
      </c>
      <c r="D43" s="41"/>
    </row>
    <row r="44" spans="2:4" ht="32.1" customHeight="1" x14ac:dyDescent="0.25">
      <c r="B44" s="5" t="s">
        <v>55</v>
      </c>
      <c r="C44" s="40" t="s">
        <v>56</v>
      </c>
      <c r="D44" s="41"/>
    </row>
    <row r="45" spans="2:4" ht="32.1" customHeight="1" x14ac:dyDescent="0.25">
      <c r="B45" s="5" t="s">
        <v>57</v>
      </c>
      <c r="C45" s="40" t="s">
        <v>58</v>
      </c>
      <c r="D45" s="41"/>
    </row>
    <row r="46" spans="2:4" ht="32.1" customHeight="1" x14ac:dyDescent="0.25">
      <c r="B46" s="5" t="s">
        <v>59</v>
      </c>
      <c r="C46" s="40" t="s">
        <v>60</v>
      </c>
      <c r="D46" s="41"/>
    </row>
    <row r="48" spans="2:4" ht="15.75" x14ac:dyDescent="0.25">
      <c r="B48" s="4" t="s">
        <v>61</v>
      </c>
    </row>
    <row r="49" spans="2:4" ht="44.1" customHeight="1" x14ac:dyDescent="0.25">
      <c r="B49" s="5" t="s">
        <v>62</v>
      </c>
      <c r="C49" s="40" t="s">
        <v>63</v>
      </c>
      <c r="D49" s="41"/>
    </row>
    <row r="50" spans="2:4" ht="57.95" customHeight="1" x14ac:dyDescent="0.25">
      <c r="B50" s="5" t="s">
        <v>64</v>
      </c>
      <c r="C50" s="40" t="s">
        <v>65</v>
      </c>
      <c r="D50" s="41"/>
    </row>
    <row r="51" spans="2:4" ht="44.1" customHeight="1" x14ac:dyDescent="0.25">
      <c r="B51" s="5" t="s">
        <v>66</v>
      </c>
      <c r="C51" s="40" t="s">
        <v>67</v>
      </c>
      <c r="D51" s="41"/>
    </row>
    <row r="52" spans="2:4" ht="44.1" customHeight="1" x14ac:dyDescent="0.25">
      <c r="B52" s="5" t="s">
        <v>68</v>
      </c>
      <c r="C52" s="40" t="s">
        <v>69</v>
      </c>
      <c r="D52" s="41"/>
    </row>
    <row r="53" spans="2:4" ht="44.1" customHeight="1" x14ac:dyDescent="0.25">
      <c r="B53" s="5" t="s">
        <v>70</v>
      </c>
      <c r="C53" s="40" t="s">
        <v>71</v>
      </c>
      <c r="D53" s="41"/>
    </row>
    <row r="54" spans="2:4" ht="44.1" customHeight="1" x14ac:dyDescent="0.25">
      <c r="B54" s="5" t="s">
        <v>72</v>
      </c>
      <c r="C54" s="40" t="s">
        <v>73</v>
      </c>
      <c r="D54" s="41"/>
    </row>
    <row r="56" spans="2:4" ht="15.75" x14ac:dyDescent="0.25">
      <c r="B56" s="4" t="s">
        <v>74</v>
      </c>
    </row>
    <row r="57" spans="2:4" ht="44.1" customHeight="1" x14ac:dyDescent="0.25">
      <c r="B57" s="40" t="s">
        <v>75</v>
      </c>
      <c r="C57" s="41"/>
      <c r="D57" s="41"/>
    </row>
    <row r="58" spans="2:4" ht="44.1" customHeight="1" x14ac:dyDescent="0.25">
      <c r="B58" s="40" t="s">
        <v>76</v>
      </c>
      <c r="C58" s="41"/>
      <c r="D58" s="41"/>
    </row>
    <row r="59" spans="2:4" ht="44.1" customHeight="1" x14ac:dyDescent="0.25">
      <c r="B59" s="40" t="s">
        <v>77</v>
      </c>
      <c r="C59" s="41"/>
      <c r="D59" s="41"/>
    </row>
    <row r="60" spans="2:4" ht="44.1" customHeight="1" x14ac:dyDescent="0.25">
      <c r="B60" s="40" t="s">
        <v>78</v>
      </c>
      <c r="C60" s="41"/>
      <c r="D60" s="41"/>
    </row>
    <row r="61" spans="2:4" ht="44.1" customHeight="1" x14ac:dyDescent="0.25">
      <c r="B61" s="40" t="s">
        <v>79</v>
      </c>
      <c r="C61" s="41"/>
      <c r="D61" s="41"/>
    </row>
    <row r="63" spans="2:4" ht="15.75" x14ac:dyDescent="0.25">
      <c r="B63" s="4" t="s">
        <v>80</v>
      </c>
    </row>
    <row r="64" spans="2:4" ht="44.1" customHeight="1" x14ac:dyDescent="0.25">
      <c r="B64" s="40" t="s">
        <v>81</v>
      </c>
      <c r="C64" s="41"/>
      <c r="D64" s="41"/>
    </row>
    <row r="65" spans="2:4" ht="44.1" customHeight="1" x14ac:dyDescent="0.25">
      <c r="B65" s="40" t="s">
        <v>82</v>
      </c>
      <c r="C65" s="41"/>
      <c r="D65" s="41"/>
    </row>
    <row r="66" spans="2:4" ht="44.1" customHeight="1" x14ac:dyDescent="0.25">
      <c r="B66" s="40" t="s">
        <v>83</v>
      </c>
      <c r="C66" s="41"/>
      <c r="D66" s="41"/>
    </row>
    <row r="67" spans="2:4" ht="44.1" customHeight="1" x14ac:dyDescent="0.25">
      <c r="B67" s="40" t="s">
        <v>84</v>
      </c>
      <c r="C67" s="41"/>
      <c r="D67" s="41"/>
    </row>
    <row r="68" spans="2:4" ht="44.1" customHeight="1" x14ac:dyDescent="0.25">
      <c r="B68" s="40" t="s">
        <v>85</v>
      </c>
      <c r="C68" s="41"/>
      <c r="D68" s="41"/>
    </row>
  </sheetData>
  <mergeCells count="24">
    <mergeCell ref="C39:D39"/>
    <mergeCell ref="B59:D59"/>
    <mergeCell ref="B66:D66"/>
    <mergeCell ref="B58:D58"/>
    <mergeCell ref="C53:D53"/>
    <mergeCell ref="C49:D49"/>
    <mergeCell ref="B68:D68"/>
    <mergeCell ref="B64:D64"/>
    <mergeCell ref="C43:D43"/>
    <mergeCell ref="C46:D46"/>
    <mergeCell ref="C51:D51"/>
    <mergeCell ref="C52:D52"/>
    <mergeCell ref="C41:D41"/>
    <mergeCell ref="C50:D50"/>
    <mergeCell ref="C44:D44"/>
    <mergeCell ref="B65:D65"/>
    <mergeCell ref="C40:D40"/>
    <mergeCell ref="B60:D60"/>
    <mergeCell ref="B67:D67"/>
    <mergeCell ref="B61:D61"/>
    <mergeCell ref="B57:D57"/>
    <mergeCell ref="C42:D42"/>
    <mergeCell ref="C45:D45"/>
    <mergeCell ref="C54:D5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6FA35A"/>
  </sheetPr>
  <dimension ref="A1:X85"/>
  <sheetViews>
    <sheetView zoomScaleNormal="100" workbookViewId="0">
      <pane xSplit="2" ySplit="1" topLeftCell="C2" activePane="bottomRight" state="frozen"/>
      <selection pane="topRight" activeCell="C1" sqref="C1"/>
      <selection pane="bottomLeft" activeCell="A2" sqref="A2"/>
      <selection pane="bottomRight"/>
    </sheetView>
  </sheetViews>
  <sheetFormatPr defaultColWidth="8.7109375" defaultRowHeight="15" x14ac:dyDescent="0.25"/>
  <cols>
    <col min="1" max="1" width="7" style="11" customWidth="1"/>
    <col min="2" max="2" width="26" style="11" customWidth="1"/>
    <col min="3" max="3" width="30" style="11" customWidth="1"/>
    <col min="4" max="4" width="14" style="11" customWidth="1"/>
    <col min="5" max="5" width="16" style="11" customWidth="1"/>
    <col min="6" max="6" width="18" style="11" customWidth="1"/>
    <col min="7" max="7" width="12" style="11" customWidth="1"/>
    <col min="8" max="8" width="20" style="11" customWidth="1"/>
    <col min="9" max="9" width="14" style="11" customWidth="1"/>
    <col min="10" max="10" width="12" style="11" customWidth="1"/>
    <col min="11" max="11" width="14" style="11" customWidth="1"/>
    <col min="12" max="12" width="16" style="11" customWidth="1"/>
    <col min="13" max="13" width="13" style="11" customWidth="1"/>
    <col min="14" max="14" width="18" style="11" customWidth="1"/>
    <col min="15" max="15" width="40" style="11" customWidth="1"/>
    <col min="16" max="16" width="13" style="11" customWidth="1"/>
    <col min="17" max="17" width="9" style="11" customWidth="1"/>
    <col min="18" max="18" width="15" style="11" customWidth="1"/>
    <col min="19" max="19" width="11" style="11" customWidth="1"/>
    <col min="20" max="20" width="32" style="11" customWidth="1"/>
    <col min="21" max="21" width="14" style="11" customWidth="1"/>
    <col min="22" max="22" width="26" style="11" customWidth="1"/>
    <col min="23" max="23" width="20" style="11" customWidth="1"/>
    <col min="24" max="24" width="50" style="11" customWidth="1"/>
  </cols>
  <sheetData>
    <row r="1" spans="1:24" ht="31.5" customHeight="1" x14ac:dyDescent="0.25">
      <c r="A1" s="12" t="s">
        <v>86</v>
      </c>
      <c r="B1" s="12" t="s">
        <v>46</v>
      </c>
      <c r="C1" s="12" t="s">
        <v>87</v>
      </c>
      <c r="D1" s="12" t="s">
        <v>88</v>
      </c>
      <c r="E1" s="12" t="s">
        <v>89</v>
      </c>
      <c r="F1" s="12" t="s">
        <v>90</v>
      </c>
      <c r="G1" s="12" t="s">
        <v>91</v>
      </c>
      <c r="H1" s="12" t="s">
        <v>92</v>
      </c>
      <c r="I1" s="12" t="s">
        <v>93</v>
      </c>
      <c r="J1" s="12" t="s">
        <v>94</v>
      </c>
      <c r="K1" s="12" t="s">
        <v>95</v>
      </c>
      <c r="L1" s="12" t="s">
        <v>96</v>
      </c>
      <c r="M1" s="12" t="s">
        <v>97</v>
      </c>
      <c r="N1" s="12" t="s">
        <v>98</v>
      </c>
      <c r="O1" s="12" t="s">
        <v>99</v>
      </c>
      <c r="P1" s="12" t="s">
        <v>100</v>
      </c>
      <c r="Q1" s="12" t="s">
        <v>101</v>
      </c>
      <c r="R1" s="12" t="s">
        <v>102</v>
      </c>
      <c r="S1" s="12" t="s">
        <v>103</v>
      </c>
      <c r="T1" s="12" t="s">
        <v>104</v>
      </c>
      <c r="U1" s="12" t="s">
        <v>105</v>
      </c>
      <c r="V1" s="12" t="s">
        <v>106</v>
      </c>
      <c r="W1" s="12" t="s">
        <v>107</v>
      </c>
      <c r="X1" s="12" t="s">
        <v>108</v>
      </c>
    </row>
    <row r="2" spans="1:24" ht="35.1" customHeight="1" x14ac:dyDescent="0.25">
      <c r="A2" s="13" t="s">
        <v>109</v>
      </c>
      <c r="B2" s="14" t="s">
        <v>110</v>
      </c>
      <c r="C2" s="15" t="s">
        <v>111</v>
      </c>
      <c r="D2" s="13" t="s">
        <v>112</v>
      </c>
      <c r="E2" s="13" t="s">
        <v>113</v>
      </c>
      <c r="F2" s="13" t="s">
        <v>114</v>
      </c>
      <c r="G2" s="13" t="s">
        <v>115</v>
      </c>
      <c r="H2" s="13" t="s">
        <v>116</v>
      </c>
      <c r="I2" s="13"/>
      <c r="J2" s="13" t="str">
        <f ca="1">IFERROR(IF(INDEX('Seasonal Calendar'!$C$2:$N$500,MATCH(A2,'Seasonal Calendar'!$A$2:$A$500,0),MONTH(TODAY()))="","Out",INDEX('Seasonal Calendar'!$C$2:$N$500,MATCH(A2,'Seasonal Calendar'!$A$2:$A$500,0),MONTH(TODAY()))),"")</f>
        <v>In</v>
      </c>
      <c r="K2" s="13" t="s">
        <v>117</v>
      </c>
      <c r="L2" s="13" t="s">
        <v>118</v>
      </c>
      <c r="M2" s="16">
        <v>1850</v>
      </c>
      <c r="N2" s="13" t="s">
        <v>119</v>
      </c>
      <c r="O2" s="15" t="s">
        <v>120</v>
      </c>
      <c r="P2" s="17"/>
      <c r="Q2" s="18" t="s">
        <v>121</v>
      </c>
      <c r="R2" s="13" t="s">
        <v>122</v>
      </c>
      <c r="S2" s="13">
        <f>COUNTIF('Recipe Ingredients'!$F$2:$F$2000,A2)</f>
        <v>8</v>
      </c>
      <c r="T2" s="15" t="s">
        <v>123</v>
      </c>
      <c r="U2" s="13" t="s">
        <v>124</v>
      </c>
      <c r="V2" s="15" t="s">
        <v>125</v>
      </c>
      <c r="W2" s="13" t="s">
        <v>126</v>
      </c>
      <c r="X2" s="15" t="s">
        <v>127</v>
      </c>
    </row>
    <row r="3" spans="1:24" ht="23.85" customHeight="1" x14ac:dyDescent="0.25">
      <c r="A3" s="13" t="s">
        <v>128</v>
      </c>
      <c r="B3" s="14" t="s">
        <v>129</v>
      </c>
      <c r="C3" s="15" t="s">
        <v>130</v>
      </c>
      <c r="D3" s="13" t="s">
        <v>131</v>
      </c>
      <c r="E3" s="13" t="s">
        <v>113</v>
      </c>
      <c r="F3" s="13" t="s">
        <v>132</v>
      </c>
      <c r="G3" s="13" t="s">
        <v>115</v>
      </c>
      <c r="H3" s="13" t="s">
        <v>116</v>
      </c>
      <c r="I3" s="13"/>
      <c r="J3" s="13" t="str">
        <f ca="1">IFERROR(IF(INDEX('Seasonal Calendar'!$C$2:$N$500,MATCH(A3,'Seasonal Calendar'!$A$2:$A$500,0),MONTH(TODAY()))="","Out",INDEX('Seasonal Calendar'!$C$2:$N$500,MATCH(A3,'Seasonal Calendar'!$A$2:$A$500,0),MONTH(TODAY()))),"")</f>
        <v>In</v>
      </c>
      <c r="K3" s="13" t="s">
        <v>117</v>
      </c>
      <c r="L3" s="13" t="s">
        <v>133</v>
      </c>
      <c r="M3" s="16"/>
      <c r="N3" s="13"/>
      <c r="O3" s="15"/>
      <c r="P3" s="17"/>
      <c r="Q3" s="18" t="s">
        <v>121</v>
      </c>
      <c r="R3" s="13" t="s">
        <v>122</v>
      </c>
      <c r="S3" s="13">
        <f>COUNTIF('Recipe Ingredients'!$F$2:$F$2000,A3)</f>
        <v>2</v>
      </c>
      <c r="T3" s="15" t="s">
        <v>134</v>
      </c>
      <c r="U3" s="13" t="s">
        <v>135</v>
      </c>
      <c r="V3" s="15" t="s">
        <v>136</v>
      </c>
      <c r="W3" s="13" t="s">
        <v>126</v>
      </c>
      <c r="X3" s="15" t="s">
        <v>137</v>
      </c>
    </row>
    <row r="4" spans="1:24" ht="35.1" customHeight="1" x14ac:dyDescent="0.25">
      <c r="A4" s="13" t="s">
        <v>138</v>
      </c>
      <c r="B4" s="14" t="s">
        <v>139</v>
      </c>
      <c r="C4" s="15" t="s">
        <v>140</v>
      </c>
      <c r="D4" s="13" t="s">
        <v>112</v>
      </c>
      <c r="E4" s="13" t="s">
        <v>113</v>
      </c>
      <c r="F4" s="13" t="s">
        <v>114</v>
      </c>
      <c r="G4" s="13" t="s">
        <v>115</v>
      </c>
      <c r="H4" s="13" t="s">
        <v>116</v>
      </c>
      <c r="I4" s="13"/>
      <c r="J4" s="13" t="str">
        <f ca="1">IFERROR(IF(INDEX('Seasonal Calendar'!$C$2:$N$500,MATCH(A4,'Seasonal Calendar'!$A$2:$A$500,0),MONTH(TODAY()))="","Out",INDEX('Seasonal Calendar'!$C$2:$N$500,MATCH(A4,'Seasonal Calendar'!$A$2:$A$500,0),MONTH(TODAY()))),"")</f>
        <v>In</v>
      </c>
      <c r="K4" s="13" t="s">
        <v>117</v>
      </c>
      <c r="L4" s="13" t="s">
        <v>141</v>
      </c>
      <c r="M4" s="16">
        <v>1300</v>
      </c>
      <c r="N4" s="13" t="s">
        <v>142</v>
      </c>
      <c r="O4" s="15" t="s">
        <v>143</v>
      </c>
      <c r="P4" s="17"/>
      <c r="Q4" s="18" t="s">
        <v>121</v>
      </c>
      <c r="R4" s="13" t="s">
        <v>122</v>
      </c>
      <c r="S4" s="13">
        <f>COUNTIF('Recipe Ingredients'!$F$2:$F$2000,A4)</f>
        <v>13</v>
      </c>
      <c r="T4" s="15" t="s">
        <v>144</v>
      </c>
      <c r="U4" s="13" t="s">
        <v>145</v>
      </c>
      <c r="V4" s="15" t="s">
        <v>146</v>
      </c>
      <c r="W4" s="13" t="s">
        <v>147</v>
      </c>
      <c r="X4" s="15" t="s">
        <v>148</v>
      </c>
    </row>
    <row r="5" spans="1:24" ht="23.85" customHeight="1" x14ac:dyDescent="0.25">
      <c r="A5" s="13" t="s">
        <v>149</v>
      </c>
      <c r="B5" s="14" t="s">
        <v>150</v>
      </c>
      <c r="C5" s="15" t="s">
        <v>151</v>
      </c>
      <c r="D5" s="13" t="s">
        <v>112</v>
      </c>
      <c r="E5" s="13" t="s">
        <v>113</v>
      </c>
      <c r="F5" s="13" t="s">
        <v>114</v>
      </c>
      <c r="G5" s="13" t="s">
        <v>115</v>
      </c>
      <c r="H5" s="13" t="s">
        <v>116</v>
      </c>
      <c r="I5" s="13" t="s">
        <v>152</v>
      </c>
      <c r="J5" s="13" t="str">
        <f ca="1">IFERROR(IF(INDEX('Seasonal Calendar'!$C$2:$N$500,MATCH(A5,'Seasonal Calendar'!$A$2:$A$500,0),MONTH(TODAY()))="","Out",INDEX('Seasonal Calendar'!$C$2:$N$500,MATCH(A5,'Seasonal Calendar'!$A$2:$A$500,0),MONTH(TODAY()))),"")</f>
        <v>In</v>
      </c>
      <c r="K5" s="13" t="s">
        <v>117</v>
      </c>
      <c r="L5" s="13" t="s">
        <v>153</v>
      </c>
      <c r="M5" s="16"/>
      <c r="N5" s="13"/>
      <c r="O5" s="15"/>
      <c r="P5" s="17"/>
      <c r="Q5" s="18" t="s">
        <v>121</v>
      </c>
      <c r="R5" s="13" t="s">
        <v>122</v>
      </c>
      <c r="S5" s="13">
        <f>COUNTIF('Recipe Ingredients'!$F$2:$F$2000,A5)</f>
        <v>4</v>
      </c>
      <c r="T5" s="15" t="s">
        <v>154</v>
      </c>
      <c r="U5" s="13" t="s">
        <v>155</v>
      </c>
      <c r="V5" s="15" t="s">
        <v>156</v>
      </c>
      <c r="W5" s="13" t="s">
        <v>157</v>
      </c>
      <c r="X5" s="15" t="s">
        <v>158</v>
      </c>
    </row>
    <row r="6" spans="1:24" ht="23.85" customHeight="1" x14ac:dyDescent="0.25">
      <c r="A6" s="13" t="s">
        <v>159</v>
      </c>
      <c r="B6" s="14" t="s">
        <v>160</v>
      </c>
      <c r="C6" s="15" t="s">
        <v>161</v>
      </c>
      <c r="D6" s="13" t="s">
        <v>112</v>
      </c>
      <c r="E6" s="13" t="s">
        <v>113</v>
      </c>
      <c r="F6" s="13" t="s">
        <v>114</v>
      </c>
      <c r="G6" s="13" t="s">
        <v>115</v>
      </c>
      <c r="H6" s="13" t="s">
        <v>116</v>
      </c>
      <c r="I6" s="13"/>
      <c r="J6" s="13" t="str">
        <f ca="1">IFERROR(IF(INDEX('Seasonal Calendar'!$C$2:$N$500,MATCH(A6,'Seasonal Calendar'!$A$2:$A$500,0),MONTH(TODAY()))="","Out",INDEX('Seasonal Calendar'!$C$2:$N$500,MATCH(A6,'Seasonal Calendar'!$A$2:$A$500,0),MONTH(TODAY()))),"")</f>
        <v>In</v>
      </c>
      <c r="K6" s="13" t="s">
        <v>117</v>
      </c>
      <c r="L6" s="13" t="s">
        <v>141</v>
      </c>
      <c r="M6" s="16"/>
      <c r="N6" s="13"/>
      <c r="O6" s="15"/>
      <c r="P6" s="17"/>
      <c r="Q6" s="18" t="s">
        <v>121</v>
      </c>
      <c r="R6" s="13" t="s">
        <v>122</v>
      </c>
      <c r="S6" s="13">
        <f>COUNTIF('Recipe Ingredients'!$F$2:$F$2000,A6)</f>
        <v>9</v>
      </c>
      <c r="T6" s="15" t="s">
        <v>162</v>
      </c>
      <c r="U6" s="13" t="s">
        <v>163</v>
      </c>
      <c r="V6" s="15" t="s">
        <v>164</v>
      </c>
      <c r="W6" s="13" t="s">
        <v>165</v>
      </c>
      <c r="X6" s="15" t="s">
        <v>166</v>
      </c>
    </row>
    <row r="7" spans="1:24" ht="23.85" customHeight="1" x14ac:dyDescent="0.25">
      <c r="A7" s="13" t="s">
        <v>167</v>
      </c>
      <c r="B7" s="14" t="s">
        <v>168</v>
      </c>
      <c r="C7" s="15" t="s">
        <v>169</v>
      </c>
      <c r="D7" s="13" t="s">
        <v>112</v>
      </c>
      <c r="E7" s="13" t="s">
        <v>113</v>
      </c>
      <c r="F7" s="13" t="s">
        <v>114</v>
      </c>
      <c r="G7" s="13" t="s">
        <v>170</v>
      </c>
      <c r="H7" s="13" t="s">
        <v>171</v>
      </c>
      <c r="I7" s="13" t="s">
        <v>172</v>
      </c>
      <c r="J7" s="13" t="str">
        <f ca="1">IFERROR(IF(INDEX('Seasonal Calendar'!$C$2:$N$500,MATCH(A7,'Seasonal Calendar'!$A$2:$A$500,0),MONTH(TODAY()))="","Out",INDEX('Seasonal Calendar'!$C$2:$N$500,MATCH(A7,'Seasonal Calendar'!$A$2:$A$500,0),MONTH(TODAY()))),"")</f>
        <v>Out</v>
      </c>
      <c r="K7" s="13" t="s">
        <v>173</v>
      </c>
      <c r="L7" s="13" t="s">
        <v>174</v>
      </c>
      <c r="M7" s="16">
        <v>500</v>
      </c>
      <c r="N7" s="13" t="s">
        <v>175</v>
      </c>
      <c r="O7" s="15" t="s">
        <v>120</v>
      </c>
      <c r="P7" s="17"/>
      <c r="Q7" s="18" t="s">
        <v>170</v>
      </c>
      <c r="R7" s="13" t="s">
        <v>176</v>
      </c>
      <c r="S7" s="13">
        <f>COUNTIF('Recipe Ingredients'!$F$2:$F$2000,A7)</f>
        <v>15</v>
      </c>
      <c r="T7" s="15" t="s">
        <v>177</v>
      </c>
      <c r="U7" s="13" t="s">
        <v>178</v>
      </c>
      <c r="V7" s="15" t="s">
        <v>179</v>
      </c>
      <c r="W7" s="13" t="s">
        <v>180</v>
      </c>
      <c r="X7" s="15" t="s">
        <v>181</v>
      </c>
    </row>
    <row r="8" spans="1:24" ht="35.1" customHeight="1" x14ac:dyDescent="0.25">
      <c r="A8" s="13" t="s">
        <v>182</v>
      </c>
      <c r="B8" s="14" t="s">
        <v>183</v>
      </c>
      <c r="C8" s="15" t="s">
        <v>184</v>
      </c>
      <c r="D8" s="13" t="s">
        <v>185</v>
      </c>
      <c r="E8" s="13" t="s">
        <v>186</v>
      </c>
      <c r="F8" s="13" t="s">
        <v>114</v>
      </c>
      <c r="G8" s="13" t="s">
        <v>115</v>
      </c>
      <c r="H8" s="13" t="s">
        <v>116</v>
      </c>
      <c r="I8" s="13" t="s">
        <v>187</v>
      </c>
      <c r="J8" s="13" t="str">
        <f ca="1">IFERROR(IF(INDEX('Seasonal Calendar'!$C$2:$N$500,MATCH(A8,'Seasonal Calendar'!$A$2:$A$500,0),MONTH(TODAY()))="","Out",INDEX('Seasonal Calendar'!$C$2:$N$500,MATCH(A8,'Seasonal Calendar'!$A$2:$A$500,0),MONTH(TODAY()))),"")</f>
        <v>Peak</v>
      </c>
      <c r="K8" s="13" t="s">
        <v>173</v>
      </c>
      <c r="L8" s="13" t="s">
        <v>188</v>
      </c>
      <c r="M8" s="16">
        <v>950</v>
      </c>
      <c r="N8" s="13" t="s">
        <v>189</v>
      </c>
      <c r="O8" s="15" t="s">
        <v>190</v>
      </c>
      <c r="P8" s="17"/>
      <c r="Q8" s="18" t="s">
        <v>121</v>
      </c>
      <c r="R8" s="13" t="s">
        <v>122</v>
      </c>
      <c r="S8" s="13">
        <f>COUNTIF('Recipe Ingredients'!$F$2:$F$2000,A8)</f>
        <v>7</v>
      </c>
      <c r="T8" s="15" t="s">
        <v>191</v>
      </c>
      <c r="U8" s="13" t="s">
        <v>192</v>
      </c>
      <c r="V8" s="15" t="s">
        <v>193</v>
      </c>
      <c r="W8" s="13" t="s">
        <v>194</v>
      </c>
      <c r="X8" s="15" t="s">
        <v>195</v>
      </c>
    </row>
    <row r="9" spans="1:24" ht="23.85" customHeight="1" x14ac:dyDescent="0.25">
      <c r="A9" s="13" t="s">
        <v>196</v>
      </c>
      <c r="B9" s="14" t="s">
        <v>197</v>
      </c>
      <c r="C9" s="15"/>
      <c r="D9" s="13" t="s">
        <v>185</v>
      </c>
      <c r="E9" s="13" t="s">
        <v>186</v>
      </c>
      <c r="F9" s="13" t="s">
        <v>114</v>
      </c>
      <c r="G9" s="13" t="s">
        <v>115</v>
      </c>
      <c r="H9" s="13" t="s">
        <v>116</v>
      </c>
      <c r="I9" s="13" t="s">
        <v>187</v>
      </c>
      <c r="J9" s="13" t="str">
        <f ca="1">IFERROR(IF(INDEX('Seasonal Calendar'!$C$2:$N$500,MATCH(A9,'Seasonal Calendar'!$A$2:$A$500,0),MONTH(TODAY()))="","Out",INDEX('Seasonal Calendar'!$C$2:$N$500,MATCH(A9,'Seasonal Calendar'!$A$2:$A$500,0),MONTH(TODAY()))),"")</f>
        <v>Peak</v>
      </c>
      <c r="K9" s="13" t="s">
        <v>173</v>
      </c>
      <c r="L9" s="13" t="s">
        <v>141</v>
      </c>
      <c r="M9" s="16">
        <v>300</v>
      </c>
      <c r="N9" s="13" t="s">
        <v>198</v>
      </c>
      <c r="O9" s="15" t="s">
        <v>199</v>
      </c>
      <c r="P9" s="17"/>
      <c r="Q9" s="18" t="s">
        <v>121</v>
      </c>
      <c r="R9" s="13" t="s">
        <v>122</v>
      </c>
      <c r="S9" s="13">
        <f>COUNTIF('Recipe Ingredients'!$F$2:$F$2000,A9)</f>
        <v>2</v>
      </c>
      <c r="T9" s="15" t="s">
        <v>200</v>
      </c>
      <c r="U9" s="13" t="s">
        <v>201</v>
      </c>
      <c r="V9" s="15" t="s">
        <v>202</v>
      </c>
      <c r="W9" s="13" t="s">
        <v>203</v>
      </c>
      <c r="X9" s="15" t="s">
        <v>204</v>
      </c>
    </row>
    <row r="10" spans="1:24" ht="46.35" customHeight="1" x14ac:dyDescent="0.25">
      <c r="A10" s="13" t="s">
        <v>205</v>
      </c>
      <c r="B10" s="14" t="s">
        <v>206</v>
      </c>
      <c r="C10" s="15"/>
      <c r="D10" s="13" t="s">
        <v>185</v>
      </c>
      <c r="E10" s="13" t="s">
        <v>186</v>
      </c>
      <c r="F10" s="13" t="s">
        <v>132</v>
      </c>
      <c r="G10" s="13" t="s">
        <v>115</v>
      </c>
      <c r="H10" s="13" t="s">
        <v>116</v>
      </c>
      <c r="I10" s="13" t="s">
        <v>187</v>
      </c>
      <c r="J10" s="13" t="str">
        <f ca="1">IFERROR(IF(INDEX('Seasonal Calendar'!$C$2:$N$500,MATCH(A10,'Seasonal Calendar'!$A$2:$A$500,0),MONTH(TODAY()))="","Out",INDEX('Seasonal Calendar'!$C$2:$N$500,MATCH(A10,'Seasonal Calendar'!$A$2:$A$500,0),MONTH(TODAY()))),"")</f>
        <v>Peak</v>
      </c>
      <c r="K10" s="13" t="s">
        <v>117</v>
      </c>
      <c r="L10" s="13" t="s">
        <v>141</v>
      </c>
      <c r="M10" s="16">
        <v>300</v>
      </c>
      <c r="N10" s="13" t="s">
        <v>198</v>
      </c>
      <c r="O10" s="15" t="s">
        <v>207</v>
      </c>
      <c r="P10" s="17"/>
      <c r="Q10" s="18" t="s">
        <v>121</v>
      </c>
      <c r="R10" s="13" t="s">
        <v>122</v>
      </c>
      <c r="S10" s="13">
        <f>COUNTIF('Recipe Ingredients'!$F$2:$F$2000,A10)</f>
        <v>33</v>
      </c>
      <c r="T10" s="15" t="s">
        <v>208</v>
      </c>
      <c r="U10" s="13" t="s">
        <v>209</v>
      </c>
      <c r="V10" s="15" t="s">
        <v>210</v>
      </c>
      <c r="W10" s="13" t="s">
        <v>203</v>
      </c>
      <c r="X10" s="15" t="s">
        <v>211</v>
      </c>
    </row>
    <row r="11" spans="1:24" ht="23.85" customHeight="1" x14ac:dyDescent="0.25">
      <c r="A11" s="13" t="s">
        <v>212</v>
      </c>
      <c r="B11" s="14" t="s">
        <v>213</v>
      </c>
      <c r="C11" s="15" t="s">
        <v>214</v>
      </c>
      <c r="D11" s="13" t="s">
        <v>185</v>
      </c>
      <c r="E11" s="13" t="s">
        <v>113</v>
      </c>
      <c r="F11" s="13" t="s">
        <v>132</v>
      </c>
      <c r="G11" s="13" t="s">
        <v>115</v>
      </c>
      <c r="H11" s="13" t="s">
        <v>116</v>
      </c>
      <c r="I11" s="13" t="s">
        <v>187</v>
      </c>
      <c r="J11" s="13" t="str">
        <f ca="1">IFERROR(IF(INDEX('Seasonal Calendar'!$C$2:$N$500,MATCH(A11,'Seasonal Calendar'!$A$2:$A$500,0),MONTH(TODAY()))="","Out",INDEX('Seasonal Calendar'!$C$2:$N$500,MATCH(A11,'Seasonal Calendar'!$A$2:$A$500,0),MONTH(TODAY()))),"")</f>
        <v>Peak</v>
      </c>
      <c r="K11" s="13" t="s">
        <v>173</v>
      </c>
      <c r="L11" s="13" t="s">
        <v>215</v>
      </c>
      <c r="M11" s="16"/>
      <c r="N11" s="13"/>
      <c r="O11" s="15"/>
      <c r="P11" s="17"/>
      <c r="Q11" s="18" t="s">
        <v>121</v>
      </c>
      <c r="R11" s="13" t="s">
        <v>122</v>
      </c>
      <c r="S11" s="13">
        <f>COUNTIF('Recipe Ingredients'!$F$2:$F$2000,A11)</f>
        <v>59</v>
      </c>
      <c r="T11" s="15" t="s">
        <v>208</v>
      </c>
      <c r="U11" s="13" t="s">
        <v>209</v>
      </c>
      <c r="V11" s="15" t="s">
        <v>216</v>
      </c>
      <c r="W11" s="13" t="s">
        <v>203</v>
      </c>
      <c r="X11" s="15" t="s">
        <v>217</v>
      </c>
    </row>
    <row r="12" spans="1:24" ht="15" customHeight="1" x14ac:dyDescent="0.25">
      <c r="A12" s="13" t="s">
        <v>218</v>
      </c>
      <c r="B12" s="14" t="s">
        <v>219</v>
      </c>
      <c r="C12" s="15"/>
      <c r="D12" s="13" t="s">
        <v>185</v>
      </c>
      <c r="E12" s="13" t="s">
        <v>113</v>
      </c>
      <c r="F12" s="13" t="s">
        <v>114</v>
      </c>
      <c r="G12" s="13" t="s">
        <v>115</v>
      </c>
      <c r="H12" s="13" t="s">
        <v>116</v>
      </c>
      <c r="I12" s="13" t="s">
        <v>187</v>
      </c>
      <c r="J12" s="13" t="str">
        <f ca="1">IFERROR(IF(INDEX('Seasonal Calendar'!$C$2:$N$500,MATCH(A12,'Seasonal Calendar'!$A$2:$A$500,0),MONTH(TODAY()))="","Out",INDEX('Seasonal Calendar'!$C$2:$N$500,MATCH(A12,'Seasonal Calendar'!$A$2:$A$500,0),MONTH(TODAY()))),"")</f>
        <v>Peak</v>
      </c>
      <c r="K12" s="13" t="s">
        <v>117</v>
      </c>
      <c r="L12" s="13" t="s">
        <v>141</v>
      </c>
      <c r="M12" s="16"/>
      <c r="N12" s="13"/>
      <c r="O12" s="15"/>
      <c r="P12" s="17"/>
      <c r="Q12" s="18" t="s">
        <v>220</v>
      </c>
      <c r="R12" s="13" t="s">
        <v>221</v>
      </c>
      <c r="S12" s="13">
        <f>COUNTIF('Recipe Ingredients'!$F$2:$F$2000,A12)</f>
        <v>2</v>
      </c>
      <c r="T12" s="15" t="s">
        <v>222</v>
      </c>
      <c r="U12" s="13" t="s">
        <v>209</v>
      </c>
      <c r="V12" s="15" t="s">
        <v>223</v>
      </c>
      <c r="W12" s="13" t="s">
        <v>224</v>
      </c>
      <c r="X12" s="15" t="s">
        <v>225</v>
      </c>
    </row>
    <row r="13" spans="1:24" ht="46.35" customHeight="1" x14ac:dyDescent="0.25">
      <c r="A13" s="13" t="s">
        <v>226</v>
      </c>
      <c r="B13" s="14" t="s">
        <v>227</v>
      </c>
      <c r="C13" s="15" t="s">
        <v>228</v>
      </c>
      <c r="D13" s="13" t="s">
        <v>112</v>
      </c>
      <c r="E13" s="13" t="s">
        <v>186</v>
      </c>
      <c r="F13" s="13" t="s">
        <v>114</v>
      </c>
      <c r="G13" s="13" t="s">
        <v>115</v>
      </c>
      <c r="H13" s="13" t="s">
        <v>116</v>
      </c>
      <c r="I13" s="13"/>
      <c r="J13" s="13" t="str">
        <f ca="1">IFERROR(IF(INDEX('Seasonal Calendar'!$C$2:$N$500,MATCH(A13,'Seasonal Calendar'!$A$2:$A$500,0),MONTH(TODAY()))="","Out",INDEX('Seasonal Calendar'!$C$2:$N$500,MATCH(A13,'Seasonal Calendar'!$A$2:$A$500,0),MONTH(TODAY()))),"")</f>
        <v>In</v>
      </c>
      <c r="K13" s="13" t="s">
        <v>117</v>
      </c>
      <c r="L13" s="13" t="s">
        <v>141</v>
      </c>
      <c r="M13" s="16">
        <v>2000</v>
      </c>
      <c r="N13" s="13" t="s">
        <v>229</v>
      </c>
      <c r="O13" s="15" t="s">
        <v>230</v>
      </c>
      <c r="P13" s="17"/>
      <c r="Q13" s="18" t="s">
        <v>121</v>
      </c>
      <c r="R13" s="13" t="s">
        <v>122</v>
      </c>
      <c r="S13" s="13">
        <f>COUNTIF('Recipe Ingredients'!$F$2:$F$2000,A13)</f>
        <v>16</v>
      </c>
      <c r="T13" s="15" t="s">
        <v>231</v>
      </c>
      <c r="U13" s="13" t="s">
        <v>232</v>
      </c>
      <c r="V13" s="15" t="s">
        <v>233</v>
      </c>
      <c r="W13" s="13" t="s">
        <v>234</v>
      </c>
      <c r="X13" s="15" t="s">
        <v>235</v>
      </c>
    </row>
    <row r="14" spans="1:24" ht="15" customHeight="1" x14ac:dyDescent="0.25">
      <c r="A14" s="13" t="s">
        <v>236</v>
      </c>
      <c r="B14" s="14" t="s">
        <v>237</v>
      </c>
      <c r="C14" s="15" t="s">
        <v>238</v>
      </c>
      <c r="D14" s="13" t="s">
        <v>112</v>
      </c>
      <c r="E14" s="13" t="s">
        <v>186</v>
      </c>
      <c r="F14" s="13" t="s">
        <v>114</v>
      </c>
      <c r="G14" s="13" t="s">
        <v>170</v>
      </c>
      <c r="H14" s="13" t="s">
        <v>239</v>
      </c>
      <c r="I14" s="13" t="s">
        <v>240</v>
      </c>
      <c r="J14" s="13" t="str">
        <f ca="1">IFERROR(IF(INDEX('Seasonal Calendar'!$C$2:$N$500,MATCH(A14,'Seasonal Calendar'!$A$2:$A$500,0),MONTH(TODAY()))="","Out",INDEX('Seasonal Calendar'!$C$2:$N$500,MATCH(A14,'Seasonal Calendar'!$A$2:$A$500,0),MONTH(TODAY()))),"")</f>
        <v>Out</v>
      </c>
      <c r="K14" s="13" t="s">
        <v>173</v>
      </c>
      <c r="L14" s="13" t="s">
        <v>174</v>
      </c>
      <c r="M14" s="16">
        <v>16000</v>
      </c>
      <c r="N14" s="13" t="s">
        <v>241</v>
      </c>
      <c r="O14" s="15" t="s">
        <v>120</v>
      </c>
      <c r="P14" s="17"/>
      <c r="Q14" s="18" t="s">
        <v>170</v>
      </c>
      <c r="R14" s="13" t="s">
        <v>176</v>
      </c>
      <c r="S14" s="13">
        <f>COUNTIF('Recipe Ingredients'!$F$2:$F$2000,A14)</f>
        <v>2</v>
      </c>
      <c r="T14" s="15" t="s">
        <v>242</v>
      </c>
      <c r="U14" s="13" t="s">
        <v>243</v>
      </c>
      <c r="V14" s="15" t="s">
        <v>164</v>
      </c>
      <c r="W14" s="13" t="s">
        <v>203</v>
      </c>
      <c r="X14" s="15" t="s">
        <v>244</v>
      </c>
    </row>
    <row r="15" spans="1:24" ht="15" customHeight="1" x14ac:dyDescent="0.25">
      <c r="A15" s="13" t="s">
        <v>245</v>
      </c>
      <c r="B15" s="14" t="s">
        <v>246</v>
      </c>
      <c r="C15" s="15"/>
      <c r="D15" s="13" t="s">
        <v>112</v>
      </c>
      <c r="E15" s="13" t="s">
        <v>113</v>
      </c>
      <c r="F15" s="13" t="s">
        <v>114</v>
      </c>
      <c r="G15" s="13" t="s">
        <v>170</v>
      </c>
      <c r="H15" s="13" t="s">
        <v>247</v>
      </c>
      <c r="I15" s="13" t="s">
        <v>240</v>
      </c>
      <c r="J15" s="13" t="str">
        <f ca="1">IFERROR(IF(INDEX('Seasonal Calendar'!$C$2:$N$500,MATCH(A15,'Seasonal Calendar'!$A$2:$A$500,0),MONTH(TODAY()))="","Out",INDEX('Seasonal Calendar'!$C$2:$N$500,MATCH(A15,'Seasonal Calendar'!$A$2:$A$500,0),MONTH(TODAY()))),"")</f>
        <v>In</v>
      </c>
      <c r="K15" s="13" t="s">
        <v>173</v>
      </c>
      <c r="L15" s="13" t="s">
        <v>174</v>
      </c>
      <c r="M15" s="16">
        <v>5500</v>
      </c>
      <c r="N15" s="13" t="s">
        <v>119</v>
      </c>
      <c r="O15" s="15" t="s">
        <v>120</v>
      </c>
      <c r="P15" s="17"/>
      <c r="Q15" s="18" t="s">
        <v>170</v>
      </c>
      <c r="R15" s="13" t="s">
        <v>176</v>
      </c>
      <c r="S15" s="13">
        <f>COUNTIF('Recipe Ingredients'!$F$2:$F$2000,A15)</f>
        <v>0</v>
      </c>
      <c r="T15" s="15" t="s">
        <v>248</v>
      </c>
      <c r="U15" s="13" t="s">
        <v>232</v>
      </c>
      <c r="V15" s="15" t="s">
        <v>249</v>
      </c>
      <c r="W15" s="13" t="s">
        <v>203</v>
      </c>
      <c r="X15" s="15" t="s">
        <v>250</v>
      </c>
    </row>
    <row r="16" spans="1:24" ht="35.1" customHeight="1" x14ac:dyDescent="0.25">
      <c r="A16" s="13" t="s">
        <v>251</v>
      </c>
      <c r="B16" s="14" t="s">
        <v>252</v>
      </c>
      <c r="C16" s="15"/>
      <c r="D16" s="13" t="s">
        <v>112</v>
      </c>
      <c r="E16" s="13" t="s">
        <v>186</v>
      </c>
      <c r="F16" s="13" t="s">
        <v>132</v>
      </c>
      <c r="G16" s="13" t="s">
        <v>170</v>
      </c>
      <c r="H16" s="13" t="s">
        <v>253</v>
      </c>
      <c r="I16" s="13"/>
      <c r="J16" s="13" t="str">
        <f ca="1">IFERROR(IF(INDEX('Seasonal Calendar'!$C$2:$N$500,MATCH(A16,'Seasonal Calendar'!$A$2:$A$500,0),MONTH(TODAY()))="","Out",INDEX('Seasonal Calendar'!$C$2:$N$500,MATCH(A16,'Seasonal Calendar'!$A$2:$A$500,0),MONTH(TODAY()))),"")</f>
        <v>In</v>
      </c>
      <c r="K16" s="13" t="s">
        <v>173</v>
      </c>
      <c r="L16" s="13" t="s">
        <v>254</v>
      </c>
      <c r="M16" s="16">
        <v>7280</v>
      </c>
      <c r="N16" s="13" t="s">
        <v>255</v>
      </c>
      <c r="O16" s="15" t="s">
        <v>256</v>
      </c>
      <c r="P16" s="17"/>
      <c r="Q16" s="18" t="s">
        <v>220</v>
      </c>
      <c r="R16" s="13" t="s">
        <v>257</v>
      </c>
      <c r="S16" s="13">
        <f>COUNTIF('Recipe Ingredients'!$F$2:$F$2000,A16)</f>
        <v>3</v>
      </c>
      <c r="T16" s="15" t="s">
        <v>258</v>
      </c>
      <c r="U16" s="13" t="s">
        <v>201</v>
      </c>
      <c r="V16" s="15" t="s">
        <v>259</v>
      </c>
      <c r="W16" s="13" t="s">
        <v>203</v>
      </c>
      <c r="X16" s="15" t="s">
        <v>260</v>
      </c>
    </row>
    <row r="17" spans="1:24" ht="23.85" customHeight="1" x14ac:dyDescent="0.25">
      <c r="A17" s="13" t="s">
        <v>261</v>
      </c>
      <c r="B17" s="14" t="s">
        <v>262</v>
      </c>
      <c r="C17" s="15" t="s">
        <v>263</v>
      </c>
      <c r="D17" s="13" t="s">
        <v>112</v>
      </c>
      <c r="E17" s="13" t="s">
        <v>113</v>
      </c>
      <c r="F17" s="13" t="s">
        <v>114</v>
      </c>
      <c r="G17" s="13" t="s">
        <v>115</v>
      </c>
      <c r="H17" s="13" t="s">
        <v>116</v>
      </c>
      <c r="I17" s="13"/>
      <c r="J17" s="13" t="str">
        <f ca="1">IFERROR(IF(INDEX('Seasonal Calendar'!$C$2:$N$500,MATCH(A17,'Seasonal Calendar'!$A$2:$A$500,0),MONTH(TODAY()))="","Out",INDEX('Seasonal Calendar'!$C$2:$N$500,MATCH(A17,'Seasonal Calendar'!$A$2:$A$500,0),MONTH(TODAY()))),"")</f>
        <v>In</v>
      </c>
      <c r="K17" s="13" t="s">
        <v>117</v>
      </c>
      <c r="L17" s="13" t="s">
        <v>141</v>
      </c>
      <c r="M17" s="16">
        <v>1300</v>
      </c>
      <c r="N17" s="13" t="s">
        <v>264</v>
      </c>
      <c r="O17" s="15" t="s">
        <v>265</v>
      </c>
      <c r="P17" s="17"/>
      <c r="Q17" s="18" t="s">
        <v>121</v>
      </c>
      <c r="R17" s="13" t="s">
        <v>122</v>
      </c>
      <c r="S17" s="13">
        <f>COUNTIF('Recipe Ingredients'!$F$2:$F$2000,A17)</f>
        <v>14</v>
      </c>
      <c r="T17" s="15" t="s">
        <v>266</v>
      </c>
      <c r="U17" s="13" t="s">
        <v>267</v>
      </c>
      <c r="V17" s="15" t="s">
        <v>268</v>
      </c>
      <c r="W17" s="13" t="s">
        <v>269</v>
      </c>
      <c r="X17" s="15" t="s">
        <v>270</v>
      </c>
    </row>
    <row r="18" spans="1:24" ht="23.85" customHeight="1" x14ac:dyDescent="0.25">
      <c r="A18" s="13" t="s">
        <v>271</v>
      </c>
      <c r="B18" s="14" t="s">
        <v>272</v>
      </c>
      <c r="C18" s="15" t="s">
        <v>273</v>
      </c>
      <c r="D18" s="13" t="s">
        <v>112</v>
      </c>
      <c r="E18" s="13" t="s">
        <v>113</v>
      </c>
      <c r="F18" s="13" t="s">
        <v>274</v>
      </c>
      <c r="G18" s="13" t="s">
        <v>170</v>
      </c>
      <c r="H18" s="13" t="s">
        <v>275</v>
      </c>
      <c r="I18" s="13" t="s">
        <v>276</v>
      </c>
      <c r="J18" s="13" t="str">
        <f ca="1">IFERROR(IF(INDEX('Seasonal Calendar'!$C$2:$N$500,MATCH(A18,'Seasonal Calendar'!$A$2:$A$500,0),MONTH(TODAY()))="","Out",INDEX('Seasonal Calendar'!$C$2:$N$500,MATCH(A18,'Seasonal Calendar'!$A$2:$A$500,0),MONTH(TODAY()))),"")</f>
        <v>Out</v>
      </c>
      <c r="K18" s="13" t="s">
        <v>173</v>
      </c>
      <c r="L18" s="13" t="s">
        <v>277</v>
      </c>
      <c r="M18" s="16"/>
      <c r="N18" s="13"/>
      <c r="O18" s="15"/>
      <c r="P18" s="17"/>
      <c r="Q18" s="18" t="s">
        <v>170</v>
      </c>
      <c r="R18" s="13" t="s">
        <v>176</v>
      </c>
      <c r="S18" s="13">
        <f>COUNTIF('Recipe Ingredients'!$F$2:$F$2000,A18)</f>
        <v>0</v>
      </c>
      <c r="T18" s="15" t="s">
        <v>266</v>
      </c>
      <c r="U18" s="13" t="s">
        <v>124</v>
      </c>
      <c r="V18" s="15" t="s">
        <v>278</v>
      </c>
      <c r="W18" s="13" t="s">
        <v>203</v>
      </c>
      <c r="X18" s="15" t="s">
        <v>279</v>
      </c>
    </row>
    <row r="19" spans="1:24" ht="15" customHeight="1" x14ac:dyDescent="0.25">
      <c r="A19" s="13" t="s">
        <v>280</v>
      </c>
      <c r="B19" s="14" t="s">
        <v>281</v>
      </c>
      <c r="C19" s="15" t="s">
        <v>282</v>
      </c>
      <c r="D19" s="13" t="s">
        <v>112</v>
      </c>
      <c r="E19" s="13" t="s">
        <v>113</v>
      </c>
      <c r="F19" s="13" t="s">
        <v>274</v>
      </c>
      <c r="G19" s="13" t="s">
        <v>170</v>
      </c>
      <c r="H19" s="13" t="s">
        <v>240</v>
      </c>
      <c r="I19" s="13" t="s">
        <v>240</v>
      </c>
      <c r="J19" s="13" t="str">
        <f ca="1">IFERROR(IF(INDEX('Seasonal Calendar'!$C$2:$N$500,MATCH(A19,'Seasonal Calendar'!$A$2:$A$500,0),MONTH(TODAY()))="","Out",INDEX('Seasonal Calendar'!$C$2:$N$500,MATCH(A19,'Seasonal Calendar'!$A$2:$A$500,0),MONTH(TODAY()))),"")</f>
        <v>Out</v>
      </c>
      <c r="K19" s="13" t="s">
        <v>173</v>
      </c>
      <c r="L19" s="13" t="s">
        <v>283</v>
      </c>
      <c r="M19" s="16"/>
      <c r="N19" s="13"/>
      <c r="O19" s="15"/>
      <c r="P19" s="17"/>
      <c r="Q19" s="18" t="s">
        <v>220</v>
      </c>
      <c r="R19" s="13" t="s">
        <v>221</v>
      </c>
      <c r="S19" s="13">
        <f>COUNTIF('Recipe Ingredients'!$F$2:$F$2000,A19)</f>
        <v>0</v>
      </c>
      <c r="T19" s="15" t="s">
        <v>284</v>
      </c>
      <c r="U19" s="13" t="s">
        <v>285</v>
      </c>
      <c r="V19" s="15" t="s">
        <v>286</v>
      </c>
      <c r="W19" s="13" t="s">
        <v>203</v>
      </c>
      <c r="X19" s="15" t="s">
        <v>287</v>
      </c>
    </row>
    <row r="20" spans="1:24" ht="23.85" customHeight="1" x14ac:dyDescent="0.25">
      <c r="A20" s="13" t="s">
        <v>288</v>
      </c>
      <c r="B20" s="14" t="s">
        <v>289</v>
      </c>
      <c r="C20" s="15" t="s">
        <v>290</v>
      </c>
      <c r="D20" s="13" t="s">
        <v>112</v>
      </c>
      <c r="E20" s="13" t="s">
        <v>113</v>
      </c>
      <c r="F20" s="13" t="s">
        <v>274</v>
      </c>
      <c r="G20" s="13" t="s">
        <v>170</v>
      </c>
      <c r="H20" s="13" t="s">
        <v>291</v>
      </c>
      <c r="I20" s="13" t="s">
        <v>240</v>
      </c>
      <c r="J20" s="13" t="str">
        <f ca="1">IFERROR(IF(INDEX('Seasonal Calendar'!$C$2:$N$500,MATCH(A20,'Seasonal Calendar'!$A$2:$A$500,0),MONTH(TODAY()))="","Out",INDEX('Seasonal Calendar'!$C$2:$N$500,MATCH(A20,'Seasonal Calendar'!$A$2:$A$500,0),MONTH(TODAY()))),"")</f>
        <v>Out</v>
      </c>
      <c r="K20" s="13" t="s">
        <v>173</v>
      </c>
      <c r="L20" s="13" t="s">
        <v>292</v>
      </c>
      <c r="M20" s="16"/>
      <c r="N20" s="13"/>
      <c r="O20" s="15"/>
      <c r="P20" s="17"/>
      <c r="Q20" s="18" t="s">
        <v>170</v>
      </c>
      <c r="R20" s="13" t="s">
        <v>176</v>
      </c>
      <c r="S20" s="13">
        <f>COUNTIF('Recipe Ingredients'!$F$2:$F$2000,A20)</f>
        <v>0</v>
      </c>
      <c r="T20" s="15" t="s">
        <v>293</v>
      </c>
      <c r="U20" s="13" t="s">
        <v>294</v>
      </c>
      <c r="V20" s="15" t="s">
        <v>295</v>
      </c>
      <c r="W20" s="13" t="s">
        <v>296</v>
      </c>
      <c r="X20" s="15" t="s">
        <v>297</v>
      </c>
    </row>
    <row r="21" spans="1:24" ht="15" customHeight="1" x14ac:dyDescent="0.25">
      <c r="A21" s="13" t="s">
        <v>298</v>
      </c>
      <c r="B21" s="14" t="s">
        <v>299</v>
      </c>
      <c r="C21" s="15" t="s">
        <v>300</v>
      </c>
      <c r="D21" s="13" t="s">
        <v>112</v>
      </c>
      <c r="E21" s="13" t="s">
        <v>113</v>
      </c>
      <c r="F21" s="13" t="s">
        <v>274</v>
      </c>
      <c r="G21" s="13" t="s">
        <v>170</v>
      </c>
      <c r="H21" s="13" t="s">
        <v>301</v>
      </c>
      <c r="I21" s="13" t="s">
        <v>302</v>
      </c>
      <c r="J21" s="13" t="str">
        <f ca="1">IFERROR(IF(INDEX('Seasonal Calendar'!$C$2:$N$500,MATCH(A21,'Seasonal Calendar'!$A$2:$A$500,0),MONTH(TODAY()))="","Out",INDEX('Seasonal Calendar'!$C$2:$N$500,MATCH(A21,'Seasonal Calendar'!$A$2:$A$500,0),MONTH(TODAY()))),"")</f>
        <v>Out</v>
      </c>
      <c r="K21" s="13" t="s">
        <v>173</v>
      </c>
      <c r="L21" s="13" t="s">
        <v>283</v>
      </c>
      <c r="M21" s="16"/>
      <c r="N21" s="13"/>
      <c r="O21" s="15"/>
      <c r="P21" s="17"/>
      <c r="Q21" s="18" t="s">
        <v>220</v>
      </c>
      <c r="R21" s="13" t="s">
        <v>221</v>
      </c>
      <c r="S21" s="13">
        <f>COUNTIF('Recipe Ingredients'!$F$2:$F$2000,A21)</f>
        <v>0</v>
      </c>
      <c r="T21" s="15" t="s">
        <v>208</v>
      </c>
      <c r="U21" s="13" t="s">
        <v>285</v>
      </c>
      <c r="V21" s="15" t="s">
        <v>303</v>
      </c>
      <c r="W21" s="13" t="s">
        <v>296</v>
      </c>
      <c r="X21" s="15" t="s">
        <v>304</v>
      </c>
    </row>
    <row r="22" spans="1:24" ht="15" customHeight="1" x14ac:dyDescent="0.25">
      <c r="A22" s="13" t="s">
        <v>305</v>
      </c>
      <c r="B22" s="14" t="s">
        <v>306</v>
      </c>
      <c r="C22" s="15" t="s">
        <v>307</v>
      </c>
      <c r="D22" s="13" t="s">
        <v>112</v>
      </c>
      <c r="E22" s="13" t="s">
        <v>113</v>
      </c>
      <c r="F22" s="13" t="s">
        <v>274</v>
      </c>
      <c r="G22" s="13" t="s">
        <v>170</v>
      </c>
      <c r="H22" s="13" t="s">
        <v>308</v>
      </c>
      <c r="I22" s="13"/>
      <c r="J22" s="13" t="str">
        <f ca="1">IFERROR(IF(INDEX('Seasonal Calendar'!$C$2:$N$500,MATCH(A22,'Seasonal Calendar'!$A$2:$A$500,0),MONTH(TODAY()))="","Out",INDEX('Seasonal Calendar'!$C$2:$N$500,MATCH(A22,'Seasonal Calendar'!$A$2:$A$500,0),MONTH(TODAY()))),"")</f>
        <v>Out</v>
      </c>
      <c r="K22" s="13" t="s">
        <v>173</v>
      </c>
      <c r="L22" s="13" t="s">
        <v>309</v>
      </c>
      <c r="M22" s="16"/>
      <c r="N22" s="13"/>
      <c r="O22" s="15"/>
      <c r="P22" s="17"/>
      <c r="Q22" s="18" t="s">
        <v>220</v>
      </c>
      <c r="R22" s="13" t="s">
        <v>221</v>
      </c>
      <c r="S22" s="13">
        <f>COUNTIF('Recipe Ingredients'!$F$2:$F$2000,A22)</f>
        <v>0</v>
      </c>
      <c r="T22" s="15" t="s">
        <v>266</v>
      </c>
      <c r="U22" s="13" t="s">
        <v>124</v>
      </c>
      <c r="V22" s="15" t="s">
        <v>310</v>
      </c>
      <c r="W22" s="13" t="s">
        <v>296</v>
      </c>
      <c r="X22" s="15"/>
    </row>
    <row r="23" spans="1:24" ht="15" customHeight="1" x14ac:dyDescent="0.25">
      <c r="A23" s="13" t="s">
        <v>311</v>
      </c>
      <c r="B23" s="14" t="s">
        <v>312</v>
      </c>
      <c r="C23" s="15" t="s">
        <v>313</v>
      </c>
      <c r="D23" s="13" t="s">
        <v>112</v>
      </c>
      <c r="E23" s="13" t="s">
        <v>113</v>
      </c>
      <c r="F23" s="13" t="s">
        <v>274</v>
      </c>
      <c r="G23" s="13" t="s">
        <v>170</v>
      </c>
      <c r="H23" s="13" t="s">
        <v>314</v>
      </c>
      <c r="I23" s="13"/>
      <c r="J23" s="13" t="str">
        <f ca="1">IFERROR(IF(INDEX('Seasonal Calendar'!$C$2:$N$500,MATCH(A23,'Seasonal Calendar'!$A$2:$A$500,0),MONTH(TODAY()))="","Out",INDEX('Seasonal Calendar'!$C$2:$N$500,MATCH(A23,'Seasonal Calendar'!$A$2:$A$500,0),MONTH(TODAY()))),"")</f>
        <v>Out</v>
      </c>
      <c r="K23" s="13" t="s">
        <v>173</v>
      </c>
      <c r="L23" s="13" t="s">
        <v>283</v>
      </c>
      <c r="M23" s="16"/>
      <c r="N23" s="13"/>
      <c r="O23" s="15"/>
      <c r="P23" s="17"/>
      <c r="Q23" s="18" t="s">
        <v>220</v>
      </c>
      <c r="R23" s="13" t="s">
        <v>221</v>
      </c>
      <c r="S23" s="13">
        <f>COUNTIF('Recipe Ingredients'!$F$2:$F$2000,A23)</f>
        <v>0</v>
      </c>
      <c r="T23" s="15" t="s">
        <v>266</v>
      </c>
      <c r="U23" s="13" t="s">
        <v>124</v>
      </c>
      <c r="V23" s="15" t="s">
        <v>315</v>
      </c>
      <c r="W23" s="13" t="s">
        <v>296</v>
      </c>
      <c r="X23" s="15"/>
    </row>
    <row r="24" spans="1:24" ht="23.85" customHeight="1" x14ac:dyDescent="0.25">
      <c r="A24" s="13" t="s">
        <v>316</v>
      </c>
      <c r="B24" s="14" t="s">
        <v>317</v>
      </c>
      <c r="C24" s="15" t="s">
        <v>318</v>
      </c>
      <c r="D24" s="13" t="s">
        <v>112</v>
      </c>
      <c r="E24" s="13" t="s">
        <v>113</v>
      </c>
      <c r="F24" s="13" t="s">
        <v>274</v>
      </c>
      <c r="G24" s="13" t="s">
        <v>170</v>
      </c>
      <c r="H24" s="13" t="s">
        <v>319</v>
      </c>
      <c r="I24" s="13" t="s">
        <v>320</v>
      </c>
      <c r="J24" s="13" t="str">
        <f ca="1">IFERROR(IF(INDEX('Seasonal Calendar'!$C$2:$N$500,MATCH(A24,'Seasonal Calendar'!$A$2:$A$500,0),MONTH(TODAY()))="","Out",INDEX('Seasonal Calendar'!$C$2:$N$500,MATCH(A24,'Seasonal Calendar'!$A$2:$A$500,0),MONTH(TODAY()))),"")</f>
        <v>Out</v>
      </c>
      <c r="K24" s="13" t="s">
        <v>173</v>
      </c>
      <c r="L24" s="13" t="s">
        <v>321</v>
      </c>
      <c r="M24" s="16"/>
      <c r="N24" s="13"/>
      <c r="O24" s="15"/>
      <c r="P24" s="17"/>
      <c r="Q24" s="18" t="s">
        <v>170</v>
      </c>
      <c r="R24" s="13" t="s">
        <v>176</v>
      </c>
      <c r="S24" s="13">
        <f>COUNTIF('Recipe Ingredients'!$F$2:$F$2000,A24)</f>
        <v>0</v>
      </c>
      <c r="T24" s="15" t="s">
        <v>266</v>
      </c>
      <c r="U24" s="13" t="s">
        <v>322</v>
      </c>
      <c r="V24" s="15" t="s">
        <v>323</v>
      </c>
      <c r="W24" s="13" t="s">
        <v>296</v>
      </c>
      <c r="X24" s="15" t="s">
        <v>324</v>
      </c>
    </row>
    <row r="25" spans="1:24" ht="23.85" customHeight="1" x14ac:dyDescent="0.25">
      <c r="A25" s="13" t="s">
        <v>325</v>
      </c>
      <c r="B25" s="14" t="s">
        <v>326</v>
      </c>
      <c r="C25" s="15" t="s">
        <v>327</v>
      </c>
      <c r="D25" s="13" t="s">
        <v>328</v>
      </c>
      <c r="E25" s="13" t="s">
        <v>113</v>
      </c>
      <c r="F25" s="13" t="s">
        <v>114</v>
      </c>
      <c r="G25" s="13" t="s">
        <v>170</v>
      </c>
      <c r="H25" s="13" t="s">
        <v>329</v>
      </c>
      <c r="I25" s="13"/>
      <c r="J25" s="13" t="str">
        <f ca="1">IFERROR(IF(INDEX('Seasonal Calendar'!$C$2:$N$500,MATCH(A25,'Seasonal Calendar'!$A$2:$A$500,0),MONTH(TODAY()))="","Out",INDEX('Seasonal Calendar'!$C$2:$N$500,MATCH(A25,'Seasonal Calendar'!$A$2:$A$500,0),MONTH(TODAY()))),"")</f>
        <v>Out</v>
      </c>
      <c r="K25" s="13" t="s">
        <v>173</v>
      </c>
      <c r="L25" s="13" t="s">
        <v>330</v>
      </c>
      <c r="M25" s="16"/>
      <c r="N25" s="13"/>
      <c r="O25" s="15"/>
      <c r="P25" s="17"/>
      <c r="Q25" s="18" t="s">
        <v>121</v>
      </c>
      <c r="R25" s="13" t="s">
        <v>122</v>
      </c>
      <c r="S25" s="13">
        <f>COUNTIF('Recipe Ingredients'!$F$2:$F$2000,A25)</f>
        <v>3</v>
      </c>
      <c r="T25" s="15" t="s">
        <v>293</v>
      </c>
      <c r="U25" s="13" t="s">
        <v>331</v>
      </c>
      <c r="V25" s="15" t="s">
        <v>332</v>
      </c>
      <c r="W25" s="13" t="s">
        <v>333</v>
      </c>
      <c r="X25" s="15" t="s">
        <v>334</v>
      </c>
    </row>
    <row r="26" spans="1:24" ht="23.85" customHeight="1" x14ac:dyDescent="0.25">
      <c r="A26" s="13" t="s">
        <v>335</v>
      </c>
      <c r="B26" s="14" t="s">
        <v>336</v>
      </c>
      <c r="C26" s="15" t="s">
        <v>337</v>
      </c>
      <c r="D26" s="13" t="s">
        <v>338</v>
      </c>
      <c r="E26" s="13" t="s">
        <v>113</v>
      </c>
      <c r="F26" s="13" t="s">
        <v>274</v>
      </c>
      <c r="G26" s="13" t="s">
        <v>170</v>
      </c>
      <c r="H26" s="13" t="s">
        <v>339</v>
      </c>
      <c r="I26" s="13"/>
      <c r="J26" s="13" t="str">
        <f ca="1">IFERROR(IF(INDEX('Seasonal Calendar'!$C$2:$N$500,MATCH(A26,'Seasonal Calendar'!$A$2:$A$500,0),MONTH(TODAY()))="","Out",INDEX('Seasonal Calendar'!$C$2:$N$500,MATCH(A26,'Seasonal Calendar'!$A$2:$A$500,0),MONTH(TODAY()))),"")</f>
        <v>In</v>
      </c>
      <c r="K26" s="13" t="s">
        <v>173</v>
      </c>
      <c r="L26" s="13" t="s">
        <v>340</v>
      </c>
      <c r="M26" s="16"/>
      <c r="N26" s="13"/>
      <c r="O26" s="15"/>
      <c r="P26" s="17"/>
      <c r="Q26" s="18" t="s">
        <v>170</v>
      </c>
      <c r="R26" s="13" t="s">
        <v>176</v>
      </c>
      <c r="S26" s="13">
        <f>COUNTIF('Recipe Ingredients'!$F$2:$F$2000,A26)</f>
        <v>0</v>
      </c>
      <c r="T26" s="15" t="s">
        <v>341</v>
      </c>
      <c r="U26" s="13" t="s">
        <v>124</v>
      </c>
      <c r="V26" s="15" t="s">
        <v>342</v>
      </c>
      <c r="W26" s="13" t="s">
        <v>296</v>
      </c>
      <c r="X26" s="15" t="s">
        <v>343</v>
      </c>
    </row>
    <row r="27" spans="1:24" ht="15" customHeight="1" x14ac:dyDescent="0.25">
      <c r="A27" s="13" t="s">
        <v>344</v>
      </c>
      <c r="B27" s="14" t="s">
        <v>345</v>
      </c>
      <c r="C27" s="15"/>
      <c r="D27" s="13" t="s">
        <v>112</v>
      </c>
      <c r="E27" s="13" t="s">
        <v>113</v>
      </c>
      <c r="F27" s="13" t="s">
        <v>274</v>
      </c>
      <c r="G27" s="13" t="s">
        <v>170</v>
      </c>
      <c r="H27" s="13" t="s">
        <v>346</v>
      </c>
      <c r="I27" s="13"/>
      <c r="J27" s="13" t="str">
        <f ca="1">IFERROR(IF(INDEX('Seasonal Calendar'!$C$2:$N$500,MATCH(A27,'Seasonal Calendar'!$A$2:$A$500,0),MONTH(TODAY()))="","Out",INDEX('Seasonal Calendar'!$C$2:$N$500,MATCH(A27,'Seasonal Calendar'!$A$2:$A$500,0),MONTH(TODAY()))),"")</f>
        <v>Out</v>
      </c>
      <c r="K27" s="13" t="s">
        <v>173</v>
      </c>
      <c r="L27" s="13" t="s">
        <v>141</v>
      </c>
      <c r="M27" s="16"/>
      <c r="N27" s="13"/>
      <c r="O27" s="15"/>
      <c r="P27" s="17"/>
      <c r="Q27" s="18" t="s">
        <v>220</v>
      </c>
      <c r="R27" s="13" t="s">
        <v>221</v>
      </c>
      <c r="S27" s="13">
        <f>COUNTIF('Recipe Ingredients'!$F$2:$F$2000,A27)</f>
        <v>0</v>
      </c>
      <c r="T27" s="15" t="s">
        <v>347</v>
      </c>
      <c r="U27" s="13" t="s">
        <v>348</v>
      </c>
      <c r="V27" s="15" t="s">
        <v>303</v>
      </c>
      <c r="W27" s="13" t="s">
        <v>296</v>
      </c>
      <c r="X27" s="15"/>
    </row>
    <row r="28" spans="1:24" ht="15" customHeight="1" x14ac:dyDescent="0.25">
      <c r="A28" s="13" t="s">
        <v>349</v>
      </c>
      <c r="B28" s="14" t="s">
        <v>350</v>
      </c>
      <c r="C28" s="15"/>
      <c r="D28" s="13" t="s">
        <v>112</v>
      </c>
      <c r="E28" s="13" t="s">
        <v>113</v>
      </c>
      <c r="F28" s="13" t="s">
        <v>114</v>
      </c>
      <c r="G28" s="13" t="s">
        <v>170</v>
      </c>
      <c r="H28" s="13" t="s">
        <v>351</v>
      </c>
      <c r="I28" s="13" t="s">
        <v>352</v>
      </c>
      <c r="J28" s="13" t="str">
        <f ca="1">IFERROR(IF(INDEX('Seasonal Calendar'!$C$2:$N$500,MATCH(A28,'Seasonal Calendar'!$A$2:$A$500,0),MONTH(TODAY()))="","Out",INDEX('Seasonal Calendar'!$C$2:$N$500,MATCH(A28,'Seasonal Calendar'!$A$2:$A$500,0),MONTH(TODAY()))),"")</f>
        <v>Out</v>
      </c>
      <c r="K28" s="13" t="s">
        <v>173</v>
      </c>
      <c r="L28" s="13" t="s">
        <v>353</v>
      </c>
      <c r="M28" s="16"/>
      <c r="N28" s="13"/>
      <c r="O28" s="15"/>
      <c r="P28" s="17"/>
      <c r="Q28" s="18" t="s">
        <v>220</v>
      </c>
      <c r="R28" s="13" t="s">
        <v>221</v>
      </c>
      <c r="S28" s="13">
        <f>COUNTIF('Recipe Ingredients'!$F$2:$F$2000,A28)</f>
        <v>0</v>
      </c>
      <c r="T28" s="15" t="s">
        <v>354</v>
      </c>
      <c r="U28" s="13" t="s">
        <v>355</v>
      </c>
      <c r="V28" s="15" t="s">
        <v>356</v>
      </c>
      <c r="W28" s="13" t="s">
        <v>296</v>
      </c>
      <c r="X28" s="15" t="s">
        <v>357</v>
      </c>
    </row>
    <row r="29" spans="1:24" ht="15" customHeight="1" x14ac:dyDescent="0.25">
      <c r="A29" s="13" t="s">
        <v>358</v>
      </c>
      <c r="B29" s="14" t="s">
        <v>359</v>
      </c>
      <c r="C29" s="15"/>
      <c r="D29" s="13" t="s">
        <v>112</v>
      </c>
      <c r="E29" s="13" t="s">
        <v>113</v>
      </c>
      <c r="F29" s="13" t="s">
        <v>274</v>
      </c>
      <c r="G29" s="13" t="s">
        <v>170</v>
      </c>
      <c r="H29" s="13" t="s">
        <v>360</v>
      </c>
      <c r="I29" s="13"/>
      <c r="J29" s="13" t="str">
        <f ca="1">IFERROR(IF(INDEX('Seasonal Calendar'!$C$2:$N$500,MATCH(A29,'Seasonal Calendar'!$A$2:$A$500,0),MONTH(TODAY()))="","Out",INDEX('Seasonal Calendar'!$C$2:$N$500,MATCH(A29,'Seasonal Calendar'!$A$2:$A$500,0),MONTH(TODAY()))),"")</f>
        <v>Out</v>
      </c>
      <c r="K29" s="13" t="s">
        <v>173</v>
      </c>
      <c r="L29" s="13" t="s">
        <v>283</v>
      </c>
      <c r="M29" s="16"/>
      <c r="N29" s="13"/>
      <c r="O29" s="15"/>
      <c r="P29" s="17"/>
      <c r="Q29" s="18" t="s">
        <v>220</v>
      </c>
      <c r="R29" s="13" t="s">
        <v>221</v>
      </c>
      <c r="S29" s="13">
        <f>COUNTIF('Recipe Ingredients'!$F$2:$F$2000,A29)</f>
        <v>0</v>
      </c>
      <c r="T29" s="15" t="s">
        <v>266</v>
      </c>
      <c r="U29" s="13" t="s">
        <v>124</v>
      </c>
      <c r="V29" s="15" t="s">
        <v>356</v>
      </c>
      <c r="W29" s="13" t="s">
        <v>296</v>
      </c>
      <c r="X29" s="15"/>
    </row>
    <row r="30" spans="1:24" ht="23.85" customHeight="1" x14ac:dyDescent="0.25">
      <c r="A30" s="13" t="s">
        <v>361</v>
      </c>
      <c r="B30" s="14" t="s">
        <v>362</v>
      </c>
      <c r="C30" s="15"/>
      <c r="D30" s="13" t="s">
        <v>112</v>
      </c>
      <c r="E30" s="13" t="s">
        <v>186</v>
      </c>
      <c r="F30" s="13" t="s">
        <v>114</v>
      </c>
      <c r="G30" s="13" t="s">
        <v>115</v>
      </c>
      <c r="H30" s="13" t="s">
        <v>116</v>
      </c>
      <c r="I30" s="13" t="s">
        <v>363</v>
      </c>
      <c r="J30" s="13" t="str">
        <f ca="1">IFERROR(IF(INDEX('Seasonal Calendar'!$C$2:$N$500,MATCH(A30,'Seasonal Calendar'!$A$2:$A$500,0),MONTH(TODAY()))="","Out",INDEX('Seasonal Calendar'!$C$2:$N$500,MATCH(A30,'Seasonal Calendar'!$A$2:$A$500,0),MONTH(TODAY()))),"")</f>
        <v>In</v>
      </c>
      <c r="K30" s="13" t="s">
        <v>173</v>
      </c>
      <c r="L30" s="13" t="s">
        <v>141</v>
      </c>
      <c r="M30" s="16">
        <v>15950</v>
      </c>
      <c r="N30" s="13" t="s">
        <v>364</v>
      </c>
      <c r="O30" s="15" t="s">
        <v>265</v>
      </c>
      <c r="P30" s="17"/>
      <c r="Q30" s="18" t="s">
        <v>220</v>
      </c>
      <c r="R30" s="13" t="s">
        <v>257</v>
      </c>
      <c r="S30" s="13">
        <f>COUNTIF('Recipe Ingredients'!$F$2:$F$2000,A30)</f>
        <v>2</v>
      </c>
      <c r="T30" s="15" t="s">
        <v>365</v>
      </c>
      <c r="U30" s="13" t="s">
        <v>178</v>
      </c>
      <c r="V30" s="15" t="s">
        <v>366</v>
      </c>
      <c r="W30" s="13" t="s">
        <v>367</v>
      </c>
      <c r="X30" s="15" t="s">
        <v>368</v>
      </c>
    </row>
    <row r="31" spans="1:24" ht="23.85" customHeight="1" x14ac:dyDescent="0.25">
      <c r="A31" s="13" t="s">
        <v>369</v>
      </c>
      <c r="B31" s="14" t="s">
        <v>370</v>
      </c>
      <c r="C31" s="15" t="s">
        <v>371</v>
      </c>
      <c r="D31" s="13" t="s">
        <v>112</v>
      </c>
      <c r="E31" s="13" t="s">
        <v>186</v>
      </c>
      <c r="F31" s="13" t="s">
        <v>114</v>
      </c>
      <c r="G31" s="13" t="s">
        <v>115</v>
      </c>
      <c r="H31" s="13" t="s">
        <v>116</v>
      </c>
      <c r="I31" s="13" t="s">
        <v>372</v>
      </c>
      <c r="J31" s="13" t="str">
        <f ca="1">IFERROR(IF(INDEX('Seasonal Calendar'!$C$2:$N$500,MATCH(A31,'Seasonal Calendar'!$A$2:$A$500,0),MONTH(TODAY()))="","Out",INDEX('Seasonal Calendar'!$C$2:$N$500,MATCH(A31,'Seasonal Calendar'!$A$2:$A$500,0),MONTH(TODAY()))),"")</f>
        <v>In</v>
      </c>
      <c r="K31" s="13" t="s">
        <v>173</v>
      </c>
      <c r="L31" s="13" t="s">
        <v>373</v>
      </c>
      <c r="M31" s="16"/>
      <c r="N31" s="13"/>
      <c r="O31" s="15"/>
      <c r="P31" s="17"/>
      <c r="Q31" s="18" t="s">
        <v>121</v>
      </c>
      <c r="R31" s="13" t="s">
        <v>122</v>
      </c>
      <c r="S31" s="13">
        <f>COUNTIF('Recipe Ingredients'!$F$2:$F$2000,A31)</f>
        <v>6</v>
      </c>
      <c r="T31" s="15" t="s">
        <v>374</v>
      </c>
      <c r="U31" s="13" t="s">
        <v>375</v>
      </c>
      <c r="V31" s="15" t="s">
        <v>376</v>
      </c>
      <c r="W31" s="13" t="s">
        <v>126</v>
      </c>
      <c r="X31" s="15" t="s">
        <v>377</v>
      </c>
    </row>
    <row r="32" spans="1:24" ht="35.1" customHeight="1" x14ac:dyDescent="0.25">
      <c r="A32" s="13" t="s">
        <v>378</v>
      </c>
      <c r="B32" s="14" t="s">
        <v>379</v>
      </c>
      <c r="C32" s="15"/>
      <c r="D32" s="13" t="s">
        <v>112</v>
      </c>
      <c r="E32" s="13" t="s">
        <v>380</v>
      </c>
      <c r="F32" s="13" t="s">
        <v>114</v>
      </c>
      <c r="G32" s="13" t="s">
        <v>115</v>
      </c>
      <c r="H32" s="13" t="s">
        <v>116</v>
      </c>
      <c r="I32" s="13"/>
      <c r="J32" s="13" t="str">
        <f ca="1">IFERROR(IF(INDEX('Seasonal Calendar'!$C$2:$N$500,MATCH(A32,'Seasonal Calendar'!$A$2:$A$500,0),MONTH(TODAY()))="","Out",INDEX('Seasonal Calendar'!$C$2:$N$500,MATCH(A32,'Seasonal Calendar'!$A$2:$A$500,0),MONTH(TODAY()))),"")</f>
        <v>In</v>
      </c>
      <c r="K32" s="13" t="s">
        <v>117</v>
      </c>
      <c r="L32" s="13" t="s">
        <v>381</v>
      </c>
      <c r="M32" s="16">
        <v>500</v>
      </c>
      <c r="N32" s="13" t="s">
        <v>382</v>
      </c>
      <c r="O32" s="15" t="s">
        <v>383</v>
      </c>
      <c r="P32" s="17"/>
      <c r="Q32" s="18" t="s">
        <v>121</v>
      </c>
      <c r="R32" s="13" t="s">
        <v>384</v>
      </c>
      <c r="S32" s="13">
        <f>COUNTIF('Recipe Ingredients'!$F$2:$F$2000,A32)</f>
        <v>5</v>
      </c>
      <c r="T32" s="15" t="s">
        <v>208</v>
      </c>
      <c r="U32" s="13" t="s">
        <v>385</v>
      </c>
      <c r="V32" s="15" t="s">
        <v>386</v>
      </c>
      <c r="W32" s="13" t="s">
        <v>224</v>
      </c>
      <c r="X32" s="15" t="s">
        <v>387</v>
      </c>
    </row>
    <row r="33" spans="1:24" ht="15" customHeight="1" x14ac:dyDescent="0.25">
      <c r="A33" s="13" t="s">
        <v>388</v>
      </c>
      <c r="B33" s="14" t="s">
        <v>389</v>
      </c>
      <c r="C33" s="15"/>
      <c r="D33" s="13" t="s">
        <v>112</v>
      </c>
      <c r="E33" s="13" t="s">
        <v>380</v>
      </c>
      <c r="F33" s="13" t="s">
        <v>114</v>
      </c>
      <c r="G33" s="13" t="s">
        <v>115</v>
      </c>
      <c r="H33" s="13" t="s">
        <v>116</v>
      </c>
      <c r="I33" s="13"/>
      <c r="J33" s="13" t="str">
        <f ca="1">IFERROR(IF(INDEX('Seasonal Calendar'!$C$2:$N$500,MATCH(A33,'Seasonal Calendar'!$A$2:$A$500,0),MONTH(TODAY()))="","Out",INDEX('Seasonal Calendar'!$C$2:$N$500,MATCH(A33,'Seasonal Calendar'!$A$2:$A$500,0),MONTH(TODAY()))),"")</f>
        <v>In</v>
      </c>
      <c r="K33" s="13" t="s">
        <v>117</v>
      </c>
      <c r="L33" s="13" t="s">
        <v>141</v>
      </c>
      <c r="M33" s="16"/>
      <c r="N33" s="13"/>
      <c r="O33" s="15"/>
      <c r="P33" s="17"/>
      <c r="Q33" s="18" t="s">
        <v>220</v>
      </c>
      <c r="R33" s="13" t="s">
        <v>257</v>
      </c>
      <c r="S33" s="13">
        <f>COUNTIF('Recipe Ingredients'!$F$2:$F$2000,A33)</f>
        <v>1</v>
      </c>
      <c r="T33" s="15" t="s">
        <v>390</v>
      </c>
      <c r="U33" s="13" t="s">
        <v>201</v>
      </c>
      <c r="V33" s="15" t="s">
        <v>380</v>
      </c>
      <c r="W33" s="13" t="s">
        <v>224</v>
      </c>
      <c r="X33" s="15" t="s">
        <v>391</v>
      </c>
    </row>
    <row r="34" spans="1:24" ht="35.1" customHeight="1" x14ac:dyDescent="0.25">
      <c r="A34" s="13" t="s">
        <v>392</v>
      </c>
      <c r="B34" s="14" t="s">
        <v>393</v>
      </c>
      <c r="C34" s="15"/>
      <c r="D34" s="13" t="s">
        <v>112</v>
      </c>
      <c r="E34" s="13" t="s">
        <v>380</v>
      </c>
      <c r="F34" s="13" t="s">
        <v>114</v>
      </c>
      <c r="G34" s="13" t="s">
        <v>115</v>
      </c>
      <c r="H34" s="13" t="s">
        <v>116</v>
      </c>
      <c r="I34" s="13"/>
      <c r="J34" s="13" t="str">
        <f ca="1">IFERROR(IF(INDEX('Seasonal Calendar'!$C$2:$N$500,MATCH(A34,'Seasonal Calendar'!$A$2:$A$500,0),MONTH(TODAY()))="","Out",INDEX('Seasonal Calendar'!$C$2:$N$500,MATCH(A34,'Seasonal Calendar'!$A$2:$A$500,0),MONTH(TODAY()))),"")</f>
        <v>In</v>
      </c>
      <c r="K34" s="13" t="s">
        <v>117</v>
      </c>
      <c r="L34" s="13" t="s">
        <v>394</v>
      </c>
      <c r="M34" s="16">
        <v>7500</v>
      </c>
      <c r="N34" s="13" t="s">
        <v>394</v>
      </c>
      <c r="O34" s="15" t="s">
        <v>395</v>
      </c>
      <c r="P34" s="17"/>
      <c r="Q34" s="18" t="s">
        <v>220</v>
      </c>
      <c r="R34" s="13" t="s">
        <v>257</v>
      </c>
      <c r="S34" s="13">
        <f>COUNTIF('Recipe Ingredients'!$F$2:$F$2000,A34)</f>
        <v>5</v>
      </c>
      <c r="T34" s="15" t="s">
        <v>396</v>
      </c>
      <c r="U34" s="13" t="s">
        <v>397</v>
      </c>
      <c r="V34" s="15" t="s">
        <v>380</v>
      </c>
      <c r="W34" s="13" t="s">
        <v>296</v>
      </c>
      <c r="X34" s="15"/>
    </row>
    <row r="35" spans="1:24" ht="23.85" customHeight="1" x14ac:dyDescent="0.25">
      <c r="A35" s="13" t="s">
        <v>398</v>
      </c>
      <c r="B35" s="14" t="s">
        <v>399</v>
      </c>
      <c r="C35" s="15"/>
      <c r="D35" s="13" t="s">
        <v>400</v>
      </c>
      <c r="E35" s="13" t="s">
        <v>186</v>
      </c>
      <c r="F35" s="13" t="s">
        <v>114</v>
      </c>
      <c r="G35" s="13" t="s">
        <v>170</v>
      </c>
      <c r="H35" s="13" t="s">
        <v>401</v>
      </c>
      <c r="I35" s="13" t="s">
        <v>402</v>
      </c>
      <c r="J35" s="13" t="str">
        <f ca="1">IFERROR(IF(INDEX('Seasonal Calendar'!$C$2:$N$500,MATCH(A35,'Seasonal Calendar'!$A$2:$A$500,0),MONTH(TODAY()))="","Out",INDEX('Seasonal Calendar'!$C$2:$N$500,MATCH(A35,'Seasonal Calendar'!$A$2:$A$500,0),MONTH(TODAY()))),"")</f>
        <v>Out</v>
      </c>
      <c r="K35" s="13" t="s">
        <v>117</v>
      </c>
      <c r="L35" s="13" t="s">
        <v>403</v>
      </c>
      <c r="M35" s="16">
        <v>4550</v>
      </c>
      <c r="N35" s="13" t="s">
        <v>404</v>
      </c>
      <c r="O35" s="15" t="s">
        <v>405</v>
      </c>
      <c r="P35" s="17"/>
      <c r="Q35" s="18" t="s">
        <v>220</v>
      </c>
      <c r="R35" s="13" t="s">
        <v>257</v>
      </c>
      <c r="S35" s="13">
        <f>COUNTIF('Recipe Ingredients'!$F$2:$F$2000,A35)</f>
        <v>7</v>
      </c>
      <c r="T35" s="15" t="s">
        <v>396</v>
      </c>
      <c r="U35" s="13" t="s">
        <v>406</v>
      </c>
      <c r="V35" s="15" t="s">
        <v>407</v>
      </c>
      <c r="W35" s="13" t="s">
        <v>203</v>
      </c>
      <c r="X35" s="15" t="s">
        <v>408</v>
      </c>
    </row>
    <row r="36" spans="1:24" ht="35.1" customHeight="1" x14ac:dyDescent="0.25">
      <c r="A36" s="13" t="s">
        <v>409</v>
      </c>
      <c r="B36" s="14" t="s">
        <v>410</v>
      </c>
      <c r="C36" s="15"/>
      <c r="D36" s="13" t="s">
        <v>400</v>
      </c>
      <c r="E36" s="13" t="s">
        <v>380</v>
      </c>
      <c r="F36" s="13" t="s">
        <v>114</v>
      </c>
      <c r="G36" s="13" t="s">
        <v>115</v>
      </c>
      <c r="H36" s="13" t="s">
        <v>116</v>
      </c>
      <c r="I36" s="13"/>
      <c r="J36" s="13" t="str">
        <f ca="1">IFERROR(IF(INDEX('Seasonal Calendar'!$C$2:$N$500,MATCH(A36,'Seasonal Calendar'!$A$2:$A$500,0),MONTH(TODAY()))="","Out",INDEX('Seasonal Calendar'!$C$2:$N$500,MATCH(A36,'Seasonal Calendar'!$A$2:$A$500,0),MONTH(TODAY()))),"")</f>
        <v>In</v>
      </c>
      <c r="K36" s="13" t="s">
        <v>117</v>
      </c>
      <c r="L36" s="13" t="s">
        <v>411</v>
      </c>
      <c r="M36" s="16">
        <v>5720</v>
      </c>
      <c r="N36" s="13" t="s">
        <v>411</v>
      </c>
      <c r="O36" s="15" t="s">
        <v>412</v>
      </c>
      <c r="P36" s="17"/>
      <c r="Q36" s="18" t="s">
        <v>220</v>
      </c>
      <c r="R36" s="13" t="s">
        <v>257</v>
      </c>
      <c r="S36" s="13">
        <f>COUNTIF('Recipe Ingredients'!$F$2:$F$2000,A36)</f>
        <v>1</v>
      </c>
      <c r="T36" s="15" t="s">
        <v>208</v>
      </c>
      <c r="U36" s="13" t="s">
        <v>397</v>
      </c>
      <c r="V36" s="15" t="s">
        <v>380</v>
      </c>
      <c r="W36" s="13" t="s">
        <v>203</v>
      </c>
      <c r="X36" s="15"/>
    </row>
    <row r="37" spans="1:24" ht="15" customHeight="1" x14ac:dyDescent="0.25">
      <c r="A37" s="13" t="s">
        <v>413</v>
      </c>
      <c r="B37" s="14" t="s">
        <v>414</v>
      </c>
      <c r="C37" s="15"/>
      <c r="D37" s="13" t="s">
        <v>112</v>
      </c>
      <c r="E37" s="13" t="s">
        <v>380</v>
      </c>
      <c r="F37" s="13" t="s">
        <v>114</v>
      </c>
      <c r="G37" s="13" t="s">
        <v>115</v>
      </c>
      <c r="H37" s="13" t="s">
        <v>116</v>
      </c>
      <c r="I37" s="13"/>
      <c r="J37" s="13" t="str">
        <f ca="1">IFERROR(IF(INDEX('Seasonal Calendar'!$C$2:$N$500,MATCH(A37,'Seasonal Calendar'!$A$2:$A$500,0),MONTH(TODAY()))="","Out",INDEX('Seasonal Calendar'!$C$2:$N$500,MATCH(A37,'Seasonal Calendar'!$A$2:$A$500,0),MONTH(TODAY()))),"")</f>
        <v>In</v>
      </c>
      <c r="K37" s="13" t="s">
        <v>117</v>
      </c>
      <c r="L37" s="13" t="s">
        <v>415</v>
      </c>
      <c r="M37" s="16">
        <v>3450</v>
      </c>
      <c r="N37" s="13" t="s">
        <v>416</v>
      </c>
      <c r="O37" s="15" t="s">
        <v>265</v>
      </c>
      <c r="P37" s="17"/>
      <c r="Q37" s="18" t="s">
        <v>220</v>
      </c>
      <c r="R37" s="13" t="s">
        <v>257</v>
      </c>
      <c r="S37" s="13">
        <f>COUNTIF('Recipe Ingredients'!$F$2:$F$2000,A37)</f>
        <v>4</v>
      </c>
      <c r="T37" s="15" t="s">
        <v>208</v>
      </c>
      <c r="U37" s="13" t="s">
        <v>201</v>
      </c>
      <c r="V37" s="15" t="s">
        <v>380</v>
      </c>
      <c r="W37" s="13" t="s">
        <v>203</v>
      </c>
      <c r="X37" s="15"/>
    </row>
    <row r="38" spans="1:24" ht="15" customHeight="1" x14ac:dyDescent="0.25">
      <c r="A38" s="13" t="s">
        <v>417</v>
      </c>
      <c r="B38" s="14" t="s">
        <v>418</v>
      </c>
      <c r="C38" s="15"/>
      <c r="D38" s="13" t="s">
        <v>112</v>
      </c>
      <c r="E38" s="13" t="s">
        <v>380</v>
      </c>
      <c r="F38" s="13" t="s">
        <v>114</v>
      </c>
      <c r="G38" s="13" t="s">
        <v>115</v>
      </c>
      <c r="H38" s="13" t="s">
        <v>116</v>
      </c>
      <c r="I38" s="13"/>
      <c r="J38" s="13" t="str">
        <f ca="1">IFERROR(IF(INDEX('Seasonal Calendar'!$C$2:$N$500,MATCH(A38,'Seasonal Calendar'!$A$2:$A$500,0),MONTH(TODAY()))="","Out",INDEX('Seasonal Calendar'!$C$2:$N$500,MATCH(A38,'Seasonal Calendar'!$A$2:$A$500,0),MONTH(TODAY()))),"")</f>
        <v>In</v>
      </c>
      <c r="K38" s="13" t="s">
        <v>117</v>
      </c>
      <c r="L38" s="13" t="s">
        <v>141</v>
      </c>
      <c r="M38" s="16"/>
      <c r="N38" s="13"/>
      <c r="O38" s="15"/>
      <c r="P38" s="17"/>
      <c r="Q38" s="18" t="s">
        <v>220</v>
      </c>
      <c r="R38" s="13" t="s">
        <v>221</v>
      </c>
      <c r="S38" s="13">
        <f>COUNTIF('Recipe Ingredients'!$F$2:$F$2000,A38)</f>
        <v>1</v>
      </c>
      <c r="T38" s="15" t="s">
        <v>208</v>
      </c>
      <c r="U38" s="13" t="s">
        <v>209</v>
      </c>
      <c r="V38" s="15" t="s">
        <v>380</v>
      </c>
      <c r="W38" s="13" t="s">
        <v>203</v>
      </c>
      <c r="X38" s="15"/>
    </row>
    <row r="39" spans="1:24" ht="15" customHeight="1" x14ac:dyDescent="0.25">
      <c r="A39" s="13" t="s">
        <v>419</v>
      </c>
      <c r="B39" s="14" t="s">
        <v>420</v>
      </c>
      <c r="C39" s="15"/>
      <c r="D39" s="13" t="s">
        <v>112</v>
      </c>
      <c r="E39" s="13" t="s">
        <v>421</v>
      </c>
      <c r="F39" s="13" t="s">
        <v>114</v>
      </c>
      <c r="G39" s="13" t="s">
        <v>115</v>
      </c>
      <c r="H39" s="13" t="s">
        <v>116</v>
      </c>
      <c r="I39" s="13"/>
      <c r="J39" s="13" t="str">
        <f ca="1">IFERROR(IF(INDEX('Seasonal Calendar'!$C$2:$N$500,MATCH(A39,'Seasonal Calendar'!$A$2:$A$500,0),MONTH(TODAY()))="","Out",INDEX('Seasonal Calendar'!$C$2:$N$500,MATCH(A39,'Seasonal Calendar'!$A$2:$A$500,0),MONTH(TODAY()))),"")</f>
        <v>In</v>
      </c>
      <c r="K39" s="13" t="s">
        <v>117</v>
      </c>
      <c r="L39" s="13" t="s">
        <v>141</v>
      </c>
      <c r="M39" s="16">
        <v>40000</v>
      </c>
      <c r="N39" s="13" t="s">
        <v>119</v>
      </c>
      <c r="O39" s="15" t="s">
        <v>120</v>
      </c>
      <c r="P39" s="17"/>
      <c r="Q39" s="18" t="s">
        <v>220</v>
      </c>
      <c r="R39" s="13" t="s">
        <v>221</v>
      </c>
      <c r="S39" s="13">
        <f>COUNTIF('Recipe Ingredients'!$F$2:$F$2000,A39)</f>
        <v>0</v>
      </c>
      <c r="T39" s="15" t="s">
        <v>208</v>
      </c>
      <c r="U39" s="13" t="s">
        <v>397</v>
      </c>
      <c r="V39" s="15" t="s">
        <v>422</v>
      </c>
      <c r="W39" s="13" t="s">
        <v>203</v>
      </c>
      <c r="X39" s="15" t="s">
        <v>423</v>
      </c>
    </row>
    <row r="40" spans="1:24" ht="15" customHeight="1" x14ac:dyDescent="0.25">
      <c r="A40" s="13" t="s">
        <v>424</v>
      </c>
      <c r="B40" s="14" t="s">
        <v>425</v>
      </c>
      <c r="C40" s="15"/>
      <c r="D40" s="13" t="s">
        <v>112</v>
      </c>
      <c r="E40" s="13" t="s">
        <v>113</v>
      </c>
      <c r="F40" s="13" t="s">
        <v>114</v>
      </c>
      <c r="G40" s="13" t="s">
        <v>115</v>
      </c>
      <c r="H40" s="13" t="s">
        <v>116</v>
      </c>
      <c r="I40" s="13"/>
      <c r="J40" s="13" t="str">
        <f ca="1">IFERROR(IF(INDEX('Seasonal Calendar'!$C$2:$N$500,MATCH(A40,'Seasonal Calendar'!$A$2:$A$500,0),MONTH(TODAY()))="","Out",INDEX('Seasonal Calendar'!$C$2:$N$500,MATCH(A40,'Seasonal Calendar'!$A$2:$A$500,0),MONTH(TODAY()))),"")</f>
        <v>In</v>
      </c>
      <c r="K40" s="13" t="s">
        <v>117</v>
      </c>
      <c r="L40" s="13" t="s">
        <v>141</v>
      </c>
      <c r="M40" s="16"/>
      <c r="N40" s="13"/>
      <c r="O40" s="15"/>
      <c r="P40" s="17"/>
      <c r="Q40" s="18" t="s">
        <v>220</v>
      </c>
      <c r="R40" s="13" t="s">
        <v>221</v>
      </c>
      <c r="S40" s="13">
        <f>COUNTIF('Recipe Ingredients'!$F$2:$F$2000,A40)</f>
        <v>0</v>
      </c>
      <c r="T40" s="15" t="s">
        <v>222</v>
      </c>
      <c r="U40" s="13" t="s">
        <v>124</v>
      </c>
      <c r="V40" s="15" t="s">
        <v>356</v>
      </c>
      <c r="W40" s="13" t="s">
        <v>296</v>
      </c>
      <c r="X40" s="15" t="s">
        <v>426</v>
      </c>
    </row>
    <row r="41" spans="1:24" ht="23.85" customHeight="1" x14ac:dyDescent="0.25">
      <c r="A41" s="13" t="s">
        <v>427</v>
      </c>
      <c r="B41" s="14" t="s">
        <v>428</v>
      </c>
      <c r="C41" s="15" t="s">
        <v>429</v>
      </c>
      <c r="D41" s="13" t="s">
        <v>430</v>
      </c>
      <c r="E41" s="13" t="s">
        <v>113</v>
      </c>
      <c r="F41" s="13" t="s">
        <v>132</v>
      </c>
      <c r="G41" s="13" t="s">
        <v>115</v>
      </c>
      <c r="H41" s="13" t="s">
        <v>116</v>
      </c>
      <c r="I41" s="13" t="s">
        <v>431</v>
      </c>
      <c r="J41" s="13" t="str">
        <f ca="1">IFERROR(IF(INDEX('Seasonal Calendar'!$C$2:$N$500,MATCH(A41,'Seasonal Calendar'!$A$2:$A$500,0),MONTH(TODAY()))="","Out",INDEX('Seasonal Calendar'!$C$2:$N$500,MATCH(A41,'Seasonal Calendar'!$A$2:$A$500,0),MONTH(TODAY()))),"")</f>
        <v>Peak</v>
      </c>
      <c r="K41" s="13" t="s">
        <v>173</v>
      </c>
      <c r="L41" s="13" t="s">
        <v>330</v>
      </c>
      <c r="M41" s="16"/>
      <c r="N41" s="13"/>
      <c r="O41" s="15"/>
      <c r="P41" s="17"/>
      <c r="Q41" s="18" t="s">
        <v>121</v>
      </c>
      <c r="R41" s="13" t="s">
        <v>122</v>
      </c>
      <c r="S41" s="13">
        <f>COUNTIF('Recipe Ingredients'!$F$2:$F$2000,A41)</f>
        <v>23</v>
      </c>
      <c r="T41" s="15" t="s">
        <v>432</v>
      </c>
      <c r="U41" s="13" t="s">
        <v>433</v>
      </c>
      <c r="V41" s="15" t="s">
        <v>332</v>
      </c>
      <c r="W41" s="13" t="s">
        <v>434</v>
      </c>
      <c r="X41" s="15" t="s">
        <v>435</v>
      </c>
    </row>
    <row r="42" spans="1:24" ht="15" customHeight="1" x14ac:dyDescent="0.25">
      <c r="A42" s="13" t="s">
        <v>436</v>
      </c>
      <c r="B42" s="14" t="s">
        <v>437</v>
      </c>
      <c r="C42" s="15" t="s">
        <v>438</v>
      </c>
      <c r="D42" s="13" t="s">
        <v>439</v>
      </c>
      <c r="E42" s="13" t="s">
        <v>113</v>
      </c>
      <c r="F42" s="13" t="s">
        <v>274</v>
      </c>
      <c r="G42" s="13" t="s">
        <v>170</v>
      </c>
      <c r="H42" s="13" t="s">
        <v>440</v>
      </c>
      <c r="I42" s="13"/>
      <c r="J42" s="13" t="str">
        <f ca="1">IFERROR(IF(INDEX('Seasonal Calendar'!$C$2:$N$500,MATCH(A42,'Seasonal Calendar'!$A$2:$A$500,0),MONTH(TODAY()))="","Out",INDEX('Seasonal Calendar'!$C$2:$N$500,MATCH(A42,'Seasonal Calendar'!$A$2:$A$500,0),MONTH(TODAY()))),"")</f>
        <v>In</v>
      </c>
      <c r="K42" s="13" t="s">
        <v>173</v>
      </c>
      <c r="L42" s="13" t="s">
        <v>283</v>
      </c>
      <c r="M42" s="16"/>
      <c r="N42" s="13"/>
      <c r="O42" s="15"/>
      <c r="P42" s="17"/>
      <c r="Q42" s="18" t="s">
        <v>170</v>
      </c>
      <c r="R42" s="13" t="s">
        <v>176</v>
      </c>
      <c r="S42" s="13">
        <f>COUNTIF('Recipe Ingredients'!$F$2:$F$2000,A42)</f>
        <v>0</v>
      </c>
      <c r="T42" s="15" t="s">
        <v>441</v>
      </c>
      <c r="U42" s="13" t="s">
        <v>442</v>
      </c>
      <c r="V42" s="15" t="s">
        <v>443</v>
      </c>
      <c r="W42" s="13" t="s">
        <v>296</v>
      </c>
      <c r="X42" s="15" t="s">
        <v>444</v>
      </c>
    </row>
    <row r="43" spans="1:24" ht="35.1" customHeight="1" x14ac:dyDescent="0.25">
      <c r="A43" s="13" t="s">
        <v>445</v>
      </c>
      <c r="B43" s="14" t="s">
        <v>446</v>
      </c>
      <c r="C43" s="15" t="s">
        <v>447</v>
      </c>
      <c r="D43" s="13" t="s">
        <v>448</v>
      </c>
      <c r="E43" s="13" t="s">
        <v>113</v>
      </c>
      <c r="F43" s="13" t="s">
        <v>132</v>
      </c>
      <c r="G43" s="13" t="s">
        <v>115</v>
      </c>
      <c r="H43" s="13" t="s">
        <v>116</v>
      </c>
      <c r="I43" s="13" t="s">
        <v>449</v>
      </c>
      <c r="J43" s="13" t="str">
        <f ca="1">IFERROR(IF(INDEX('Seasonal Calendar'!$C$2:$N$500,MATCH(A43,'Seasonal Calendar'!$A$2:$A$500,0),MONTH(TODAY()))="","Out",INDEX('Seasonal Calendar'!$C$2:$N$500,MATCH(A43,'Seasonal Calendar'!$A$2:$A$500,0),MONTH(TODAY()))),"")</f>
        <v>In</v>
      </c>
      <c r="K43" s="13" t="s">
        <v>173</v>
      </c>
      <c r="L43" s="13" t="s">
        <v>119</v>
      </c>
      <c r="M43" s="16">
        <v>4600</v>
      </c>
      <c r="N43" s="13" t="s">
        <v>119</v>
      </c>
      <c r="O43" s="15" t="s">
        <v>450</v>
      </c>
      <c r="P43" s="17"/>
      <c r="Q43" s="18" t="s">
        <v>121</v>
      </c>
      <c r="R43" s="13" t="s">
        <v>122</v>
      </c>
      <c r="S43" s="13">
        <f>COUNTIF('Recipe Ingredients'!$F$2:$F$2000,A43)</f>
        <v>62</v>
      </c>
      <c r="T43" s="15" t="s">
        <v>451</v>
      </c>
      <c r="U43" s="13" t="s">
        <v>452</v>
      </c>
      <c r="V43" s="15" t="s">
        <v>453</v>
      </c>
      <c r="W43" s="13" t="s">
        <v>203</v>
      </c>
      <c r="X43" s="15" t="s">
        <v>454</v>
      </c>
    </row>
    <row r="44" spans="1:24" ht="23.85" customHeight="1" x14ac:dyDescent="0.25">
      <c r="A44" s="13" t="s">
        <v>455</v>
      </c>
      <c r="B44" s="14" t="s">
        <v>456</v>
      </c>
      <c r="C44" s="15"/>
      <c r="D44" s="13" t="s">
        <v>448</v>
      </c>
      <c r="E44" s="13" t="s">
        <v>186</v>
      </c>
      <c r="F44" s="13" t="s">
        <v>114</v>
      </c>
      <c r="G44" s="13" t="s">
        <v>115</v>
      </c>
      <c r="H44" s="13" t="s">
        <v>116</v>
      </c>
      <c r="I44" s="13"/>
      <c r="J44" s="13" t="str">
        <f ca="1">IFERROR(IF(INDEX('Seasonal Calendar'!$C$2:$N$500,MATCH(A44,'Seasonal Calendar'!$A$2:$A$500,0),MONTH(TODAY()))="","Out",INDEX('Seasonal Calendar'!$C$2:$N$500,MATCH(A44,'Seasonal Calendar'!$A$2:$A$500,0),MONTH(TODAY()))),"")</f>
        <v>In</v>
      </c>
      <c r="K44" s="13" t="s">
        <v>117</v>
      </c>
      <c r="L44" s="13" t="s">
        <v>457</v>
      </c>
      <c r="M44" s="16">
        <v>9000</v>
      </c>
      <c r="N44" s="13" t="s">
        <v>458</v>
      </c>
      <c r="O44" s="15" t="s">
        <v>265</v>
      </c>
      <c r="P44" s="17"/>
      <c r="Q44" s="18" t="s">
        <v>220</v>
      </c>
      <c r="R44" s="13" t="s">
        <v>257</v>
      </c>
      <c r="S44" s="13">
        <f>COUNTIF('Recipe Ingredients'!$F$2:$F$2000,A44)</f>
        <v>7</v>
      </c>
      <c r="T44" s="15" t="s">
        <v>266</v>
      </c>
      <c r="U44" s="13" t="s">
        <v>397</v>
      </c>
      <c r="V44" s="15" t="s">
        <v>459</v>
      </c>
      <c r="W44" s="13" t="s">
        <v>203</v>
      </c>
      <c r="X44" s="15" t="s">
        <v>460</v>
      </c>
    </row>
    <row r="45" spans="1:24" ht="15" customHeight="1" x14ac:dyDescent="0.25">
      <c r="A45" s="13" t="s">
        <v>461</v>
      </c>
      <c r="B45" s="14" t="s">
        <v>462</v>
      </c>
      <c r="C45" s="15" t="s">
        <v>463</v>
      </c>
      <c r="D45" s="13" t="s">
        <v>448</v>
      </c>
      <c r="E45" s="13" t="s">
        <v>113</v>
      </c>
      <c r="F45" s="13" t="s">
        <v>132</v>
      </c>
      <c r="G45" s="13" t="s">
        <v>115</v>
      </c>
      <c r="H45" s="13" t="s">
        <v>116</v>
      </c>
      <c r="I45" s="13"/>
      <c r="J45" s="13" t="str">
        <f ca="1">IFERROR(IF(INDEX('Seasonal Calendar'!$C$2:$N$500,MATCH(A45,'Seasonal Calendar'!$A$2:$A$500,0),MONTH(TODAY()))="","Out",INDEX('Seasonal Calendar'!$C$2:$N$500,MATCH(A45,'Seasonal Calendar'!$A$2:$A$500,0),MONTH(TODAY()))),"")</f>
        <v>In</v>
      </c>
      <c r="K45" s="13" t="s">
        <v>117</v>
      </c>
      <c r="L45" s="13" t="s">
        <v>381</v>
      </c>
      <c r="M45" s="16">
        <v>10350</v>
      </c>
      <c r="N45" s="13" t="s">
        <v>464</v>
      </c>
      <c r="O45" s="15" t="s">
        <v>265</v>
      </c>
      <c r="P45" s="17"/>
      <c r="Q45" s="18" t="s">
        <v>121</v>
      </c>
      <c r="R45" s="13" t="s">
        <v>122</v>
      </c>
      <c r="S45" s="13">
        <f>COUNTIF('Recipe Ingredients'!$F$2:$F$2000,A45)</f>
        <v>29</v>
      </c>
      <c r="T45" s="15" t="s">
        <v>208</v>
      </c>
      <c r="U45" s="13" t="s">
        <v>465</v>
      </c>
      <c r="V45" s="15" t="s">
        <v>466</v>
      </c>
      <c r="W45" s="13" t="s">
        <v>203</v>
      </c>
      <c r="X45" s="15"/>
    </row>
    <row r="46" spans="1:24" ht="23.85" customHeight="1" x14ac:dyDescent="0.25">
      <c r="A46" s="13" t="s">
        <v>467</v>
      </c>
      <c r="B46" s="14" t="s">
        <v>468</v>
      </c>
      <c r="C46" s="15"/>
      <c r="D46" s="13" t="s">
        <v>448</v>
      </c>
      <c r="E46" s="13" t="s">
        <v>113</v>
      </c>
      <c r="F46" s="13" t="s">
        <v>132</v>
      </c>
      <c r="G46" s="13" t="s">
        <v>115</v>
      </c>
      <c r="H46" s="13" t="s">
        <v>116</v>
      </c>
      <c r="I46" s="13"/>
      <c r="J46" s="13" t="str">
        <f ca="1">IFERROR(IF(INDEX('Seasonal Calendar'!$C$2:$N$500,MATCH(A46,'Seasonal Calendar'!$A$2:$A$500,0),MONTH(TODAY()))="","Out",INDEX('Seasonal Calendar'!$C$2:$N$500,MATCH(A46,'Seasonal Calendar'!$A$2:$A$500,0),MONTH(TODAY()))),"")</f>
        <v>In</v>
      </c>
      <c r="K46" s="13" t="s">
        <v>117</v>
      </c>
      <c r="L46" s="13" t="s">
        <v>381</v>
      </c>
      <c r="M46" s="16">
        <v>8500</v>
      </c>
      <c r="N46" s="13" t="s">
        <v>469</v>
      </c>
      <c r="O46" s="15" t="s">
        <v>470</v>
      </c>
      <c r="P46" s="17"/>
      <c r="Q46" s="18" t="s">
        <v>121</v>
      </c>
      <c r="R46" s="13" t="s">
        <v>122</v>
      </c>
      <c r="S46" s="13">
        <f>COUNTIF('Recipe Ingredients'!$F$2:$F$2000,A46)</f>
        <v>15</v>
      </c>
      <c r="T46" s="15" t="s">
        <v>208</v>
      </c>
      <c r="U46" s="13" t="s">
        <v>465</v>
      </c>
      <c r="V46" s="15" t="s">
        <v>471</v>
      </c>
      <c r="W46" s="13" t="s">
        <v>203</v>
      </c>
      <c r="X46" s="15"/>
    </row>
    <row r="47" spans="1:24" ht="23.85" customHeight="1" x14ac:dyDescent="0.25">
      <c r="A47" s="13" t="s">
        <v>472</v>
      </c>
      <c r="B47" s="14" t="s">
        <v>473</v>
      </c>
      <c r="C47" s="15" t="s">
        <v>474</v>
      </c>
      <c r="D47" s="13" t="s">
        <v>448</v>
      </c>
      <c r="E47" s="13" t="s">
        <v>113</v>
      </c>
      <c r="F47" s="13" t="s">
        <v>132</v>
      </c>
      <c r="G47" s="13" t="s">
        <v>115</v>
      </c>
      <c r="H47" s="13" t="s">
        <v>116</v>
      </c>
      <c r="I47" s="13"/>
      <c r="J47" s="13" t="str">
        <f ca="1">IFERROR(IF(INDEX('Seasonal Calendar'!$C$2:$N$500,MATCH(A47,'Seasonal Calendar'!$A$2:$A$500,0),MONTH(TODAY()))="","Out",INDEX('Seasonal Calendar'!$C$2:$N$500,MATCH(A47,'Seasonal Calendar'!$A$2:$A$500,0),MONTH(TODAY()))),"")</f>
        <v>In</v>
      </c>
      <c r="K47" s="13" t="s">
        <v>117</v>
      </c>
      <c r="L47" s="13" t="s">
        <v>475</v>
      </c>
      <c r="M47" s="16"/>
      <c r="N47" s="13"/>
      <c r="O47" s="15"/>
      <c r="P47" s="17"/>
      <c r="Q47" s="18" t="s">
        <v>121</v>
      </c>
      <c r="R47" s="13" t="s">
        <v>122</v>
      </c>
      <c r="S47" s="13">
        <f>COUNTIF('Recipe Ingredients'!$F$2:$F$2000,A47)</f>
        <v>40</v>
      </c>
      <c r="T47" s="15" t="s">
        <v>208</v>
      </c>
      <c r="U47" s="13" t="s">
        <v>201</v>
      </c>
      <c r="V47" s="15" t="s">
        <v>164</v>
      </c>
      <c r="W47" s="13" t="s">
        <v>203</v>
      </c>
      <c r="X47" s="15" t="s">
        <v>476</v>
      </c>
    </row>
    <row r="48" spans="1:24" ht="15" customHeight="1" x14ac:dyDescent="0.25">
      <c r="A48" s="13" t="s">
        <v>477</v>
      </c>
      <c r="B48" s="14" t="s">
        <v>478</v>
      </c>
      <c r="C48" s="15" t="s">
        <v>479</v>
      </c>
      <c r="D48" s="13" t="s">
        <v>448</v>
      </c>
      <c r="E48" s="13" t="s">
        <v>113</v>
      </c>
      <c r="F48" s="13" t="s">
        <v>132</v>
      </c>
      <c r="G48" s="13" t="s">
        <v>115</v>
      </c>
      <c r="H48" s="13" t="s">
        <v>116</v>
      </c>
      <c r="I48" s="13"/>
      <c r="J48" s="13" t="str">
        <f ca="1">IFERROR(IF(INDEX('Seasonal Calendar'!$C$2:$N$500,MATCH(A48,'Seasonal Calendar'!$A$2:$A$500,0),MONTH(TODAY()))="","Out",INDEX('Seasonal Calendar'!$C$2:$N$500,MATCH(A48,'Seasonal Calendar'!$A$2:$A$500,0),MONTH(TODAY()))),"")</f>
        <v>In</v>
      </c>
      <c r="K48" s="13" t="s">
        <v>117</v>
      </c>
      <c r="L48" s="13" t="s">
        <v>309</v>
      </c>
      <c r="M48" s="16"/>
      <c r="N48" s="13"/>
      <c r="O48" s="15"/>
      <c r="P48" s="17"/>
      <c r="Q48" s="18" t="s">
        <v>220</v>
      </c>
      <c r="R48" s="13" t="s">
        <v>221</v>
      </c>
      <c r="S48" s="13">
        <f>COUNTIF('Recipe Ingredients'!$F$2:$F$2000,A48)</f>
        <v>16</v>
      </c>
      <c r="T48" s="15" t="s">
        <v>208</v>
      </c>
      <c r="U48" s="13" t="s">
        <v>201</v>
      </c>
      <c r="V48" s="15" t="s">
        <v>366</v>
      </c>
      <c r="W48" s="13"/>
      <c r="X48" s="15" t="s">
        <v>480</v>
      </c>
    </row>
    <row r="49" spans="1:24" ht="23.85" customHeight="1" x14ac:dyDescent="0.25">
      <c r="A49" s="13" t="s">
        <v>481</v>
      </c>
      <c r="B49" s="14" t="s">
        <v>482</v>
      </c>
      <c r="C49" s="15" t="s">
        <v>483</v>
      </c>
      <c r="D49" s="13" t="s">
        <v>448</v>
      </c>
      <c r="E49" s="13" t="s">
        <v>113</v>
      </c>
      <c r="F49" s="13" t="s">
        <v>132</v>
      </c>
      <c r="G49" s="13" t="s">
        <v>115</v>
      </c>
      <c r="H49" s="13" t="s">
        <v>116</v>
      </c>
      <c r="I49" s="13"/>
      <c r="J49" s="13" t="str">
        <f ca="1">IFERROR(IF(INDEX('Seasonal Calendar'!$C$2:$N$500,MATCH(A49,'Seasonal Calendar'!$A$2:$A$500,0),MONTH(TODAY()))="","Out",INDEX('Seasonal Calendar'!$C$2:$N$500,MATCH(A49,'Seasonal Calendar'!$A$2:$A$500,0),MONTH(TODAY()))),"")</f>
        <v>In</v>
      </c>
      <c r="K49" s="13" t="s">
        <v>117</v>
      </c>
      <c r="L49" s="13" t="s">
        <v>484</v>
      </c>
      <c r="M49" s="16"/>
      <c r="N49" s="13"/>
      <c r="O49" s="15"/>
      <c r="P49" s="17"/>
      <c r="Q49" s="18" t="s">
        <v>121</v>
      </c>
      <c r="R49" s="13" t="s">
        <v>122</v>
      </c>
      <c r="S49" s="13">
        <f>COUNTIF('Recipe Ingredients'!$F$2:$F$2000,A49)</f>
        <v>67</v>
      </c>
      <c r="T49" s="15" t="s">
        <v>485</v>
      </c>
      <c r="U49" s="13" t="s">
        <v>486</v>
      </c>
      <c r="V49" s="15" t="s">
        <v>487</v>
      </c>
      <c r="W49" s="13"/>
      <c r="X49" s="15" t="s">
        <v>488</v>
      </c>
    </row>
    <row r="50" spans="1:24" ht="15" customHeight="1" x14ac:dyDescent="0.25">
      <c r="A50" s="13" t="s">
        <v>489</v>
      </c>
      <c r="B50" s="14" t="s">
        <v>490</v>
      </c>
      <c r="C50" s="15" t="s">
        <v>491</v>
      </c>
      <c r="D50" s="13" t="s">
        <v>448</v>
      </c>
      <c r="E50" s="13" t="s">
        <v>113</v>
      </c>
      <c r="F50" s="13" t="s">
        <v>132</v>
      </c>
      <c r="G50" s="13" t="s">
        <v>115</v>
      </c>
      <c r="H50" s="13" t="s">
        <v>116</v>
      </c>
      <c r="I50" s="13"/>
      <c r="J50" s="13" t="str">
        <f ca="1">IFERROR(IF(INDEX('Seasonal Calendar'!$C$2:$N$500,MATCH(A50,'Seasonal Calendar'!$A$2:$A$500,0),MONTH(TODAY()))="","Out",INDEX('Seasonal Calendar'!$C$2:$N$500,MATCH(A50,'Seasonal Calendar'!$A$2:$A$500,0),MONTH(TODAY()))),"")</f>
        <v>In</v>
      </c>
      <c r="K50" s="13" t="s">
        <v>117</v>
      </c>
      <c r="L50" s="13" t="s">
        <v>492</v>
      </c>
      <c r="M50" s="16"/>
      <c r="N50" s="13"/>
      <c r="O50" s="15"/>
      <c r="P50" s="17"/>
      <c r="Q50" s="18" t="s">
        <v>121</v>
      </c>
      <c r="R50" s="13" t="s">
        <v>122</v>
      </c>
      <c r="S50" s="13">
        <f>COUNTIF('Recipe Ingredients'!$F$2:$F$2000,A50)</f>
        <v>30</v>
      </c>
      <c r="T50" s="15" t="s">
        <v>493</v>
      </c>
      <c r="U50" s="13" t="s">
        <v>397</v>
      </c>
      <c r="V50" s="15" t="s">
        <v>494</v>
      </c>
      <c r="W50" s="13"/>
      <c r="X50" s="15"/>
    </row>
    <row r="51" spans="1:24" ht="15" customHeight="1" x14ac:dyDescent="0.25">
      <c r="A51" s="13" t="s">
        <v>495</v>
      </c>
      <c r="B51" s="14" t="s">
        <v>496</v>
      </c>
      <c r="C51" s="15"/>
      <c r="D51" s="13" t="s">
        <v>448</v>
      </c>
      <c r="E51" s="13" t="s">
        <v>186</v>
      </c>
      <c r="F51" s="13" t="s">
        <v>132</v>
      </c>
      <c r="G51" s="13" t="s">
        <v>115</v>
      </c>
      <c r="H51" s="13" t="s">
        <v>116</v>
      </c>
      <c r="I51" s="13"/>
      <c r="J51" s="13" t="str">
        <f ca="1">IFERROR(IF(INDEX('Seasonal Calendar'!$C$2:$N$500,MATCH(A51,'Seasonal Calendar'!$A$2:$A$500,0),MONTH(TODAY()))="","Out",INDEX('Seasonal Calendar'!$C$2:$N$500,MATCH(A51,'Seasonal Calendar'!$A$2:$A$500,0),MONTH(TODAY()))),"")</f>
        <v>In</v>
      </c>
      <c r="K51" s="13" t="s">
        <v>117</v>
      </c>
      <c r="L51" s="13" t="s">
        <v>457</v>
      </c>
      <c r="M51" s="16">
        <v>6500</v>
      </c>
      <c r="N51" s="13" t="s">
        <v>457</v>
      </c>
      <c r="O51" s="15" t="s">
        <v>265</v>
      </c>
      <c r="P51" s="17"/>
      <c r="Q51" s="18" t="s">
        <v>220</v>
      </c>
      <c r="R51" s="13" t="s">
        <v>221</v>
      </c>
      <c r="S51" s="13">
        <f>COUNTIF('Recipe Ingredients'!$F$2:$F$2000,A51)</f>
        <v>2</v>
      </c>
      <c r="T51" s="15" t="s">
        <v>441</v>
      </c>
      <c r="U51" s="13" t="s">
        <v>486</v>
      </c>
      <c r="V51" s="15" t="s">
        <v>497</v>
      </c>
      <c r="W51" s="13"/>
      <c r="X51" s="15" t="s">
        <v>498</v>
      </c>
    </row>
    <row r="52" spans="1:24" ht="15" customHeight="1" x14ac:dyDescent="0.25">
      <c r="A52" s="13" t="s">
        <v>499</v>
      </c>
      <c r="B52" s="14" t="s">
        <v>500</v>
      </c>
      <c r="C52" s="15" t="s">
        <v>501</v>
      </c>
      <c r="D52" s="13" t="s">
        <v>502</v>
      </c>
      <c r="E52" s="13" t="s">
        <v>186</v>
      </c>
      <c r="F52" s="13" t="s">
        <v>132</v>
      </c>
      <c r="G52" s="13" t="s">
        <v>115</v>
      </c>
      <c r="H52" s="13" t="s">
        <v>116</v>
      </c>
      <c r="I52" s="13"/>
      <c r="J52" s="13" t="str">
        <f ca="1">IFERROR(IF(INDEX('Seasonal Calendar'!$C$2:$N$500,MATCH(A52,'Seasonal Calendar'!$A$2:$A$500,0),MONTH(TODAY()))="","Out",INDEX('Seasonal Calendar'!$C$2:$N$500,MATCH(A52,'Seasonal Calendar'!$A$2:$A$500,0),MONTH(TODAY()))),"")</f>
        <v>In</v>
      </c>
      <c r="K52" s="13" t="s">
        <v>117</v>
      </c>
      <c r="L52" s="13" t="s">
        <v>503</v>
      </c>
      <c r="M52" s="16">
        <v>1320</v>
      </c>
      <c r="N52" s="13" t="s">
        <v>504</v>
      </c>
      <c r="O52" s="15" t="s">
        <v>265</v>
      </c>
      <c r="P52" s="17"/>
      <c r="Q52" s="18" t="s">
        <v>121</v>
      </c>
      <c r="R52" s="13" t="s">
        <v>122</v>
      </c>
      <c r="S52" s="13">
        <f>COUNTIF('Recipe Ingredients'!$F$2:$F$2000,A52)</f>
        <v>76</v>
      </c>
      <c r="T52" s="15" t="s">
        <v>441</v>
      </c>
      <c r="U52" s="13" t="s">
        <v>505</v>
      </c>
      <c r="V52" s="15" t="s">
        <v>506</v>
      </c>
      <c r="W52" s="13" t="s">
        <v>203</v>
      </c>
      <c r="X52" s="15"/>
    </row>
    <row r="53" spans="1:24" ht="23.85" customHeight="1" x14ac:dyDescent="0.25">
      <c r="A53" s="13" t="s">
        <v>507</v>
      </c>
      <c r="B53" s="14" t="s">
        <v>508</v>
      </c>
      <c r="C53" s="15" t="s">
        <v>509</v>
      </c>
      <c r="D53" s="13" t="s">
        <v>502</v>
      </c>
      <c r="E53" s="13" t="s">
        <v>113</v>
      </c>
      <c r="F53" s="13" t="s">
        <v>132</v>
      </c>
      <c r="G53" s="13" t="s">
        <v>115</v>
      </c>
      <c r="H53" s="13" t="s">
        <v>116</v>
      </c>
      <c r="I53" s="13" t="s">
        <v>510</v>
      </c>
      <c r="J53" s="13" t="str">
        <f ca="1">IFERROR(IF(INDEX('Seasonal Calendar'!$C$2:$N$500,MATCH(A53,'Seasonal Calendar'!$A$2:$A$500,0),MONTH(TODAY()))="","Out",INDEX('Seasonal Calendar'!$C$2:$N$500,MATCH(A53,'Seasonal Calendar'!$A$2:$A$500,0),MONTH(TODAY()))),"")</f>
        <v>Peak</v>
      </c>
      <c r="K53" s="13" t="s">
        <v>173</v>
      </c>
      <c r="L53" s="13" t="s">
        <v>511</v>
      </c>
      <c r="M53" s="16"/>
      <c r="N53" s="13"/>
      <c r="O53" s="15"/>
      <c r="P53" s="17"/>
      <c r="Q53" s="18" t="s">
        <v>121</v>
      </c>
      <c r="R53" s="13" t="s">
        <v>122</v>
      </c>
      <c r="S53" s="13">
        <f>COUNTIF('Recipe Ingredients'!$F$2:$F$2000,A53)</f>
        <v>23</v>
      </c>
      <c r="T53" s="15" t="s">
        <v>512</v>
      </c>
      <c r="U53" s="13" t="s">
        <v>209</v>
      </c>
      <c r="V53" s="15" t="s">
        <v>513</v>
      </c>
      <c r="W53" s="13" t="s">
        <v>203</v>
      </c>
      <c r="X53" s="15" t="s">
        <v>514</v>
      </c>
    </row>
    <row r="54" spans="1:24" ht="15" customHeight="1" x14ac:dyDescent="0.25">
      <c r="A54" s="13" t="s">
        <v>515</v>
      </c>
      <c r="B54" s="14" t="s">
        <v>516</v>
      </c>
      <c r="C54" s="15" t="s">
        <v>517</v>
      </c>
      <c r="D54" s="13" t="s">
        <v>502</v>
      </c>
      <c r="E54" s="13" t="s">
        <v>113</v>
      </c>
      <c r="F54" s="13" t="s">
        <v>132</v>
      </c>
      <c r="G54" s="13" t="s">
        <v>170</v>
      </c>
      <c r="H54" s="13" t="s">
        <v>518</v>
      </c>
      <c r="I54" s="13"/>
      <c r="J54" s="13" t="str">
        <f ca="1">IFERROR(IF(INDEX('Seasonal Calendar'!$C$2:$N$500,MATCH(A54,'Seasonal Calendar'!$A$2:$A$500,0),MONTH(TODAY()))="","Out",INDEX('Seasonal Calendar'!$C$2:$N$500,MATCH(A54,'Seasonal Calendar'!$A$2:$A$500,0),MONTH(TODAY()))),"")</f>
        <v>In</v>
      </c>
      <c r="K54" s="13" t="s">
        <v>173</v>
      </c>
      <c r="L54" s="13" t="s">
        <v>519</v>
      </c>
      <c r="M54" s="16"/>
      <c r="N54" s="13"/>
      <c r="O54" s="15"/>
      <c r="P54" s="17"/>
      <c r="Q54" s="18" t="s">
        <v>220</v>
      </c>
      <c r="R54" s="13" t="s">
        <v>221</v>
      </c>
      <c r="S54" s="13">
        <f>COUNTIF('Recipe Ingredients'!$F$2:$F$2000,A54)</f>
        <v>6</v>
      </c>
      <c r="T54" s="15" t="s">
        <v>208</v>
      </c>
      <c r="U54" s="13" t="s">
        <v>209</v>
      </c>
      <c r="V54" s="15" t="s">
        <v>520</v>
      </c>
      <c r="W54" s="13" t="s">
        <v>203</v>
      </c>
      <c r="X54" s="15" t="s">
        <v>521</v>
      </c>
    </row>
    <row r="55" spans="1:24" ht="15" customHeight="1" x14ac:dyDescent="0.25">
      <c r="A55" s="13" t="s">
        <v>522</v>
      </c>
      <c r="B55" s="14" t="s">
        <v>523</v>
      </c>
      <c r="C55" s="15" t="s">
        <v>524</v>
      </c>
      <c r="D55" s="13" t="s">
        <v>448</v>
      </c>
      <c r="E55" s="13" t="s">
        <v>113</v>
      </c>
      <c r="F55" s="13" t="s">
        <v>114</v>
      </c>
      <c r="G55" s="13" t="s">
        <v>115</v>
      </c>
      <c r="H55" s="13" t="s">
        <v>116</v>
      </c>
      <c r="I55" s="13" t="s">
        <v>291</v>
      </c>
      <c r="J55" s="13" t="str">
        <f ca="1">IFERROR(IF(INDEX('Seasonal Calendar'!$C$2:$N$500,MATCH(A55,'Seasonal Calendar'!$A$2:$A$500,0),MONTH(TODAY()))="","Out",INDEX('Seasonal Calendar'!$C$2:$N$500,MATCH(A55,'Seasonal Calendar'!$A$2:$A$500,0),MONTH(TODAY()))),"")</f>
        <v>In</v>
      </c>
      <c r="K55" s="13" t="s">
        <v>173</v>
      </c>
      <c r="L55" s="13" t="s">
        <v>525</v>
      </c>
      <c r="M55" s="16"/>
      <c r="N55" s="13"/>
      <c r="O55" s="15"/>
      <c r="P55" s="17"/>
      <c r="Q55" s="18" t="s">
        <v>121</v>
      </c>
      <c r="R55" s="13" t="s">
        <v>122</v>
      </c>
      <c r="S55" s="13">
        <f>COUNTIF('Recipe Ingredients'!$F$2:$F$2000,A55)</f>
        <v>32</v>
      </c>
      <c r="T55" s="15" t="s">
        <v>208</v>
      </c>
      <c r="U55" s="13" t="s">
        <v>465</v>
      </c>
      <c r="V55" s="15" t="s">
        <v>526</v>
      </c>
      <c r="W55" s="13" t="s">
        <v>157</v>
      </c>
      <c r="X55" s="15" t="s">
        <v>527</v>
      </c>
    </row>
    <row r="56" spans="1:24" ht="35.1" customHeight="1" x14ac:dyDescent="0.25">
      <c r="A56" s="13" t="s">
        <v>528</v>
      </c>
      <c r="B56" s="14" t="s">
        <v>529</v>
      </c>
      <c r="C56" s="15"/>
      <c r="D56" s="13" t="s">
        <v>448</v>
      </c>
      <c r="E56" s="13" t="s">
        <v>113</v>
      </c>
      <c r="F56" s="13" t="s">
        <v>114</v>
      </c>
      <c r="G56" s="13" t="s">
        <v>115</v>
      </c>
      <c r="H56" s="13" t="s">
        <v>116</v>
      </c>
      <c r="I56" s="13" t="s">
        <v>530</v>
      </c>
      <c r="J56" s="13" t="str">
        <f ca="1">IFERROR(IF(INDEX('Seasonal Calendar'!$C$2:$N$500,MATCH(A56,'Seasonal Calendar'!$A$2:$A$500,0),MONTH(TODAY()))="","Out",INDEX('Seasonal Calendar'!$C$2:$N$500,MATCH(A56,'Seasonal Calendar'!$A$2:$A$500,0),MONTH(TODAY()))),"")</f>
        <v>Peak</v>
      </c>
      <c r="K56" s="13" t="s">
        <v>173</v>
      </c>
      <c r="L56" s="13" t="s">
        <v>531</v>
      </c>
      <c r="M56" s="16">
        <v>3150</v>
      </c>
      <c r="N56" s="13" t="s">
        <v>532</v>
      </c>
      <c r="O56" s="15" t="s">
        <v>533</v>
      </c>
      <c r="P56" s="17"/>
      <c r="Q56" s="18" t="s">
        <v>121</v>
      </c>
      <c r="R56" s="13" t="s">
        <v>122</v>
      </c>
      <c r="S56" s="13">
        <f>COUNTIF('Recipe Ingredients'!$F$2:$F$2000,A56)</f>
        <v>28</v>
      </c>
      <c r="T56" s="15" t="s">
        <v>534</v>
      </c>
      <c r="U56" s="13" t="s">
        <v>209</v>
      </c>
      <c r="V56" s="15" t="s">
        <v>535</v>
      </c>
      <c r="W56" s="13" t="s">
        <v>203</v>
      </c>
      <c r="X56" s="15"/>
    </row>
    <row r="57" spans="1:24" ht="35.1" customHeight="1" x14ac:dyDescent="0.25">
      <c r="A57" s="13" t="s">
        <v>536</v>
      </c>
      <c r="B57" s="14" t="s">
        <v>537</v>
      </c>
      <c r="C57" s="15"/>
      <c r="D57" s="13" t="s">
        <v>448</v>
      </c>
      <c r="E57" s="13" t="s">
        <v>113</v>
      </c>
      <c r="F57" s="13" t="s">
        <v>132</v>
      </c>
      <c r="G57" s="13" t="s">
        <v>115</v>
      </c>
      <c r="H57" s="13" t="s">
        <v>116</v>
      </c>
      <c r="I57" s="13"/>
      <c r="J57" s="13" t="str">
        <f ca="1">IFERROR(IF(INDEX('Seasonal Calendar'!$C$2:$N$500,MATCH(A57,'Seasonal Calendar'!$A$2:$A$500,0),MONTH(TODAY()))="","Out",INDEX('Seasonal Calendar'!$C$2:$N$500,MATCH(A57,'Seasonal Calendar'!$A$2:$A$500,0),MONTH(TODAY()))),"")</f>
        <v>In</v>
      </c>
      <c r="K57" s="13" t="s">
        <v>117</v>
      </c>
      <c r="L57" s="13" t="s">
        <v>538</v>
      </c>
      <c r="M57" s="16">
        <v>1800</v>
      </c>
      <c r="N57" s="13" t="s">
        <v>539</v>
      </c>
      <c r="O57" s="15" t="s">
        <v>540</v>
      </c>
      <c r="P57" s="17"/>
      <c r="Q57" s="18" t="s">
        <v>121</v>
      </c>
      <c r="R57" s="13" t="s">
        <v>122</v>
      </c>
      <c r="S57" s="13">
        <f>COUNTIF('Recipe Ingredients'!$F$2:$F$2000,A57)</f>
        <v>11</v>
      </c>
      <c r="T57" s="15" t="s">
        <v>208</v>
      </c>
      <c r="U57" s="13" t="s">
        <v>541</v>
      </c>
      <c r="V57" s="15" t="s">
        <v>259</v>
      </c>
      <c r="W57" s="13" t="s">
        <v>224</v>
      </c>
      <c r="X57" s="15" t="s">
        <v>542</v>
      </c>
    </row>
    <row r="58" spans="1:24" ht="15" customHeight="1" x14ac:dyDescent="0.25">
      <c r="A58" s="13" t="s">
        <v>543</v>
      </c>
      <c r="B58" s="14" t="s">
        <v>544</v>
      </c>
      <c r="C58" s="15"/>
      <c r="D58" s="13" t="s">
        <v>448</v>
      </c>
      <c r="E58" s="13" t="s">
        <v>113</v>
      </c>
      <c r="F58" s="13" t="s">
        <v>132</v>
      </c>
      <c r="G58" s="13" t="s">
        <v>115</v>
      </c>
      <c r="H58" s="13" t="s">
        <v>116</v>
      </c>
      <c r="I58" s="13"/>
      <c r="J58" s="13" t="str">
        <f ca="1">IFERROR(IF(INDEX('Seasonal Calendar'!$C$2:$N$500,MATCH(A58,'Seasonal Calendar'!$A$2:$A$500,0),MONTH(TODAY()))="","Out",INDEX('Seasonal Calendar'!$C$2:$N$500,MATCH(A58,'Seasonal Calendar'!$A$2:$A$500,0),MONTH(TODAY()))),"")</f>
        <v>In</v>
      </c>
      <c r="K58" s="13" t="s">
        <v>117</v>
      </c>
      <c r="L58" s="13" t="s">
        <v>538</v>
      </c>
      <c r="M58" s="16">
        <v>4000</v>
      </c>
      <c r="N58" s="13" t="s">
        <v>539</v>
      </c>
      <c r="O58" s="15" t="s">
        <v>265</v>
      </c>
      <c r="P58" s="17"/>
      <c r="Q58" s="18" t="s">
        <v>121</v>
      </c>
      <c r="R58" s="13" t="s">
        <v>122</v>
      </c>
      <c r="S58" s="13">
        <f>COUNTIF('Recipe Ingredients'!$F$2:$F$2000,A58)</f>
        <v>4</v>
      </c>
      <c r="T58" s="15" t="s">
        <v>208</v>
      </c>
      <c r="U58" s="13" t="s">
        <v>541</v>
      </c>
      <c r="V58" s="15" t="s">
        <v>259</v>
      </c>
      <c r="W58" s="13" t="s">
        <v>203</v>
      </c>
      <c r="X58" s="15"/>
    </row>
    <row r="59" spans="1:24" ht="23.85" customHeight="1" x14ac:dyDescent="0.25">
      <c r="A59" s="13" t="s">
        <v>545</v>
      </c>
      <c r="B59" s="14" t="s">
        <v>546</v>
      </c>
      <c r="C59" s="15"/>
      <c r="D59" s="13" t="s">
        <v>547</v>
      </c>
      <c r="E59" s="13" t="s">
        <v>113</v>
      </c>
      <c r="F59" s="13" t="s">
        <v>132</v>
      </c>
      <c r="G59" s="13" t="s">
        <v>115</v>
      </c>
      <c r="H59" s="13" t="s">
        <v>116</v>
      </c>
      <c r="I59" s="13"/>
      <c r="J59" s="13" t="str">
        <f ca="1">IFERROR(IF(INDEX('Seasonal Calendar'!$C$2:$N$500,MATCH(A59,'Seasonal Calendar'!$A$2:$A$500,0),MONTH(TODAY()))="","Out",INDEX('Seasonal Calendar'!$C$2:$N$500,MATCH(A59,'Seasonal Calendar'!$A$2:$A$500,0),MONTH(TODAY()))),"")</f>
        <v>In</v>
      </c>
      <c r="K59" s="13" t="s">
        <v>117</v>
      </c>
      <c r="L59" s="13" t="s">
        <v>538</v>
      </c>
      <c r="M59" s="16">
        <v>3820</v>
      </c>
      <c r="N59" s="13" t="s">
        <v>548</v>
      </c>
      <c r="O59" s="15" t="s">
        <v>549</v>
      </c>
      <c r="P59" s="17"/>
      <c r="Q59" s="18" t="s">
        <v>121</v>
      </c>
      <c r="R59" s="13" t="s">
        <v>122</v>
      </c>
      <c r="S59" s="13">
        <f>COUNTIF('Recipe Ingredients'!$F$2:$F$2000,A59)</f>
        <v>13</v>
      </c>
      <c r="T59" s="15" t="s">
        <v>493</v>
      </c>
      <c r="U59" s="13" t="s">
        <v>550</v>
      </c>
      <c r="V59" s="15" t="s">
        <v>551</v>
      </c>
      <c r="W59" s="13" t="s">
        <v>224</v>
      </c>
      <c r="X59" s="15" t="s">
        <v>552</v>
      </c>
    </row>
    <row r="60" spans="1:24" ht="15" customHeight="1" x14ac:dyDescent="0.25">
      <c r="A60" s="13" t="s">
        <v>553</v>
      </c>
      <c r="B60" s="14" t="s">
        <v>554</v>
      </c>
      <c r="C60" s="15"/>
      <c r="D60" s="13" t="s">
        <v>448</v>
      </c>
      <c r="E60" s="13" t="s">
        <v>113</v>
      </c>
      <c r="F60" s="13" t="s">
        <v>132</v>
      </c>
      <c r="G60" s="13" t="s">
        <v>115</v>
      </c>
      <c r="H60" s="13" t="s">
        <v>116</v>
      </c>
      <c r="I60" s="13"/>
      <c r="J60" s="13" t="str">
        <f ca="1">IFERROR(IF(INDEX('Seasonal Calendar'!$C$2:$N$500,MATCH(A60,'Seasonal Calendar'!$A$2:$A$500,0),MONTH(TODAY()))="","Out",INDEX('Seasonal Calendar'!$C$2:$N$500,MATCH(A60,'Seasonal Calendar'!$A$2:$A$500,0),MONTH(TODAY()))),"")</f>
        <v>In</v>
      </c>
      <c r="K60" s="13" t="s">
        <v>117</v>
      </c>
      <c r="L60" s="13" t="s">
        <v>457</v>
      </c>
      <c r="M60" s="16"/>
      <c r="N60" s="13"/>
      <c r="O60" s="15"/>
      <c r="P60" s="17"/>
      <c r="Q60" s="18" t="s">
        <v>121</v>
      </c>
      <c r="R60" s="13" t="s">
        <v>122</v>
      </c>
      <c r="S60" s="13">
        <f>COUNTIF('Recipe Ingredients'!$F$2:$F$2000,A60)</f>
        <v>7</v>
      </c>
      <c r="T60" s="15" t="s">
        <v>208</v>
      </c>
      <c r="U60" s="13" t="s">
        <v>397</v>
      </c>
      <c r="V60" s="15" t="s">
        <v>259</v>
      </c>
      <c r="W60" s="13" t="s">
        <v>224</v>
      </c>
      <c r="X60" s="15"/>
    </row>
    <row r="61" spans="1:24" ht="23.85" customHeight="1" x14ac:dyDescent="0.25">
      <c r="A61" s="13" t="s">
        <v>555</v>
      </c>
      <c r="B61" s="14" t="s">
        <v>556</v>
      </c>
      <c r="C61" s="15" t="s">
        <v>557</v>
      </c>
      <c r="D61" s="13" t="s">
        <v>448</v>
      </c>
      <c r="E61" s="13" t="s">
        <v>113</v>
      </c>
      <c r="F61" s="13" t="s">
        <v>114</v>
      </c>
      <c r="G61" s="13" t="s">
        <v>170</v>
      </c>
      <c r="H61" s="13" t="s">
        <v>558</v>
      </c>
      <c r="I61" s="13" t="s">
        <v>559</v>
      </c>
      <c r="J61" s="13" t="str">
        <f ca="1">IFERROR(IF(INDEX('Seasonal Calendar'!$C$2:$N$500,MATCH(A61,'Seasonal Calendar'!$A$2:$A$500,0),MONTH(TODAY()))="","Out",INDEX('Seasonal Calendar'!$C$2:$N$500,MATCH(A61,'Seasonal Calendar'!$A$2:$A$500,0),MONTH(TODAY()))),"")</f>
        <v>Out</v>
      </c>
      <c r="K61" s="13" t="s">
        <v>173</v>
      </c>
      <c r="L61" s="13" t="s">
        <v>560</v>
      </c>
      <c r="M61" s="16">
        <v>3900</v>
      </c>
      <c r="N61" s="13" t="s">
        <v>561</v>
      </c>
      <c r="O61" s="15" t="s">
        <v>265</v>
      </c>
      <c r="P61" s="17"/>
      <c r="Q61" s="18" t="s">
        <v>170</v>
      </c>
      <c r="R61" s="13" t="s">
        <v>176</v>
      </c>
      <c r="S61" s="13">
        <f>COUNTIF('Recipe Ingredients'!$F$2:$F$2000,A61)</f>
        <v>12</v>
      </c>
      <c r="T61" s="15" t="s">
        <v>562</v>
      </c>
      <c r="U61" s="13" t="s">
        <v>322</v>
      </c>
      <c r="V61" s="15" t="s">
        <v>164</v>
      </c>
      <c r="W61" s="13" t="s">
        <v>563</v>
      </c>
      <c r="X61" s="15" t="s">
        <v>564</v>
      </c>
    </row>
    <row r="62" spans="1:24" ht="23.85" customHeight="1" x14ac:dyDescent="0.25">
      <c r="A62" s="13" t="s">
        <v>565</v>
      </c>
      <c r="B62" s="14" t="s">
        <v>566</v>
      </c>
      <c r="C62" s="15" t="s">
        <v>567</v>
      </c>
      <c r="D62" s="13" t="s">
        <v>448</v>
      </c>
      <c r="E62" s="13" t="s">
        <v>113</v>
      </c>
      <c r="F62" s="13" t="s">
        <v>114</v>
      </c>
      <c r="G62" s="13" t="s">
        <v>170</v>
      </c>
      <c r="H62" s="13" t="s">
        <v>568</v>
      </c>
      <c r="I62" s="13"/>
      <c r="J62" s="13" t="str">
        <f ca="1">IFERROR(IF(INDEX('Seasonal Calendar'!$C$2:$N$500,MATCH(A62,'Seasonal Calendar'!$A$2:$A$500,0),MONTH(TODAY()))="","Out",INDEX('Seasonal Calendar'!$C$2:$N$500,MATCH(A62,'Seasonal Calendar'!$A$2:$A$500,0),MONTH(TODAY()))),"")</f>
        <v>In</v>
      </c>
      <c r="K62" s="13" t="s">
        <v>173</v>
      </c>
      <c r="L62" s="13" t="s">
        <v>569</v>
      </c>
      <c r="M62" s="16"/>
      <c r="N62" s="13"/>
      <c r="O62" s="15"/>
      <c r="P62" s="17"/>
      <c r="Q62" s="18" t="s">
        <v>121</v>
      </c>
      <c r="R62" s="13" t="s">
        <v>122</v>
      </c>
      <c r="S62" s="13">
        <f>COUNTIF('Recipe Ingredients'!$F$2:$F$2000,A62)</f>
        <v>8</v>
      </c>
      <c r="T62" s="15" t="s">
        <v>222</v>
      </c>
      <c r="U62" s="13" t="s">
        <v>397</v>
      </c>
      <c r="V62" s="15" t="s">
        <v>164</v>
      </c>
      <c r="W62" s="13" t="s">
        <v>224</v>
      </c>
      <c r="X62" s="15" t="s">
        <v>570</v>
      </c>
    </row>
    <row r="63" spans="1:24" ht="23.85" customHeight="1" x14ac:dyDescent="0.25">
      <c r="A63" s="13" t="s">
        <v>571</v>
      </c>
      <c r="B63" s="14" t="s">
        <v>572</v>
      </c>
      <c r="C63" s="15" t="s">
        <v>573</v>
      </c>
      <c r="D63" s="13" t="s">
        <v>448</v>
      </c>
      <c r="E63" s="13" t="s">
        <v>113</v>
      </c>
      <c r="F63" s="13" t="s">
        <v>132</v>
      </c>
      <c r="G63" s="13" t="s">
        <v>115</v>
      </c>
      <c r="H63" s="13" t="s">
        <v>116</v>
      </c>
      <c r="I63" s="13"/>
      <c r="J63" s="13" t="str">
        <f ca="1">IFERROR(IF(INDEX('Seasonal Calendar'!$C$2:$N$500,MATCH(A63,'Seasonal Calendar'!$A$2:$A$500,0),MONTH(TODAY()))="","Out",INDEX('Seasonal Calendar'!$C$2:$N$500,MATCH(A63,'Seasonal Calendar'!$A$2:$A$500,0),MONTH(TODAY()))),"")</f>
        <v>In</v>
      </c>
      <c r="K63" s="13" t="s">
        <v>117</v>
      </c>
      <c r="L63" s="13" t="s">
        <v>457</v>
      </c>
      <c r="M63" s="16"/>
      <c r="N63" s="13"/>
      <c r="O63" s="15"/>
      <c r="P63" s="17"/>
      <c r="Q63" s="18" t="s">
        <v>121</v>
      </c>
      <c r="R63" s="13" t="s">
        <v>122</v>
      </c>
      <c r="S63" s="13">
        <f>COUNTIF('Recipe Ingredients'!$F$2:$F$2000,A63)</f>
        <v>4</v>
      </c>
      <c r="T63" s="15" t="s">
        <v>534</v>
      </c>
      <c r="U63" s="13" t="s">
        <v>243</v>
      </c>
      <c r="V63" s="15" t="s">
        <v>164</v>
      </c>
      <c r="W63" s="13" t="s">
        <v>574</v>
      </c>
      <c r="X63" s="15"/>
    </row>
    <row r="64" spans="1:24" ht="35.1" customHeight="1" x14ac:dyDescent="0.25">
      <c r="A64" s="13" t="s">
        <v>575</v>
      </c>
      <c r="B64" s="14" t="s">
        <v>576</v>
      </c>
      <c r="C64" s="15"/>
      <c r="D64" s="13" t="s">
        <v>448</v>
      </c>
      <c r="E64" s="13" t="s">
        <v>421</v>
      </c>
      <c r="F64" s="13" t="s">
        <v>132</v>
      </c>
      <c r="G64" s="13" t="s">
        <v>115</v>
      </c>
      <c r="H64" s="13" t="s">
        <v>116</v>
      </c>
      <c r="I64" s="13"/>
      <c r="J64" s="13" t="str">
        <f ca="1">IFERROR(IF(INDEX('Seasonal Calendar'!$C$2:$N$500,MATCH(A64,'Seasonal Calendar'!$A$2:$A$500,0),MONTH(TODAY()))="","Out",INDEX('Seasonal Calendar'!$C$2:$N$500,MATCH(A64,'Seasonal Calendar'!$A$2:$A$500,0),MONTH(TODAY()))),"")</f>
        <v>In</v>
      </c>
      <c r="K64" s="13" t="s">
        <v>117</v>
      </c>
      <c r="L64" s="13" t="s">
        <v>538</v>
      </c>
      <c r="M64" s="16">
        <v>8100</v>
      </c>
      <c r="N64" s="13" t="s">
        <v>577</v>
      </c>
      <c r="O64" s="15" t="s">
        <v>578</v>
      </c>
      <c r="P64" s="17"/>
      <c r="Q64" s="18" t="s">
        <v>220</v>
      </c>
      <c r="R64" s="13" t="s">
        <v>257</v>
      </c>
      <c r="S64" s="13">
        <f>COUNTIF('Recipe Ingredients'!$F$2:$F$2000,A64)</f>
        <v>5</v>
      </c>
      <c r="T64" s="15" t="s">
        <v>208</v>
      </c>
      <c r="U64" s="13" t="s">
        <v>397</v>
      </c>
      <c r="V64" s="15" t="s">
        <v>579</v>
      </c>
      <c r="W64" s="13" t="s">
        <v>580</v>
      </c>
      <c r="X64" s="15" t="s">
        <v>581</v>
      </c>
    </row>
    <row r="65" spans="1:24" ht="23.85" customHeight="1" x14ac:dyDescent="0.25">
      <c r="A65" s="13" t="s">
        <v>582</v>
      </c>
      <c r="B65" s="14" t="s">
        <v>583</v>
      </c>
      <c r="C65" s="15"/>
      <c r="D65" s="13" t="s">
        <v>448</v>
      </c>
      <c r="E65" s="13" t="s">
        <v>186</v>
      </c>
      <c r="F65" s="13" t="s">
        <v>132</v>
      </c>
      <c r="G65" s="13" t="s">
        <v>115</v>
      </c>
      <c r="H65" s="13" t="s">
        <v>116</v>
      </c>
      <c r="I65" s="13"/>
      <c r="J65" s="13" t="str">
        <f ca="1">IFERROR(IF(INDEX('Seasonal Calendar'!$C$2:$N$500,MATCH(A65,'Seasonal Calendar'!$A$2:$A$500,0),MONTH(TODAY()))="","Out",INDEX('Seasonal Calendar'!$C$2:$N$500,MATCH(A65,'Seasonal Calendar'!$A$2:$A$500,0),MONTH(TODAY()))),"")</f>
        <v>In</v>
      </c>
      <c r="K65" s="13" t="s">
        <v>117</v>
      </c>
      <c r="L65" s="13" t="s">
        <v>538</v>
      </c>
      <c r="M65" s="16">
        <v>2750</v>
      </c>
      <c r="N65" s="13" t="s">
        <v>584</v>
      </c>
      <c r="O65" s="15" t="s">
        <v>585</v>
      </c>
      <c r="P65" s="17"/>
      <c r="Q65" s="18" t="s">
        <v>220</v>
      </c>
      <c r="R65" s="13" t="s">
        <v>257</v>
      </c>
      <c r="S65" s="13">
        <f>COUNTIF('Recipe Ingredients'!$F$2:$F$2000,A65)</f>
        <v>2</v>
      </c>
      <c r="T65" s="15" t="s">
        <v>208</v>
      </c>
      <c r="U65" s="13" t="s">
        <v>465</v>
      </c>
      <c r="V65" s="15" t="s">
        <v>579</v>
      </c>
      <c r="W65" s="13" t="s">
        <v>224</v>
      </c>
      <c r="X65" s="15" t="s">
        <v>586</v>
      </c>
    </row>
    <row r="66" spans="1:24" ht="15" customHeight="1" x14ac:dyDescent="0.25">
      <c r="A66" s="13" t="s">
        <v>587</v>
      </c>
      <c r="B66" s="14" t="s">
        <v>588</v>
      </c>
      <c r="C66" s="15"/>
      <c r="D66" s="13" t="s">
        <v>448</v>
      </c>
      <c r="E66" s="13" t="s">
        <v>113</v>
      </c>
      <c r="F66" s="13" t="s">
        <v>132</v>
      </c>
      <c r="G66" s="13" t="s">
        <v>115</v>
      </c>
      <c r="H66" s="13" t="s">
        <v>116</v>
      </c>
      <c r="I66" s="13"/>
      <c r="J66" s="13" t="str">
        <f ca="1">IFERROR(IF(INDEX('Seasonal Calendar'!$C$2:$N$500,MATCH(A66,'Seasonal Calendar'!$A$2:$A$500,0),MONTH(TODAY()))="","Out",INDEX('Seasonal Calendar'!$C$2:$N$500,MATCH(A66,'Seasonal Calendar'!$A$2:$A$500,0),MONTH(TODAY()))),"")</f>
        <v>In</v>
      </c>
      <c r="K66" s="13" t="s">
        <v>117</v>
      </c>
      <c r="L66" s="13" t="s">
        <v>589</v>
      </c>
      <c r="M66" s="16">
        <v>4500</v>
      </c>
      <c r="N66" s="13" t="s">
        <v>119</v>
      </c>
      <c r="O66" s="15" t="s">
        <v>120</v>
      </c>
      <c r="P66" s="17"/>
      <c r="Q66" s="18" t="s">
        <v>121</v>
      </c>
      <c r="R66" s="13" t="s">
        <v>122</v>
      </c>
      <c r="S66" s="13">
        <f>COUNTIF('Recipe Ingredients'!$F$2:$F$2000,A66)</f>
        <v>1</v>
      </c>
      <c r="T66" s="15" t="s">
        <v>208</v>
      </c>
      <c r="U66" s="13" t="s">
        <v>209</v>
      </c>
      <c r="V66" s="15" t="s">
        <v>259</v>
      </c>
      <c r="W66" s="13" t="s">
        <v>590</v>
      </c>
      <c r="X66" s="15"/>
    </row>
    <row r="67" spans="1:24" ht="15" customHeight="1" x14ac:dyDescent="0.25">
      <c r="A67" s="13" t="s">
        <v>591</v>
      </c>
      <c r="B67" s="14" t="s">
        <v>592</v>
      </c>
      <c r="C67" s="15"/>
      <c r="D67" s="13" t="s">
        <v>448</v>
      </c>
      <c r="E67" s="13" t="s">
        <v>421</v>
      </c>
      <c r="F67" s="13" t="s">
        <v>132</v>
      </c>
      <c r="G67" s="13" t="s">
        <v>115</v>
      </c>
      <c r="H67" s="13" t="s">
        <v>116</v>
      </c>
      <c r="I67" s="13"/>
      <c r="J67" s="13" t="str">
        <f ca="1">IFERROR(IF(INDEX('Seasonal Calendar'!$C$2:$N$500,MATCH(A67,'Seasonal Calendar'!$A$2:$A$500,0),MONTH(TODAY()))="","Out",INDEX('Seasonal Calendar'!$C$2:$N$500,MATCH(A67,'Seasonal Calendar'!$A$2:$A$500,0),MONTH(TODAY()))),"")</f>
        <v>In</v>
      </c>
      <c r="K67" s="13" t="s">
        <v>117</v>
      </c>
      <c r="L67" s="13" t="s">
        <v>141</v>
      </c>
      <c r="M67" s="16"/>
      <c r="N67" s="13"/>
      <c r="O67" s="15"/>
      <c r="P67" s="17"/>
      <c r="Q67" s="18" t="s">
        <v>220</v>
      </c>
      <c r="R67" s="13" t="s">
        <v>221</v>
      </c>
      <c r="S67" s="13">
        <f>COUNTIF('Recipe Ingredients'!$F$2:$F$2000,A67)</f>
        <v>6</v>
      </c>
      <c r="T67" s="15" t="s">
        <v>208</v>
      </c>
      <c r="U67" s="13" t="s">
        <v>397</v>
      </c>
      <c r="V67" s="15" t="s">
        <v>579</v>
      </c>
      <c r="W67" s="13" t="s">
        <v>224</v>
      </c>
      <c r="X67" s="15" t="s">
        <v>593</v>
      </c>
    </row>
    <row r="68" spans="1:24" ht="15" customHeight="1" x14ac:dyDescent="0.25">
      <c r="A68" s="13" t="s">
        <v>594</v>
      </c>
      <c r="B68" s="14" t="s">
        <v>595</v>
      </c>
      <c r="C68" s="15"/>
      <c r="D68" s="13" t="s">
        <v>448</v>
      </c>
      <c r="E68" s="13" t="s">
        <v>186</v>
      </c>
      <c r="F68" s="13" t="s">
        <v>132</v>
      </c>
      <c r="G68" s="13" t="s">
        <v>115</v>
      </c>
      <c r="H68" s="13" t="s">
        <v>116</v>
      </c>
      <c r="I68" s="13"/>
      <c r="J68" s="13" t="str">
        <f ca="1">IFERROR(IF(INDEX('Seasonal Calendar'!$C$2:$N$500,MATCH(A68,'Seasonal Calendar'!$A$2:$A$500,0),MONTH(TODAY()))="","Out",INDEX('Seasonal Calendar'!$C$2:$N$500,MATCH(A68,'Seasonal Calendar'!$A$2:$A$500,0),MONTH(TODAY()))),"")</f>
        <v>In</v>
      </c>
      <c r="K68" s="13" t="s">
        <v>117</v>
      </c>
      <c r="L68" s="13" t="s">
        <v>457</v>
      </c>
      <c r="M68" s="16">
        <v>5980</v>
      </c>
      <c r="N68" s="13" t="s">
        <v>596</v>
      </c>
      <c r="O68" s="15" t="s">
        <v>265</v>
      </c>
      <c r="P68" s="17"/>
      <c r="Q68" s="18" t="s">
        <v>220</v>
      </c>
      <c r="R68" s="13" t="s">
        <v>257</v>
      </c>
      <c r="S68" s="13">
        <f>COUNTIF('Recipe Ingredients'!$F$2:$F$2000,A68)</f>
        <v>9</v>
      </c>
      <c r="T68" s="15" t="s">
        <v>597</v>
      </c>
      <c r="U68" s="13" t="s">
        <v>598</v>
      </c>
      <c r="V68" s="15" t="s">
        <v>599</v>
      </c>
      <c r="W68" s="13" t="s">
        <v>600</v>
      </c>
      <c r="X68" s="15" t="s">
        <v>601</v>
      </c>
    </row>
    <row r="69" spans="1:24" ht="15" customHeight="1" x14ac:dyDescent="0.25">
      <c r="A69" s="13" t="s">
        <v>602</v>
      </c>
      <c r="B69" s="14" t="s">
        <v>603</v>
      </c>
      <c r="C69" s="15" t="s">
        <v>604</v>
      </c>
      <c r="D69" s="13" t="s">
        <v>448</v>
      </c>
      <c r="E69" s="13" t="s">
        <v>113</v>
      </c>
      <c r="F69" s="13" t="s">
        <v>132</v>
      </c>
      <c r="G69" s="13" t="s">
        <v>115</v>
      </c>
      <c r="H69" s="13" t="s">
        <v>116</v>
      </c>
      <c r="I69" s="13"/>
      <c r="J69" s="13" t="str">
        <f ca="1">IFERROR(IF(INDEX('Seasonal Calendar'!$C$2:$N$500,MATCH(A69,'Seasonal Calendar'!$A$2:$A$500,0),MONTH(TODAY()))="","Out",INDEX('Seasonal Calendar'!$C$2:$N$500,MATCH(A69,'Seasonal Calendar'!$A$2:$A$500,0),MONTH(TODAY()))),"")</f>
        <v>In</v>
      </c>
      <c r="K69" s="13" t="s">
        <v>117</v>
      </c>
      <c r="L69" s="13" t="s">
        <v>605</v>
      </c>
      <c r="M69" s="16"/>
      <c r="N69" s="13"/>
      <c r="O69" s="15"/>
      <c r="P69" s="17"/>
      <c r="Q69" s="18" t="s">
        <v>121</v>
      </c>
      <c r="R69" s="13" t="s">
        <v>122</v>
      </c>
      <c r="S69" s="13">
        <f>COUNTIF('Recipe Ingredients'!$F$2:$F$2000,A69)</f>
        <v>2</v>
      </c>
      <c r="T69" s="15" t="s">
        <v>606</v>
      </c>
      <c r="U69" s="13" t="s">
        <v>607</v>
      </c>
      <c r="V69" s="15" t="s">
        <v>342</v>
      </c>
      <c r="W69" s="13" t="s">
        <v>203</v>
      </c>
      <c r="X69" s="15" t="s">
        <v>608</v>
      </c>
    </row>
    <row r="70" spans="1:24" ht="23.85" customHeight="1" x14ac:dyDescent="0.25">
      <c r="A70" s="13" t="s">
        <v>609</v>
      </c>
      <c r="B70" s="14" t="s">
        <v>610</v>
      </c>
      <c r="C70" s="15" t="s">
        <v>611</v>
      </c>
      <c r="D70" s="13" t="s">
        <v>612</v>
      </c>
      <c r="E70" s="13" t="s">
        <v>113</v>
      </c>
      <c r="F70" s="13" t="s">
        <v>132</v>
      </c>
      <c r="G70" s="13" t="s">
        <v>115</v>
      </c>
      <c r="H70" s="13" t="s">
        <v>116</v>
      </c>
      <c r="I70" s="13"/>
      <c r="J70" s="13" t="str">
        <f ca="1">IFERROR(IF(INDEX('Seasonal Calendar'!$C$2:$N$500,MATCH(A70,'Seasonal Calendar'!$A$2:$A$500,0),MONTH(TODAY()))="","Out",INDEX('Seasonal Calendar'!$C$2:$N$500,MATCH(A70,'Seasonal Calendar'!$A$2:$A$500,0),MONTH(TODAY()))),"")</f>
        <v>In</v>
      </c>
      <c r="K70" s="13" t="s">
        <v>117</v>
      </c>
      <c r="L70" s="13" t="s">
        <v>119</v>
      </c>
      <c r="M70" s="16">
        <v>1200</v>
      </c>
      <c r="N70" s="13" t="s">
        <v>613</v>
      </c>
      <c r="O70" s="15" t="s">
        <v>265</v>
      </c>
      <c r="P70" s="17"/>
      <c r="Q70" s="18" t="s">
        <v>121</v>
      </c>
      <c r="R70" s="13" t="s">
        <v>122</v>
      </c>
      <c r="S70" s="13">
        <f>COUNTIF('Recipe Ingredients'!$F$2:$F$2000,A70)</f>
        <v>6</v>
      </c>
      <c r="T70" s="15" t="s">
        <v>441</v>
      </c>
      <c r="U70" s="13" t="s">
        <v>209</v>
      </c>
      <c r="V70" s="15" t="s">
        <v>614</v>
      </c>
      <c r="W70" s="13" t="s">
        <v>126</v>
      </c>
      <c r="X70" s="15" t="s">
        <v>615</v>
      </c>
    </row>
    <row r="71" spans="1:24" ht="15" customHeight="1" x14ac:dyDescent="0.25">
      <c r="A71" s="13" t="s">
        <v>616</v>
      </c>
      <c r="B71" s="14" t="s">
        <v>617</v>
      </c>
      <c r="C71" s="15" t="s">
        <v>618</v>
      </c>
      <c r="D71" s="13" t="s">
        <v>612</v>
      </c>
      <c r="E71" s="13" t="s">
        <v>113</v>
      </c>
      <c r="F71" s="13" t="s">
        <v>132</v>
      </c>
      <c r="G71" s="13" t="s">
        <v>115</v>
      </c>
      <c r="H71" s="13" t="s">
        <v>116</v>
      </c>
      <c r="I71" s="13"/>
      <c r="J71" s="13" t="str">
        <f ca="1">IFERROR(IF(INDEX('Seasonal Calendar'!$C$2:$N$500,MATCH(A71,'Seasonal Calendar'!$A$2:$A$500,0),MONTH(TODAY()))="","Out",INDEX('Seasonal Calendar'!$C$2:$N$500,MATCH(A71,'Seasonal Calendar'!$A$2:$A$500,0),MONTH(TODAY()))),"")</f>
        <v>In</v>
      </c>
      <c r="K71" s="13" t="s">
        <v>117</v>
      </c>
      <c r="L71" s="13" t="s">
        <v>119</v>
      </c>
      <c r="M71" s="16">
        <v>3650</v>
      </c>
      <c r="N71" s="13" t="s">
        <v>613</v>
      </c>
      <c r="O71" s="15" t="s">
        <v>265</v>
      </c>
      <c r="P71" s="17"/>
      <c r="Q71" s="18" t="s">
        <v>121</v>
      </c>
      <c r="R71" s="13" t="s">
        <v>122</v>
      </c>
      <c r="S71" s="13">
        <f>COUNTIF('Recipe Ingredients'!$F$2:$F$2000,A71)</f>
        <v>6</v>
      </c>
      <c r="T71" s="15" t="s">
        <v>619</v>
      </c>
      <c r="U71" s="13" t="s">
        <v>486</v>
      </c>
      <c r="V71" s="15" t="s">
        <v>535</v>
      </c>
      <c r="W71" s="13" t="s">
        <v>620</v>
      </c>
      <c r="X71" s="15"/>
    </row>
    <row r="72" spans="1:24" ht="15" customHeight="1" x14ac:dyDescent="0.25">
      <c r="A72" s="13" t="s">
        <v>621</v>
      </c>
      <c r="B72" s="14" t="s">
        <v>622</v>
      </c>
      <c r="C72" s="15" t="s">
        <v>623</v>
      </c>
      <c r="D72" s="13" t="s">
        <v>612</v>
      </c>
      <c r="E72" s="13" t="s">
        <v>113</v>
      </c>
      <c r="F72" s="13" t="s">
        <v>132</v>
      </c>
      <c r="G72" s="13" t="s">
        <v>115</v>
      </c>
      <c r="H72" s="13" t="s">
        <v>116</v>
      </c>
      <c r="I72" s="13" t="s">
        <v>624</v>
      </c>
      <c r="J72" s="13" t="str">
        <f ca="1">IFERROR(IF(INDEX('Seasonal Calendar'!$C$2:$N$500,MATCH(A72,'Seasonal Calendar'!$A$2:$A$500,0),MONTH(TODAY()))="","Out",INDEX('Seasonal Calendar'!$C$2:$N$500,MATCH(A72,'Seasonal Calendar'!$A$2:$A$500,0),MONTH(TODAY()))),"")</f>
        <v>Peak</v>
      </c>
      <c r="K72" s="13" t="s">
        <v>173</v>
      </c>
      <c r="L72" s="13" t="s">
        <v>612</v>
      </c>
      <c r="M72" s="16"/>
      <c r="N72" s="13"/>
      <c r="O72" s="15"/>
      <c r="P72" s="17"/>
      <c r="Q72" s="18" t="s">
        <v>220</v>
      </c>
      <c r="R72" s="13" t="s">
        <v>221</v>
      </c>
      <c r="S72" s="13">
        <f>COUNTIF('Recipe Ingredients'!$F$2:$F$2000,A72)</f>
        <v>2</v>
      </c>
      <c r="T72" s="15" t="s">
        <v>441</v>
      </c>
      <c r="U72" s="13" t="s">
        <v>294</v>
      </c>
      <c r="V72" s="15" t="s">
        <v>625</v>
      </c>
      <c r="W72" s="13" t="s">
        <v>563</v>
      </c>
      <c r="X72" s="15" t="s">
        <v>626</v>
      </c>
    </row>
    <row r="73" spans="1:24" ht="23.85" customHeight="1" x14ac:dyDescent="0.25">
      <c r="A73" s="13" t="s">
        <v>627</v>
      </c>
      <c r="B73" s="14" t="s">
        <v>628</v>
      </c>
      <c r="C73" s="15" t="s">
        <v>629</v>
      </c>
      <c r="D73" s="13" t="s">
        <v>547</v>
      </c>
      <c r="E73" s="13" t="s">
        <v>113</v>
      </c>
      <c r="F73" s="13" t="s">
        <v>132</v>
      </c>
      <c r="G73" s="13" t="s">
        <v>115</v>
      </c>
      <c r="H73" s="13" t="s">
        <v>116</v>
      </c>
      <c r="I73" s="13"/>
      <c r="J73" s="13" t="str">
        <f ca="1">IFERROR(IF(INDEX('Seasonal Calendar'!$C$2:$N$500,MATCH(A73,'Seasonal Calendar'!$A$2:$A$500,0),MONTH(TODAY()))="","Out",INDEX('Seasonal Calendar'!$C$2:$N$500,MATCH(A73,'Seasonal Calendar'!$A$2:$A$500,0),MONTH(TODAY()))),"")</f>
        <v>In</v>
      </c>
      <c r="K73" s="13" t="s">
        <v>117</v>
      </c>
      <c r="L73" s="13" t="s">
        <v>492</v>
      </c>
      <c r="M73" s="16"/>
      <c r="N73" s="13"/>
      <c r="O73" s="15"/>
      <c r="P73" s="17"/>
      <c r="Q73" s="18" t="s">
        <v>121</v>
      </c>
      <c r="R73" s="13" t="s">
        <v>122</v>
      </c>
      <c r="S73" s="13">
        <f>COUNTIF('Recipe Ingredients'!$F$2:$F$2000,A73)</f>
        <v>5</v>
      </c>
      <c r="T73" s="15" t="s">
        <v>493</v>
      </c>
      <c r="U73" s="13" t="s">
        <v>243</v>
      </c>
      <c r="V73" s="15" t="s">
        <v>630</v>
      </c>
      <c r="W73" s="13" t="s">
        <v>203</v>
      </c>
      <c r="X73" s="15" t="s">
        <v>631</v>
      </c>
    </row>
    <row r="74" spans="1:24" ht="23.85" customHeight="1" x14ac:dyDescent="0.25">
      <c r="A74" s="13" t="s">
        <v>632</v>
      </c>
      <c r="B74" s="14" t="s">
        <v>633</v>
      </c>
      <c r="C74" s="15" t="s">
        <v>634</v>
      </c>
      <c r="D74" s="13" t="s">
        <v>547</v>
      </c>
      <c r="E74" s="13" t="s">
        <v>113</v>
      </c>
      <c r="F74" s="13" t="s">
        <v>132</v>
      </c>
      <c r="G74" s="13" t="s">
        <v>115</v>
      </c>
      <c r="H74" s="13" t="s">
        <v>116</v>
      </c>
      <c r="I74" s="13"/>
      <c r="J74" s="13" t="str">
        <f ca="1">IFERROR(IF(INDEX('Seasonal Calendar'!$C$2:$N$500,MATCH(A74,'Seasonal Calendar'!$A$2:$A$500,0),MONTH(TODAY()))="","Out",INDEX('Seasonal Calendar'!$C$2:$N$500,MATCH(A74,'Seasonal Calendar'!$A$2:$A$500,0),MONTH(TODAY()))),"")</f>
        <v>In</v>
      </c>
      <c r="K74" s="13" t="s">
        <v>117</v>
      </c>
      <c r="L74" s="13" t="s">
        <v>492</v>
      </c>
      <c r="M74" s="16">
        <v>1000</v>
      </c>
      <c r="N74" s="13" t="s">
        <v>635</v>
      </c>
      <c r="O74" s="15" t="s">
        <v>120</v>
      </c>
      <c r="P74" s="17"/>
      <c r="Q74" s="18" t="s">
        <v>121</v>
      </c>
      <c r="R74" s="13" t="s">
        <v>122</v>
      </c>
      <c r="S74" s="13">
        <f>COUNTIF('Recipe Ingredients'!$F$2:$F$2000,A74)</f>
        <v>8</v>
      </c>
      <c r="T74" s="15" t="s">
        <v>493</v>
      </c>
      <c r="U74" s="13" t="s">
        <v>243</v>
      </c>
      <c r="V74" s="15" t="s">
        <v>164</v>
      </c>
      <c r="W74" s="13" t="s">
        <v>636</v>
      </c>
      <c r="X74" s="15" t="s">
        <v>637</v>
      </c>
    </row>
    <row r="75" spans="1:24" ht="15" customHeight="1" x14ac:dyDescent="0.25">
      <c r="A75" s="13" t="s">
        <v>638</v>
      </c>
      <c r="B75" s="14" t="s">
        <v>639</v>
      </c>
      <c r="C75" s="15" t="s">
        <v>640</v>
      </c>
      <c r="D75" s="13" t="s">
        <v>547</v>
      </c>
      <c r="E75" s="13" t="s">
        <v>113</v>
      </c>
      <c r="F75" s="13" t="s">
        <v>132</v>
      </c>
      <c r="G75" s="13" t="s">
        <v>115</v>
      </c>
      <c r="H75" s="13" t="s">
        <v>116</v>
      </c>
      <c r="I75" s="13"/>
      <c r="J75" s="13" t="str">
        <f ca="1">IFERROR(IF(INDEX('Seasonal Calendar'!$C$2:$N$500,MATCH(A75,'Seasonal Calendar'!$A$2:$A$500,0),MONTH(TODAY()))="","Out",INDEX('Seasonal Calendar'!$C$2:$N$500,MATCH(A75,'Seasonal Calendar'!$A$2:$A$500,0),MONTH(TODAY()))),"")</f>
        <v>In</v>
      </c>
      <c r="K75" s="13" t="s">
        <v>117</v>
      </c>
      <c r="L75" s="13" t="s">
        <v>492</v>
      </c>
      <c r="M75" s="16"/>
      <c r="N75" s="13"/>
      <c r="O75" s="15"/>
      <c r="P75" s="17"/>
      <c r="Q75" s="18" t="s">
        <v>220</v>
      </c>
      <c r="R75" s="13" t="s">
        <v>221</v>
      </c>
      <c r="S75" s="13">
        <f>COUNTIF('Recipe Ingredients'!$F$2:$F$2000,A75)</f>
        <v>0</v>
      </c>
      <c r="T75" s="15" t="s">
        <v>208</v>
      </c>
      <c r="U75" s="13" t="s">
        <v>322</v>
      </c>
      <c r="V75" s="15" t="s">
        <v>356</v>
      </c>
      <c r="W75" s="13"/>
      <c r="X75" s="15" t="s">
        <v>641</v>
      </c>
    </row>
    <row r="76" spans="1:24" ht="15" customHeight="1" x14ac:dyDescent="0.25">
      <c r="A76" s="13" t="s">
        <v>642</v>
      </c>
      <c r="B76" s="14" t="s">
        <v>643</v>
      </c>
      <c r="C76" s="15"/>
      <c r="D76" s="13" t="s">
        <v>547</v>
      </c>
      <c r="E76" s="13" t="s">
        <v>644</v>
      </c>
      <c r="F76" s="13" t="s">
        <v>132</v>
      </c>
      <c r="G76" s="13" t="s">
        <v>115</v>
      </c>
      <c r="H76" s="13" t="s">
        <v>116</v>
      </c>
      <c r="I76" s="13"/>
      <c r="J76" s="13" t="str">
        <f ca="1">IFERROR(IF(INDEX('Seasonal Calendar'!$C$2:$N$500,MATCH(A76,'Seasonal Calendar'!$A$2:$A$500,0),MONTH(TODAY()))="","Out",INDEX('Seasonal Calendar'!$C$2:$N$500,MATCH(A76,'Seasonal Calendar'!$A$2:$A$500,0),MONTH(TODAY()))),"")</f>
        <v>In</v>
      </c>
      <c r="K76" s="13" t="s">
        <v>117</v>
      </c>
      <c r="L76" s="13" t="s">
        <v>411</v>
      </c>
      <c r="M76" s="16">
        <v>4950</v>
      </c>
      <c r="N76" s="13" t="s">
        <v>411</v>
      </c>
      <c r="O76" s="15" t="s">
        <v>265</v>
      </c>
      <c r="P76" s="17"/>
      <c r="Q76" s="18" t="s">
        <v>220</v>
      </c>
      <c r="R76" s="13" t="s">
        <v>257</v>
      </c>
      <c r="S76" s="13">
        <f>COUNTIF('Recipe Ingredients'!$F$2:$F$2000,A76)</f>
        <v>7</v>
      </c>
      <c r="T76" s="15" t="s">
        <v>208</v>
      </c>
      <c r="U76" s="13" t="s">
        <v>598</v>
      </c>
      <c r="V76" s="15" t="s">
        <v>645</v>
      </c>
      <c r="W76" s="13" t="s">
        <v>203</v>
      </c>
      <c r="X76" s="15" t="s">
        <v>646</v>
      </c>
    </row>
    <row r="77" spans="1:24" ht="15" customHeight="1" x14ac:dyDescent="0.25">
      <c r="A77" s="13" t="s">
        <v>647</v>
      </c>
      <c r="B77" s="14" t="s">
        <v>648</v>
      </c>
      <c r="C77" s="15"/>
      <c r="D77" s="13" t="s">
        <v>547</v>
      </c>
      <c r="E77" s="13" t="s">
        <v>644</v>
      </c>
      <c r="F77" s="13" t="s">
        <v>132</v>
      </c>
      <c r="G77" s="13" t="s">
        <v>115</v>
      </c>
      <c r="H77" s="13" t="s">
        <v>116</v>
      </c>
      <c r="I77" s="13"/>
      <c r="J77" s="13" t="str">
        <f ca="1">IFERROR(IF(INDEX('Seasonal Calendar'!$C$2:$N$500,MATCH(A77,'Seasonal Calendar'!$A$2:$A$500,0),MONTH(TODAY()))="","Out",INDEX('Seasonal Calendar'!$C$2:$N$500,MATCH(A77,'Seasonal Calendar'!$A$2:$A$500,0),MONTH(TODAY()))),"")</f>
        <v>In</v>
      </c>
      <c r="K77" s="13" t="s">
        <v>117</v>
      </c>
      <c r="L77" s="13" t="s">
        <v>411</v>
      </c>
      <c r="M77" s="16">
        <v>4940</v>
      </c>
      <c r="N77" s="13" t="s">
        <v>411</v>
      </c>
      <c r="O77" s="15" t="s">
        <v>265</v>
      </c>
      <c r="P77" s="17"/>
      <c r="Q77" s="18" t="s">
        <v>220</v>
      </c>
      <c r="R77" s="13" t="s">
        <v>221</v>
      </c>
      <c r="S77" s="13">
        <f>COUNTIF('Recipe Ingredients'!$F$2:$F$2000,A77)</f>
        <v>1</v>
      </c>
      <c r="T77" s="15" t="s">
        <v>208</v>
      </c>
      <c r="U77" s="13" t="s">
        <v>397</v>
      </c>
      <c r="V77" s="15" t="s">
        <v>649</v>
      </c>
      <c r="W77" s="13" t="s">
        <v>203</v>
      </c>
      <c r="X77" s="15" t="s">
        <v>650</v>
      </c>
    </row>
    <row r="78" spans="1:24" ht="23.85" customHeight="1" x14ac:dyDescent="0.25">
      <c r="A78" s="13" t="s">
        <v>651</v>
      </c>
      <c r="B78" s="14" t="s">
        <v>652</v>
      </c>
      <c r="C78" s="15" t="s">
        <v>653</v>
      </c>
      <c r="D78" s="13" t="s">
        <v>654</v>
      </c>
      <c r="E78" s="13" t="s">
        <v>113</v>
      </c>
      <c r="F78" s="13" t="s">
        <v>132</v>
      </c>
      <c r="G78" s="13" t="s">
        <v>115</v>
      </c>
      <c r="H78" s="13" t="s">
        <v>116</v>
      </c>
      <c r="I78" s="13"/>
      <c r="J78" s="13" t="str">
        <f ca="1">IFERROR(IF(INDEX('Seasonal Calendar'!$C$2:$N$500,MATCH(A78,'Seasonal Calendar'!$A$2:$A$500,0),MONTH(TODAY()))="","Out",INDEX('Seasonal Calendar'!$C$2:$N$500,MATCH(A78,'Seasonal Calendar'!$A$2:$A$500,0),MONTH(TODAY()))),"")</f>
        <v>In</v>
      </c>
      <c r="K78" s="13" t="s">
        <v>117</v>
      </c>
      <c r="L78" s="13" t="s">
        <v>492</v>
      </c>
      <c r="M78" s="16"/>
      <c r="N78" s="13"/>
      <c r="O78" s="15"/>
      <c r="P78" s="17"/>
      <c r="Q78" s="18" t="s">
        <v>121</v>
      </c>
      <c r="R78" s="13" t="s">
        <v>122</v>
      </c>
      <c r="S78" s="13">
        <f>COUNTIF('Recipe Ingredients'!$F$2:$F$2000,A78)</f>
        <v>9</v>
      </c>
      <c r="T78" s="15" t="s">
        <v>655</v>
      </c>
      <c r="U78" s="13" t="s">
        <v>243</v>
      </c>
      <c r="V78" s="15" t="s">
        <v>164</v>
      </c>
      <c r="W78" s="13" t="s">
        <v>203</v>
      </c>
      <c r="X78" s="15" t="s">
        <v>656</v>
      </c>
    </row>
    <row r="79" spans="1:24" ht="23.85" customHeight="1" x14ac:dyDescent="0.25">
      <c r="A79" s="13" t="s">
        <v>657</v>
      </c>
      <c r="B79" s="14" t="s">
        <v>658</v>
      </c>
      <c r="C79" s="15" t="s">
        <v>659</v>
      </c>
      <c r="D79" s="13" t="s">
        <v>547</v>
      </c>
      <c r="E79" s="13" t="s">
        <v>113</v>
      </c>
      <c r="F79" s="13" t="s">
        <v>132</v>
      </c>
      <c r="G79" s="13" t="s">
        <v>115</v>
      </c>
      <c r="H79" s="13" t="s">
        <v>116</v>
      </c>
      <c r="I79" s="13"/>
      <c r="J79" s="13" t="str">
        <f ca="1">IFERROR(IF(INDEX('Seasonal Calendar'!$C$2:$N$500,MATCH(A79,'Seasonal Calendar'!$A$2:$A$500,0),MONTH(TODAY()))="","Out",INDEX('Seasonal Calendar'!$C$2:$N$500,MATCH(A79,'Seasonal Calendar'!$A$2:$A$500,0),MONTH(TODAY()))),"")</f>
        <v>In</v>
      </c>
      <c r="K79" s="13" t="s">
        <v>117</v>
      </c>
      <c r="L79" s="13" t="s">
        <v>660</v>
      </c>
      <c r="M79" s="16"/>
      <c r="N79" s="13"/>
      <c r="O79" s="15"/>
      <c r="P79" s="17"/>
      <c r="Q79" s="18" t="s">
        <v>220</v>
      </c>
      <c r="R79" s="13" t="s">
        <v>221</v>
      </c>
      <c r="S79" s="13">
        <f>COUNTIF('Recipe Ingredients'!$F$2:$F$2000,A79)</f>
        <v>0</v>
      </c>
      <c r="T79" s="15" t="s">
        <v>208</v>
      </c>
      <c r="U79" s="13" t="s">
        <v>243</v>
      </c>
      <c r="V79" s="15" t="s">
        <v>164</v>
      </c>
      <c r="W79" s="13"/>
      <c r="X79" s="15" t="s">
        <v>661</v>
      </c>
    </row>
    <row r="80" spans="1:24" ht="15" customHeight="1" x14ac:dyDescent="0.25">
      <c r="A80" s="13" t="s">
        <v>662</v>
      </c>
      <c r="B80" s="14" t="s">
        <v>663</v>
      </c>
      <c r="C80" s="15" t="s">
        <v>664</v>
      </c>
      <c r="D80" s="13" t="s">
        <v>654</v>
      </c>
      <c r="E80" s="13" t="s">
        <v>113</v>
      </c>
      <c r="F80" s="13" t="s">
        <v>132</v>
      </c>
      <c r="G80" s="13" t="s">
        <v>115</v>
      </c>
      <c r="H80" s="13" t="s">
        <v>116</v>
      </c>
      <c r="I80" s="13"/>
      <c r="J80" s="13" t="str">
        <f ca="1">IFERROR(IF(INDEX('Seasonal Calendar'!$C$2:$N$500,MATCH(A80,'Seasonal Calendar'!$A$2:$A$500,0),MONTH(TODAY()))="","Out",INDEX('Seasonal Calendar'!$C$2:$N$500,MATCH(A80,'Seasonal Calendar'!$A$2:$A$500,0),MONTH(TODAY()))),"")</f>
        <v>In</v>
      </c>
      <c r="K80" s="13" t="s">
        <v>117</v>
      </c>
      <c r="L80" s="13" t="s">
        <v>492</v>
      </c>
      <c r="M80" s="16"/>
      <c r="N80" s="13"/>
      <c r="O80" s="15"/>
      <c r="P80" s="17"/>
      <c r="Q80" s="18" t="s">
        <v>121</v>
      </c>
      <c r="R80" s="13" t="s">
        <v>122</v>
      </c>
      <c r="S80" s="13">
        <f>COUNTIF('Recipe Ingredients'!$F$2:$F$2000,A80)</f>
        <v>16</v>
      </c>
      <c r="T80" s="15" t="s">
        <v>665</v>
      </c>
      <c r="U80" s="13" t="s">
        <v>598</v>
      </c>
      <c r="V80" s="15" t="s">
        <v>666</v>
      </c>
      <c r="W80" s="13" t="s">
        <v>367</v>
      </c>
      <c r="X80" s="15"/>
    </row>
    <row r="81" spans="1:24" ht="15" customHeight="1" x14ac:dyDescent="0.25">
      <c r="A81" s="13" t="s">
        <v>667</v>
      </c>
      <c r="B81" s="14" t="s">
        <v>668</v>
      </c>
      <c r="C81" s="15"/>
      <c r="D81" s="13" t="s">
        <v>654</v>
      </c>
      <c r="E81" s="13" t="s">
        <v>113</v>
      </c>
      <c r="F81" s="13" t="s">
        <v>132</v>
      </c>
      <c r="G81" s="13" t="s">
        <v>115</v>
      </c>
      <c r="H81" s="13" t="s">
        <v>116</v>
      </c>
      <c r="I81" s="13"/>
      <c r="J81" s="13" t="str">
        <f ca="1">IFERROR(IF(INDEX('Seasonal Calendar'!$C$2:$N$500,MATCH(A81,'Seasonal Calendar'!$A$2:$A$500,0),MONTH(TODAY()))="","Out",INDEX('Seasonal Calendar'!$C$2:$N$500,MATCH(A81,'Seasonal Calendar'!$A$2:$A$500,0),MONTH(TODAY()))),"")</f>
        <v>In</v>
      </c>
      <c r="K81" s="13" t="s">
        <v>117</v>
      </c>
      <c r="L81" s="13" t="s">
        <v>669</v>
      </c>
      <c r="M81" s="16">
        <v>3550</v>
      </c>
      <c r="N81" s="13" t="s">
        <v>519</v>
      </c>
      <c r="O81" s="15" t="s">
        <v>265</v>
      </c>
      <c r="P81" s="17"/>
      <c r="Q81" s="18" t="s">
        <v>121</v>
      </c>
      <c r="R81" s="13" t="s">
        <v>122</v>
      </c>
      <c r="S81" s="13">
        <f>COUNTIF('Recipe Ingredients'!$F$2:$F$2000,A81)</f>
        <v>27</v>
      </c>
      <c r="T81" s="15" t="s">
        <v>665</v>
      </c>
      <c r="U81" s="13" t="s">
        <v>598</v>
      </c>
      <c r="V81" s="15" t="s">
        <v>494</v>
      </c>
      <c r="W81" s="13"/>
      <c r="X81" s="15"/>
    </row>
    <row r="82" spans="1:24" ht="15" customHeight="1" x14ac:dyDescent="0.25">
      <c r="A82" s="13" t="s">
        <v>670</v>
      </c>
      <c r="B82" s="14" t="s">
        <v>671</v>
      </c>
      <c r="C82" s="15"/>
      <c r="D82" s="13" t="s">
        <v>654</v>
      </c>
      <c r="E82" s="13" t="s">
        <v>113</v>
      </c>
      <c r="F82" s="13" t="s">
        <v>132</v>
      </c>
      <c r="G82" s="13" t="s">
        <v>115</v>
      </c>
      <c r="H82" s="13" t="s">
        <v>116</v>
      </c>
      <c r="I82" s="13"/>
      <c r="J82" s="13" t="str">
        <f ca="1">IFERROR(IF(INDEX('Seasonal Calendar'!$C$2:$N$500,MATCH(A82,'Seasonal Calendar'!$A$2:$A$500,0),MONTH(TODAY()))="","Out",INDEX('Seasonal Calendar'!$C$2:$N$500,MATCH(A82,'Seasonal Calendar'!$A$2:$A$500,0),MONTH(TODAY()))),"")</f>
        <v>In</v>
      </c>
      <c r="K82" s="13" t="s">
        <v>117</v>
      </c>
      <c r="L82" s="13" t="s">
        <v>492</v>
      </c>
      <c r="M82" s="16"/>
      <c r="N82" s="13"/>
      <c r="O82" s="15"/>
      <c r="P82" s="17"/>
      <c r="Q82" s="18" t="s">
        <v>121</v>
      </c>
      <c r="R82" s="13" t="s">
        <v>122</v>
      </c>
      <c r="S82" s="13">
        <f>COUNTIF('Recipe Ingredients'!$F$2:$F$2000,A82)</f>
        <v>20</v>
      </c>
      <c r="T82" s="15" t="s">
        <v>665</v>
      </c>
      <c r="U82" s="13" t="s">
        <v>397</v>
      </c>
      <c r="V82" s="15" t="s">
        <v>672</v>
      </c>
      <c r="W82" s="13"/>
      <c r="X82" s="15"/>
    </row>
    <row r="83" spans="1:24" ht="15" customHeight="1" x14ac:dyDescent="0.25">
      <c r="A83" s="13" t="s">
        <v>673</v>
      </c>
      <c r="B83" s="14" t="s">
        <v>674</v>
      </c>
      <c r="C83" s="15"/>
      <c r="D83" s="13" t="s">
        <v>654</v>
      </c>
      <c r="E83" s="13" t="s">
        <v>644</v>
      </c>
      <c r="F83" s="13" t="s">
        <v>132</v>
      </c>
      <c r="G83" s="13" t="s">
        <v>115</v>
      </c>
      <c r="H83" s="13" t="s">
        <v>116</v>
      </c>
      <c r="I83" s="13"/>
      <c r="J83" s="13" t="str">
        <f ca="1">IFERROR(IF(INDEX('Seasonal Calendar'!$C$2:$N$500,MATCH(A83,'Seasonal Calendar'!$A$2:$A$500,0),MONTH(TODAY()))="","Out",INDEX('Seasonal Calendar'!$C$2:$N$500,MATCH(A83,'Seasonal Calendar'!$A$2:$A$500,0),MONTH(TODAY()))),"")</f>
        <v>In</v>
      </c>
      <c r="K83" s="13" t="s">
        <v>117</v>
      </c>
      <c r="L83" s="13" t="s">
        <v>675</v>
      </c>
      <c r="M83" s="16">
        <v>3550</v>
      </c>
      <c r="N83" s="13" t="s">
        <v>676</v>
      </c>
      <c r="O83" s="15" t="s">
        <v>265</v>
      </c>
      <c r="P83" s="17"/>
      <c r="Q83" s="18" t="s">
        <v>220</v>
      </c>
      <c r="R83" s="13" t="s">
        <v>257</v>
      </c>
      <c r="S83" s="13">
        <f>COUNTIF('Recipe Ingredients'!$F$2:$F$2000,A83)</f>
        <v>9</v>
      </c>
      <c r="T83" s="15" t="s">
        <v>677</v>
      </c>
      <c r="U83" s="13" t="s">
        <v>243</v>
      </c>
      <c r="V83" s="15" t="s">
        <v>678</v>
      </c>
      <c r="W83" s="13"/>
      <c r="X83" s="15" t="s">
        <v>679</v>
      </c>
    </row>
    <row r="84" spans="1:24" ht="15" customHeight="1" x14ac:dyDescent="0.25">
      <c r="A84" s="13" t="s">
        <v>680</v>
      </c>
      <c r="B84" s="14" t="s">
        <v>681</v>
      </c>
      <c r="C84" s="15" t="s">
        <v>682</v>
      </c>
      <c r="D84" s="13" t="s">
        <v>654</v>
      </c>
      <c r="E84" s="13" t="s">
        <v>113</v>
      </c>
      <c r="F84" s="13" t="s">
        <v>132</v>
      </c>
      <c r="G84" s="13" t="s">
        <v>115</v>
      </c>
      <c r="H84" s="13" t="s">
        <v>116</v>
      </c>
      <c r="I84" s="13"/>
      <c r="J84" s="13" t="str">
        <f ca="1">IFERROR(IF(INDEX('Seasonal Calendar'!$C$2:$N$500,MATCH(A84,'Seasonal Calendar'!$A$2:$A$500,0),MONTH(TODAY()))="","Out",INDEX('Seasonal Calendar'!$C$2:$N$500,MATCH(A84,'Seasonal Calendar'!$A$2:$A$500,0),MONTH(TODAY()))),"")</f>
        <v>In</v>
      </c>
      <c r="K84" s="13" t="s">
        <v>117</v>
      </c>
      <c r="L84" s="13" t="s">
        <v>492</v>
      </c>
      <c r="M84" s="16"/>
      <c r="N84" s="13"/>
      <c r="O84" s="15"/>
      <c r="P84" s="17"/>
      <c r="Q84" s="18" t="s">
        <v>121</v>
      </c>
      <c r="R84" s="13" t="s">
        <v>122</v>
      </c>
      <c r="S84" s="13">
        <f>COUNTIF('Recipe Ingredients'!$F$2:$F$2000,A84)</f>
        <v>1</v>
      </c>
      <c r="T84" s="15" t="s">
        <v>208</v>
      </c>
      <c r="U84" s="13" t="s">
        <v>201</v>
      </c>
      <c r="V84" s="15" t="s">
        <v>164</v>
      </c>
      <c r="W84" s="13" t="s">
        <v>203</v>
      </c>
      <c r="X84" s="15"/>
    </row>
    <row r="85" spans="1:24" ht="15" customHeight="1" x14ac:dyDescent="0.25">
      <c r="A85" s="13" t="s">
        <v>683</v>
      </c>
      <c r="B85" s="14" t="s">
        <v>684</v>
      </c>
      <c r="C85" s="15"/>
      <c r="D85" s="13" t="s">
        <v>654</v>
      </c>
      <c r="E85" s="13" t="s">
        <v>644</v>
      </c>
      <c r="F85" s="13" t="s">
        <v>132</v>
      </c>
      <c r="G85" s="13" t="s">
        <v>115</v>
      </c>
      <c r="H85" s="13" t="s">
        <v>116</v>
      </c>
      <c r="I85" s="13"/>
      <c r="J85" s="13" t="str">
        <f ca="1">IFERROR(IF(INDEX('Seasonal Calendar'!$C$2:$N$500,MATCH(A85,'Seasonal Calendar'!$A$2:$A$500,0),MONTH(TODAY()))="","Out",INDEX('Seasonal Calendar'!$C$2:$N$500,MATCH(A85,'Seasonal Calendar'!$A$2:$A$500,0),MONTH(TODAY()))),"")</f>
        <v>In</v>
      </c>
      <c r="K85" s="13" t="s">
        <v>117</v>
      </c>
      <c r="L85" s="13" t="s">
        <v>519</v>
      </c>
      <c r="M85" s="16">
        <v>5950</v>
      </c>
      <c r="N85" s="13" t="s">
        <v>519</v>
      </c>
      <c r="O85" s="15" t="s">
        <v>265</v>
      </c>
      <c r="P85" s="17"/>
      <c r="Q85" s="18" t="s">
        <v>220</v>
      </c>
      <c r="R85" s="13" t="s">
        <v>221</v>
      </c>
      <c r="S85" s="13">
        <f>COUNTIF('Recipe Ingredients'!$F$2:$F$2000,A85)</f>
        <v>5</v>
      </c>
      <c r="T85" s="15" t="s">
        <v>208</v>
      </c>
      <c r="U85" s="13" t="s">
        <v>201</v>
      </c>
      <c r="V85" s="15" t="s">
        <v>685</v>
      </c>
      <c r="W85" s="13"/>
      <c r="X85" s="15" t="s">
        <v>686</v>
      </c>
    </row>
  </sheetData>
  <autoFilter ref="A1:X85" xr:uid="{00000000-0009-0000-0000-000001000000}"/>
  <conditionalFormatting sqref="J2:J85">
    <cfRule type="cellIs" dxfId="6" priority="2" operator="equal">
      <formula>"Peak"</formula>
    </cfRule>
    <cfRule type="cellIs" dxfId="5" priority="3" operator="equal">
      <formula>"In"</formula>
    </cfRule>
    <cfRule type="cellIs" dxfId="4" priority="4" operator="equal">
      <formula>"Out"</formula>
    </cfRule>
  </conditionalFormatting>
  <dataValidations count="1">
    <dataValidation type="list" allowBlank="1" sqref="Q2:Q85" xr:uid="{00000000-0002-0000-0100-000000000000}">
      <formula1>"Y,N,Seasonal"</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6FA35A"/>
  </sheetPr>
  <dimension ref="A1:P87"/>
  <sheetViews>
    <sheetView zoomScaleNormal="100" workbookViewId="0">
      <pane xSplit="2" ySplit="1" topLeftCell="C2" activePane="bottomRight" state="frozen"/>
      <selection pane="topRight" activeCell="C1" sqref="C1"/>
      <selection pane="bottomLeft" activeCell="A2" sqref="A2"/>
      <selection pane="bottomRight"/>
    </sheetView>
  </sheetViews>
  <sheetFormatPr defaultColWidth="8.7109375" defaultRowHeight="15" x14ac:dyDescent="0.25"/>
  <cols>
    <col min="1" max="1" width="7" style="11" customWidth="1"/>
    <col min="2" max="2" width="30" style="11" customWidth="1"/>
    <col min="3" max="14" width="6" style="11" customWidth="1"/>
    <col min="15" max="15" width="11" style="11" customWidth="1"/>
    <col min="16" max="16" width="18" style="11" customWidth="1"/>
  </cols>
  <sheetData>
    <row r="1" spans="1:16" ht="31.5" customHeight="1" x14ac:dyDescent="0.25">
      <c r="A1" s="12" t="s">
        <v>86</v>
      </c>
      <c r="B1" s="12" t="s">
        <v>46</v>
      </c>
      <c r="C1" s="12" t="s">
        <v>687</v>
      </c>
      <c r="D1" s="12" t="s">
        <v>688</v>
      </c>
      <c r="E1" s="12" t="s">
        <v>689</v>
      </c>
      <c r="F1" s="12" t="s">
        <v>690</v>
      </c>
      <c r="G1" s="12" t="s">
        <v>352</v>
      </c>
      <c r="H1" s="12" t="s">
        <v>691</v>
      </c>
      <c r="I1" s="12" t="s">
        <v>302</v>
      </c>
      <c r="J1" s="12" t="s">
        <v>692</v>
      </c>
      <c r="K1" s="12" t="s">
        <v>693</v>
      </c>
      <c r="L1" s="12" t="s">
        <v>694</v>
      </c>
      <c r="M1" s="12" t="s">
        <v>695</v>
      </c>
      <c r="N1" s="12" t="s">
        <v>696</v>
      </c>
      <c r="O1" s="12" t="s">
        <v>697</v>
      </c>
      <c r="P1" s="12" t="s">
        <v>90</v>
      </c>
    </row>
    <row r="2" spans="1:16" ht="15" customHeight="1" x14ac:dyDescent="0.25">
      <c r="A2" s="13" t="s">
        <v>109</v>
      </c>
      <c r="B2" s="13" t="s">
        <v>110</v>
      </c>
      <c r="C2" s="19" t="s">
        <v>698</v>
      </c>
      <c r="D2" s="19" t="s">
        <v>698</v>
      </c>
      <c r="E2" s="19" t="s">
        <v>698</v>
      </c>
      <c r="F2" s="19" t="s">
        <v>698</v>
      </c>
      <c r="G2" s="19" t="s">
        <v>698</v>
      </c>
      <c r="H2" s="19" t="s">
        <v>698</v>
      </c>
      <c r="I2" s="19" t="s">
        <v>698</v>
      </c>
      <c r="J2" s="19" t="s">
        <v>698</v>
      </c>
      <c r="K2" s="19" t="s">
        <v>698</v>
      </c>
      <c r="L2" s="19" t="s">
        <v>698</v>
      </c>
      <c r="M2" s="19" t="s">
        <v>698</v>
      </c>
      <c r="N2" s="19" t="s">
        <v>698</v>
      </c>
      <c r="O2" s="13">
        <f t="shared" ref="O2:O33" si="0">COUNTIF(C2:N2,"Peak")+COUNTIF(C2:N2,"In")</f>
        <v>12</v>
      </c>
      <c r="P2" s="13" t="s">
        <v>114</v>
      </c>
    </row>
    <row r="3" spans="1:16" ht="15" customHeight="1" x14ac:dyDescent="0.25">
      <c r="A3" s="13" t="s">
        <v>128</v>
      </c>
      <c r="B3" s="13" t="s">
        <v>129</v>
      </c>
      <c r="C3" s="19" t="s">
        <v>698</v>
      </c>
      <c r="D3" s="19" t="s">
        <v>698</v>
      </c>
      <c r="E3" s="19" t="s">
        <v>698</v>
      </c>
      <c r="F3" s="19" t="s">
        <v>698</v>
      </c>
      <c r="G3" s="19" t="s">
        <v>698</v>
      </c>
      <c r="H3" s="19" t="s">
        <v>698</v>
      </c>
      <c r="I3" s="19" t="s">
        <v>698</v>
      </c>
      <c r="J3" s="19" t="s">
        <v>698</v>
      </c>
      <c r="K3" s="19" t="s">
        <v>698</v>
      </c>
      <c r="L3" s="19" t="s">
        <v>698</v>
      </c>
      <c r="M3" s="19" t="s">
        <v>698</v>
      </c>
      <c r="N3" s="19" t="s">
        <v>698</v>
      </c>
      <c r="O3" s="13">
        <f t="shared" si="0"/>
        <v>12</v>
      </c>
      <c r="P3" s="13" t="s">
        <v>132</v>
      </c>
    </row>
    <row r="4" spans="1:16" ht="15" customHeight="1" x14ac:dyDescent="0.25">
      <c r="A4" s="13" t="s">
        <v>138</v>
      </c>
      <c r="B4" s="13" t="s">
        <v>139</v>
      </c>
      <c r="C4" s="19" t="s">
        <v>698</v>
      </c>
      <c r="D4" s="19" t="s">
        <v>698</v>
      </c>
      <c r="E4" s="19" t="s">
        <v>698</v>
      </c>
      <c r="F4" s="19" t="s">
        <v>698</v>
      </c>
      <c r="G4" s="19" t="s">
        <v>698</v>
      </c>
      <c r="H4" s="19" t="s">
        <v>698</v>
      </c>
      <c r="I4" s="19" t="s">
        <v>698</v>
      </c>
      <c r="J4" s="19" t="s">
        <v>698</v>
      </c>
      <c r="K4" s="19" t="s">
        <v>698</v>
      </c>
      <c r="L4" s="19" t="s">
        <v>698</v>
      </c>
      <c r="M4" s="19" t="s">
        <v>698</v>
      </c>
      <c r="N4" s="19" t="s">
        <v>698</v>
      </c>
      <c r="O4" s="13">
        <f t="shared" si="0"/>
        <v>12</v>
      </c>
      <c r="P4" s="13" t="s">
        <v>114</v>
      </c>
    </row>
    <row r="5" spans="1:16" ht="15" customHeight="1" x14ac:dyDescent="0.25">
      <c r="A5" s="13" t="s">
        <v>149</v>
      </c>
      <c r="B5" s="13" t="s">
        <v>150</v>
      </c>
      <c r="C5" s="19" t="s">
        <v>93</v>
      </c>
      <c r="D5" s="19" t="s">
        <v>93</v>
      </c>
      <c r="E5" s="19" t="s">
        <v>93</v>
      </c>
      <c r="F5" s="19" t="s">
        <v>93</v>
      </c>
      <c r="G5" s="19" t="s">
        <v>698</v>
      </c>
      <c r="H5" s="19" t="s">
        <v>698</v>
      </c>
      <c r="I5" s="19" t="s">
        <v>698</v>
      </c>
      <c r="J5" s="19" t="s">
        <v>698</v>
      </c>
      <c r="K5" s="19" t="s">
        <v>698</v>
      </c>
      <c r="L5" s="19" t="s">
        <v>698</v>
      </c>
      <c r="M5" s="19" t="s">
        <v>698</v>
      </c>
      <c r="N5" s="19" t="s">
        <v>93</v>
      </c>
      <c r="O5" s="13">
        <f t="shared" si="0"/>
        <v>12</v>
      </c>
      <c r="P5" s="13" t="s">
        <v>114</v>
      </c>
    </row>
    <row r="6" spans="1:16" ht="15" customHeight="1" x14ac:dyDescent="0.25">
      <c r="A6" s="13" t="s">
        <v>159</v>
      </c>
      <c r="B6" s="13" t="s">
        <v>160</v>
      </c>
      <c r="C6" s="19" t="s">
        <v>698</v>
      </c>
      <c r="D6" s="19" t="s">
        <v>698</v>
      </c>
      <c r="E6" s="19" t="s">
        <v>698</v>
      </c>
      <c r="F6" s="19" t="s">
        <v>698</v>
      </c>
      <c r="G6" s="19" t="s">
        <v>698</v>
      </c>
      <c r="H6" s="19" t="s">
        <v>698</v>
      </c>
      <c r="I6" s="19" t="s">
        <v>698</v>
      </c>
      <c r="J6" s="19" t="s">
        <v>698</v>
      </c>
      <c r="K6" s="19" t="s">
        <v>698</v>
      </c>
      <c r="L6" s="19" t="s">
        <v>698</v>
      </c>
      <c r="M6" s="19" t="s">
        <v>698</v>
      </c>
      <c r="N6" s="19" t="s">
        <v>698</v>
      </c>
      <c r="O6" s="13">
        <f t="shared" si="0"/>
        <v>12</v>
      </c>
      <c r="P6" s="13" t="s">
        <v>114</v>
      </c>
    </row>
    <row r="7" spans="1:16" ht="15" customHeight="1" x14ac:dyDescent="0.25">
      <c r="A7" s="13" t="s">
        <v>167</v>
      </c>
      <c r="B7" s="13" t="s">
        <v>168</v>
      </c>
      <c r="C7" s="19"/>
      <c r="D7" s="19" t="s">
        <v>698</v>
      </c>
      <c r="E7" s="19" t="s">
        <v>93</v>
      </c>
      <c r="F7" s="19" t="s">
        <v>93</v>
      </c>
      <c r="G7" s="19" t="s">
        <v>698</v>
      </c>
      <c r="H7" s="19"/>
      <c r="I7" s="19"/>
      <c r="J7" s="19" t="s">
        <v>698</v>
      </c>
      <c r="K7" s="19" t="s">
        <v>698</v>
      </c>
      <c r="L7" s="19"/>
      <c r="M7" s="19"/>
      <c r="N7" s="19"/>
      <c r="O7" s="13">
        <f t="shared" si="0"/>
        <v>6</v>
      </c>
      <c r="P7" s="13" t="s">
        <v>114</v>
      </c>
    </row>
    <row r="8" spans="1:16" ht="15" customHeight="1" x14ac:dyDescent="0.25">
      <c r="A8" s="13" t="s">
        <v>182</v>
      </c>
      <c r="B8" s="13" t="s">
        <v>183</v>
      </c>
      <c r="C8" s="19" t="s">
        <v>93</v>
      </c>
      <c r="D8" s="19" t="s">
        <v>698</v>
      </c>
      <c r="E8" s="19" t="s">
        <v>698</v>
      </c>
      <c r="F8" s="19" t="s">
        <v>698</v>
      </c>
      <c r="G8" s="19" t="s">
        <v>698</v>
      </c>
      <c r="H8" s="19" t="s">
        <v>698</v>
      </c>
      <c r="I8" s="19" t="s">
        <v>698</v>
      </c>
      <c r="J8" s="19" t="s">
        <v>698</v>
      </c>
      <c r="K8" s="19" t="s">
        <v>698</v>
      </c>
      <c r="L8" s="19" t="s">
        <v>93</v>
      </c>
      <c r="M8" s="19" t="s">
        <v>93</v>
      </c>
      <c r="N8" s="19" t="s">
        <v>93</v>
      </c>
      <c r="O8" s="13">
        <f t="shared" si="0"/>
        <v>12</v>
      </c>
      <c r="P8" s="13" t="s">
        <v>114</v>
      </c>
    </row>
    <row r="9" spans="1:16" ht="15" customHeight="1" x14ac:dyDescent="0.25">
      <c r="A9" s="13" t="s">
        <v>196</v>
      </c>
      <c r="B9" s="13" t="s">
        <v>197</v>
      </c>
      <c r="C9" s="19" t="s">
        <v>93</v>
      </c>
      <c r="D9" s="19" t="s">
        <v>698</v>
      </c>
      <c r="E9" s="19" t="s">
        <v>698</v>
      </c>
      <c r="F9" s="19" t="s">
        <v>698</v>
      </c>
      <c r="G9" s="19" t="s">
        <v>698</v>
      </c>
      <c r="H9" s="19" t="s">
        <v>698</v>
      </c>
      <c r="I9" s="19" t="s">
        <v>698</v>
      </c>
      <c r="J9" s="19" t="s">
        <v>698</v>
      </c>
      <c r="K9" s="19" t="s">
        <v>698</v>
      </c>
      <c r="L9" s="19" t="s">
        <v>93</v>
      </c>
      <c r="M9" s="19" t="s">
        <v>93</v>
      </c>
      <c r="N9" s="19" t="s">
        <v>93</v>
      </c>
      <c r="O9" s="13">
        <f t="shared" si="0"/>
        <v>12</v>
      </c>
      <c r="P9" s="13" t="s">
        <v>114</v>
      </c>
    </row>
    <row r="10" spans="1:16" ht="15" customHeight="1" x14ac:dyDescent="0.25">
      <c r="A10" s="13" t="s">
        <v>205</v>
      </c>
      <c r="B10" s="13" t="s">
        <v>206</v>
      </c>
      <c r="C10" s="19" t="s">
        <v>93</v>
      </c>
      <c r="D10" s="19" t="s">
        <v>698</v>
      </c>
      <c r="E10" s="19" t="s">
        <v>698</v>
      </c>
      <c r="F10" s="19" t="s">
        <v>698</v>
      </c>
      <c r="G10" s="19" t="s">
        <v>698</v>
      </c>
      <c r="H10" s="19" t="s">
        <v>698</v>
      </c>
      <c r="I10" s="19" t="s">
        <v>698</v>
      </c>
      <c r="J10" s="19" t="s">
        <v>698</v>
      </c>
      <c r="K10" s="19" t="s">
        <v>698</v>
      </c>
      <c r="L10" s="19" t="s">
        <v>93</v>
      </c>
      <c r="M10" s="19" t="s">
        <v>93</v>
      </c>
      <c r="N10" s="19" t="s">
        <v>93</v>
      </c>
      <c r="O10" s="13">
        <f t="shared" si="0"/>
        <v>12</v>
      </c>
      <c r="P10" s="13" t="s">
        <v>132</v>
      </c>
    </row>
    <row r="11" spans="1:16" ht="15" customHeight="1" x14ac:dyDescent="0.25">
      <c r="A11" s="13" t="s">
        <v>212</v>
      </c>
      <c r="B11" s="13" t="s">
        <v>213</v>
      </c>
      <c r="C11" s="19" t="s">
        <v>93</v>
      </c>
      <c r="D11" s="19" t="s">
        <v>698</v>
      </c>
      <c r="E11" s="19" t="s">
        <v>698</v>
      </c>
      <c r="F11" s="19" t="s">
        <v>698</v>
      </c>
      <c r="G11" s="19" t="s">
        <v>698</v>
      </c>
      <c r="H11" s="19" t="s">
        <v>698</v>
      </c>
      <c r="I11" s="19" t="s">
        <v>698</v>
      </c>
      <c r="J11" s="19" t="s">
        <v>698</v>
      </c>
      <c r="K11" s="19" t="s">
        <v>698</v>
      </c>
      <c r="L11" s="19" t="s">
        <v>93</v>
      </c>
      <c r="M11" s="19" t="s">
        <v>93</v>
      </c>
      <c r="N11" s="19" t="s">
        <v>93</v>
      </c>
      <c r="O11" s="13">
        <f t="shared" si="0"/>
        <v>12</v>
      </c>
      <c r="P11" s="13" t="s">
        <v>132</v>
      </c>
    </row>
    <row r="12" spans="1:16" ht="15" customHeight="1" x14ac:dyDescent="0.25">
      <c r="A12" s="13" t="s">
        <v>218</v>
      </c>
      <c r="B12" s="13" t="s">
        <v>219</v>
      </c>
      <c r="C12" s="19" t="s">
        <v>93</v>
      </c>
      <c r="D12" s="19" t="s">
        <v>698</v>
      </c>
      <c r="E12" s="19" t="s">
        <v>698</v>
      </c>
      <c r="F12" s="19" t="s">
        <v>698</v>
      </c>
      <c r="G12" s="19" t="s">
        <v>698</v>
      </c>
      <c r="H12" s="19" t="s">
        <v>698</v>
      </c>
      <c r="I12" s="19" t="s">
        <v>698</v>
      </c>
      <c r="J12" s="19" t="s">
        <v>698</v>
      </c>
      <c r="K12" s="19" t="s">
        <v>698</v>
      </c>
      <c r="L12" s="19" t="s">
        <v>93</v>
      </c>
      <c r="M12" s="19" t="s">
        <v>93</v>
      </c>
      <c r="N12" s="19" t="s">
        <v>93</v>
      </c>
      <c r="O12" s="13">
        <f t="shared" si="0"/>
        <v>12</v>
      </c>
      <c r="P12" s="13" t="s">
        <v>114</v>
      </c>
    </row>
    <row r="13" spans="1:16" ht="15" customHeight="1" x14ac:dyDescent="0.25">
      <c r="A13" s="13" t="s">
        <v>226</v>
      </c>
      <c r="B13" s="13" t="s">
        <v>227</v>
      </c>
      <c r="C13" s="19" t="s">
        <v>698</v>
      </c>
      <c r="D13" s="19" t="s">
        <v>698</v>
      </c>
      <c r="E13" s="19" t="s">
        <v>698</v>
      </c>
      <c r="F13" s="19" t="s">
        <v>698</v>
      </c>
      <c r="G13" s="19" t="s">
        <v>698</v>
      </c>
      <c r="H13" s="19" t="s">
        <v>698</v>
      </c>
      <c r="I13" s="19" t="s">
        <v>698</v>
      </c>
      <c r="J13" s="19" t="s">
        <v>698</v>
      </c>
      <c r="K13" s="19" t="s">
        <v>698</v>
      </c>
      <c r="L13" s="19" t="s">
        <v>698</v>
      </c>
      <c r="M13" s="19" t="s">
        <v>698</v>
      </c>
      <c r="N13" s="19" t="s">
        <v>698</v>
      </c>
      <c r="O13" s="13">
        <f t="shared" si="0"/>
        <v>12</v>
      </c>
      <c r="P13" s="13" t="s">
        <v>114</v>
      </c>
    </row>
    <row r="14" spans="1:16" ht="15" customHeight="1" x14ac:dyDescent="0.25">
      <c r="A14" s="13" t="s">
        <v>236</v>
      </c>
      <c r="B14" s="13" t="s">
        <v>237</v>
      </c>
      <c r="C14" s="19"/>
      <c r="D14" s="19" t="s">
        <v>93</v>
      </c>
      <c r="E14" s="19" t="s">
        <v>93</v>
      </c>
      <c r="F14" s="19"/>
      <c r="G14" s="19"/>
      <c r="H14" s="19"/>
      <c r="I14" s="19"/>
      <c r="J14" s="19" t="s">
        <v>698</v>
      </c>
      <c r="K14" s="19" t="s">
        <v>698</v>
      </c>
      <c r="L14" s="19"/>
      <c r="M14" s="19"/>
      <c r="N14" s="19"/>
      <c r="O14" s="13">
        <f t="shared" si="0"/>
        <v>4</v>
      </c>
      <c r="P14" s="13" t="s">
        <v>114</v>
      </c>
    </row>
    <row r="15" spans="1:16" ht="15" customHeight="1" x14ac:dyDescent="0.25">
      <c r="A15" s="13" t="s">
        <v>245</v>
      </c>
      <c r="B15" s="13" t="s">
        <v>246</v>
      </c>
      <c r="C15" s="19" t="s">
        <v>698</v>
      </c>
      <c r="D15" s="19" t="s">
        <v>93</v>
      </c>
      <c r="E15" s="19" t="s">
        <v>93</v>
      </c>
      <c r="F15" s="19"/>
      <c r="G15" s="19" t="s">
        <v>698</v>
      </c>
      <c r="H15" s="19" t="s">
        <v>698</v>
      </c>
      <c r="I15" s="19" t="s">
        <v>698</v>
      </c>
      <c r="J15" s="19" t="s">
        <v>698</v>
      </c>
      <c r="K15" s="19"/>
      <c r="L15" s="19" t="s">
        <v>698</v>
      </c>
      <c r="M15" s="19"/>
      <c r="N15" s="19" t="s">
        <v>698</v>
      </c>
      <c r="O15" s="13">
        <f t="shared" si="0"/>
        <v>9</v>
      </c>
      <c r="P15" s="13" t="s">
        <v>114</v>
      </c>
    </row>
    <row r="16" spans="1:16" ht="15" customHeight="1" x14ac:dyDescent="0.25">
      <c r="A16" s="13" t="s">
        <v>251</v>
      </c>
      <c r="B16" s="13" t="s">
        <v>252</v>
      </c>
      <c r="C16" s="19" t="s">
        <v>698</v>
      </c>
      <c r="D16" s="19" t="s">
        <v>698</v>
      </c>
      <c r="E16" s="19" t="s">
        <v>698</v>
      </c>
      <c r="F16" s="19"/>
      <c r="G16" s="19" t="s">
        <v>698</v>
      </c>
      <c r="H16" s="19" t="s">
        <v>698</v>
      </c>
      <c r="I16" s="19"/>
      <c r="J16" s="19" t="s">
        <v>698</v>
      </c>
      <c r="K16" s="19" t="s">
        <v>698</v>
      </c>
      <c r="L16" s="19" t="s">
        <v>698</v>
      </c>
      <c r="M16" s="19" t="s">
        <v>698</v>
      </c>
      <c r="N16" s="19"/>
      <c r="O16" s="13">
        <f t="shared" si="0"/>
        <v>9</v>
      </c>
      <c r="P16" s="13" t="s">
        <v>132</v>
      </c>
    </row>
    <row r="17" spans="1:16" ht="15" customHeight="1" x14ac:dyDescent="0.25">
      <c r="A17" s="13" t="s">
        <v>261</v>
      </c>
      <c r="B17" s="13" t="s">
        <v>262</v>
      </c>
      <c r="C17" s="19" t="s">
        <v>698</v>
      </c>
      <c r="D17" s="19" t="s">
        <v>698</v>
      </c>
      <c r="E17" s="19" t="s">
        <v>698</v>
      </c>
      <c r="F17" s="19" t="s">
        <v>698</v>
      </c>
      <c r="G17" s="19" t="s">
        <v>698</v>
      </c>
      <c r="H17" s="19" t="s">
        <v>698</v>
      </c>
      <c r="I17" s="19" t="s">
        <v>698</v>
      </c>
      <c r="J17" s="19" t="s">
        <v>698</v>
      </c>
      <c r="K17" s="19" t="s">
        <v>698</v>
      </c>
      <c r="L17" s="19" t="s">
        <v>698</v>
      </c>
      <c r="M17" s="19" t="s">
        <v>698</v>
      </c>
      <c r="N17" s="19" t="s">
        <v>698</v>
      </c>
      <c r="O17" s="13">
        <f t="shared" si="0"/>
        <v>12</v>
      </c>
      <c r="P17" s="13" t="s">
        <v>114</v>
      </c>
    </row>
    <row r="18" spans="1:16" ht="15" customHeight="1" x14ac:dyDescent="0.25">
      <c r="A18" s="13" t="s">
        <v>271</v>
      </c>
      <c r="B18" s="13" t="s">
        <v>272</v>
      </c>
      <c r="C18" s="19" t="s">
        <v>93</v>
      </c>
      <c r="D18" s="19" t="s">
        <v>93</v>
      </c>
      <c r="E18" s="19" t="s">
        <v>93</v>
      </c>
      <c r="F18" s="19" t="s">
        <v>698</v>
      </c>
      <c r="G18" s="19" t="s">
        <v>698</v>
      </c>
      <c r="H18" s="19"/>
      <c r="I18" s="19"/>
      <c r="J18" s="19"/>
      <c r="K18" s="19"/>
      <c r="L18" s="19"/>
      <c r="M18" s="19"/>
      <c r="N18" s="19" t="s">
        <v>698</v>
      </c>
      <c r="O18" s="13">
        <f t="shared" si="0"/>
        <v>6</v>
      </c>
      <c r="P18" s="13" t="s">
        <v>274</v>
      </c>
    </row>
    <row r="19" spans="1:16" ht="15" customHeight="1" x14ac:dyDescent="0.25">
      <c r="A19" s="13" t="s">
        <v>280</v>
      </c>
      <c r="B19" s="13" t="s">
        <v>281</v>
      </c>
      <c r="C19" s="19"/>
      <c r="D19" s="19" t="s">
        <v>93</v>
      </c>
      <c r="E19" s="19" t="s">
        <v>93</v>
      </c>
      <c r="F19" s="19"/>
      <c r="G19" s="19"/>
      <c r="H19" s="19"/>
      <c r="I19" s="19"/>
      <c r="J19" s="19"/>
      <c r="K19" s="19"/>
      <c r="L19" s="19"/>
      <c r="M19" s="19"/>
      <c r="N19" s="19"/>
      <c r="O19" s="13">
        <f t="shared" si="0"/>
        <v>2</v>
      </c>
      <c r="P19" s="13" t="s">
        <v>274</v>
      </c>
    </row>
    <row r="20" spans="1:16" ht="15" customHeight="1" x14ac:dyDescent="0.25">
      <c r="A20" s="13" t="s">
        <v>288</v>
      </c>
      <c r="B20" s="13" t="s">
        <v>289</v>
      </c>
      <c r="C20" s="19" t="s">
        <v>698</v>
      </c>
      <c r="D20" s="19" t="s">
        <v>93</v>
      </c>
      <c r="E20" s="19" t="s">
        <v>93</v>
      </c>
      <c r="F20" s="19" t="s">
        <v>698</v>
      </c>
      <c r="G20" s="19" t="s">
        <v>698</v>
      </c>
      <c r="H20" s="19"/>
      <c r="I20" s="19"/>
      <c r="J20" s="19"/>
      <c r="K20" s="19"/>
      <c r="L20" s="19"/>
      <c r="M20" s="19"/>
      <c r="N20" s="19"/>
      <c r="O20" s="13">
        <f t="shared" si="0"/>
        <v>5</v>
      </c>
      <c r="P20" s="13" t="s">
        <v>274</v>
      </c>
    </row>
    <row r="21" spans="1:16" ht="15" customHeight="1" x14ac:dyDescent="0.25">
      <c r="A21" s="13" t="s">
        <v>298</v>
      </c>
      <c r="B21" s="13" t="s">
        <v>299</v>
      </c>
      <c r="C21" s="19"/>
      <c r="D21" s="19"/>
      <c r="E21" s="19"/>
      <c r="F21" s="19"/>
      <c r="G21" s="19"/>
      <c r="H21" s="19"/>
      <c r="I21" s="19" t="s">
        <v>93</v>
      </c>
      <c r="J21" s="19"/>
      <c r="K21" s="19"/>
      <c r="L21" s="19"/>
      <c r="M21" s="19"/>
      <c r="N21" s="19" t="s">
        <v>698</v>
      </c>
      <c r="O21" s="13">
        <f t="shared" si="0"/>
        <v>2</v>
      </c>
      <c r="P21" s="13" t="s">
        <v>274</v>
      </c>
    </row>
    <row r="22" spans="1:16" ht="15" customHeight="1" x14ac:dyDescent="0.25">
      <c r="A22" s="13" t="s">
        <v>305</v>
      </c>
      <c r="B22" s="13" t="s">
        <v>306</v>
      </c>
      <c r="C22" s="19"/>
      <c r="D22" s="19" t="s">
        <v>698</v>
      </c>
      <c r="E22" s="19" t="s">
        <v>698</v>
      </c>
      <c r="F22" s="19" t="s">
        <v>698</v>
      </c>
      <c r="G22" s="19" t="s">
        <v>698</v>
      </c>
      <c r="H22" s="19"/>
      <c r="I22" s="19"/>
      <c r="J22" s="19"/>
      <c r="K22" s="19"/>
      <c r="L22" s="19"/>
      <c r="M22" s="19"/>
      <c r="N22" s="19"/>
      <c r="O22" s="13">
        <f t="shared" si="0"/>
        <v>4</v>
      </c>
      <c r="P22" s="13" t="s">
        <v>274</v>
      </c>
    </row>
    <row r="23" spans="1:16" ht="15" customHeight="1" x14ac:dyDescent="0.25">
      <c r="A23" s="13" t="s">
        <v>311</v>
      </c>
      <c r="B23" s="13" t="s">
        <v>312</v>
      </c>
      <c r="C23" s="19"/>
      <c r="D23" s="19"/>
      <c r="E23" s="19"/>
      <c r="F23" s="19"/>
      <c r="G23" s="19" t="s">
        <v>698</v>
      </c>
      <c r="H23" s="19" t="s">
        <v>698</v>
      </c>
      <c r="I23" s="19" t="s">
        <v>698</v>
      </c>
      <c r="J23" s="19" t="s">
        <v>698</v>
      </c>
      <c r="K23" s="19"/>
      <c r="L23" s="19"/>
      <c r="M23" s="19"/>
      <c r="N23" s="19"/>
      <c r="O23" s="13">
        <f t="shared" si="0"/>
        <v>4</v>
      </c>
      <c r="P23" s="13" t="s">
        <v>274</v>
      </c>
    </row>
    <row r="24" spans="1:16" ht="15" customHeight="1" x14ac:dyDescent="0.25">
      <c r="A24" s="13" t="s">
        <v>316</v>
      </c>
      <c r="B24" s="13" t="s">
        <v>317</v>
      </c>
      <c r="C24" s="19"/>
      <c r="D24" s="19"/>
      <c r="E24" s="19"/>
      <c r="F24" s="19"/>
      <c r="G24" s="19" t="s">
        <v>698</v>
      </c>
      <c r="H24" s="19" t="s">
        <v>93</v>
      </c>
      <c r="I24" s="19" t="s">
        <v>93</v>
      </c>
      <c r="J24" s="19" t="s">
        <v>93</v>
      </c>
      <c r="K24" s="19" t="s">
        <v>698</v>
      </c>
      <c r="L24" s="19"/>
      <c r="M24" s="19"/>
      <c r="N24" s="19"/>
      <c r="O24" s="13">
        <f t="shared" si="0"/>
        <v>5</v>
      </c>
      <c r="P24" s="13" t="s">
        <v>274</v>
      </c>
    </row>
    <row r="25" spans="1:16" ht="15" customHeight="1" x14ac:dyDescent="0.25">
      <c r="A25" s="13" t="s">
        <v>325</v>
      </c>
      <c r="B25" s="13" t="s">
        <v>326</v>
      </c>
      <c r="C25" s="19" t="s">
        <v>698</v>
      </c>
      <c r="D25" s="19" t="s">
        <v>698</v>
      </c>
      <c r="E25" s="19" t="s">
        <v>698</v>
      </c>
      <c r="F25" s="19" t="s">
        <v>698</v>
      </c>
      <c r="G25" s="19" t="s">
        <v>698</v>
      </c>
      <c r="H25" s="19"/>
      <c r="I25" s="19" t="s">
        <v>698</v>
      </c>
      <c r="J25" s="19" t="s">
        <v>698</v>
      </c>
      <c r="K25" s="19" t="s">
        <v>698</v>
      </c>
      <c r="L25" s="19"/>
      <c r="M25" s="19" t="s">
        <v>698</v>
      </c>
      <c r="N25" s="19" t="s">
        <v>698</v>
      </c>
      <c r="O25" s="13">
        <f t="shared" si="0"/>
        <v>10</v>
      </c>
      <c r="P25" s="13" t="s">
        <v>114</v>
      </c>
    </row>
    <row r="26" spans="1:16" ht="15" customHeight="1" x14ac:dyDescent="0.25">
      <c r="A26" s="13" t="s">
        <v>335</v>
      </c>
      <c r="B26" s="13" t="s">
        <v>336</v>
      </c>
      <c r="C26" s="19" t="s">
        <v>698</v>
      </c>
      <c r="D26" s="19" t="s">
        <v>698</v>
      </c>
      <c r="E26" s="19" t="s">
        <v>698</v>
      </c>
      <c r="F26" s="19"/>
      <c r="G26" s="19"/>
      <c r="H26" s="19"/>
      <c r="I26" s="19"/>
      <c r="J26" s="19" t="s">
        <v>698</v>
      </c>
      <c r="K26" s="19" t="s">
        <v>698</v>
      </c>
      <c r="L26" s="19" t="s">
        <v>698</v>
      </c>
      <c r="M26" s="19" t="s">
        <v>698</v>
      </c>
      <c r="N26" s="19" t="s">
        <v>698</v>
      </c>
      <c r="O26" s="13">
        <f t="shared" si="0"/>
        <v>8</v>
      </c>
      <c r="P26" s="13" t="s">
        <v>274</v>
      </c>
    </row>
    <row r="27" spans="1:16" ht="15" customHeight="1" x14ac:dyDescent="0.25">
      <c r="A27" s="13" t="s">
        <v>344</v>
      </c>
      <c r="B27" s="13" t="s">
        <v>345</v>
      </c>
      <c r="C27" s="19"/>
      <c r="D27" s="19" t="s">
        <v>698</v>
      </c>
      <c r="E27" s="19"/>
      <c r="F27" s="19"/>
      <c r="G27" s="19"/>
      <c r="H27" s="19"/>
      <c r="I27" s="19"/>
      <c r="J27" s="19" t="s">
        <v>698</v>
      </c>
      <c r="K27" s="19" t="s">
        <v>698</v>
      </c>
      <c r="L27" s="19"/>
      <c r="M27" s="19"/>
      <c r="N27" s="19"/>
      <c r="O27" s="13">
        <f t="shared" si="0"/>
        <v>3</v>
      </c>
      <c r="P27" s="13" t="s">
        <v>274</v>
      </c>
    </row>
    <row r="28" spans="1:16" ht="15" customHeight="1" x14ac:dyDescent="0.25">
      <c r="A28" s="13" t="s">
        <v>349</v>
      </c>
      <c r="B28" s="13" t="s">
        <v>350</v>
      </c>
      <c r="C28" s="19"/>
      <c r="D28" s="19"/>
      <c r="E28" s="19"/>
      <c r="F28" s="19"/>
      <c r="G28" s="19" t="s">
        <v>93</v>
      </c>
      <c r="H28" s="19" t="s">
        <v>698</v>
      </c>
      <c r="I28" s="19"/>
      <c r="J28" s="19"/>
      <c r="K28" s="19"/>
      <c r="L28" s="19"/>
      <c r="M28" s="19"/>
      <c r="N28" s="19"/>
      <c r="O28" s="13">
        <f t="shared" si="0"/>
        <v>2</v>
      </c>
      <c r="P28" s="13" t="s">
        <v>114</v>
      </c>
    </row>
    <row r="29" spans="1:16" ht="15" customHeight="1" x14ac:dyDescent="0.25">
      <c r="A29" s="13" t="s">
        <v>358</v>
      </c>
      <c r="B29" s="13" t="s">
        <v>359</v>
      </c>
      <c r="C29" s="19" t="s">
        <v>698</v>
      </c>
      <c r="D29" s="19"/>
      <c r="E29" s="19"/>
      <c r="F29" s="19"/>
      <c r="G29" s="19"/>
      <c r="H29" s="19"/>
      <c r="I29" s="19"/>
      <c r="J29" s="19"/>
      <c r="K29" s="19"/>
      <c r="L29" s="19"/>
      <c r="M29" s="19"/>
      <c r="N29" s="19" t="s">
        <v>698</v>
      </c>
      <c r="O29" s="13">
        <f t="shared" si="0"/>
        <v>2</v>
      </c>
      <c r="P29" s="13" t="s">
        <v>274</v>
      </c>
    </row>
    <row r="30" spans="1:16" ht="15" customHeight="1" x14ac:dyDescent="0.25">
      <c r="A30" s="13" t="s">
        <v>361</v>
      </c>
      <c r="B30" s="13" t="s">
        <v>362</v>
      </c>
      <c r="C30" s="19" t="s">
        <v>93</v>
      </c>
      <c r="D30" s="19" t="s">
        <v>698</v>
      </c>
      <c r="E30" s="19" t="s">
        <v>698</v>
      </c>
      <c r="F30" s="19" t="s">
        <v>698</v>
      </c>
      <c r="G30" s="19" t="s">
        <v>93</v>
      </c>
      <c r="H30" s="19" t="s">
        <v>93</v>
      </c>
      <c r="I30" s="19" t="s">
        <v>698</v>
      </c>
      <c r="J30" s="19" t="s">
        <v>698</v>
      </c>
      <c r="K30" s="19" t="s">
        <v>698</v>
      </c>
      <c r="L30" s="19" t="s">
        <v>698</v>
      </c>
      <c r="M30" s="19" t="s">
        <v>698</v>
      </c>
      <c r="N30" s="19" t="s">
        <v>698</v>
      </c>
      <c r="O30" s="13">
        <f t="shared" si="0"/>
        <v>12</v>
      </c>
      <c r="P30" s="13" t="s">
        <v>114</v>
      </c>
    </row>
    <row r="31" spans="1:16" ht="15" customHeight="1" x14ac:dyDescent="0.25">
      <c r="A31" s="13" t="s">
        <v>369</v>
      </c>
      <c r="B31" s="13" t="s">
        <v>370</v>
      </c>
      <c r="C31" s="19" t="s">
        <v>698</v>
      </c>
      <c r="D31" s="19" t="s">
        <v>698</v>
      </c>
      <c r="E31" s="19" t="s">
        <v>698</v>
      </c>
      <c r="F31" s="19" t="s">
        <v>93</v>
      </c>
      <c r="G31" s="19" t="s">
        <v>93</v>
      </c>
      <c r="H31" s="19" t="s">
        <v>93</v>
      </c>
      <c r="I31" s="19" t="s">
        <v>93</v>
      </c>
      <c r="J31" s="19" t="s">
        <v>698</v>
      </c>
      <c r="K31" s="19" t="s">
        <v>698</v>
      </c>
      <c r="L31" s="19" t="s">
        <v>698</v>
      </c>
      <c r="M31" s="19" t="s">
        <v>698</v>
      </c>
      <c r="N31" s="19" t="s">
        <v>698</v>
      </c>
      <c r="O31" s="13">
        <f t="shared" si="0"/>
        <v>12</v>
      </c>
      <c r="P31" s="13" t="s">
        <v>114</v>
      </c>
    </row>
    <row r="32" spans="1:16" ht="15" customHeight="1" x14ac:dyDescent="0.25">
      <c r="A32" s="13" t="s">
        <v>378</v>
      </c>
      <c r="B32" s="13" t="s">
        <v>379</v>
      </c>
      <c r="C32" s="19" t="s">
        <v>698</v>
      </c>
      <c r="D32" s="19" t="s">
        <v>698</v>
      </c>
      <c r="E32" s="19" t="s">
        <v>698</v>
      </c>
      <c r="F32" s="19" t="s">
        <v>698</v>
      </c>
      <c r="G32" s="19" t="s">
        <v>698</v>
      </c>
      <c r="H32" s="19" t="s">
        <v>698</v>
      </c>
      <c r="I32" s="19" t="s">
        <v>698</v>
      </c>
      <c r="J32" s="19" t="s">
        <v>698</v>
      </c>
      <c r="K32" s="19" t="s">
        <v>698</v>
      </c>
      <c r="L32" s="19" t="s">
        <v>698</v>
      </c>
      <c r="M32" s="19" t="s">
        <v>698</v>
      </c>
      <c r="N32" s="19" t="s">
        <v>698</v>
      </c>
      <c r="O32" s="13">
        <f t="shared" si="0"/>
        <v>12</v>
      </c>
      <c r="P32" s="13" t="s">
        <v>114</v>
      </c>
    </row>
    <row r="33" spans="1:16" ht="15" customHeight="1" x14ac:dyDescent="0.25">
      <c r="A33" s="13" t="s">
        <v>388</v>
      </c>
      <c r="B33" s="13" t="s">
        <v>389</v>
      </c>
      <c r="C33" s="19" t="s">
        <v>698</v>
      </c>
      <c r="D33" s="19" t="s">
        <v>698</v>
      </c>
      <c r="E33" s="19" t="s">
        <v>698</v>
      </c>
      <c r="F33" s="19" t="s">
        <v>698</v>
      </c>
      <c r="G33" s="19" t="s">
        <v>698</v>
      </c>
      <c r="H33" s="19" t="s">
        <v>698</v>
      </c>
      <c r="I33" s="19" t="s">
        <v>698</v>
      </c>
      <c r="J33" s="19" t="s">
        <v>698</v>
      </c>
      <c r="K33" s="19" t="s">
        <v>698</v>
      </c>
      <c r="L33" s="19" t="s">
        <v>698</v>
      </c>
      <c r="M33" s="19" t="s">
        <v>698</v>
      </c>
      <c r="N33" s="19" t="s">
        <v>698</v>
      </c>
      <c r="O33" s="13">
        <f t="shared" si="0"/>
        <v>12</v>
      </c>
      <c r="P33" s="13" t="s">
        <v>114</v>
      </c>
    </row>
    <row r="34" spans="1:16" ht="15" customHeight="1" x14ac:dyDescent="0.25">
      <c r="A34" s="13" t="s">
        <v>392</v>
      </c>
      <c r="B34" s="13" t="s">
        <v>393</v>
      </c>
      <c r="C34" s="19" t="s">
        <v>698</v>
      </c>
      <c r="D34" s="19" t="s">
        <v>698</v>
      </c>
      <c r="E34" s="19" t="s">
        <v>698</v>
      </c>
      <c r="F34" s="19" t="s">
        <v>698</v>
      </c>
      <c r="G34" s="19" t="s">
        <v>698</v>
      </c>
      <c r="H34" s="19" t="s">
        <v>698</v>
      </c>
      <c r="I34" s="19" t="s">
        <v>698</v>
      </c>
      <c r="J34" s="19" t="s">
        <v>698</v>
      </c>
      <c r="K34" s="19" t="s">
        <v>698</v>
      </c>
      <c r="L34" s="19" t="s">
        <v>698</v>
      </c>
      <c r="M34" s="19" t="s">
        <v>698</v>
      </c>
      <c r="N34" s="19" t="s">
        <v>698</v>
      </c>
      <c r="O34" s="13">
        <f t="shared" ref="O34:O65" si="1">COUNTIF(C34:N34,"Peak")+COUNTIF(C34:N34,"In")</f>
        <v>12</v>
      </c>
      <c r="P34" s="13" t="s">
        <v>114</v>
      </c>
    </row>
    <row r="35" spans="1:16" ht="15" customHeight="1" x14ac:dyDescent="0.25">
      <c r="A35" s="13" t="s">
        <v>398</v>
      </c>
      <c r="B35" s="13" t="s">
        <v>399</v>
      </c>
      <c r="C35" s="19" t="s">
        <v>93</v>
      </c>
      <c r="D35" s="19" t="s">
        <v>93</v>
      </c>
      <c r="E35" s="19" t="s">
        <v>698</v>
      </c>
      <c r="F35" s="19" t="s">
        <v>698</v>
      </c>
      <c r="G35" s="19"/>
      <c r="H35" s="19"/>
      <c r="I35" s="19"/>
      <c r="J35" s="19"/>
      <c r="K35" s="19"/>
      <c r="L35" s="19"/>
      <c r="M35" s="19" t="s">
        <v>698</v>
      </c>
      <c r="N35" s="19" t="s">
        <v>93</v>
      </c>
      <c r="O35" s="13">
        <f t="shared" si="1"/>
        <v>6</v>
      </c>
      <c r="P35" s="13" t="s">
        <v>114</v>
      </c>
    </row>
    <row r="36" spans="1:16" ht="15" customHeight="1" x14ac:dyDescent="0.25">
      <c r="A36" s="13" t="s">
        <v>409</v>
      </c>
      <c r="B36" s="13" t="s">
        <v>410</v>
      </c>
      <c r="C36" s="19" t="s">
        <v>698</v>
      </c>
      <c r="D36" s="19" t="s">
        <v>698</v>
      </c>
      <c r="E36" s="19" t="s">
        <v>698</v>
      </c>
      <c r="F36" s="19" t="s">
        <v>698</v>
      </c>
      <c r="G36" s="19" t="s">
        <v>698</v>
      </c>
      <c r="H36" s="19" t="s">
        <v>698</v>
      </c>
      <c r="I36" s="19" t="s">
        <v>698</v>
      </c>
      <c r="J36" s="19" t="s">
        <v>698</v>
      </c>
      <c r="K36" s="19" t="s">
        <v>698</v>
      </c>
      <c r="L36" s="19" t="s">
        <v>698</v>
      </c>
      <c r="M36" s="19" t="s">
        <v>698</v>
      </c>
      <c r="N36" s="19" t="s">
        <v>698</v>
      </c>
      <c r="O36" s="13">
        <f t="shared" si="1"/>
        <v>12</v>
      </c>
      <c r="P36" s="13" t="s">
        <v>114</v>
      </c>
    </row>
    <row r="37" spans="1:16" ht="15" customHeight="1" x14ac:dyDescent="0.25">
      <c r="A37" s="13" t="s">
        <v>413</v>
      </c>
      <c r="B37" s="13" t="s">
        <v>414</v>
      </c>
      <c r="C37" s="19" t="s">
        <v>698</v>
      </c>
      <c r="D37" s="19" t="s">
        <v>698</v>
      </c>
      <c r="E37" s="19" t="s">
        <v>698</v>
      </c>
      <c r="F37" s="19" t="s">
        <v>698</v>
      </c>
      <c r="G37" s="19" t="s">
        <v>698</v>
      </c>
      <c r="H37" s="19" t="s">
        <v>698</v>
      </c>
      <c r="I37" s="19" t="s">
        <v>698</v>
      </c>
      <c r="J37" s="19" t="s">
        <v>698</v>
      </c>
      <c r="K37" s="19" t="s">
        <v>698</v>
      </c>
      <c r="L37" s="19" t="s">
        <v>698</v>
      </c>
      <c r="M37" s="19" t="s">
        <v>698</v>
      </c>
      <c r="N37" s="19" t="s">
        <v>698</v>
      </c>
      <c r="O37" s="13">
        <f t="shared" si="1"/>
        <v>12</v>
      </c>
      <c r="P37" s="13" t="s">
        <v>114</v>
      </c>
    </row>
    <row r="38" spans="1:16" ht="15" customHeight="1" x14ac:dyDescent="0.25">
      <c r="A38" s="13" t="s">
        <v>417</v>
      </c>
      <c r="B38" s="13" t="s">
        <v>418</v>
      </c>
      <c r="C38" s="19" t="s">
        <v>698</v>
      </c>
      <c r="D38" s="19" t="s">
        <v>698</v>
      </c>
      <c r="E38" s="19" t="s">
        <v>698</v>
      </c>
      <c r="F38" s="19" t="s">
        <v>698</v>
      </c>
      <c r="G38" s="19" t="s">
        <v>698</v>
      </c>
      <c r="H38" s="19" t="s">
        <v>698</v>
      </c>
      <c r="I38" s="19" t="s">
        <v>698</v>
      </c>
      <c r="J38" s="19" t="s">
        <v>698</v>
      </c>
      <c r="K38" s="19" t="s">
        <v>698</v>
      </c>
      <c r="L38" s="19" t="s">
        <v>698</v>
      </c>
      <c r="M38" s="19" t="s">
        <v>698</v>
      </c>
      <c r="N38" s="19" t="s">
        <v>698</v>
      </c>
      <c r="O38" s="13">
        <f t="shared" si="1"/>
        <v>12</v>
      </c>
      <c r="P38" s="13" t="s">
        <v>114</v>
      </c>
    </row>
    <row r="39" spans="1:16" ht="15" customHeight="1" x14ac:dyDescent="0.25">
      <c r="A39" s="13" t="s">
        <v>419</v>
      </c>
      <c r="B39" s="13" t="s">
        <v>420</v>
      </c>
      <c r="C39" s="19" t="s">
        <v>698</v>
      </c>
      <c r="D39" s="19" t="s">
        <v>698</v>
      </c>
      <c r="E39" s="19" t="s">
        <v>698</v>
      </c>
      <c r="F39" s="19" t="s">
        <v>698</v>
      </c>
      <c r="G39" s="19" t="s">
        <v>698</v>
      </c>
      <c r="H39" s="19" t="s">
        <v>698</v>
      </c>
      <c r="I39" s="19" t="s">
        <v>698</v>
      </c>
      <c r="J39" s="19" t="s">
        <v>698</v>
      </c>
      <c r="K39" s="19" t="s">
        <v>698</v>
      </c>
      <c r="L39" s="19" t="s">
        <v>698</v>
      </c>
      <c r="M39" s="19" t="s">
        <v>698</v>
      </c>
      <c r="N39" s="19" t="s">
        <v>698</v>
      </c>
      <c r="O39" s="13">
        <f t="shared" si="1"/>
        <v>12</v>
      </c>
      <c r="P39" s="13" t="s">
        <v>114</v>
      </c>
    </row>
    <row r="40" spans="1:16" ht="15" customHeight="1" x14ac:dyDescent="0.25">
      <c r="A40" s="13" t="s">
        <v>424</v>
      </c>
      <c r="B40" s="13" t="s">
        <v>425</v>
      </c>
      <c r="C40" s="19" t="s">
        <v>698</v>
      </c>
      <c r="D40" s="19" t="s">
        <v>698</v>
      </c>
      <c r="E40" s="19" t="s">
        <v>698</v>
      </c>
      <c r="F40" s="19" t="s">
        <v>698</v>
      </c>
      <c r="G40" s="19" t="s">
        <v>698</v>
      </c>
      <c r="H40" s="19" t="s">
        <v>698</v>
      </c>
      <c r="I40" s="19" t="s">
        <v>698</v>
      </c>
      <c r="J40" s="19" t="s">
        <v>698</v>
      </c>
      <c r="K40" s="19" t="s">
        <v>698</v>
      </c>
      <c r="L40" s="19" t="s">
        <v>698</v>
      </c>
      <c r="M40" s="19" t="s">
        <v>698</v>
      </c>
      <c r="N40" s="19" t="s">
        <v>698</v>
      </c>
      <c r="O40" s="13">
        <f t="shared" si="1"/>
        <v>12</v>
      </c>
      <c r="P40" s="13" t="s">
        <v>114</v>
      </c>
    </row>
    <row r="41" spans="1:16" ht="15" customHeight="1" x14ac:dyDescent="0.25">
      <c r="A41" s="13" t="s">
        <v>427</v>
      </c>
      <c r="B41" s="13" t="s">
        <v>428</v>
      </c>
      <c r="C41" s="19" t="s">
        <v>698</v>
      </c>
      <c r="D41" s="19" t="s">
        <v>698</v>
      </c>
      <c r="E41" s="19" t="s">
        <v>698</v>
      </c>
      <c r="F41" s="19" t="s">
        <v>698</v>
      </c>
      <c r="G41" s="19" t="s">
        <v>93</v>
      </c>
      <c r="H41" s="19" t="s">
        <v>93</v>
      </c>
      <c r="I41" s="19" t="s">
        <v>93</v>
      </c>
      <c r="J41" s="19" t="s">
        <v>93</v>
      </c>
      <c r="K41" s="19" t="s">
        <v>93</v>
      </c>
      <c r="L41" s="19" t="s">
        <v>93</v>
      </c>
      <c r="M41" s="19" t="s">
        <v>698</v>
      </c>
      <c r="N41" s="19" t="s">
        <v>698</v>
      </c>
      <c r="O41" s="13">
        <f t="shared" si="1"/>
        <v>12</v>
      </c>
      <c r="P41" s="13" t="s">
        <v>132</v>
      </c>
    </row>
    <row r="42" spans="1:16" ht="15" customHeight="1" x14ac:dyDescent="0.25">
      <c r="A42" s="13" t="s">
        <v>436</v>
      </c>
      <c r="B42" s="13" t="s">
        <v>437</v>
      </c>
      <c r="C42" s="19"/>
      <c r="D42" s="19"/>
      <c r="E42" s="19" t="s">
        <v>698</v>
      </c>
      <c r="F42" s="19" t="s">
        <v>698</v>
      </c>
      <c r="G42" s="19" t="s">
        <v>698</v>
      </c>
      <c r="H42" s="19"/>
      <c r="I42" s="19" t="s">
        <v>698</v>
      </c>
      <c r="J42" s="19" t="s">
        <v>698</v>
      </c>
      <c r="K42" s="19"/>
      <c r="L42" s="19" t="s">
        <v>698</v>
      </c>
      <c r="M42" s="19"/>
      <c r="N42" s="19"/>
      <c r="O42" s="13">
        <f t="shared" si="1"/>
        <v>6</v>
      </c>
      <c r="P42" s="13" t="s">
        <v>274</v>
      </c>
    </row>
    <row r="43" spans="1:16" ht="15" customHeight="1" x14ac:dyDescent="0.25">
      <c r="A43" s="13" t="s">
        <v>445</v>
      </c>
      <c r="B43" s="13" t="s">
        <v>446</v>
      </c>
      <c r="C43" s="19" t="s">
        <v>93</v>
      </c>
      <c r="D43" s="19" t="s">
        <v>698</v>
      </c>
      <c r="E43" s="19" t="s">
        <v>698</v>
      </c>
      <c r="F43" s="19" t="s">
        <v>698</v>
      </c>
      <c r="G43" s="19" t="s">
        <v>698</v>
      </c>
      <c r="H43" s="19" t="s">
        <v>698</v>
      </c>
      <c r="I43" s="19" t="s">
        <v>698</v>
      </c>
      <c r="J43" s="19" t="s">
        <v>93</v>
      </c>
      <c r="K43" s="19" t="s">
        <v>93</v>
      </c>
      <c r="L43" s="19" t="s">
        <v>698</v>
      </c>
      <c r="M43" s="19" t="s">
        <v>698</v>
      </c>
      <c r="N43" s="19" t="s">
        <v>93</v>
      </c>
      <c r="O43" s="13">
        <f t="shared" si="1"/>
        <v>12</v>
      </c>
      <c r="P43" s="13" t="s">
        <v>132</v>
      </c>
    </row>
    <row r="44" spans="1:16" ht="15" customHeight="1" x14ac:dyDescent="0.25">
      <c r="A44" s="13" t="s">
        <v>455</v>
      </c>
      <c r="B44" s="13" t="s">
        <v>456</v>
      </c>
      <c r="C44" s="19" t="s">
        <v>698</v>
      </c>
      <c r="D44" s="19" t="s">
        <v>698</v>
      </c>
      <c r="E44" s="19" t="s">
        <v>698</v>
      </c>
      <c r="F44" s="19" t="s">
        <v>698</v>
      </c>
      <c r="G44" s="19" t="s">
        <v>698</v>
      </c>
      <c r="H44" s="19" t="s">
        <v>698</v>
      </c>
      <c r="I44" s="19" t="s">
        <v>698</v>
      </c>
      <c r="J44" s="19" t="s">
        <v>698</v>
      </c>
      <c r="K44" s="19" t="s">
        <v>698</v>
      </c>
      <c r="L44" s="19" t="s">
        <v>698</v>
      </c>
      <c r="M44" s="19" t="s">
        <v>698</v>
      </c>
      <c r="N44" s="19" t="s">
        <v>698</v>
      </c>
      <c r="O44" s="13">
        <f t="shared" si="1"/>
        <v>12</v>
      </c>
      <c r="P44" s="13" t="s">
        <v>114</v>
      </c>
    </row>
    <row r="45" spans="1:16" ht="15" customHeight="1" x14ac:dyDescent="0.25">
      <c r="A45" s="13" t="s">
        <v>461</v>
      </c>
      <c r="B45" s="13" t="s">
        <v>462</v>
      </c>
      <c r="C45" s="19" t="s">
        <v>698</v>
      </c>
      <c r="D45" s="19" t="s">
        <v>698</v>
      </c>
      <c r="E45" s="19" t="s">
        <v>698</v>
      </c>
      <c r="F45" s="19" t="s">
        <v>698</v>
      </c>
      <c r="G45" s="19" t="s">
        <v>698</v>
      </c>
      <c r="H45" s="19" t="s">
        <v>698</v>
      </c>
      <c r="I45" s="19" t="s">
        <v>698</v>
      </c>
      <c r="J45" s="19" t="s">
        <v>698</v>
      </c>
      <c r="K45" s="19" t="s">
        <v>698</v>
      </c>
      <c r="L45" s="19" t="s">
        <v>698</v>
      </c>
      <c r="M45" s="19" t="s">
        <v>698</v>
      </c>
      <c r="N45" s="19" t="s">
        <v>698</v>
      </c>
      <c r="O45" s="13">
        <f t="shared" si="1"/>
        <v>12</v>
      </c>
      <c r="P45" s="13" t="s">
        <v>132</v>
      </c>
    </row>
    <row r="46" spans="1:16" ht="15" customHeight="1" x14ac:dyDescent="0.25">
      <c r="A46" s="13" t="s">
        <v>467</v>
      </c>
      <c r="B46" s="13" t="s">
        <v>468</v>
      </c>
      <c r="C46" s="19" t="s">
        <v>698</v>
      </c>
      <c r="D46" s="19" t="s">
        <v>698</v>
      </c>
      <c r="E46" s="19" t="s">
        <v>698</v>
      </c>
      <c r="F46" s="19" t="s">
        <v>698</v>
      </c>
      <c r="G46" s="19" t="s">
        <v>698</v>
      </c>
      <c r="H46" s="19" t="s">
        <v>698</v>
      </c>
      <c r="I46" s="19" t="s">
        <v>698</v>
      </c>
      <c r="J46" s="19" t="s">
        <v>698</v>
      </c>
      <c r="K46" s="19" t="s">
        <v>698</v>
      </c>
      <c r="L46" s="19" t="s">
        <v>698</v>
      </c>
      <c r="M46" s="19" t="s">
        <v>698</v>
      </c>
      <c r="N46" s="19" t="s">
        <v>698</v>
      </c>
      <c r="O46" s="13">
        <f t="shared" si="1"/>
        <v>12</v>
      </c>
      <c r="P46" s="13" t="s">
        <v>132</v>
      </c>
    </row>
    <row r="47" spans="1:16" ht="15" customHeight="1" x14ac:dyDescent="0.25">
      <c r="A47" s="13" t="s">
        <v>472</v>
      </c>
      <c r="B47" s="13" t="s">
        <v>473</v>
      </c>
      <c r="C47" s="19" t="s">
        <v>698</v>
      </c>
      <c r="D47" s="19" t="s">
        <v>698</v>
      </c>
      <c r="E47" s="19" t="s">
        <v>698</v>
      </c>
      <c r="F47" s="19" t="s">
        <v>698</v>
      </c>
      <c r="G47" s="19" t="s">
        <v>698</v>
      </c>
      <c r="H47" s="19" t="s">
        <v>698</v>
      </c>
      <c r="I47" s="19" t="s">
        <v>698</v>
      </c>
      <c r="J47" s="19" t="s">
        <v>698</v>
      </c>
      <c r="K47" s="19" t="s">
        <v>698</v>
      </c>
      <c r="L47" s="19" t="s">
        <v>698</v>
      </c>
      <c r="M47" s="19" t="s">
        <v>698</v>
      </c>
      <c r="N47" s="19" t="s">
        <v>698</v>
      </c>
      <c r="O47" s="13">
        <f t="shared" si="1"/>
        <v>12</v>
      </c>
      <c r="P47" s="13" t="s">
        <v>132</v>
      </c>
    </row>
    <row r="48" spans="1:16" ht="15" customHeight="1" x14ac:dyDescent="0.25">
      <c r="A48" s="13" t="s">
        <v>477</v>
      </c>
      <c r="B48" s="13" t="s">
        <v>478</v>
      </c>
      <c r="C48" s="19" t="s">
        <v>698</v>
      </c>
      <c r="D48" s="19" t="s">
        <v>698</v>
      </c>
      <c r="E48" s="19" t="s">
        <v>698</v>
      </c>
      <c r="F48" s="19" t="s">
        <v>698</v>
      </c>
      <c r="G48" s="19" t="s">
        <v>698</v>
      </c>
      <c r="H48" s="19" t="s">
        <v>698</v>
      </c>
      <c r="I48" s="19" t="s">
        <v>698</v>
      </c>
      <c r="J48" s="19" t="s">
        <v>698</v>
      </c>
      <c r="K48" s="19" t="s">
        <v>698</v>
      </c>
      <c r="L48" s="19" t="s">
        <v>698</v>
      </c>
      <c r="M48" s="19" t="s">
        <v>698</v>
      </c>
      <c r="N48" s="19" t="s">
        <v>698</v>
      </c>
      <c r="O48" s="13">
        <f t="shared" si="1"/>
        <v>12</v>
      </c>
      <c r="P48" s="13" t="s">
        <v>132</v>
      </c>
    </row>
    <row r="49" spans="1:16" ht="15" customHeight="1" x14ac:dyDescent="0.25">
      <c r="A49" s="13" t="s">
        <v>481</v>
      </c>
      <c r="B49" s="13" t="s">
        <v>482</v>
      </c>
      <c r="C49" s="19" t="s">
        <v>698</v>
      </c>
      <c r="D49" s="19" t="s">
        <v>698</v>
      </c>
      <c r="E49" s="19" t="s">
        <v>698</v>
      </c>
      <c r="F49" s="19" t="s">
        <v>698</v>
      </c>
      <c r="G49" s="19" t="s">
        <v>698</v>
      </c>
      <c r="H49" s="19" t="s">
        <v>698</v>
      </c>
      <c r="I49" s="19" t="s">
        <v>698</v>
      </c>
      <c r="J49" s="19" t="s">
        <v>698</v>
      </c>
      <c r="K49" s="19" t="s">
        <v>698</v>
      </c>
      <c r="L49" s="19" t="s">
        <v>698</v>
      </c>
      <c r="M49" s="19" t="s">
        <v>698</v>
      </c>
      <c r="N49" s="19" t="s">
        <v>698</v>
      </c>
      <c r="O49" s="13">
        <f t="shared" si="1"/>
        <v>12</v>
      </c>
      <c r="P49" s="13" t="s">
        <v>132</v>
      </c>
    </row>
    <row r="50" spans="1:16" ht="15" customHeight="1" x14ac:dyDescent="0.25">
      <c r="A50" s="13" t="s">
        <v>489</v>
      </c>
      <c r="B50" s="13" t="s">
        <v>490</v>
      </c>
      <c r="C50" s="19" t="s">
        <v>698</v>
      </c>
      <c r="D50" s="19" t="s">
        <v>698</v>
      </c>
      <c r="E50" s="19" t="s">
        <v>698</v>
      </c>
      <c r="F50" s="19" t="s">
        <v>698</v>
      </c>
      <c r="G50" s="19" t="s">
        <v>698</v>
      </c>
      <c r="H50" s="19" t="s">
        <v>698</v>
      </c>
      <c r="I50" s="19" t="s">
        <v>698</v>
      </c>
      <c r="J50" s="19" t="s">
        <v>698</v>
      </c>
      <c r="K50" s="19" t="s">
        <v>698</v>
      </c>
      <c r="L50" s="19" t="s">
        <v>698</v>
      </c>
      <c r="M50" s="19" t="s">
        <v>698</v>
      </c>
      <c r="N50" s="19" t="s">
        <v>698</v>
      </c>
      <c r="O50" s="13">
        <f t="shared" si="1"/>
        <v>12</v>
      </c>
      <c r="P50" s="13" t="s">
        <v>132</v>
      </c>
    </row>
    <row r="51" spans="1:16" ht="15" customHeight="1" x14ac:dyDescent="0.25">
      <c r="A51" s="13" t="s">
        <v>495</v>
      </c>
      <c r="B51" s="13" t="s">
        <v>496</v>
      </c>
      <c r="C51" s="19" t="s">
        <v>698</v>
      </c>
      <c r="D51" s="19" t="s">
        <v>698</v>
      </c>
      <c r="E51" s="19" t="s">
        <v>698</v>
      </c>
      <c r="F51" s="19" t="s">
        <v>698</v>
      </c>
      <c r="G51" s="19" t="s">
        <v>698</v>
      </c>
      <c r="H51" s="19" t="s">
        <v>698</v>
      </c>
      <c r="I51" s="19" t="s">
        <v>698</v>
      </c>
      <c r="J51" s="19" t="s">
        <v>698</v>
      </c>
      <c r="K51" s="19" t="s">
        <v>698</v>
      </c>
      <c r="L51" s="19" t="s">
        <v>698</v>
      </c>
      <c r="M51" s="19" t="s">
        <v>698</v>
      </c>
      <c r="N51" s="19" t="s">
        <v>698</v>
      </c>
      <c r="O51" s="13">
        <f t="shared" si="1"/>
        <v>12</v>
      </c>
      <c r="P51" s="13" t="s">
        <v>132</v>
      </c>
    </row>
    <row r="52" spans="1:16" ht="15" customHeight="1" x14ac:dyDescent="0.25">
      <c r="A52" s="13" t="s">
        <v>499</v>
      </c>
      <c r="B52" s="13" t="s">
        <v>500</v>
      </c>
      <c r="C52" s="19" t="s">
        <v>698</v>
      </c>
      <c r="D52" s="19" t="s">
        <v>698</v>
      </c>
      <c r="E52" s="19" t="s">
        <v>698</v>
      </c>
      <c r="F52" s="19" t="s">
        <v>698</v>
      </c>
      <c r="G52" s="19" t="s">
        <v>698</v>
      </c>
      <c r="H52" s="19" t="s">
        <v>698</v>
      </c>
      <c r="I52" s="19" t="s">
        <v>698</v>
      </c>
      <c r="J52" s="19" t="s">
        <v>698</v>
      </c>
      <c r="K52" s="19" t="s">
        <v>698</v>
      </c>
      <c r="L52" s="19" t="s">
        <v>698</v>
      </c>
      <c r="M52" s="19" t="s">
        <v>698</v>
      </c>
      <c r="N52" s="19" t="s">
        <v>698</v>
      </c>
      <c r="O52" s="13">
        <f t="shared" si="1"/>
        <v>12</v>
      </c>
      <c r="P52" s="13" t="s">
        <v>132</v>
      </c>
    </row>
    <row r="53" spans="1:16" ht="15" customHeight="1" x14ac:dyDescent="0.25">
      <c r="A53" s="13" t="s">
        <v>507</v>
      </c>
      <c r="B53" s="13" t="s">
        <v>508</v>
      </c>
      <c r="C53" s="19" t="s">
        <v>698</v>
      </c>
      <c r="D53" s="19" t="s">
        <v>698</v>
      </c>
      <c r="E53" s="19" t="s">
        <v>698</v>
      </c>
      <c r="F53" s="19" t="s">
        <v>698</v>
      </c>
      <c r="G53" s="19" t="s">
        <v>698</v>
      </c>
      <c r="H53" s="19" t="s">
        <v>698</v>
      </c>
      <c r="I53" s="19" t="s">
        <v>698</v>
      </c>
      <c r="J53" s="19" t="s">
        <v>698</v>
      </c>
      <c r="K53" s="19" t="s">
        <v>93</v>
      </c>
      <c r="L53" s="19" t="s">
        <v>93</v>
      </c>
      <c r="M53" s="19" t="s">
        <v>698</v>
      </c>
      <c r="N53" s="19" t="s">
        <v>698</v>
      </c>
      <c r="O53" s="13">
        <f t="shared" si="1"/>
        <v>12</v>
      </c>
      <c r="P53" s="13" t="s">
        <v>132</v>
      </c>
    </row>
    <row r="54" spans="1:16" ht="15" customHeight="1" x14ac:dyDescent="0.25">
      <c r="A54" s="13" t="s">
        <v>515</v>
      </c>
      <c r="B54" s="13" t="s">
        <v>516</v>
      </c>
      <c r="C54" s="19" t="s">
        <v>698</v>
      </c>
      <c r="D54" s="19" t="s">
        <v>698</v>
      </c>
      <c r="E54" s="19" t="s">
        <v>698</v>
      </c>
      <c r="F54" s="19" t="s">
        <v>698</v>
      </c>
      <c r="G54" s="19" t="s">
        <v>698</v>
      </c>
      <c r="H54" s="19" t="s">
        <v>698</v>
      </c>
      <c r="I54" s="19"/>
      <c r="J54" s="19"/>
      <c r="K54" s="19" t="s">
        <v>698</v>
      </c>
      <c r="L54" s="19" t="s">
        <v>698</v>
      </c>
      <c r="M54" s="19" t="s">
        <v>698</v>
      </c>
      <c r="N54" s="19" t="s">
        <v>698</v>
      </c>
      <c r="O54" s="13">
        <f t="shared" si="1"/>
        <v>10</v>
      </c>
      <c r="P54" s="13" t="s">
        <v>132</v>
      </c>
    </row>
    <row r="55" spans="1:16" ht="15" customHeight="1" x14ac:dyDescent="0.25">
      <c r="A55" s="13" t="s">
        <v>522</v>
      </c>
      <c r="B55" s="13" t="s">
        <v>523</v>
      </c>
      <c r="C55" s="19" t="s">
        <v>93</v>
      </c>
      <c r="D55" s="19" t="s">
        <v>93</v>
      </c>
      <c r="E55" s="19" t="s">
        <v>93</v>
      </c>
      <c r="F55" s="19" t="s">
        <v>93</v>
      </c>
      <c r="G55" s="19" t="s">
        <v>93</v>
      </c>
      <c r="H55" s="19" t="s">
        <v>698</v>
      </c>
      <c r="I55" s="19" t="s">
        <v>698</v>
      </c>
      <c r="J55" s="19" t="s">
        <v>698</v>
      </c>
      <c r="K55" s="19" t="s">
        <v>698</v>
      </c>
      <c r="L55" s="19" t="s">
        <v>698</v>
      </c>
      <c r="M55" s="19" t="s">
        <v>698</v>
      </c>
      <c r="N55" s="19" t="s">
        <v>698</v>
      </c>
      <c r="O55" s="13">
        <f t="shared" si="1"/>
        <v>12</v>
      </c>
      <c r="P55" s="13" t="s">
        <v>114</v>
      </c>
    </row>
    <row r="56" spans="1:16" ht="15" customHeight="1" x14ac:dyDescent="0.25">
      <c r="A56" s="13" t="s">
        <v>528</v>
      </c>
      <c r="B56" s="13" t="s">
        <v>529</v>
      </c>
      <c r="C56" s="19" t="s">
        <v>93</v>
      </c>
      <c r="D56" s="19" t="s">
        <v>93</v>
      </c>
      <c r="E56" s="19" t="s">
        <v>93</v>
      </c>
      <c r="F56" s="19" t="s">
        <v>93</v>
      </c>
      <c r="G56" s="19" t="s">
        <v>93</v>
      </c>
      <c r="H56" s="19" t="s">
        <v>698</v>
      </c>
      <c r="I56" s="19" t="s">
        <v>698</v>
      </c>
      <c r="J56" s="19" t="s">
        <v>698</v>
      </c>
      <c r="K56" s="19" t="s">
        <v>93</v>
      </c>
      <c r="L56" s="19" t="s">
        <v>93</v>
      </c>
      <c r="M56" s="19" t="s">
        <v>93</v>
      </c>
      <c r="N56" s="19" t="s">
        <v>93</v>
      </c>
      <c r="O56" s="13">
        <f t="shared" si="1"/>
        <v>12</v>
      </c>
      <c r="P56" s="13" t="s">
        <v>114</v>
      </c>
    </row>
    <row r="57" spans="1:16" ht="15" customHeight="1" x14ac:dyDescent="0.25">
      <c r="A57" s="13" t="s">
        <v>536</v>
      </c>
      <c r="B57" s="13" t="s">
        <v>537</v>
      </c>
      <c r="C57" s="19" t="s">
        <v>698</v>
      </c>
      <c r="D57" s="19" t="s">
        <v>698</v>
      </c>
      <c r="E57" s="19" t="s">
        <v>698</v>
      </c>
      <c r="F57" s="19" t="s">
        <v>698</v>
      </c>
      <c r="G57" s="19" t="s">
        <v>698</v>
      </c>
      <c r="H57" s="19" t="s">
        <v>698</v>
      </c>
      <c r="I57" s="19" t="s">
        <v>698</v>
      </c>
      <c r="J57" s="19" t="s">
        <v>698</v>
      </c>
      <c r="K57" s="19" t="s">
        <v>698</v>
      </c>
      <c r="L57" s="19" t="s">
        <v>698</v>
      </c>
      <c r="M57" s="19" t="s">
        <v>698</v>
      </c>
      <c r="N57" s="19" t="s">
        <v>698</v>
      </c>
      <c r="O57" s="13">
        <f t="shared" si="1"/>
        <v>12</v>
      </c>
      <c r="P57" s="13" t="s">
        <v>132</v>
      </c>
    </row>
    <row r="58" spans="1:16" ht="15" customHeight="1" x14ac:dyDescent="0.25">
      <c r="A58" s="13" t="s">
        <v>543</v>
      </c>
      <c r="B58" s="13" t="s">
        <v>544</v>
      </c>
      <c r="C58" s="19" t="s">
        <v>698</v>
      </c>
      <c r="D58" s="19" t="s">
        <v>698</v>
      </c>
      <c r="E58" s="19" t="s">
        <v>698</v>
      </c>
      <c r="F58" s="19" t="s">
        <v>698</v>
      </c>
      <c r="G58" s="19" t="s">
        <v>698</v>
      </c>
      <c r="H58" s="19" t="s">
        <v>698</v>
      </c>
      <c r="I58" s="19" t="s">
        <v>698</v>
      </c>
      <c r="J58" s="19" t="s">
        <v>698</v>
      </c>
      <c r="K58" s="19" t="s">
        <v>698</v>
      </c>
      <c r="L58" s="19" t="s">
        <v>698</v>
      </c>
      <c r="M58" s="19" t="s">
        <v>698</v>
      </c>
      <c r="N58" s="19" t="s">
        <v>698</v>
      </c>
      <c r="O58" s="13">
        <f t="shared" si="1"/>
        <v>12</v>
      </c>
      <c r="P58" s="13" t="s">
        <v>132</v>
      </c>
    </row>
    <row r="59" spans="1:16" ht="15" customHeight="1" x14ac:dyDescent="0.25">
      <c r="A59" s="13" t="s">
        <v>545</v>
      </c>
      <c r="B59" s="13" t="s">
        <v>546</v>
      </c>
      <c r="C59" s="19" t="s">
        <v>698</v>
      </c>
      <c r="D59" s="19" t="s">
        <v>698</v>
      </c>
      <c r="E59" s="19" t="s">
        <v>698</v>
      </c>
      <c r="F59" s="19" t="s">
        <v>698</v>
      </c>
      <c r="G59" s="19" t="s">
        <v>698</v>
      </c>
      <c r="H59" s="19" t="s">
        <v>698</v>
      </c>
      <c r="I59" s="19" t="s">
        <v>698</v>
      </c>
      <c r="J59" s="19" t="s">
        <v>698</v>
      </c>
      <c r="K59" s="19" t="s">
        <v>698</v>
      </c>
      <c r="L59" s="19" t="s">
        <v>698</v>
      </c>
      <c r="M59" s="19" t="s">
        <v>698</v>
      </c>
      <c r="N59" s="19" t="s">
        <v>698</v>
      </c>
      <c r="O59" s="13">
        <f t="shared" si="1"/>
        <v>12</v>
      </c>
      <c r="P59" s="13" t="s">
        <v>132</v>
      </c>
    </row>
    <row r="60" spans="1:16" ht="15" customHeight="1" x14ac:dyDescent="0.25">
      <c r="A60" s="13" t="s">
        <v>553</v>
      </c>
      <c r="B60" s="13" t="s">
        <v>554</v>
      </c>
      <c r="C60" s="19" t="s">
        <v>698</v>
      </c>
      <c r="D60" s="19" t="s">
        <v>698</v>
      </c>
      <c r="E60" s="19" t="s">
        <v>698</v>
      </c>
      <c r="F60" s="19" t="s">
        <v>698</v>
      </c>
      <c r="G60" s="19" t="s">
        <v>698</v>
      </c>
      <c r="H60" s="19" t="s">
        <v>698</v>
      </c>
      <c r="I60" s="19" t="s">
        <v>698</v>
      </c>
      <c r="J60" s="19" t="s">
        <v>698</v>
      </c>
      <c r="K60" s="19" t="s">
        <v>698</v>
      </c>
      <c r="L60" s="19" t="s">
        <v>698</v>
      </c>
      <c r="M60" s="19" t="s">
        <v>698</v>
      </c>
      <c r="N60" s="19" t="s">
        <v>698</v>
      </c>
      <c r="O60" s="13">
        <f t="shared" si="1"/>
        <v>12</v>
      </c>
      <c r="P60" s="13" t="s">
        <v>132</v>
      </c>
    </row>
    <row r="61" spans="1:16" ht="15" customHeight="1" x14ac:dyDescent="0.25">
      <c r="A61" s="13" t="s">
        <v>555</v>
      </c>
      <c r="B61" s="13" t="s">
        <v>556</v>
      </c>
      <c r="C61" s="19"/>
      <c r="D61" s="19"/>
      <c r="E61" s="19"/>
      <c r="F61" s="19" t="s">
        <v>698</v>
      </c>
      <c r="G61" s="19" t="s">
        <v>698</v>
      </c>
      <c r="H61" s="19" t="s">
        <v>93</v>
      </c>
      <c r="I61" s="19" t="s">
        <v>93</v>
      </c>
      <c r="J61" s="19" t="s">
        <v>698</v>
      </c>
      <c r="K61" s="19"/>
      <c r="L61" s="19"/>
      <c r="M61" s="19"/>
      <c r="N61" s="19"/>
      <c r="O61" s="13">
        <f t="shared" si="1"/>
        <v>5</v>
      </c>
      <c r="P61" s="13" t="s">
        <v>114</v>
      </c>
    </row>
    <row r="62" spans="1:16" ht="15" customHeight="1" x14ac:dyDescent="0.25">
      <c r="A62" s="13" t="s">
        <v>565</v>
      </c>
      <c r="B62" s="13" t="s">
        <v>566</v>
      </c>
      <c r="C62" s="19" t="s">
        <v>698</v>
      </c>
      <c r="D62" s="19" t="s">
        <v>698</v>
      </c>
      <c r="E62" s="19" t="s">
        <v>698</v>
      </c>
      <c r="F62" s="19" t="s">
        <v>698</v>
      </c>
      <c r="G62" s="19" t="s">
        <v>698</v>
      </c>
      <c r="H62" s="19" t="s">
        <v>698</v>
      </c>
      <c r="I62" s="19" t="s">
        <v>698</v>
      </c>
      <c r="J62" s="19" t="s">
        <v>698</v>
      </c>
      <c r="K62" s="19" t="s">
        <v>698</v>
      </c>
      <c r="L62" s="19" t="s">
        <v>698</v>
      </c>
      <c r="M62" s="19"/>
      <c r="N62" s="19"/>
      <c r="O62" s="13">
        <f t="shared" si="1"/>
        <v>10</v>
      </c>
      <c r="P62" s="13" t="s">
        <v>114</v>
      </c>
    </row>
    <row r="63" spans="1:16" ht="15" customHeight="1" x14ac:dyDescent="0.25">
      <c r="A63" s="13" t="s">
        <v>571</v>
      </c>
      <c r="B63" s="13" t="s">
        <v>572</v>
      </c>
      <c r="C63" s="19" t="s">
        <v>698</v>
      </c>
      <c r="D63" s="19" t="s">
        <v>698</v>
      </c>
      <c r="E63" s="19" t="s">
        <v>698</v>
      </c>
      <c r="F63" s="19" t="s">
        <v>698</v>
      </c>
      <c r="G63" s="19" t="s">
        <v>698</v>
      </c>
      <c r="H63" s="19" t="s">
        <v>698</v>
      </c>
      <c r="I63" s="19" t="s">
        <v>698</v>
      </c>
      <c r="J63" s="19" t="s">
        <v>698</v>
      </c>
      <c r="K63" s="19" t="s">
        <v>698</v>
      </c>
      <c r="L63" s="19" t="s">
        <v>698</v>
      </c>
      <c r="M63" s="19" t="s">
        <v>698</v>
      </c>
      <c r="N63" s="19" t="s">
        <v>698</v>
      </c>
      <c r="O63" s="13">
        <f t="shared" si="1"/>
        <v>12</v>
      </c>
      <c r="P63" s="13" t="s">
        <v>132</v>
      </c>
    </row>
    <row r="64" spans="1:16" ht="15" customHeight="1" x14ac:dyDescent="0.25">
      <c r="A64" s="13" t="s">
        <v>575</v>
      </c>
      <c r="B64" s="13" t="s">
        <v>576</v>
      </c>
      <c r="C64" s="19" t="s">
        <v>698</v>
      </c>
      <c r="D64" s="19" t="s">
        <v>698</v>
      </c>
      <c r="E64" s="19" t="s">
        <v>698</v>
      </c>
      <c r="F64" s="19" t="s">
        <v>698</v>
      </c>
      <c r="G64" s="19" t="s">
        <v>698</v>
      </c>
      <c r="H64" s="19" t="s">
        <v>698</v>
      </c>
      <c r="I64" s="19" t="s">
        <v>698</v>
      </c>
      <c r="J64" s="19" t="s">
        <v>698</v>
      </c>
      <c r="K64" s="19" t="s">
        <v>698</v>
      </c>
      <c r="L64" s="19" t="s">
        <v>698</v>
      </c>
      <c r="M64" s="19" t="s">
        <v>698</v>
      </c>
      <c r="N64" s="19" t="s">
        <v>698</v>
      </c>
      <c r="O64" s="13">
        <f t="shared" si="1"/>
        <v>12</v>
      </c>
      <c r="P64" s="13" t="s">
        <v>132</v>
      </c>
    </row>
    <row r="65" spans="1:16" ht="15" customHeight="1" x14ac:dyDescent="0.25">
      <c r="A65" s="13" t="s">
        <v>582</v>
      </c>
      <c r="B65" s="13" t="s">
        <v>583</v>
      </c>
      <c r="C65" s="19" t="s">
        <v>698</v>
      </c>
      <c r="D65" s="19" t="s">
        <v>698</v>
      </c>
      <c r="E65" s="19" t="s">
        <v>698</v>
      </c>
      <c r="F65" s="19" t="s">
        <v>698</v>
      </c>
      <c r="G65" s="19" t="s">
        <v>698</v>
      </c>
      <c r="H65" s="19" t="s">
        <v>698</v>
      </c>
      <c r="I65" s="19" t="s">
        <v>698</v>
      </c>
      <c r="J65" s="19" t="s">
        <v>698</v>
      </c>
      <c r="K65" s="19" t="s">
        <v>698</v>
      </c>
      <c r="L65" s="19" t="s">
        <v>698</v>
      </c>
      <c r="M65" s="19" t="s">
        <v>698</v>
      </c>
      <c r="N65" s="19" t="s">
        <v>698</v>
      </c>
      <c r="O65" s="13">
        <f t="shared" si="1"/>
        <v>12</v>
      </c>
      <c r="P65" s="13" t="s">
        <v>132</v>
      </c>
    </row>
    <row r="66" spans="1:16" ht="15" customHeight="1" x14ac:dyDescent="0.25">
      <c r="A66" s="13" t="s">
        <v>587</v>
      </c>
      <c r="B66" s="13" t="s">
        <v>588</v>
      </c>
      <c r="C66" s="19" t="s">
        <v>698</v>
      </c>
      <c r="D66" s="19" t="s">
        <v>698</v>
      </c>
      <c r="E66" s="19" t="s">
        <v>698</v>
      </c>
      <c r="F66" s="19" t="s">
        <v>698</v>
      </c>
      <c r="G66" s="19" t="s">
        <v>698</v>
      </c>
      <c r="H66" s="19" t="s">
        <v>698</v>
      </c>
      <c r="I66" s="19" t="s">
        <v>698</v>
      </c>
      <c r="J66" s="19" t="s">
        <v>698</v>
      </c>
      <c r="K66" s="19" t="s">
        <v>698</v>
      </c>
      <c r="L66" s="19" t="s">
        <v>698</v>
      </c>
      <c r="M66" s="19" t="s">
        <v>698</v>
      </c>
      <c r="N66" s="19" t="s">
        <v>698</v>
      </c>
      <c r="O66" s="13">
        <f t="shared" ref="O66:O97" si="2">COUNTIF(C66:N66,"Peak")+COUNTIF(C66:N66,"In")</f>
        <v>12</v>
      </c>
      <c r="P66" s="13" t="s">
        <v>132</v>
      </c>
    </row>
    <row r="67" spans="1:16" ht="15" customHeight="1" x14ac:dyDescent="0.25">
      <c r="A67" s="13" t="s">
        <v>591</v>
      </c>
      <c r="B67" s="13" t="s">
        <v>592</v>
      </c>
      <c r="C67" s="19" t="s">
        <v>698</v>
      </c>
      <c r="D67" s="19" t="s">
        <v>698</v>
      </c>
      <c r="E67" s="19" t="s">
        <v>698</v>
      </c>
      <c r="F67" s="19" t="s">
        <v>698</v>
      </c>
      <c r="G67" s="19" t="s">
        <v>698</v>
      </c>
      <c r="H67" s="19" t="s">
        <v>698</v>
      </c>
      <c r="I67" s="19" t="s">
        <v>698</v>
      </c>
      <c r="J67" s="19" t="s">
        <v>698</v>
      </c>
      <c r="K67" s="19" t="s">
        <v>698</v>
      </c>
      <c r="L67" s="19" t="s">
        <v>698</v>
      </c>
      <c r="M67" s="19" t="s">
        <v>698</v>
      </c>
      <c r="N67" s="19" t="s">
        <v>698</v>
      </c>
      <c r="O67" s="13">
        <f t="shared" si="2"/>
        <v>12</v>
      </c>
      <c r="P67" s="13" t="s">
        <v>132</v>
      </c>
    </row>
    <row r="68" spans="1:16" ht="15" customHeight="1" x14ac:dyDescent="0.25">
      <c r="A68" s="13" t="s">
        <v>594</v>
      </c>
      <c r="B68" s="13" t="s">
        <v>595</v>
      </c>
      <c r="C68" s="19" t="s">
        <v>698</v>
      </c>
      <c r="D68" s="19" t="s">
        <v>698</v>
      </c>
      <c r="E68" s="19" t="s">
        <v>698</v>
      </c>
      <c r="F68" s="19" t="s">
        <v>698</v>
      </c>
      <c r="G68" s="19" t="s">
        <v>698</v>
      </c>
      <c r="H68" s="19" t="s">
        <v>698</v>
      </c>
      <c r="I68" s="19" t="s">
        <v>698</v>
      </c>
      <c r="J68" s="19" t="s">
        <v>698</v>
      </c>
      <c r="K68" s="19" t="s">
        <v>698</v>
      </c>
      <c r="L68" s="19" t="s">
        <v>698</v>
      </c>
      <c r="M68" s="19" t="s">
        <v>698</v>
      </c>
      <c r="N68" s="19" t="s">
        <v>698</v>
      </c>
      <c r="O68" s="13">
        <f t="shared" si="2"/>
        <v>12</v>
      </c>
      <c r="P68" s="13" t="s">
        <v>132</v>
      </c>
    </row>
    <row r="69" spans="1:16" ht="15" customHeight="1" x14ac:dyDescent="0.25">
      <c r="A69" s="13" t="s">
        <v>602</v>
      </c>
      <c r="B69" s="13" t="s">
        <v>603</v>
      </c>
      <c r="C69" s="19" t="s">
        <v>698</v>
      </c>
      <c r="D69" s="19" t="s">
        <v>698</v>
      </c>
      <c r="E69" s="19" t="s">
        <v>698</v>
      </c>
      <c r="F69" s="19" t="s">
        <v>698</v>
      </c>
      <c r="G69" s="19" t="s">
        <v>698</v>
      </c>
      <c r="H69" s="19" t="s">
        <v>698</v>
      </c>
      <c r="I69" s="19" t="s">
        <v>698</v>
      </c>
      <c r="J69" s="19" t="s">
        <v>698</v>
      </c>
      <c r="K69" s="19" t="s">
        <v>698</v>
      </c>
      <c r="L69" s="19" t="s">
        <v>698</v>
      </c>
      <c r="M69" s="19" t="s">
        <v>698</v>
      </c>
      <c r="N69" s="19" t="s">
        <v>698</v>
      </c>
      <c r="O69" s="13">
        <f t="shared" si="2"/>
        <v>12</v>
      </c>
      <c r="P69" s="13" t="s">
        <v>132</v>
      </c>
    </row>
    <row r="70" spans="1:16" ht="15" customHeight="1" x14ac:dyDescent="0.25">
      <c r="A70" s="13" t="s">
        <v>609</v>
      </c>
      <c r="B70" s="13" t="s">
        <v>610</v>
      </c>
      <c r="C70" s="19" t="s">
        <v>698</v>
      </c>
      <c r="D70" s="19" t="s">
        <v>698</v>
      </c>
      <c r="E70" s="19" t="s">
        <v>698</v>
      </c>
      <c r="F70" s="19" t="s">
        <v>698</v>
      </c>
      <c r="G70" s="19" t="s">
        <v>698</v>
      </c>
      <c r="H70" s="19" t="s">
        <v>698</v>
      </c>
      <c r="I70" s="19" t="s">
        <v>698</v>
      </c>
      <c r="J70" s="19" t="s">
        <v>698</v>
      </c>
      <c r="K70" s="19" t="s">
        <v>698</v>
      </c>
      <c r="L70" s="19" t="s">
        <v>698</v>
      </c>
      <c r="M70" s="19" t="s">
        <v>698</v>
      </c>
      <c r="N70" s="19" t="s">
        <v>698</v>
      </c>
      <c r="O70" s="13">
        <f t="shared" si="2"/>
        <v>12</v>
      </c>
      <c r="P70" s="13" t="s">
        <v>132</v>
      </c>
    </row>
    <row r="71" spans="1:16" ht="15" customHeight="1" x14ac:dyDescent="0.25">
      <c r="A71" s="13" t="s">
        <v>616</v>
      </c>
      <c r="B71" s="13" t="s">
        <v>617</v>
      </c>
      <c r="C71" s="19" t="s">
        <v>698</v>
      </c>
      <c r="D71" s="19" t="s">
        <v>698</v>
      </c>
      <c r="E71" s="19" t="s">
        <v>698</v>
      </c>
      <c r="F71" s="19" t="s">
        <v>698</v>
      </c>
      <c r="G71" s="19" t="s">
        <v>698</v>
      </c>
      <c r="H71" s="19" t="s">
        <v>698</v>
      </c>
      <c r="I71" s="19" t="s">
        <v>698</v>
      </c>
      <c r="J71" s="19" t="s">
        <v>698</v>
      </c>
      <c r="K71" s="19" t="s">
        <v>698</v>
      </c>
      <c r="L71" s="19" t="s">
        <v>698</v>
      </c>
      <c r="M71" s="19" t="s">
        <v>698</v>
      </c>
      <c r="N71" s="19" t="s">
        <v>698</v>
      </c>
      <c r="O71" s="13">
        <f t="shared" si="2"/>
        <v>12</v>
      </c>
      <c r="P71" s="13" t="s">
        <v>132</v>
      </c>
    </row>
    <row r="72" spans="1:16" ht="15" customHeight="1" x14ac:dyDescent="0.25">
      <c r="A72" s="13" t="s">
        <v>621</v>
      </c>
      <c r="B72" s="13" t="s">
        <v>622</v>
      </c>
      <c r="C72" s="19" t="s">
        <v>698</v>
      </c>
      <c r="D72" s="19" t="s">
        <v>698</v>
      </c>
      <c r="E72" s="19" t="s">
        <v>698</v>
      </c>
      <c r="F72" s="19" t="s">
        <v>698</v>
      </c>
      <c r="G72" s="19" t="s">
        <v>698</v>
      </c>
      <c r="H72" s="19" t="s">
        <v>698</v>
      </c>
      <c r="I72" s="19" t="s">
        <v>698</v>
      </c>
      <c r="J72" s="19" t="s">
        <v>93</v>
      </c>
      <c r="K72" s="19" t="s">
        <v>93</v>
      </c>
      <c r="L72" s="19" t="s">
        <v>93</v>
      </c>
      <c r="M72" s="19" t="s">
        <v>698</v>
      </c>
      <c r="N72" s="19" t="s">
        <v>698</v>
      </c>
      <c r="O72" s="13">
        <f t="shared" si="2"/>
        <v>12</v>
      </c>
      <c r="P72" s="13" t="s">
        <v>132</v>
      </c>
    </row>
    <row r="73" spans="1:16" ht="15" customHeight="1" x14ac:dyDescent="0.25">
      <c r="A73" s="13" t="s">
        <v>627</v>
      </c>
      <c r="B73" s="13" t="s">
        <v>628</v>
      </c>
      <c r="C73" s="19" t="s">
        <v>698</v>
      </c>
      <c r="D73" s="19" t="s">
        <v>698</v>
      </c>
      <c r="E73" s="19" t="s">
        <v>698</v>
      </c>
      <c r="F73" s="19" t="s">
        <v>698</v>
      </c>
      <c r="G73" s="19" t="s">
        <v>698</v>
      </c>
      <c r="H73" s="19" t="s">
        <v>698</v>
      </c>
      <c r="I73" s="19" t="s">
        <v>698</v>
      </c>
      <c r="J73" s="19" t="s">
        <v>698</v>
      </c>
      <c r="K73" s="19" t="s">
        <v>698</v>
      </c>
      <c r="L73" s="19" t="s">
        <v>698</v>
      </c>
      <c r="M73" s="19" t="s">
        <v>698</v>
      </c>
      <c r="N73" s="19" t="s">
        <v>698</v>
      </c>
      <c r="O73" s="13">
        <f t="shared" si="2"/>
        <v>12</v>
      </c>
      <c r="P73" s="13" t="s">
        <v>132</v>
      </c>
    </row>
    <row r="74" spans="1:16" ht="15" customHeight="1" x14ac:dyDescent="0.25">
      <c r="A74" s="13" t="s">
        <v>632</v>
      </c>
      <c r="B74" s="13" t="s">
        <v>633</v>
      </c>
      <c r="C74" s="19" t="s">
        <v>698</v>
      </c>
      <c r="D74" s="19" t="s">
        <v>698</v>
      </c>
      <c r="E74" s="19" t="s">
        <v>698</v>
      </c>
      <c r="F74" s="19" t="s">
        <v>698</v>
      </c>
      <c r="G74" s="19" t="s">
        <v>698</v>
      </c>
      <c r="H74" s="19" t="s">
        <v>698</v>
      </c>
      <c r="I74" s="19" t="s">
        <v>698</v>
      </c>
      <c r="J74" s="19" t="s">
        <v>698</v>
      </c>
      <c r="K74" s="19" t="s">
        <v>698</v>
      </c>
      <c r="L74" s="19" t="s">
        <v>698</v>
      </c>
      <c r="M74" s="19" t="s">
        <v>698</v>
      </c>
      <c r="N74" s="19" t="s">
        <v>698</v>
      </c>
      <c r="O74" s="13">
        <f t="shared" si="2"/>
        <v>12</v>
      </c>
      <c r="P74" s="13" t="s">
        <v>132</v>
      </c>
    </row>
    <row r="75" spans="1:16" ht="15" customHeight="1" x14ac:dyDescent="0.25">
      <c r="A75" s="13" t="s">
        <v>638</v>
      </c>
      <c r="B75" s="13" t="s">
        <v>639</v>
      </c>
      <c r="C75" s="19" t="s">
        <v>698</v>
      </c>
      <c r="D75" s="19" t="s">
        <v>698</v>
      </c>
      <c r="E75" s="19" t="s">
        <v>698</v>
      </c>
      <c r="F75" s="19" t="s">
        <v>698</v>
      </c>
      <c r="G75" s="19" t="s">
        <v>698</v>
      </c>
      <c r="H75" s="19" t="s">
        <v>698</v>
      </c>
      <c r="I75" s="19" t="s">
        <v>698</v>
      </c>
      <c r="J75" s="19" t="s">
        <v>698</v>
      </c>
      <c r="K75" s="19" t="s">
        <v>698</v>
      </c>
      <c r="L75" s="19" t="s">
        <v>698</v>
      </c>
      <c r="M75" s="19" t="s">
        <v>698</v>
      </c>
      <c r="N75" s="19" t="s">
        <v>698</v>
      </c>
      <c r="O75" s="13">
        <f t="shared" si="2"/>
        <v>12</v>
      </c>
      <c r="P75" s="13" t="s">
        <v>132</v>
      </c>
    </row>
    <row r="76" spans="1:16" ht="15" customHeight="1" x14ac:dyDescent="0.25">
      <c r="A76" s="13" t="s">
        <v>642</v>
      </c>
      <c r="B76" s="13" t="s">
        <v>643</v>
      </c>
      <c r="C76" s="19" t="s">
        <v>698</v>
      </c>
      <c r="D76" s="19" t="s">
        <v>698</v>
      </c>
      <c r="E76" s="19" t="s">
        <v>698</v>
      </c>
      <c r="F76" s="19" t="s">
        <v>698</v>
      </c>
      <c r="G76" s="19" t="s">
        <v>698</v>
      </c>
      <c r="H76" s="19" t="s">
        <v>698</v>
      </c>
      <c r="I76" s="19" t="s">
        <v>698</v>
      </c>
      <c r="J76" s="19" t="s">
        <v>698</v>
      </c>
      <c r="K76" s="19" t="s">
        <v>698</v>
      </c>
      <c r="L76" s="19" t="s">
        <v>698</v>
      </c>
      <c r="M76" s="19" t="s">
        <v>698</v>
      </c>
      <c r="N76" s="19" t="s">
        <v>698</v>
      </c>
      <c r="O76" s="13">
        <f t="shared" si="2"/>
        <v>12</v>
      </c>
      <c r="P76" s="13" t="s">
        <v>132</v>
      </c>
    </row>
    <row r="77" spans="1:16" ht="15" customHeight="1" x14ac:dyDescent="0.25">
      <c r="A77" s="13" t="s">
        <v>647</v>
      </c>
      <c r="B77" s="13" t="s">
        <v>648</v>
      </c>
      <c r="C77" s="19" t="s">
        <v>698</v>
      </c>
      <c r="D77" s="19" t="s">
        <v>698</v>
      </c>
      <c r="E77" s="19" t="s">
        <v>698</v>
      </c>
      <c r="F77" s="19" t="s">
        <v>698</v>
      </c>
      <c r="G77" s="19" t="s">
        <v>698</v>
      </c>
      <c r="H77" s="19" t="s">
        <v>698</v>
      </c>
      <c r="I77" s="19" t="s">
        <v>698</v>
      </c>
      <c r="J77" s="19" t="s">
        <v>698</v>
      </c>
      <c r="K77" s="19" t="s">
        <v>698</v>
      </c>
      <c r="L77" s="19" t="s">
        <v>698</v>
      </c>
      <c r="M77" s="19" t="s">
        <v>698</v>
      </c>
      <c r="N77" s="19" t="s">
        <v>698</v>
      </c>
      <c r="O77" s="13">
        <f t="shared" si="2"/>
        <v>12</v>
      </c>
      <c r="P77" s="13" t="s">
        <v>132</v>
      </c>
    </row>
    <row r="78" spans="1:16" ht="15" customHeight="1" x14ac:dyDescent="0.25">
      <c r="A78" s="13" t="s">
        <v>651</v>
      </c>
      <c r="B78" s="13" t="s">
        <v>652</v>
      </c>
      <c r="C78" s="19" t="s">
        <v>698</v>
      </c>
      <c r="D78" s="19" t="s">
        <v>698</v>
      </c>
      <c r="E78" s="19" t="s">
        <v>698</v>
      </c>
      <c r="F78" s="19" t="s">
        <v>698</v>
      </c>
      <c r="G78" s="19" t="s">
        <v>698</v>
      </c>
      <c r="H78" s="19" t="s">
        <v>698</v>
      </c>
      <c r="I78" s="19" t="s">
        <v>698</v>
      </c>
      <c r="J78" s="19" t="s">
        <v>698</v>
      </c>
      <c r="K78" s="19" t="s">
        <v>698</v>
      </c>
      <c r="L78" s="19" t="s">
        <v>698</v>
      </c>
      <c r="M78" s="19" t="s">
        <v>698</v>
      </c>
      <c r="N78" s="19" t="s">
        <v>698</v>
      </c>
      <c r="O78" s="13">
        <f t="shared" si="2"/>
        <v>12</v>
      </c>
      <c r="P78" s="13" t="s">
        <v>132</v>
      </c>
    </row>
    <row r="79" spans="1:16" ht="15" customHeight="1" x14ac:dyDescent="0.25">
      <c r="A79" s="13" t="s">
        <v>657</v>
      </c>
      <c r="B79" s="13" t="s">
        <v>658</v>
      </c>
      <c r="C79" s="19" t="s">
        <v>698</v>
      </c>
      <c r="D79" s="19" t="s">
        <v>698</v>
      </c>
      <c r="E79" s="19" t="s">
        <v>698</v>
      </c>
      <c r="F79" s="19" t="s">
        <v>698</v>
      </c>
      <c r="G79" s="19" t="s">
        <v>698</v>
      </c>
      <c r="H79" s="19" t="s">
        <v>698</v>
      </c>
      <c r="I79" s="19" t="s">
        <v>698</v>
      </c>
      <c r="J79" s="19" t="s">
        <v>698</v>
      </c>
      <c r="K79" s="19" t="s">
        <v>698</v>
      </c>
      <c r="L79" s="19" t="s">
        <v>698</v>
      </c>
      <c r="M79" s="19" t="s">
        <v>698</v>
      </c>
      <c r="N79" s="19" t="s">
        <v>698</v>
      </c>
      <c r="O79" s="13">
        <f t="shared" si="2"/>
        <v>12</v>
      </c>
      <c r="P79" s="13" t="s">
        <v>132</v>
      </c>
    </row>
    <row r="80" spans="1:16" ht="15" customHeight="1" x14ac:dyDescent="0.25">
      <c r="A80" s="13" t="s">
        <v>662</v>
      </c>
      <c r="B80" s="13" t="s">
        <v>663</v>
      </c>
      <c r="C80" s="19" t="s">
        <v>698</v>
      </c>
      <c r="D80" s="19" t="s">
        <v>698</v>
      </c>
      <c r="E80" s="19" t="s">
        <v>698</v>
      </c>
      <c r="F80" s="19" t="s">
        <v>698</v>
      </c>
      <c r="G80" s="19" t="s">
        <v>698</v>
      </c>
      <c r="H80" s="19" t="s">
        <v>698</v>
      </c>
      <c r="I80" s="19" t="s">
        <v>698</v>
      </c>
      <c r="J80" s="19" t="s">
        <v>698</v>
      </c>
      <c r="K80" s="19" t="s">
        <v>698</v>
      </c>
      <c r="L80" s="19" t="s">
        <v>698</v>
      </c>
      <c r="M80" s="19" t="s">
        <v>698</v>
      </c>
      <c r="N80" s="19" t="s">
        <v>698</v>
      </c>
      <c r="O80" s="13">
        <f t="shared" si="2"/>
        <v>12</v>
      </c>
      <c r="P80" s="13" t="s">
        <v>132</v>
      </c>
    </row>
    <row r="81" spans="1:16" ht="15" customHeight="1" x14ac:dyDescent="0.25">
      <c r="A81" s="13" t="s">
        <v>667</v>
      </c>
      <c r="B81" s="13" t="s">
        <v>668</v>
      </c>
      <c r="C81" s="19" t="s">
        <v>698</v>
      </c>
      <c r="D81" s="19" t="s">
        <v>698</v>
      </c>
      <c r="E81" s="19" t="s">
        <v>698</v>
      </c>
      <c r="F81" s="19" t="s">
        <v>698</v>
      </c>
      <c r="G81" s="19" t="s">
        <v>698</v>
      </c>
      <c r="H81" s="19" t="s">
        <v>698</v>
      </c>
      <c r="I81" s="19" t="s">
        <v>698</v>
      </c>
      <c r="J81" s="19" t="s">
        <v>698</v>
      </c>
      <c r="K81" s="19" t="s">
        <v>698</v>
      </c>
      <c r="L81" s="19" t="s">
        <v>698</v>
      </c>
      <c r="M81" s="19" t="s">
        <v>698</v>
      </c>
      <c r="N81" s="19" t="s">
        <v>698</v>
      </c>
      <c r="O81" s="13">
        <f t="shared" si="2"/>
        <v>12</v>
      </c>
      <c r="P81" s="13" t="s">
        <v>132</v>
      </c>
    </row>
    <row r="82" spans="1:16" ht="15" customHeight="1" x14ac:dyDescent="0.25">
      <c r="A82" s="13" t="s">
        <v>670</v>
      </c>
      <c r="B82" s="13" t="s">
        <v>671</v>
      </c>
      <c r="C82" s="19" t="s">
        <v>698</v>
      </c>
      <c r="D82" s="19" t="s">
        <v>698</v>
      </c>
      <c r="E82" s="19" t="s">
        <v>698</v>
      </c>
      <c r="F82" s="19" t="s">
        <v>698</v>
      </c>
      <c r="G82" s="19" t="s">
        <v>698</v>
      </c>
      <c r="H82" s="19" t="s">
        <v>698</v>
      </c>
      <c r="I82" s="19" t="s">
        <v>698</v>
      </c>
      <c r="J82" s="19" t="s">
        <v>698</v>
      </c>
      <c r="K82" s="19" t="s">
        <v>698</v>
      </c>
      <c r="L82" s="19" t="s">
        <v>698</v>
      </c>
      <c r="M82" s="19" t="s">
        <v>698</v>
      </c>
      <c r="N82" s="19" t="s">
        <v>698</v>
      </c>
      <c r="O82" s="13">
        <f t="shared" si="2"/>
        <v>12</v>
      </c>
      <c r="P82" s="13" t="s">
        <v>132</v>
      </c>
    </row>
    <row r="83" spans="1:16" ht="15" customHeight="1" x14ac:dyDescent="0.25">
      <c r="A83" s="13" t="s">
        <v>673</v>
      </c>
      <c r="B83" s="13" t="s">
        <v>674</v>
      </c>
      <c r="C83" s="19" t="s">
        <v>698</v>
      </c>
      <c r="D83" s="19" t="s">
        <v>698</v>
      </c>
      <c r="E83" s="19" t="s">
        <v>698</v>
      </c>
      <c r="F83" s="19" t="s">
        <v>698</v>
      </c>
      <c r="G83" s="19" t="s">
        <v>698</v>
      </c>
      <c r="H83" s="19" t="s">
        <v>698</v>
      </c>
      <c r="I83" s="19" t="s">
        <v>698</v>
      </c>
      <c r="J83" s="19" t="s">
        <v>698</v>
      </c>
      <c r="K83" s="19" t="s">
        <v>698</v>
      </c>
      <c r="L83" s="19" t="s">
        <v>698</v>
      </c>
      <c r="M83" s="19" t="s">
        <v>698</v>
      </c>
      <c r="N83" s="19" t="s">
        <v>698</v>
      </c>
      <c r="O83" s="13">
        <f t="shared" si="2"/>
        <v>12</v>
      </c>
      <c r="P83" s="13" t="s">
        <v>132</v>
      </c>
    </row>
    <row r="84" spans="1:16" ht="15" customHeight="1" x14ac:dyDescent="0.25">
      <c r="A84" s="13" t="s">
        <v>680</v>
      </c>
      <c r="B84" s="13" t="s">
        <v>681</v>
      </c>
      <c r="C84" s="19" t="s">
        <v>698</v>
      </c>
      <c r="D84" s="19" t="s">
        <v>698</v>
      </c>
      <c r="E84" s="19" t="s">
        <v>698</v>
      </c>
      <c r="F84" s="19" t="s">
        <v>698</v>
      </c>
      <c r="G84" s="19" t="s">
        <v>698</v>
      </c>
      <c r="H84" s="19" t="s">
        <v>698</v>
      </c>
      <c r="I84" s="19" t="s">
        <v>698</v>
      </c>
      <c r="J84" s="19" t="s">
        <v>698</v>
      </c>
      <c r="K84" s="19" t="s">
        <v>698</v>
      </c>
      <c r="L84" s="19" t="s">
        <v>698</v>
      </c>
      <c r="M84" s="19" t="s">
        <v>698</v>
      </c>
      <c r="N84" s="19" t="s">
        <v>698</v>
      </c>
      <c r="O84" s="13">
        <f t="shared" si="2"/>
        <v>12</v>
      </c>
      <c r="P84" s="13" t="s">
        <v>132</v>
      </c>
    </row>
    <row r="85" spans="1:16" ht="15" customHeight="1" x14ac:dyDescent="0.25">
      <c r="A85" s="13" t="s">
        <v>683</v>
      </c>
      <c r="B85" s="13" t="s">
        <v>684</v>
      </c>
      <c r="C85" s="19" t="s">
        <v>698</v>
      </c>
      <c r="D85" s="19" t="s">
        <v>698</v>
      </c>
      <c r="E85" s="19" t="s">
        <v>698</v>
      </c>
      <c r="F85" s="19" t="s">
        <v>698</v>
      </c>
      <c r="G85" s="19" t="s">
        <v>698</v>
      </c>
      <c r="H85" s="19" t="s">
        <v>698</v>
      </c>
      <c r="I85" s="19" t="s">
        <v>698</v>
      </c>
      <c r="J85" s="19" t="s">
        <v>698</v>
      </c>
      <c r="K85" s="19" t="s">
        <v>698</v>
      </c>
      <c r="L85" s="19" t="s">
        <v>698</v>
      </c>
      <c r="M85" s="19" t="s">
        <v>698</v>
      </c>
      <c r="N85" s="19" t="s">
        <v>698</v>
      </c>
      <c r="O85" s="13">
        <f t="shared" si="2"/>
        <v>12</v>
      </c>
      <c r="P85" s="13" t="s">
        <v>132</v>
      </c>
    </row>
    <row r="87" spans="1:16" ht="15" customHeight="1" x14ac:dyDescent="0.25">
      <c r="B87" s="20" t="s">
        <v>699</v>
      </c>
    </row>
  </sheetData>
  <autoFilter ref="A1:P85" xr:uid="{00000000-0009-0000-0000-000002000000}"/>
  <conditionalFormatting sqref="C2:N85">
    <cfRule type="cellIs" dxfId="3" priority="2" operator="equal">
      <formula>"Peak"</formula>
    </cfRule>
    <cfRule type="cellIs" dxfId="2" priority="3" operator="equal">
      <formula>"In"</formula>
    </cfRule>
  </conditionalFormatting>
  <dataValidations count="1">
    <dataValidation type="list" allowBlank="1" sqref="C2:N85" xr:uid="{00000000-0002-0000-0200-000000000000}">
      <formula1>"Peak,In"</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87"/>
  <sheetViews>
    <sheetView workbookViewId="0">
      <pane xSplit="2" ySplit="1" topLeftCell="C2" activePane="bottomRight" state="frozen"/>
      <selection pane="topRight"/>
      <selection pane="bottomLeft"/>
      <selection pane="bottomRight"/>
    </sheetView>
  </sheetViews>
  <sheetFormatPr defaultRowHeight="15" x14ac:dyDescent="0.25"/>
  <cols>
    <col min="1" max="1" width="7" style="1" customWidth="1"/>
    <col min="2" max="2" width="28" style="1" customWidth="1"/>
    <col min="3" max="14" width="9" style="1" customWidth="1"/>
    <col min="15" max="15" width="20" style="1" customWidth="1"/>
    <col min="16" max="16" width="9" style="1" customWidth="1"/>
    <col min="17" max="17" width="20" style="1" customWidth="1"/>
    <col min="18" max="18" width="26" style="1" customWidth="1"/>
    <col min="19" max="19" width="22" style="1" customWidth="1"/>
  </cols>
  <sheetData>
    <row r="1" spans="1:19" ht="31.5" customHeight="1" x14ac:dyDescent="0.25">
      <c r="A1" s="21" t="s">
        <v>86</v>
      </c>
      <c r="B1" s="21" t="s">
        <v>46</v>
      </c>
      <c r="C1" s="21" t="s">
        <v>700</v>
      </c>
      <c r="D1" s="21" t="s">
        <v>9</v>
      </c>
      <c r="E1" s="21" t="s">
        <v>11</v>
      </c>
      <c r="F1" s="21" t="s">
        <v>701</v>
      </c>
      <c r="G1" s="21" t="s">
        <v>15</v>
      </c>
      <c r="H1" s="21" t="s">
        <v>17</v>
      </c>
      <c r="I1" s="21" t="s">
        <v>19</v>
      </c>
      <c r="J1" s="21" t="s">
        <v>21</v>
      </c>
      <c r="K1" s="21" t="s">
        <v>23</v>
      </c>
      <c r="L1" s="21" t="s">
        <v>25</v>
      </c>
      <c r="M1" s="21" t="s">
        <v>27</v>
      </c>
      <c r="N1" s="21" t="s">
        <v>702</v>
      </c>
      <c r="O1" s="21" t="s">
        <v>703</v>
      </c>
      <c r="P1" s="21" t="s">
        <v>704</v>
      </c>
      <c r="Q1" s="21" t="s">
        <v>705</v>
      </c>
      <c r="R1" s="21" t="s">
        <v>706</v>
      </c>
      <c r="S1" s="21" t="s">
        <v>707</v>
      </c>
    </row>
    <row r="2" spans="1:19" ht="15" customHeight="1" x14ac:dyDescent="0.25">
      <c r="A2" s="22" t="s">
        <v>109</v>
      </c>
      <c r="B2" s="23" t="s">
        <v>110</v>
      </c>
      <c r="C2" s="24">
        <v>89</v>
      </c>
      <c r="D2" s="24">
        <v>2.6</v>
      </c>
      <c r="E2" s="24">
        <v>8.6999999999999993</v>
      </c>
      <c r="F2" s="24">
        <v>3</v>
      </c>
      <c r="G2" s="24">
        <v>0.5</v>
      </c>
      <c r="H2" s="24">
        <v>20</v>
      </c>
      <c r="I2" s="24">
        <v>358</v>
      </c>
      <c r="J2" s="24">
        <v>0.1</v>
      </c>
      <c r="K2" s="24">
        <v>0.36699999999999999</v>
      </c>
      <c r="L2" s="24">
        <v>27</v>
      </c>
      <c r="M2" s="24">
        <v>0.26</v>
      </c>
      <c r="N2" s="25">
        <v>118</v>
      </c>
      <c r="O2" s="7" t="s">
        <v>708</v>
      </c>
      <c r="P2" s="25">
        <v>150</v>
      </c>
      <c r="Q2" s="7" t="s">
        <v>709</v>
      </c>
      <c r="R2" s="7" t="s">
        <v>710</v>
      </c>
      <c r="S2" s="7" t="s">
        <v>711</v>
      </c>
    </row>
    <row r="3" spans="1:19" ht="15" customHeight="1" x14ac:dyDescent="0.25">
      <c r="A3" s="22" t="s">
        <v>128</v>
      </c>
      <c r="B3" s="23" t="s">
        <v>129</v>
      </c>
      <c r="C3" s="24">
        <v>122</v>
      </c>
      <c r="D3" s="24">
        <v>2.2999999999999998</v>
      </c>
      <c r="E3" s="24">
        <v>18.399999999999999</v>
      </c>
      <c r="F3" s="24">
        <v>56</v>
      </c>
      <c r="G3" s="24">
        <v>0.7</v>
      </c>
      <c r="H3" s="24">
        <v>22</v>
      </c>
      <c r="I3" s="24">
        <v>499</v>
      </c>
      <c r="J3" s="24">
        <v>0.14000000000000001</v>
      </c>
      <c r="K3" s="24">
        <v>0.29899999999999999</v>
      </c>
      <c r="L3" s="24">
        <v>37</v>
      </c>
      <c r="M3" s="24">
        <v>0.6</v>
      </c>
      <c r="N3" s="25">
        <v>179</v>
      </c>
      <c r="O3" s="7" t="s">
        <v>708</v>
      </c>
      <c r="P3" s="25">
        <v>148</v>
      </c>
      <c r="Q3" s="7" t="s">
        <v>709</v>
      </c>
      <c r="R3" s="7" t="s">
        <v>712</v>
      </c>
      <c r="S3" s="7" t="s">
        <v>711</v>
      </c>
    </row>
    <row r="4" spans="1:19" ht="15" customHeight="1" x14ac:dyDescent="0.25">
      <c r="A4" s="22" t="s">
        <v>138</v>
      </c>
      <c r="B4" s="23" t="s">
        <v>139</v>
      </c>
      <c r="C4" s="24">
        <v>50</v>
      </c>
      <c r="D4" s="24">
        <v>1.4</v>
      </c>
      <c r="E4" s="24">
        <v>47.8</v>
      </c>
      <c r="F4" s="24">
        <v>3</v>
      </c>
      <c r="G4" s="24">
        <v>0.7</v>
      </c>
      <c r="H4" s="24">
        <v>18</v>
      </c>
      <c r="I4" s="24">
        <v>109</v>
      </c>
      <c r="J4" s="24">
        <v>0.02</v>
      </c>
      <c r="K4" s="24">
        <v>0.112</v>
      </c>
      <c r="L4" s="24">
        <v>12</v>
      </c>
      <c r="M4" s="24">
        <v>0.28999999999999998</v>
      </c>
      <c r="N4" s="25">
        <v>905</v>
      </c>
      <c r="O4" s="7" t="s">
        <v>713</v>
      </c>
      <c r="P4" s="25">
        <v>165</v>
      </c>
      <c r="Q4" s="7" t="s">
        <v>714</v>
      </c>
      <c r="R4" s="7" t="s">
        <v>715</v>
      </c>
      <c r="S4" s="7" t="s">
        <v>711</v>
      </c>
    </row>
    <row r="5" spans="1:19" ht="15" customHeight="1" x14ac:dyDescent="0.25">
      <c r="A5" s="22" t="s">
        <v>149</v>
      </c>
      <c r="B5" s="23" t="s">
        <v>150</v>
      </c>
      <c r="C5" s="24">
        <v>30</v>
      </c>
      <c r="D5" s="24">
        <v>0.4</v>
      </c>
      <c r="E5" s="24">
        <v>8.1</v>
      </c>
      <c r="F5" s="24">
        <v>28</v>
      </c>
      <c r="G5" s="24">
        <v>0.1</v>
      </c>
      <c r="H5" s="24">
        <v>3</v>
      </c>
      <c r="I5" s="24">
        <v>112</v>
      </c>
      <c r="J5" s="24">
        <v>0.05</v>
      </c>
      <c r="K5" s="24">
        <v>4.4999999999999998E-2</v>
      </c>
      <c r="L5" s="24">
        <v>10</v>
      </c>
      <c r="M5" s="24">
        <v>0.24</v>
      </c>
      <c r="N5" s="25">
        <v>286</v>
      </c>
      <c r="O5" s="7" t="s">
        <v>716</v>
      </c>
      <c r="P5" s="25">
        <v>152</v>
      </c>
      <c r="Q5" s="7" t="s">
        <v>717</v>
      </c>
      <c r="R5" s="7" t="s">
        <v>718</v>
      </c>
      <c r="S5" s="7" t="s">
        <v>711</v>
      </c>
    </row>
    <row r="6" spans="1:19" ht="15" customHeight="1" x14ac:dyDescent="0.25">
      <c r="A6" s="22" t="s">
        <v>159</v>
      </c>
      <c r="B6" s="23" t="s">
        <v>160</v>
      </c>
      <c r="C6" s="24">
        <v>43</v>
      </c>
      <c r="D6" s="24">
        <v>1.7</v>
      </c>
      <c r="E6" s="24">
        <v>60.9</v>
      </c>
      <c r="F6" s="24">
        <v>47</v>
      </c>
      <c r="G6" s="24">
        <v>2.6</v>
      </c>
      <c r="H6" s="24">
        <v>37</v>
      </c>
      <c r="I6" s="24">
        <v>182</v>
      </c>
      <c r="J6" s="24">
        <v>0.3</v>
      </c>
      <c r="K6" s="24">
        <v>3.7999999999999999E-2</v>
      </c>
      <c r="L6" s="24">
        <v>21</v>
      </c>
      <c r="M6" s="24">
        <v>0.25</v>
      </c>
      <c r="N6" s="25">
        <v>275</v>
      </c>
      <c r="O6" s="7" t="s">
        <v>719</v>
      </c>
      <c r="P6" s="25">
        <v>145</v>
      </c>
      <c r="Q6" s="7" t="s">
        <v>720</v>
      </c>
      <c r="R6" s="7" t="s">
        <v>721</v>
      </c>
      <c r="S6" s="7" t="s">
        <v>711</v>
      </c>
    </row>
    <row r="7" spans="1:19" ht="15" customHeight="1" x14ac:dyDescent="0.25">
      <c r="A7" s="22" t="s">
        <v>167</v>
      </c>
      <c r="B7" s="23" t="s">
        <v>168</v>
      </c>
      <c r="C7" s="24">
        <v>60</v>
      </c>
      <c r="D7" s="24">
        <v>1.6</v>
      </c>
      <c r="E7" s="24">
        <v>36.4</v>
      </c>
      <c r="F7" s="24">
        <v>54</v>
      </c>
      <c r="G7" s="24">
        <v>4.2</v>
      </c>
      <c r="H7" s="24">
        <v>43</v>
      </c>
      <c r="I7" s="24">
        <v>168</v>
      </c>
      <c r="J7" s="24">
        <v>0.9</v>
      </c>
      <c r="K7" s="24">
        <v>0.11899999999999999</v>
      </c>
      <c r="L7" s="24">
        <v>10</v>
      </c>
      <c r="M7" s="24">
        <v>0.16</v>
      </c>
      <c r="N7" s="25">
        <v>336</v>
      </c>
      <c r="O7" s="7" t="s">
        <v>722</v>
      </c>
      <c r="P7" s="25">
        <v>165</v>
      </c>
      <c r="Q7" s="7" t="s">
        <v>723</v>
      </c>
      <c r="R7" s="7" t="s">
        <v>724</v>
      </c>
      <c r="S7" s="7" t="s">
        <v>711</v>
      </c>
    </row>
    <row r="8" spans="1:19" ht="15" customHeight="1" x14ac:dyDescent="0.25">
      <c r="A8" s="22" t="s">
        <v>182</v>
      </c>
      <c r="B8" s="23" t="s">
        <v>183</v>
      </c>
      <c r="C8" s="24">
        <v>47</v>
      </c>
      <c r="D8" s="24">
        <v>2.4</v>
      </c>
      <c r="E8" s="24">
        <v>53.2</v>
      </c>
      <c r="F8" s="24">
        <v>11</v>
      </c>
      <c r="G8" s="24">
        <v>0</v>
      </c>
      <c r="H8" s="24">
        <v>30</v>
      </c>
      <c r="I8" s="24">
        <v>181</v>
      </c>
      <c r="J8" s="24">
        <v>0.18</v>
      </c>
      <c r="K8" s="24">
        <v>0.06</v>
      </c>
      <c r="L8" s="24">
        <v>10</v>
      </c>
      <c r="M8" s="24">
        <v>0.1</v>
      </c>
      <c r="N8" s="25">
        <v>131</v>
      </c>
      <c r="O8" s="7" t="s">
        <v>708</v>
      </c>
      <c r="P8" s="25">
        <v>180</v>
      </c>
      <c r="Q8" s="7" t="s">
        <v>725</v>
      </c>
      <c r="R8" s="7" t="s">
        <v>726</v>
      </c>
      <c r="S8" s="7" t="s">
        <v>711</v>
      </c>
    </row>
    <row r="9" spans="1:19" ht="15" customHeight="1" x14ac:dyDescent="0.25">
      <c r="A9" s="22" t="s">
        <v>196</v>
      </c>
      <c r="B9" s="23" t="s">
        <v>197</v>
      </c>
      <c r="C9" s="24">
        <v>53</v>
      </c>
      <c r="D9" s="24">
        <v>1.8</v>
      </c>
      <c r="E9" s="24">
        <v>26.7</v>
      </c>
      <c r="F9" s="24">
        <v>34</v>
      </c>
      <c r="G9" s="24">
        <v>0</v>
      </c>
      <c r="H9" s="24">
        <v>16</v>
      </c>
      <c r="I9" s="24">
        <v>166</v>
      </c>
      <c r="J9" s="24">
        <v>0.2</v>
      </c>
      <c r="K9" s="24">
        <v>7.8E-2</v>
      </c>
      <c r="L9" s="24">
        <v>12</v>
      </c>
      <c r="M9" s="24">
        <v>0.15</v>
      </c>
      <c r="N9" s="25">
        <v>88</v>
      </c>
      <c r="O9" s="7" t="s">
        <v>708</v>
      </c>
      <c r="P9" s="25">
        <v>195</v>
      </c>
      <c r="Q9" s="7" t="s">
        <v>725</v>
      </c>
      <c r="R9" s="7" t="s">
        <v>727</v>
      </c>
      <c r="S9" s="7" t="s">
        <v>711</v>
      </c>
    </row>
    <row r="10" spans="1:19" ht="15" customHeight="1" x14ac:dyDescent="0.25">
      <c r="A10" s="22" t="s">
        <v>205</v>
      </c>
      <c r="B10" s="23" t="s">
        <v>206</v>
      </c>
      <c r="C10" s="24">
        <v>29</v>
      </c>
      <c r="D10" s="24">
        <v>2.8</v>
      </c>
      <c r="E10" s="24">
        <v>53</v>
      </c>
      <c r="F10" s="24">
        <v>1</v>
      </c>
      <c r="G10" s="24">
        <v>0</v>
      </c>
      <c r="H10" s="24">
        <v>11</v>
      </c>
      <c r="I10" s="24">
        <v>138</v>
      </c>
      <c r="J10" s="24">
        <v>0.15</v>
      </c>
      <c r="K10" s="24">
        <v>0.08</v>
      </c>
      <c r="L10" s="24">
        <v>8</v>
      </c>
      <c r="M10" s="24">
        <v>0.6</v>
      </c>
      <c r="N10" s="25">
        <v>58</v>
      </c>
      <c r="O10" s="7" t="s">
        <v>728</v>
      </c>
      <c r="P10" s="25">
        <v>212</v>
      </c>
      <c r="Q10" s="7" t="s">
        <v>725</v>
      </c>
      <c r="R10" s="7" t="s">
        <v>729</v>
      </c>
      <c r="S10" s="7" t="s">
        <v>711</v>
      </c>
    </row>
    <row r="11" spans="1:19" ht="15" customHeight="1" x14ac:dyDescent="0.25">
      <c r="A11" s="22" t="s">
        <v>212</v>
      </c>
      <c r="B11" s="23" t="s">
        <v>213</v>
      </c>
      <c r="C11" s="24">
        <v>30</v>
      </c>
      <c r="D11" s="24">
        <v>2.8</v>
      </c>
      <c r="E11" s="24">
        <v>29.1</v>
      </c>
      <c r="F11" s="24">
        <v>2</v>
      </c>
      <c r="G11" s="24">
        <v>0.6</v>
      </c>
      <c r="H11" s="24">
        <v>8</v>
      </c>
      <c r="I11" s="24">
        <v>102</v>
      </c>
      <c r="J11" s="24">
        <v>0.22</v>
      </c>
      <c r="K11" s="24">
        <v>4.2999999999999997E-2</v>
      </c>
      <c r="L11" s="24">
        <v>6</v>
      </c>
      <c r="M11" s="24">
        <v>0.6</v>
      </c>
      <c r="N11" s="25">
        <v>67</v>
      </c>
      <c r="O11" s="7" t="s">
        <v>730</v>
      </c>
      <c r="P11" s="25"/>
      <c r="Q11" s="7"/>
      <c r="R11" s="7" t="s">
        <v>731</v>
      </c>
      <c r="S11" s="7" t="s">
        <v>711</v>
      </c>
    </row>
    <row r="12" spans="1:19" ht="15" customHeight="1" x14ac:dyDescent="0.25">
      <c r="A12" s="22" t="s">
        <v>218</v>
      </c>
      <c r="B12" s="23" t="s">
        <v>219</v>
      </c>
      <c r="C12" s="24">
        <v>42</v>
      </c>
      <c r="D12" s="24">
        <v>1.6</v>
      </c>
      <c r="E12" s="24">
        <v>31.2</v>
      </c>
      <c r="F12" s="24">
        <v>58</v>
      </c>
      <c r="G12" s="24">
        <v>0</v>
      </c>
      <c r="H12" s="24">
        <v>13</v>
      </c>
      <c r="I12" s="24">
        <v>135</v>
      </c>
      <c r="J12" s="24">
        <v>0.13</v>
      </c>
      <c r="K12" s="24">
        <v>5.2999999999999999E-2</v>
      </c>
      <c r="L12" s="24">
        <v>9</v>
      </c>
      <c r="M12" s="24">
        <v>0.08</v>
      </c>
      <c r="N12" s="25">
        <v>246</v>
      </c>
      <c r="O12" s="7" t="s">
        <v>732</v>
      </c>
      <c r="P12" s="25">
        <v>230</v>
      </c>
      <c r="Q12" s="7" t="s">
        <v>725</v>
      </c>
      <c r="R12" s="7" t="s">
        <v>733</v>
      </c>
      <c r="S12" s="7" t="s">
        <v>711</v>
      </c>
    </row>
    <row r="13" spans="1:19" ht="15" customHeight="1" x14ac:dyDescent="0.25">
      <c r="A13" s="22" t="s">
        <v>226</v>
      </c>
      <c r="B13" s="23" t="s">
        <v>227</v>
      </c>
      <c r="C13" s="24">
        <v>160</v>
      </c>
      <c r="D13" s="24">
        <v>6.7</v>
      </c>
      <c r="E13" s="24">
        <v>10</v>
      </c>
      <c r="F13" s="24">
        <v>7</v>
      </c>
      <c r="G13" s="24">
        <v>21</v>
      </c>
      <c r="H13" s="24">
        <v>81</v>
      </c>
      <c r="I13" s="24">
        <v>485</v>
      </c>
      <c r="J13" s="24">
        <v>2.0699999999999998</v>
      </c>
      <c r="K13" s="24">
        <v>0.25700000000000001</v>
      </c>
      <c r="L13" s="24">
        <v>29</v>
      </c>
      <c r="M13" s="24">
        <v>0.55000000000000004</v>
      </c>
      <c r="N13" s="25">
        <v>201</v>
      </c>
      <c r="O13" s="7" t="s">
        <v>734</v>
      </c>
      <c r="P13" s="25">
        <v>150</v>
      </c>
      <c r="Q13" s="7" t="s">
        <v>720</v>
      </c>
      <c r="R13" s="7" t="s">
        <v>735</v>
      </c>
      <c r="S13" s="7" t="s">
        <v>711</v>
      </c>
    </row>
    <row r="14" spans="1:19" ht="15" customHeight="1" x14ac:dyDescent="0.25">
      <c r="A14" s="22" t="s">
        <v>236</v>
      </c>
      <c r="B14" s="23" t="s">
        <v>237</v>
      </c>
      <c r="C14" s="24">
        <v>68</v>
      </c>
      <c r="D14" s="24">
        <v>5.4</v>
      </c>
      <c r="E14" s="24">
        <v>228.3</v>
      </c>
      <c r="F14" s="24">
        <v>31</v>
      </c>
      <c r="G14" s="24">
        <v>2.6</v>
      </c>
      <c r="H14" s="24">
        <v>49</v>
      </c>
      <c r="I14" s="24">
        <v>417</v>
      </c>
      <c r="J14" s="24">
        <v>0.73</v>
      </c>
      <c r="K14" s="24">
        <v>0.11</v>
      </c>
      <c r="L14" s="24">
        <v>22</v>
      </c>
      <c r="M14" s="24">
        <v>0.26</v>
      </c>
      <c r="N14" s="25">
        <v>55</v>
      </c>
      <c r="O14" s="7" t="s">
        <v>736</v>
      </c>
      <c r="P14" s="25">
        <v>165</v>
      </c>
      <c r="Q14" s="7" t="s">
        <v>737</v>
      </c>
      <c r="R14" s="7" t="s">
        <v>738</v>
      </c>
      <c r="S14" s="7" t="s">
        <v>711</v>
      </c>
    </row>
    <row r="15" spans="1:19" ht="15" customHeight="1" x14ac:dyDescent="0.25">
      <c r="A15" s="22" t="s">
        <v>245</v>
      </c>
      <c r="B15" s="23" t="s">
        <v>246</v>
      </c>
      <c r="C15" s="24">
        <v>66</v>
      </c>
      <c r="D15" s="24">
        <v>3.3</v>
      </c>
      <c r="E15" s="24">
        <v>20.6</v>
      </c>
      <c r="F15" s="24">
        <v>0</v>
      </c>
      <c r="G15" s="24">
        <v>0.4</v>
      </c>
      <c r="H15" s="24">
        <v>14</v>
      </c>
      <c r="I15" s="24">
        <v>278</v>
      </c>
      <c r="J15" s="24">
        <v>0.08</v>
      </c>
      <c r="K15" s="24">
        <v>5.8999999999999997E-2</v>
      </c>
      <c r="L15" s="24">
        <v>21</v>
      </c>
      <c r="M15" s="24">
        <v>0.6</v>
      </c>
      <c r="N15" s="25">
        <v>625</v>
      </c>
      <c r="O15" s="7" t="s">
        <v>739</v>
      </c>
      <c r="P15" s="25">
        <v>225</v>
      </c>
      <c r="Q15" s="7" t="s">
        <v>740</v>
      </c>
      <c r="R15" s="7" t="s">
        <v>741</v>
      </c>
      <c r="S15" s="7" t="s">
        <v>711</v>
      </c>
    </row>
    <row r="16" spans="1:19" ht="15" customHeight="1" x14ac:dyDescent="0.25">
      <c r="A16" s="22" t="s">
        <v>251</v>
      </c>
      <c r="B16" s="23" t="s">
        <v>252</v>
      </c>
      <c r="C16" s="24">
        <v>97</v>
      </c>
      <c r="D16" s="24">
        <v>10.4</v>
      </c>
      <c r="E16" s="24">
        <v>30</v>
      </c>
      <c r="F16" s="24">
        <v>64</v>
      </c>
      <c r="G16" s="24">
        <v>0.7</v>
      </c>
      <c r="H16" s="24">
        <v>14</v>
      </c>
      <c r="I16" s="24">
        <v>348</v>
      </c>
      <c r="J16" s="24">
        <v>0.02</v>
      </c>
      <c r="K16" s="24">
        <v>0.1</v>
      </c>
      <c r="L16" s="24">
        <v>29</v>
      </c>
      <c r="M16" s="24">
        <v>1.6</v>
      </c>
      <c r="N16" s="25">
        <v>18</v>
      </c>
      <c r="O16" s="7" t="s">
        <v>742</v>
      </c>
      <c r="P16" s="25">
        <v>236</v>
      </c>
      <c r="Q16" s="7" t="s">
        <v>740</v>
      </c>
      <c r="R16" s="7" t="s">
        <v>743</v>
      </c>
      <c r="S16" s="7" t="s">
        <v>711</v>
      </c>
    </row>
    <row r="17" spans="1:19" ht="15" customHeight="1" x14ac:dyDescent="0.25">
      <c r="A17" s="22" t="s">
        <v>261</v>
      </c>
      <c r="B17" s="23" t="s">
        <v>262</v>
      </c>
      <c r="C17" s="24">
        <v>354</v>
      </c>
      <c r="D17" s="24">
        <v>9</v>
      </c>
      <c r="E17" s="24">
        <v>3.3</v>
      </c>
      <c r="F17" s="24">
        <v>0</v>
      </c>
      <c r="G17" s="24">
        <v>0.2</v>
      </c>
      <c r="H17" s="24">
        <v>26</v>
      </c>
      <c r="I17" s="24">
        <v>356</v>
      </c>
      <c r="J17" s="24">
        <v>0.24</v>
      </c>
      <c r="K17" s="24">
        <v>5.3999999999999999E-2</v>
      </c>
      <c r="L17" s="24">
        <v>32</v>
      </c>
      <c r="M17" s="24">
        <v>2.4300000000000002</v>
      </c>
      <c r="N17" s="25">
        <v>397</v>
      </c>
      <c r="O17" s="7" t="s">
        <v>744</v>
      </c>
      <c r="P17" s="25">
        <v>80</v>
      </c>
      <c r="Q17" s="7" t="s">
        <v>745</v>
      </c>
      <c r="R17" s="7" t="s">
        <v>746</v>
      </c>
      <c r="S17" s="7" t="s">
        <v>711</v>
      </c>
    </row>
    <row r="18" spans="1:19" ht="15" customHeight="1" x14ac:dyDescent="0.25">
      <c r="A18" s="22" t="s">
        <v>271</v>
      </c>
      <c r="B18" s="23" t="s">
        <v>272</v>
      </c>
      <c r="C18" s="24">
        <v>91</v>
      </c>
      <c r="D18" s="24">
        <v>3</v>
      </c>
      <c r="E18" s="24">
        <v>87</v>
      </c>
      <c r="F18" s="24"/>
      <c r="G18" s="24"/>
      <c r="H18" s="24"/>
      <c r="I18" s="24">
        <v>654</v>
      </c>
      <c r="J18" s="24"/>
      <c r="K18" s="24"/>
      <c r="L18" s="24"/>
      <c r="M18" s="24">
        <v>2.2000000000000002</v>
      </c>
      <c r="N18" s="25">
        <v>30</v>
      </c>
      <c r="O18" s="7" t="s">
        <v>747</v>
      </c>
      <c r="P18" s="25">
        <v>150</v>
      </c>
      <c r="Q18" s="7" t="s">
        <v>740</v>
      </c>
      <c r="R18" s="7" t="s">
        <v>748</v>
      </c>
      <c r="S18" s="7" t="s">
        <v>749</v>
      </c>
    </row>
    <row r="19" spans="1:19" ht="15" customHeight="1" x14ac:dyDescent="0.25">
      <c r="A19" s="22" t="s">
        <v>280</v>
      </c>
      <c r="B19" s="23" t="s">
        <v>281</v>
      </c>
      <c r="C19" s="24">
        <v>43</v>
      </c>
      <c r="D19" s="24">
        <v>1.7</v>
      </c>
      <c r="E19" s="24">
        <v>219</v>
      </c>
      <c r="F19" s="24">
        <v>8</v>
      </c>
      <c r="G19" s="24"/>
      <c r="H19" s="24"/>
      <c r="I19" s="24">
        <v>124</v>
      </c>
      <c r="J19" s="24"/>
      <c r="K19" s="24"/>
      <c r="L19" s="24">
        <v>10</v>
      </c>
      <c r="M19" s="24">
        <v>0.2</v>
      </c>
      <c r="N19" s="25">
        <v>70</v>
      </c>
      <c r="O19" s="7" t="s">
        <v>750</v>
      </c>
      <c r="P19" s="25">
        <v>150</v>
      </c>
      <c r="Q19" s="7" t="s">
        <v>737</v>
      </c>
      <c r="R19" s="7" t="s">
        <v>751</v>
      </c>
      <c r="S19" s="7" t="s">
        <v>752</v>
      </c>
    </row>
    <row r="20" spans="1:19" ht="15" customHeight="1" x14ac:dyDescent="0.25">
      <c r="A20" s="22" t="s">
        <v>288</v>
      </c>
      <c r="B20" s="23" t="s">
        <v>289</v>
      </c>
      <c r="C20" s="24">
        <v>290</v>
      </c>
      <c r="D20" s="24">
        <v>3</v>
      </c>
      <c r="E20" s="24">
        <v>15</v>
      </c>
      <c r="F20" s="24">
        <v>109</v>
      </c>
      <c r="G20" s="24"/>
      <c r="H20" s="24"/>
      <c r="I20" s="24">
        <v>300</v>
      </c>
      <c r="J20" s="24"/>
      <c r="K20" s="24"/>
      <c r="L20" s="24"/>
      <c r="M20" s="24">
        <v>4.0999999999999996</v>
      </c>
      <c r="N20" s="25">
        <v>2</v>
      </c>
      <c r="O20" s="7" t="s">
        <v>753</v>
      </c>
      <c r="P20" s="25"/>
      <c r="Q20" s="7"/>
      <c r="R20" s="7" t="s">
        <v>754</v>
      </c>
      <c r="S20" s="7" t="s">
        <v>755</v>
      </c>
    </row>
    <row r="21" spans="1:19" ht="15" customHeight="1" x14ac:dyDescent="0.25">
      <c r="A21" s="22" t="s">
        <v>298</v>
      </c>
      <c r="B21" s="23" t="s">
        <v>299</v>
      </c>
      <c r="C21" s="24">
        <v>46</v>
      </c>
      <c r="D21" s="24">
        <v>1.2</v>
      </c>
      <c r="E21" s="24">
        <v>28</v>
      </c>
      <c r="F21" s="24">
        <v>280</v>
      </c>
      <c r="G21" s="24"/>
      <c r="H21" s="24"/>
      <c r="I21" s="24">
        <v>250</v>
      </c>
      <c r="J21" s="24"/>
      <c r="K21" s="24"/>
      <c r="L21" s="24">
        <v>20</v>
      </c>
      <c r="M21" s="24">
        <v>0.4</v>
      </c>
      <c r="N21" s="25">
        <v>12</v>
      </c>
      <c r="O21" s="7" t="s">
        <v>756</v>
      </c>
      <c r="P21" s="25">
        <v>150</v>
      </c>
      <c r="Q21" s="7" t="s">
        <v>740</v>
      </c>
      <c r="R21" s="7" t="s">
        <v>757</v>
      </c>
      <c r="S21" s="7" t="s">
        <v>758</v>
      </c>
    </row>
    <row r="22" spans="1:19" ht="15" customHeight="1" x14ac:dyDescent="0.25">
      <c r="A22" s="22" t="s">
        <v>305</v>
      </c>
      <c r="B22" s="23" t="s">
        <v>306</v>
      </c>
      <c r="C22" s="24">
        <v>110</v>
      </c>
      <c r="D22" s="24">
        <v>4</v>
      </c>
      <c r="E22" s="24"/>
      <c r="F22" s="24"/>
      <c r="G22" s="24"/>
      <c r="H22" s="24"/>
      <c r="I22" s="24">
        <v>290</v>
      </c>
      <c r="J22" s="24"/>
      <c r="K22" s="24"/>
      <c r="L22" s="24"/>
      <c r="M22" s="24"/>
      <c r="N22" s="25">
        <v>2</v>
      </c>
      <c r="O22" s="7" t="s">
        <v>736</v>
      </c>
      <c r="P22" s="25"/>
      <c r="Q22" s="7"/>
      <c r="R22" s="7" t="s">
        <v>759</v>
      </c>
      <c r="S22" s="7" t="s">
        <v>760</v>
      </c>
    </row>
    <row r="23" spans="1:19" ht="15" customHeight="1" x14ac:dyDescent="0.25">
      <c r="A23" s="22" t="s">
        <v>311</v>
      </c>
      <c r="B23" s="23" t="s">
        <v>312</v>
      </c>
      <c r="C23" s="24">
        <v>150</v>
      </c>
      <c r="D23" s="24">
        <v>2.5</v>
      </c>
      <c r="E23" s="24">
        <v>10</v>
      </c>
      <c r="F23" s="24"/>
      <c r="G23" s="24"/>
      <c r="H23" s="24"/>
      <c r="I23" s="24">
        <v>200</v>
      </c>
      <c r="J23" s="24"/>
      <c r="K23" s="24"/>
      <c r="L23" s="24"/>
      <c r="M23" s="24">
        <v>1.8</v>
      </c>
      <c r="N23" s="25">
        <v>50</v>
      </c>
      <c r="O23" s="7" t="s">
        <v>761</v>
      </c>
      <c r="P23" s="25">
        <v>130</v>
      </c>
      <c r="Q23" s="7" t="s">
        <v>762</v>
      </c>
      <c r="R23" s="7" t="s">
        <v>763</v>
      </c>
      <c r="S23" s="7" t="s">
        <v>764</v>
      </c>
    </row>
    <row r="24" spans="1:19" ht="15" customHeight="1" x14ac:dyDescent="0.25">
      <c r="A24" s="22" t="s">
        <v>316</v>
      </c>
      <c r="B24" s="23" t="s">
        <v>317</v>
      </c>
      <c r="C24" s="24">
        <v>263</v>
      </c>
      <c r="D24" s="24">
        <v>4</v>
      </c>
      <c r="E24" s="24">
        <v>12</v>
      </c>
      <c r="F24" s="24"/>
      <c r="G24" s="24"/>
      <c r="H24" s="24"/>
      <c r="I24" s="24">
        <v>550</v>
      </c>
      <c r="J24" s="24"/>
      <c r="K24" s="24"/>
      <c r="L24" s="24"/>
      <c r="M24" s="24">
        <v>2</v>
      </c>
      <c r="N24" s="25">
        <v>35</v>
      </c>
      <c r="O24" s="7" t="s">
        <v>765</v>
      </c>
      <c r="P24" s="25">
        <v>150</v>
      </c>
      <c r="Q24" s="7" t="s">
        <v>740</v>
      </c>
      <c r="R24" s="7" t="s">
        <v>766</v>
      </c>
      <c r="S24" s="7" t="s">
        <v>767</v>
      </c>
    </row>
    <row r="25" spans="1:19" ht="15" customHeight="1" x14ac:dyDescent="0.25">
      <c r="A25" s="22" t="s">
        <v>325</v>
      </c>
      <c r="B25" s="23" t="s">
        <v>326</v>
      </c>
      <c r="C25" s="24">
        <v>420</v>
      </c>
      <c r="D25" s="24">
        <v>12</v>
      </c>
      <c r="E25" s="24">
        <v>6</v>
      </c>
      <c r="F25" s="24">
        <v>0</v>
      </c>
      <c r="G25" s="24"/>
      <c r="H25" s="24"/>
      <c r="I25" s="24">
        <v>710</v>
      </c>
      <c r="J25" s="24">
        <v>5.2</v>
      </c>
      <c r="K25" s="24"/>
      <c r="L25" s="24">
        <v>95</v>
      </c>
      <c r="M25" s="24">
        <v>3.6</v>
      </c>
      <c r="N25" s="25">
        <v>1</v>
      </c>
      <c r="O25" s="7" t="s">
        <v>768</v>
      </c>
      <c r="P25" s="25">
        <v>150</v>
      </c>
      <c r="Q25" s="7" t="s">
        <v>769</v>
      </c>
      <c r="R25" s="7" t="s">
        <v>770</v>
      </c>
      <c r="S25" s="7" t="s">
        <v>771</v>
      </c>
    </row>
    <row r="26" spans="1:19" ht="15" customHeight="1" x14ac:dyDescent="0.25">
      <c r="A26" s="22" t="s">
        <v>335</v>
      </c>
      <c r="B26" s="23" t="s">
        <v>336</v>
      </c>
      <c r="C26" s="24">
        <v>60</v>
      </c>
      <c r="D26" s="24">
        <v>0.6</v>
      </c>
      <c r="E26" s="24">
        <v>3</v>
      </c>
      <c r="F26" s="24">
        <v>0</v>
      </c>
      <c r="G26" s="24">
        <v>0</v>
      </c>
      <c r="H26" s="24"/>
      <c r="I26" s="24">
        <v>150</v>
      </c>
      <c r="J26" s="24">
        <v>0</v>
      </c>
      <c r="K26" s="24"/>
      <c r="L26" s="24">
        <v>13</v>
      </c>
      <c r="M26" s="24">
        <v>0.6</v>
      </c>
      <c r="N26" s="25">
        <v>150</v>
      </c>
      <c r="O26" s="7" t="s">
        <v>772</v>
      </c>
      <c r="P26" s="25">
        <v>240</v>
      </c>
      <c r="Q26" s="7" t="s">
        <v>773</v>
      </c>
      <c r="R26" s="7" t="s">
        <v>774</v>
      </c>
      <c r="S26" s="7" t="s">
        <v>775</v>
      </c>
    </row>
    <row r="27" spans="1:19" ht="15" customHeight="1" x14ac:dyDescent="0.25">
      <c r="A27" s="22" t="s">
        <v>344</v>
      </c>
      <c r="B27" s="23" t="s">
        <v>345</v>
      </c>
      <c r="C27" s="24">
        <v>94</v>
      </c>
      <c r="D27" s="24">
        <v>4.4000000000000004</v>
      </c>
      <c r="E27" s="24">
        <v>36.299999999999997</v>
      </c>
      <c r="F27" s="24">
        <v>0</v>
      </c>
      <c r="G27" s="24"/>
      <c r="H27" s="24">
        <v>14</v>
      </c>
      <c r="I27" s="24">
        <v>247</v>
      </c>
      <c r="J27" s="24"/>
      <c r="K27" s="24">
        <v>0.2</v>
      </c>
      <c r="L27" s="24">
        <v>21</v>
      </c>
      <c r="M27" s="24">
        <v>0.6</v>
      </c>
      <c r="N27" s="25">
        <v>155</v>
      </c>
      <c r="O27" s="7" t="s">
        <v>739</v>
      </c>
      <c r="P27" s="25">
        <v>250</v>
      </c>
      <c r="Q27" s="7" t="s">
        <v>740</v>
      </c>
      <c r="R27" s="7" t="s">
        <v>776</v>
      </c>
      <c r="S27" s="7" t="s">
        <v>711</v>
      </c>
    </row>
    <row r="28" spans="1:19" ht="15" customHeight="1" x14ac:dyDescent="0.25">
      <c r="A28" s="22" t="s">
        <v>349</v>
      </c>
      <c r="B28" s="23" t="s">
        <v>350</v>
      </c>
      <c r="C28" s="24">
        <v>95</v>
      </c>
      <c r="D28" s="24">
        <v>1.5</v>
      </c>
      <c r="E28" s="24">
        <v>13.7</v>
      </c>
      <c r="F28" s="24">
        <v>5</v>
      </c>
      <c r="G28" s="24"/>
      <c r="H28" s="24">
        <v>24</v>
      </c>
      <c r="I28" s="24">
        <v>448</v>
      </c>
      <c r="J28" s="24">
        <v>0.34</v>
      </c>
      <c r="K28" s="24">
        <v>0.32900000000000001</v>
      </c>
      <c r="L28" s="24">
        <v>29</v>
      </c>
      <c r="M28" s="24">
        <v>0.23</v>
      </c>
      <c r="N28" s="25">
        <v>25</v>
      </c>
      <c r="O28" s="7" t="s">
        <v>777</v>
      </c>
      <c r="P28" s="25">
        <v>165</v>
      </c>
      <c r="Q28" s="7" t="s">
        <v>709</v>
      </c>
      <c r="R28" s="7" t="s">
        <v>778</v>
      </c>
      <c r="S28" s="7" t="s">
        <v>711</v>
      </c>
    </row>
    <row r="29" spans="1:19" ht="15" customHeight="1" x14ac:dyDescent="0.25">
      <c r="A29" s="22" t="s">
        <v>358</v>
      </c>
      <c r="B29" s="23" t="s">
        <v>359</v>
      </c>
      <c r="C29" s="24">
        <v>48</v>
      </c>
      <c r="D29" s="24">
        <v>1.5</v>
      </c>
      <c r="E29" s="24">
        <v>36</v>
      </c>
      <c r="F29" s="24">
        <v>12</v>
      </c>
      <c r="G29" s="24"/>
      <c r="H29" s="24"/>
      <c r="I29" s="24">
        <v>250</v>
      </c>
      <c r="J29" s="24"/>
      <c r="K29" s="24"/>
      <c r="L29" s="24">
        <v>15</v>
      </c>
      <c r="M29" s="24">
        <v>0.3</v>
      </c>
      <c r="N29" s="25">
        <v>70</v>
      </c>
      <c r="O29" s="7" t="s">
        <v>779</v>
      </c>
      <c r="P29" s="25">
        <v>150</v>
      </c>
      <c r="Q29" s="7" t="s">
        <v>737</v>
      </c>
      <c r="R29" s="7" t="s">
        <v>780</v>
      </c>
      <c r="S29" s="7" t="s">
        <v>781</v>
      </c>
    </row>
    <row r="30" spans="1:19" ht="15" customHeight="1" x14ac:dyDescent="0.25">
      <c r="A30" s="22" t="s">
        <v>361</v>
      </c>
      <c r="B30" s="23" t="s">
        <v>362</v>
      </c>
      <c r="C30" s="24">
        <v>34</v>
      </c>
      <c r="D30" s="24">
        <v>0.9</v>
      </c>
      <c r="E30" s="24">
        <v>36.700000000000003</v>
      </c>
      <c r="F30" s="24">
        <v>169</v>
      </c>
      <c r="G30" s="24">
        <v>2.5</v>
      </c>
      <c r="H30" s="24">
        <v>21</v>
      </c>
      <c r="I30" s="24">
        <v>267</v>
      </c>
      <c r="J30" s="24">
        <v>0.05</v>
      </c>
      <c r="K30" s="24">
        <v>7.1999999999999995E-2</v>
      </c>
      <c r="L30" s="24">
        <v>12</v>
      </c>
      <c r="M30" s="24">
        <v>0.21</v>
      </c>
      <c r="N30" s="25">
        <v>552</v>
      </c>
      <c r="O30" s="7" t="s">
        <v>782</v>
      </c>
      <c r="P30" s="25">
        <v>160</v>
      </c>
      <c r="Q30" s="7" t="s">
        <v>720</v>
      </c>
      <c r="R30" s="7" t="s">
        <v>783</v>
      </c>
      <c r="S30" s="7" t="s">
        <v>711</v>
      </c>
    </row>
    <row r="31" spans="1:19" ht="15" customHeight="1" x14ac:dyDescent="0.25">
      <c r="A31" s="22" t="s">
        <v>369</v>
      </c>
      <c r="B31" s="23" t="s">
        <v>370</v>
      </c>
      <c r="C31" s="24">
        <v>282</v>
      </c>
      <c r="D31" s="24">
        <v>8</v>
      </c>
      <c r="E31" s="24">
        <v>0.4</v>
      </c>
      <c r="F31" s="24">
        <v>0</v>
      </c>
      <c r="G31" s="24">
        <v>2.7</v>
      </c>
      <c r="H31" s="24">
        <v>19</v>
      </c>
      <c r="I31" s="24">
        <v>656</v>
      </c>
      <c r="J31" s="24">
        <v>0.05</v>
      </c>
      <c r="K31" s="24">
        <v>0.16500000000000001</v>
      </c>
      <c r="L31" s="24">
        <v>43</v>
      </c>
      <c r="M31" s="24">
        <v>1.02</v>
      </c>
      <c r="N31" s="25">
        <v>7</v>
      </c>
      <c r="O31" s="7" t="s">
        <v>784</v>
      </c>
      <c r="P31" s="25">
        <v>147</v>
      </c>
      <c r="Q31" s="7" t="s">
        <v>737</v>
      </c>
      <c r="R31" s="7" t="s">
        <v>785</v>
      </c>
      <c r="S31" s="7" t="s">
        <v>711</v>
      </c>
    </row>
    <row r="32" spans="1:19" ht="15" customHeight="1" x14ac:dyDescent="0.25">
      <c r="A32" s="22" t="s">
        <v>378</v>
      </c>
      <c r="B32" s="23" t="s">
        <v>379</v>
      </c>
      <c r="C32" s="24">
        <v>52</v>
      </c>
      <c r="D32" s="24">
        <v>2.4</v>
      </c>
      <c r="E32" s="24">
        <v>4.5999999999999996</v>
      </c>
      <c r="F32" s="24">
        <v>3</v>
      </c>
      <c r="G32" s="24">
        <v>2.2000000000000002</v>
      </c>
      <c r="H32" s="24">
        <v>3</v>
      </c>
      <c r="I32" s="24">
        <v>107</v>
      </c>
      <c r="J32" s="24">
        <v>0.18</v>
      </c>
      <c r="K32" s="24">
        <v>4.1000000000000002E-2</v>
      </c>
      <c r="L32" s="24">
        <v>5</v>
      </c>
      <c r="M32" s="24">
        <v>0.12</v>
      </c>
      <c r="N32" s="25">
        <v>182</v>
      </c>
      <c r="O32" s="7" t="s">
        <v>786</v>
      </c>
      <c r="P32" s="25">
        <v>125</v>
      </c>
      <c r="Q32" s="7" t="s">
        <v>737</v>
      </c>
      <c r="R32" s="7" t="s">
        <v>787</v>
      </c>
      <c r="S32" s="7" t="s">
        <v>711</v>
      </c>
    </row>
    <row r="33" spans="1:19" ht="15" customHeight="1" x14ac:dyDescent="0.25">
      <c r="A33" s="22" t="s">
        <v>388</v>
      </c>
      <c r="B33" s="23" t="s">
        <v>389</v>
      </c>
      <c r="C33" s="24">
        <v>57</v>
      </c>
      <c r="D33" s="24">
        <v>3.1</v>
      </c>
      <c r="E33" s="24">
        <v>4.3</v>
      </c>
      <c r="F33" s="24">
        <v>1</v>
      </c>
      <c r="G33" s="24">
        <v>4.4000000000000004</v>
      </c>
      <c r="H33" s="24">
        <v>7</v>
      </c>
      <c r="I33" s="24">
        <v>116</v>
      </c>
      <c r="J33" s="24">
        <v>0.12</v>
      </c>
      <c r="K33" s="24">
        <v>2.9000000000000001E-2</v>
      </c>
      <c r="L33" s="24">
        <v>7</v>
      </c>
      <c r="M33" s="24">
        <v>0.18</v>
      </c>
      <c r="N33" s="25">
        <v>178</v>
      </c>
      <c r="O33" s="7" t="s">
        <v>788</v>
      </c>
      <c r="P33" s="25">
        <v>140</v>
      </c>
      <c r="Q33" s="7" t="s">
        <v>709</v>
      </c>
      <c r="R33" s="7" t="s">
        <v>789</v>
      </c>
      <c r="S33" s="7" t="s">
        <v>711</v>
      </c>
    </row>
    <row r="34" spans="1:19" ht="15" customHeight="1" x14ac:dyDescent="0.25">
      <c r="A34" s="22" t="s">
        <v>392</v>
      </c>
      <c r="B34" s="23" t="s">
        <v>393</v>
      </c>
      <c r="C34" s="24">
        <v>69</v>
      </c>
      <c r="D34" s="24">
        <v>0.9</v>
      </c>
      <c r="E34" s="24">
        <v>3.2</v>
      </c>
      <c r="F34" s="24">
        <v>3</v>
      </c>
      <c r="G34" s="24">
        <v>14.6</v>
      </c>
      <c r="H34" s="24">
        <v>2</v>
      </c>
      <c r="I34" s="24">
        <v>191</v>
      </c>
      <c r="J34" s="24">
        <v>0.19</v>
      </c>
      <c r="K34" s="24">
        <v>8.5999999999999993E-2</v>
      </c>
      <c r="L34" s="24">
        <v>7</v>
      </c>
      <c r="M34" s="24">
        <v>0.36</v>
      </c>
      <c r="N34" s="25">
        <v>5</v>
      </c>
      <c r="O34" s="7" t="s">
        <v>790</v>
      </c>
      <c r="P34" s="25">
        <v>151</v>
      </c>
      <c r="Q34" s="7" t="s">
        <v>791</v>
      </c>
      <c r="R34" s="7" t="s">
        <v>792</v>
      </c>
      <c r="S34" s="7" t="s">
        <v>711</v>
      </c>
    </row>
    <row r="35" spans="1:19" ht="15" customHeight="1" x14ac:dyDescent="0.25">
      <c r="A35" s="22" t="s">
        <v>398</v>
      </c>
      <c r="B35" s="23" t="s">
        <v>399</v>
      </c>
      <c r="C35" s="24">
        <v>32</v>
      </c>
      <c r="D35" s="24">
        <v>2</v>
      </c>
      <c r="E35" s="24">
        <v>58.8</v>
      </c>
      <c r="F35" s="24">
        <v>1</v>
      </c>
      <c r="G35" s="24">
        <v>2.2000000000000002</v>
      </c>
      <c r="H35" s="24">
        <v>24</v>
      </c>
      <c r="I35" s="24">
        <v>153</v>
      </c>
      <c r="J35" s="24">
        <v>0.28999999999999998</v>
      </c>
      <c r="K35" s="24">
        <v>4.7E-2</v>
      </c>
      <c r="L35" s="24">
        <v>13</v>
      </c>
      <c r="M35" s="24">
        <v>0.41</v>
      </c>
      <c r="N35" s="25">
        <v>12</v>
      </c>
      <c r="O35" s="7" t="s">
        <v>793</v>
      </c>
      <c r="P35" s="25">
        <v>152</v>
      </c>
      <c r="Q35" s="7" t="s">
        <v>794</v>
      </c>
      <c r="R35" s="7" t="s">
        <v>795</v>
      </c>
      <c r="S35" s="7" t="s">
        <v>711</v>
      </c>
    </row>
    <row r="36" spans="1:19" ht="15" customHeight="1" x14ac:dyDescent="0.25">
      <c r="A36" s="22" t="s">
        <v>409</v>
      </c>
      <c r="B36" s="23" t="s">
        <v>410</v>
      </c>
      <c r="C36" s="24">
        <v>57</v>
      </c>
      <c r="D36" s="24">
        <v>2.4</v>
      </c>
      <c r="E36" s="24">
        <v>9.6999999999999993</v>
      </c>
      <c r="F36" s="24">
        <v>3</v>
      </c>
      <c r="G36" s="24">
        <v>19.3</v>
      </c>
      <c r="H36" s="24">
        <v>6</v>
      </c>
      <c r="I36" s="24">
        <v>77</v>
      </c>
      <c r="J36" s="24">
        <v>0.56999999999999995</v>
      </c>
      <c r="K36" s="24">
        <v>5.1999999999999998E-2</v>
      </c>
      <c r="L36" s="24">
        <v>6</v>
      </c>
      <c r="M36" s="24">
        <v>0.28000000000000003</v>
      </c>
      <c r="N36" s="25">
        <v>148</v>
      </c>
      <c r="O36" s="7" t="s">
        <v>796</v>
      </c>
      <c r="P36" s="25">
        <v>148</v>
      </c>
      <c r="Q36" s="7" t="s">
        <v>791</v>
      </c>
      <c r="R36" s="7" t="s">
        <v>797</v>
      </c>
      <c r="S36" s="7" t="s">
        <v>711</v>
      </c>
    </row>
    <row r="37" spans="1:19" ht="15" customHeight="1" x14ac:dyDescent="0.25">
      <c r="A37" s="22" t="s">
        <v>413</v>
      </c>
      <c r="B37" s="23" t="s">
        <v>414</v>
      </c>
      <c r="C37" s="24">
        <v>61</v>
      </c>
      <c r="D37" s="24">
        <v>3</v>
      </c>
      <c r="E37" s="24">
        <v>92.7</v>
      </c>
      <c r="F37" s="24">
        <v>4</v>
      </c>
      <c r="G37" s="24">
        <v>40.299999999999997</v>
      </c>
      <c r="H37" s="24">
        <v>25</v>
      </c>
      <c r="I37" s="24">
        <v>312</v>
      </c>
      <c r="J37" s="24">
        <v>1.46</v>
      </c>
      <c r="K37" s="24">
        <v>6.3E-2</v>
      </c>
      <c r="L37" s="24">
        <v>17</v>
      </c>
      <c r="M37" s="24">
        <v>0.31</v>
      </c>
      <c r="N37" s="25">
        <v>69</v>
      </c>
      <c r="O37" s="7" t="s">
        <v>798</v>
      </c>
      <c r="P37" s="25">
        <v>180</v>
      </c>
      <c r="Q37" s="7" t="s">
        <v>709</v>
      </c>
      <c r="R37" s="7" t="s">
        <v>799</v>
      </c>
      <c r="S37" s="7" t="s">
        <v>711</v>
      </c>
    </row>
    <row r="38" spans="1:19" ht="15" customHeight="1" x14ac:dyDescent="0.25">
      <c r="A38" s="22" t="s">
        <v>417</v>
      </c>
      <c r="B38" s="23" t="s">
        <v>418</v>
      </c>
      <c r="C38" s="24">
        <v>83</v>
      </c>
      <c r="D38" s="24">
        <v>4</v>
      </c>
      <c r="E38" s="24">
        <v>10.199999999999999</v>
      </c>
      <c r="F38" s="24">
        <v>0</v>
      </c>
      <c r="G38" s="24">
        <v>16.399999999999999</v>
      </c>
      <c r="H38" s="24">
        <v>38</v>
      </c>
      <c r="I38" s="24">
        <v>236</v>
      </c>
      <c r="J38" s="24">
        <v>0.6</v>
      </c>
      <c r="K38" s="24">
        <v>7.4999999999999997E-2</v>
      </c>
      <c r="L38" s="24">
        <v>12</v>
      </c>
      <c r="M38" s="24">
        <v>0.3</v>
      </c>
      <c r="N38" s="25">
        <v>282</v>
      </c>
      <c r="O38" s="7" t="s">
        <v>800</v>
      </c>
      <c r="P38" s="25">
        <v>174</v>
      </c>
      <c r="Q38" s="7" t="s">
        <v>801</v>
      </c>
      <c r="R38" s="7" t="s">
        <v>802</v>
      </c>
      <c r="S38" s="7" t="s">
        <v>711</v>
      </c>
    </row>
    <row r="39" spans="1:19" ht="15" customHeight="1" x14ac:dyDescent="0.25">
      <c r="A39" s="22" t="s">
        <v>419</v>
      </c>
      <c r="B39" s="23" t="s">
        <v>420</v>
      </c>
      <c r="C39" s="24">
        <v>52</v>
      </c>
      <c r="D39" s="24">
        <v>2</v>
      </c>
      <c r="E39" s="24">
        <v>9</v>
      </c>
      <c r="F39" s="24">
        <v>0</v>
      </c>
      <c r="G39" s="24"/>
      <c r="H39" s="24"/>
      <c r="I39" s="24">
        <v>260</v>
      </c>
      <c r="J39" s="24"/>
      <c r="K39" s="24"/>
      <c r="L39" s="24">
        <v>36</v>
      </c>
      <c r="M39" s="24">
        <v>0.7</v>
      </c>
      <c r="N39" s="25">
        <v>280</v>
      </c>
      <c r="O39" s="7" t="s">
        <v>803</v>
      </c>
      <c r="P39" s="25">
        <v>150</v>
      </c>
      <c r="Q39" s="7" t="s">
        <v>720</v>
      </c>
      <c r="R39" s="7" t="s">
        <v>804</v>
      </c>
      <c r="S39" s="7" t="s">
        <v>805</v>
      </c>
    </row>
    <row r="40" spans="1:19" ht="15" customHeight="1" x14ac:dyDescent="0.25">
      <c r="A40" s="22" t="s">
        <v>424</v>
      </c>
      <c r="B40" s="23" t="s">
        <v>425</v>
      </c>
      <c r="C40" s="24">
        <v>31</v>
      </c>
      <c r="D40" s="24">
        <v>2.8</v>
      </c>
      <c r="E40" s="24">
        <v>34.4</v>
      </c>
      <c r="F40" s="24">
        <v>3</v>
      </c>
      <c r="G40" s="24">
        <v>0</v>
      </c>
      <c r="H40" s="24">
        <v>12</v>
      </c>
      <c r="I40" s="24">
        <v>133</v>
      </c>
      <c r="J40" s="24">
        <v>0.15</v>
      </c>
      <c r="K40" s="24">
        <v>1.7000000000000001E-2</v>
      </c>
      <c r="L40" s="24">
        <v>10</v>
      </c>
      <c r="M40" s="24">
        <v>0.08</v>
      </c>
      <c r="N40" s="25">
        <v>91</v>
      </c>
      <c r="O40" s="7" t="s">
        <v>806</v>
      </c>
      <c r="P40" s="25">
        <v>132</v>
      </c>
      <c r="Q40" s="7" t="s">
        <v>720</v>
      </c>
      <c r="R40" s="7" t="s">
        <v>807</v>
      </c>
      <c r="S40" s="7" t="s">
        <v>711</v>
      </c>
    </row>
    <row r="41" spans="1:19" ht="15" customHeight="1" x14ac:dyDescent="0.25">
      <c r="A41" s="22" t="s">
        <v>427</v>
      </c>
      <c r="B41" s="23" t="s">
        <v>428</v>
      </c>
      <c r="C41" s="24">
        <v>567</v>
      </c>
      <c r="D41" s="24">
        <v>8.5</v>
      </c>
      <c r="E41" s="24">
        <v>0</v>
      </c>
      <c r="F41" s="24">
        <v>0</v>
      </c>
      <c r="G41" s="24">
        <v>0</v>
      </c>
      <c r="H41" s="24">
        <v>240</v>
      </c>
      <c r="I41" s="24">
        <v>705</v>
      </c>
      <c r="J41" s="24">
        <v>8.33</v>
      </c>
      <c r="K41" s="24">
        <v>0.34799999999999998</v>
      </c>
      <c r="L41" s="24">
        <v>168</v>
      </c>
      <c r="M41" s="24">
        <v>4.58</v>
      </c>
      <c r="N41" s="25">
        <v>28</v>
      </c>
      <c r="O41" s="7" t="s">
        <v>808</v>
      </c>
      <c r="P41" s="25">
        <v>146</v>
      </c>
      <c r="Q41" s="7" t="s">
        <v>809</v>
      </c>
      <c r="R41" s="7" t="s">
        <v>810</v>
      </c>
      <c r="S41" s="7" t="s">
        <v>711</v>
      </c>
    </row>
    <row r="42" spans="1:19" ht="15" customHeight="1" x14ac:dyDescent="0.25">
      <c r="A42" s="22" t="s">
        <v>436</v>
      </c>
      <c r="B42" s="23" t="s">
        <v>437</v>
      </c>
      <c r="C42" s="24">
        <v>400</v>
      </c>
      <c r="D42" s="24">
        <v>3</v>
      </c>
      <c r="E42" s="24"/>
      <c r="F42" s="24"/>
      <c r="G42" s="24"/>
      <c r="H42" s="24"/>
      <c r="I42" s="24">
        <v>620</v>
      </c>
      <c r="J42" s="24"/>
      <c r="K42" s="24"/>
      <c r="L42" s="24"/>
      <c r="M42" s="24">
        <v>6</v>
      </c>
      <c r="N42" s="25">
        <v>8</v>
      </c>
      <c r="O42" s="7" t="s">
        <v>811</v>
      </c>
      <c r="P42" s="25">
        <v>130</v>
      </c>
      <c r="Q42" s="7" t="s">
        <v>809</v>
      </c>
      <c r="R42" s="7" t="s">
        <v>812</v>
      </c>
      <c r="S42" s="7" t="s">
        <v>813</v>
      </c>
    </row>
    <row r="43" spans="1:19" ht="15" customHeight="1" x14ac:dyDescent="0.25">
      <c r="A43" s="22" t="s">
        <v>445</v>
      </c>
      <c r="B43" s="23" t="s">
        <v>446</v>
      </c>
      <c r="C43" s="24">
        <v>18</v>
      </c>
      <c r="D43" s="24">
        <v>1.2</v>
      </c>
      <c r="E43" s="24">
        <v>13.7</v>
      </c>
      <c r="F43" s="24">
        <v>42</v>
      </c>
      <c r="G43" s="24">
        <v>7.9</v>
      </c>
      <c r="H43" s="24">
        <v>15</v>
      </c>
      <c r="I43" s="24">
        <v>237</v>
      </c>
      <c r="J43" s="24">
        <v>0.54</v>
      </c>
      <c r="K43" s="24">
        <v>0.08</v>
      </c>
      <c r="L43" s="24">
        <v>11</v>
      </c>
      <c r="M43" s="24">
        <v>0.27</v>
      </c>
      <c r="N43" s="25">
        <v>62</v>
      </c>
      <c r="O43" s="7" t="s">
        <v>814</v>
      </c>
      <c r="P43" s="25">
        <v>180</v>
      </c>
      <c r="Q43" s="7" t="s">
        <v>737</v>
      </c>
      <c r="R43" s="7" t="s">
        <v>815</v>
      </c>
      <c r="S43" s="7" t="s">
        <v>711</v>
      </c>
    </row>
    <row r="44" spans="1:19" ht="15" customHeight="1" x14ac:dyDescent="0.25">
      <c r="A44" s="22" t="s">
        <v>455</v>
      </c>
      <c r="B44" s="23" t="s">
        <v>456</v>
      </c>
      <c r="C44" s="24">
        <v>27</v>
      </c>
      <c r="D44" s="24">
        <v>2.1</v>
      </c>
      <c r="E44" s="24">
        <v>27.2</v>
      </c>
      <c r="F44" s="24">
        <v>42</v>
      </c>
      <c r="G44" s="24">
        <v>7.9</v>
      </c>
      <c r="H44" s="24">
        <v>15</v>
      </c>
      <c r="I44" s="24">
        <v>260</v>
      </c>
      <c r="J44" s="24">
        <v>0.54</v>
      </c>
      <c r="K44" s="24">
        <v>0.08</v>
      </c>
      <c r="L44" s="24">
        <v>10</v>
      </c>
      <c r="M44" s="24">
        <v>0.3</v>
      </c>
      <c r="N44" s="25">
        <v>17</v>
      </c>
      <c r="O44" s="7" t="s">
        <v>816</v>
      </c>
      <c r="P44" s="25">
        <v>149</v>
      </c>
      <c r="Q44" s="7" t="s">
        <v>817</v>
      </c>
      <c r="R44" s="7" t="s">
        <v>818</v>
      </c>
      <c r="S44" s="7" t="s">
        <v>819</v>
      </c>
    </row>
    <row r="45" spans="1:19" ht="15" customHeight="1" x14ac:dyDescent="0.25">
      <c r="A45" s="22" t="s">
        <v>461</v>
      </c>
      <c r="B45" s="23" t="s">
        <v>462</v>
      </c>
      <c r="C45" s="24">
        <v>31</v>
      </c>
      <c r="D45" s="24">
        <v>2.1</v>
      </c>
      <c r="E45" s="24">
        <v>127.7</v>
      </c>
      <c r="F45" s="24">
        <v>157</v>
      </c>
      <c r="G45" s="24">
        <v>4.9000000000000004</v>
      </c>
      <c r="H45" s="24">
        <v>46</v>
      </c>
      <c r="I45" s="24">
        <v>211</v>
      </c>
      <c r="J45" s="24">
        <v>1.58</v>
      </c>
      <c r="K45" s="24">
        <v>0.29099999999999998</v>
      </c>
      <c r="L45" s="24">
        <v>12</v>
      </c>
      <c r="M45" s="24">
        <v>0.43</v>
      </c>
      <c r="N45" s="25">
        <v>119</v>
      </c>
      <c r="O45" s="7" t="s">
        <v>820</v>
      </c>
      <c r="P45" s="25">
        <v>149</v>
      </c>
      <c r="Q45" s="7" t="s">
        <v>737</v>
      </c>
      <c r="R45" s="7" t="s">
        <v>821</v>
      </c>
      <c r="S45" s="7" t="s">
        <v>711</v>
      </c>
    </row>
    <row r="46" spans="1:19" ht="15" customHeight="1" x14ac:dyDescent="0.25">
      <c r="A46" s="22" t="s">
        <v>467</v>
      </c>
      <c r="B46" s="23" t="s">
        <v>468</v>
      </c>
      <c r="C46" s="24">
        <v>20</v>
      </c>
      <c r="D46" s="24">
        <v>1.7</v>
      </c>
      <c r="E46" s="24">
        <v>80.400000000000006</v>
      </c>
      <c r="F46" s="24">
        <v>18</v>
      </c>
      <c r="G46" s="24">
        <v>7.4</v>
      </c>
      <c r="H46" s="24">
        <v>10</v>
      </c>
      <c r="I46" s="24">
        <v>175</v>
      </c>
      <c r="J46" s="24">
        <v>0.37</v>
      </c>
      <c r="K46" s="24">
        <v>0.224</v>
      </c>
      <c r="L46" s="24">
        <v>10</v>
      </c>
      <c r="M46" s="24">
        <v>0.34</v>
      </c>
      <c r="N46" s="25">
        <v>119</v>
      </c>
      <c r="O46" s="7" t="s">
        <v>820</v>
      </c>
      <c r="P46" s="25">
        <v>149</v>
      </c>
      <c r="Q46" s="7" t="s">
        <v>737</v>
      </c>
      <c r="R46" s="7" t="s">
        <v>822</v>
      </c>
      <c r="S46" s="7" t="s">
        <v>711</v>
      </c>
    </row>
    <row r="47" spans="1:19" ht="15" customHeight="1" x14ac:dyDescent="0.25">
      <c r="A47" s="22" t="s">
        <v>472</v>
      </c>
      <c r="B47" s="23" t="s">
        <v>473</v>
      </c>
      <c r="C47" s="24">
        <v>40</v>
      </c>
      <c r="D47" s="24">
        <v>1.5</v>
      </c>
      <c r="E47" s="24">
        <v>143.69999999999999</v>
      </c>
      <c r="F47" s="24">
        <v>48</v>
      </c>
      <c r="G47" s="24">
        <v>14</v>
      </c>
      <c r="H47" s="24">
        <v>23</v>
      </c>
      <c r="I47" s="24">
        <v>322</v>
      </c>
      <c r="J47" s="24">
        <v>0.69</v>
      </c>
      <c r="K47" s="24">
        <v>0.50600000000000001</v>
      </c>
      <c r="L47" s="24">
        <v>23</v>
      </c>
      <c r="M47" s="24">
        <v>1.03</v>
      </c>
      <c r="N47" s="25">
        <v>10</v>
      </c>
      <c r="O47" s="7" t="s">
        <v>823</v>
      </c>
      <c r="P47" s="25">
        <v>150</v>
      </c>
      <c r="Q47" s="7" t="s">
        <v>737</v>
      </c>
      <c r="R47" s="7" t="s">
        <v>824</v>
      </c>
      <c r="S47" s="7" t="s">
        <v>825</v>
      </c>
    </row>
    <row r="48" spans="1:19" ht="15" customHeight="1" x14ac:dyDescent="0.25">
      <c r="A48" s="22" t="s">
        <v>477</v>
      </c>
      <c r="B48" s="23" t="s">
        <v>478</v>
      </c>
      <c r="C48" s="24">
        <v>40</v>
      </c>
      <c r="D48" s="24">
        <v>1.5</v>
      </c>
      <c r="E48" s="24">
        <v>143.69999999999999</v>
      </c>
      <c r="F48" s="24">
        <v>48</v>
      </c>
      <c r="G48" s="24">
        <v>14</v>
      </c>
      <c r="H48" s="24">
        <v>23</v>
      </c>
      <c r="I48" s="24">
        <v>322</v>
      </c>
      <c r="J48" s="24">
        <v>0.69</v>
      </c>
      <c r="K48" s="24">
        <v>0.50600000000000001</v>
      </c>
      <c r="L48" s="24">
        <v>23</v>
      </c>
      <c r="M48" s="24">
        <v>1.03</v>
      </c>
      <c r="N48" s="25">
        <v>20</v>
      </c>
      <c r="O48" s="7" t="s">
        <v>826</v>
      </c>
      <c r="P48" s="25">
        <v>150</v>
      </c>
      <c r="Q48" s="7" t="s">
        <v>737</v>
      </c>
      <c r="R48" s="7" t="s">
        <v>824</v>
      </c>
      <c r="S48" s="7" t="s">
        <v>711</v>
      </c>
    </row>
    <row r="49" spans="1:19" ht="15" customHeight="1" x14ac:dyDescent="0.25">
      <c r="A49" s="22" t="s">
        <v>481</v>
      </c>
      <c r="B49" s="23" t="s">
        <v>482</v>
      </c>
      <c r="C49" s="24">
        <v>40</v>
      </c>
      <c r="D49" s="24">
        <v>1.7</v>
      </c>
      <c r="E49" s="24">
        <v>7.4</v>
      </c>
      <c r="F49" s="24">
        <v>0</v>
      </c>
      <c r="G49" s="24">
        <v>0.4</v>
      </c>
      <c r="H49" s="24">
        <v>19</v>
      </c>
      <c r="I49" s="24">
        <v>146</v>
      </c>
      <c r="J49" s="24">
        <v>0.02</v>
      </c>
      <c r="K49" s="24">
        <v>0.12</v>
      </c>
      <c r="L49" s="24">
        <v>10</v>
      </c>
      <c r="M49" s="24">
        <v>0.21</v>
      </c>
      <c r="N49" s="25">
        <v>110</v>
      </c>
      <c r="O49" s="7" t="s">
        <v>827</v>
      </c>
      <c r="P49" s="25">
        <v>160</v>
      </c>
      <c r="Q49" s="7" t="s">
        <v>737</v>
      </c>
      <c r="R49" s="7" t="s">
        <v>828</v>
      </c>
      <c r="S49" s="7" t="s">
        <v>711</v>
      </c>
    </row>
    <row r="50" spans="1:19" ht="15" customHeight="1" x14ac:dyDescent="0.25">
      <c r="A50" s="22" t="s">
        <v>489</v>
      </c>
      <c r="B50" s="23" t="s">
        <v>490</v>
      </c>
      <c r="C50" s="24">
        <v>32</v>
      </c>
      <c r="D50" s="24">
        <v>2.6</v>
      </c>
      <c r="E50" s="24">
        <v>18.8</v>
      </c>
      <c r="F50" s="24">
        <v>50</v>
      </c>
      <c r="G50" s="24">
        <v>207</v>
      </c>
      <c r="H50" s="24">
        <v>64</v>
      </c>
      <c r="I50" s="24">
        <v>276</v>
      </c>
      <c r="J50" s="24">
        <v>0.55000000000000004</v>
      </c>
      <c r="K50" s="24">
        <v>6.0999999999999999E-2</v>
      </c>
      <c r="L50" s="24">
        <v>20</v>
      </c>
      <c r="M50" s="24">
        <v>1.48</v>
      </c>
      <c r="N50" s="25">
        <v>15</v>
      </c>
      <c r="O50" s="7" t="s">
        <v>829</v>
      </c>
      <c r="P50" s="25">
        <v>100</v>
      </c>
      <c r="Q50" s="7" t="s">
        <v>737</v>
      </c>
      <c r="R50" s="7" t="s">
        <v>830</v>
      </c>
      <c r="S50" s="7" t="s">
        <v>711</v>
      </c>
    </row>
    <row r="51" spans="1:19" ht="15" customHeight="1" x14ac:dyDescent="0.25">
      <c r="A51" s="22" t="s">
        <v>495</v>
      </c>
      <c r="B51" s="23" t="s">
        <v>496</v>
      </c>
      <c r="C51" s="24">
        <v>72</v>
      </c>
      <c r="D51" s="24">
        <v>3.2</v>
      </c>
      <c r="E51" s="24">
        <v>8</v>
      </c>
      <c r="F51" s="24">
        <v>0</v>
      </c>
      <c r="G51" s="24">
        <v>0.8</v>
      </c>
      <c r="H51" s="24">
        <v>34</v>
      </c>
      <c r="I51" s="24">
        <v>334</v>
      </c>
      <c r="J51" s="24">
        <v>0.04</v>
      </c>
      <c r="K51" s="24">
        <v>0.34499999999999997</v>
      </c>
      <c r="L51" s="24">
        <v>21</v>
      </c>
      <c r="M51" s="24">
        <v>1.2</v>
      </c>
      <c r="N51" s="25">
        <v>25</v>
      </c>
      <c r="O51" s="7" t="s">
        <v>831</v>
      </c>
      <c r="P51" s="25">
        <v>160</v>
      </c>
      <c r="Q51" s="7" t="s">
        <v>737</v>
      </c>
      <c r="R51" s="7" t="s">
        <v>832</v>
      </c>
      <c r="S51" s="7" t="s">
        <v>711</v>
      </c>
    </row>
    <row r="52" spans="1:19" ht="15" customHeight="1" x14ac:dyDescent="0.25">
      <c r="A52" s="22" t="s">
        <v>499</v>
      </c>
      <c r="B52" s="23" t="s">
        <v>500</v>
      </c>
      <c r="C52" s="24">
        <v>149</v>
      </c>
      <c r="D52" s="24">
        <v>2.1</v>
      </c>
      <c r="E52" s="24">
        <v>31.2</v>
      </c>
      <c r="F52" s="24">
        <v>0</v>
      </c>
      <c r="G52" s="24">
        <v>1.7</v>
      </c>
      <c r="H52" s="24">
        <v>3</v>
      </c>
      <c r="I52" s="24">
        <v>401</v>
      </c>
      <c r="J52" s="24">
        <v>0.08</v>
      </c>
      <c r="K52" s="24">
        <v>1.2350000000000001</v>
      </c>
      <c r="L52" s="24">
        <v>25</v>
      </c>
      <c r="M52" s="24">
        <v>1.7</v>
      </c>
      <c r="N52" s="25">
        <v>3</v>
      </c>
      <c r="O52" s="7" t="s">
        <v>833</v>
      </c>
      <c r="P52" s="25">
        <v>136</v>
      </c>
      <c r="Q52" s="7" t="s">
        <v>834</v>
      </c>
      <c r="R52" s="7" t="s">
        <v>835</v>
      </c>
      <c r="S52" s="7" t="s">
        <v>711</v>
      </c>
    </row>
    <row r="53" spans="1:19" ht="15" customHeight="1" x14ac:dyDescent="0.25">
      <c r="A53" s="22" t="s">
        <v>507</v>
      </c>
      <c r="B53" s="23" t="s">
        <v>508</v>
      </c>
      <c r="C53" s="24">
        <v>80</v>
      </c>
      <c r="D53" s="24">
        <v>2</v>
      </c>
      <c r="E53" s="24">
        <v>5</v>
      </c>
      <c r="F53" s="24">
        <v>0</v>
      </c>
      <c r="G53" s="24">
        <v>0.1</v>
      </c>
      <c r="H53" s="24">
        <v>11</v>
      </c>
      <c r="I53" s="24">
        <v>415</v>
      </c>
      <c r="J53" s="24">
        <v>0.26</v>
      </c>
      <c r="K53" s="24">
        <v>0.16</v>
      </c>
      <c r="L53" s="24">
        <v>43</v>
      </c>
      <c r="M53" s="24">
        <v>0.6</v>
      </c>
      <c r="N53" s="25">
        <v>15</v>
      </c>
      <c r="O53" s="7" t="s">
        <v>836</v>
      </c>
      <c r="P53" s="25">
        <v>96</v>
      </c>
      <c r="Q53" s="7" t="s">
        <v>709</v>
      </c>
      <c r="R53" s="7" t="s">
        <v>837</v>
      </c>
      <c r="S53" s="7" t="s">
        <v>711</v>
      </c>
    </row>
    <row r="54" spans="1:19" ht="15" customHeight="1" x14ac:dyDescent="0.25">
      <c r="A54" s="22" t="s">
        <v>515</v>
      </c>
      <c r="B54" s="23" t="s">
        <v>516</v>
      </c>
      <c r="C54" s="24">
        <v>78</v>
      </c>
      <c r="D54" s="24">
        <v>5.7</v>
      </c>
      <c r="E54" s="24">
        <v>3</v>
      </c>
      <c r="F54" s="24">
        <v>0</v>
      </c>
      <c r="G54" s="24">
        <v>3.4</v>
      </c>
      <c r="H54" s="24">
        <v>5</v>
      </c>
      <c r="I54" s="24">
        <v>520</v>
      </c>
      <c r="J54" s="24">
        <v>1.1000000000000001</v>
      </c>
      <c r="K54" s="24">
        <v>0.03</v>
      </c>
      <c r="L54" s="24">
        <v>52</v>
      </c>
      <c r="M54" s="24">
        <v>13.8</v>
      </c>
      <c r="N54" s="25">
        <v>15</v>
      </c>
      <c r="O54" s="7" t="s">
        <v>836</v>
      </c>
      <c r="P54" s="25">
        <v>96</v>
      </c>
      <c r="Q54" s="7" t="s">
        <v>709</v>
      </c>
      <c r="R54" s="7" t="s">
        <v>838</v>
      </c>
      <c r="S54" s="7" t="s">
        <v>839</v>
      </c>
    </row>
    <row r="55" spans="1:19" ht="15" customHeight="1" x14ac:dyDescent="0.25">
      <c r="A55" s="22" t="s">
        <v>522</v>
      </c>
      <c r="B55" s="23" t="s">
        <v>523</v>
      </c>
      <c r="C55" s="24">
        <v>15</v>
      </c>
      <c r="D55" s="24">
        <v>0.5</v>
      </c>
      <c r="E55" s="24">
        <v>2.8</v>
      </c>
      <c r="F55" s="24">
        <v>5</v>
      </c>
      <c r="G55" s="24">
        <v>16.399999999999999</v>
      </c>
      <c r="H55" s="24">
        <v>7</v>
      </c>
      <c r="I55" s="24">
        <v>147</v>
      </c>
      <c r="J55" s="24">
        <v>0.03</v>
      </c>
      <c r="K55" s="24">
        <v>0.04</v>
      </c>
      <c r="L55" s="24">
        <v>13</v>
      </c>
      <c r="M55" s="24">
        <v>0.28000000000000003</v>
      </c>
      <c r="N55" s="25">
        <v>301</v>
      </c>
      <c r="O55" s="7" t="s">
        <v>840</v>
      </c>
      <c r="P55" s="25">
        <v>104</v>
      </c>
      <c r="Q55" s="7" t="s">
        <v>709</v>
      </c>
      <c r="R55" s="7" t="s">
        <v>841</v>
      </c>
      <c r="S55" s="7" t="s">
        <v>711</v>
      </c>
    </row>
    <row r="56" spans="1:19" ht="15" customHeight="1" x14ac:dyDescent="0.25">
      <c r="A56" s="22" t="s">
        <v>528</v>
      </c>
      <c r="B56" s="23" t="s">
        <v>529</v>
      </c>
      <c r="C56" s="24">
        <v>41</v>
      </c>
      <c r="D56" s="24">
        <v>2.8</v>
      </c>
      <c r="E56" s="24">
        <v>5.9</v>
      </c>
      <c r="F56" s="24">
        <v>835</v>
      </c>
      <c r="G56" s="24">
        <v>13.2</v>
      </c>
      <c r="H56" s="24">
        <v>19</v>
      </c>
      <c r="I56" s="24">
        <v>320</v>
      </c>
      <c r="J56" s="24">
        <v>0.66</v>
      </c>
      <c r="K56" s="24">
        <v>0.13800000000000001</v>
      </c>
      <c r="L56" s="24">
        <v>12</v>
      </c>
      <c r="M56" s="24">
        <v>0.3</v>
      </c>
      <c r="N56" s="25">
        <v>61</v>
      </c>
      <c r="O56" s="7" t="s">
        <v>842</v>
      </c>
      <c r="P56" s="25">
        <v>128</v>
      </c>
      <c r="Q56" s="7" t="s">
        <v>737</v>
      </c>
      <c r="R56" s="7" t="s">
        <v>843</v>
      </c>
      <c r="S56" s="7" t="s">
        <v>711</v>
      </c>
    </row>
    <row r="57" spans="1:19" ht="15" customHeight="1" x14ac:dyDescent="0.25">
      <c r="A57" s="22" t="s">
        <v>536</v>
      </c>
      <c r="B57" s="23" t="s">
        <v>537</v>
      </c>
      <c r="C57" s="24">
        <v>25</v>
      </c>
      <c r="D57" s="24">
        <v>2.5</v>
      </c>
      <c r="E57" s="24">
        <v>36.6</v>
      </c>
      <c r="F57" s="24">
        <v>5</v>
      </c>
      <c r="G57" s="24">
        <v>76</v>
      </c>
      <c r="H57" s="24">
        <v>43</v>
      </c>
      <c r="I57" s="24">
        <v>170</v>
      </c>
      <c r="J57" s="24">
        <v>0.15</v>
      </c>
      <c r="K57" s="24">
        <v>0.124</v>
      </c>
      <c r="L57" s="24">
        <v>12</v>
      </c>
      <c r="M57" s="24">
        <v>0.47</v>
      </c>
      <c r="N57" s="25">
        <v>908</v>
      </c>
      <c r="O57" s="7" t="s">
        <v>844</v>
      </c>
      <c r="P57" s="25">
        <v>89</v>
      </c>
      <c r="Q57" s="7" t="s">
        <v>737</v>
      </c>
      <c r="R57" s="7" t="s">
        <v>845</v>
      </c>
      <c r="S57" s="7" t="s">
        <v>711</v>
      </c>
    </row>
    <row r="58" spans="1:19" ht="15" customHeight="1" x14ac:dyDescent="0.25">
      <c r="A58" s="22" t="s">
        <v>543</v>
      </c>
      <c r="B58" s="23" t="s">
        <v>544</v>
      </c>
      <c r="C58" s="24">
        <v>31</v>
      </c>
      <c r="D58" s="24">
        <v>2.1</v>
      </c>
      <c r="E58" s="24">
        <v>57</v>
      </c>
      <c r="F58" s="24">
        <v>56</v>
      </c>
      <c r="G58" s="24">
        <v>38.200000000000003</v>
      </c>
      <c r="H58" s="24">
        <v>18</v>
      </c>
      <c r="I58" s="24">
        <v>243</v>
      </c>
      <c r="J58" s="24">
        <v>0.11</v>
      </c>
      <c r="K58" s="24">
        <v>0.20899999999999999</v>
      </c>
      <c r="L58" s="24">
        <v>16</v>
      </c>
      <c r="M58" s="24">
        <v>0.8</v>
      </c>
      <c r="N58" s="25">
        <v>900</v>
      </c>
      <c r="O58" s="7" t="s">
        <v>844</v>
      </c>
      <c r="P58" s="25">
        <v>89</v>
      </c>
      <c r="Q58" s="7" t="s">
        <v>737</v>
      </c>
      <c r="R58" s="7" t="s">
        <v>846</v>
      </c>
      <c r="S58" s="7" t="s">
        <v>711</v>
      </c>
    </row>
    <row r="59" spans="1:19" ht="15" customHeight="1" x14ac:dyDescent="0.25">
      <c r="A59" s="22" t="s">
        <v>545</v>
      </c>
      <c r="B59" s="23" t="s">
        <v>546</v>
      </c>
      <c r="C59" s="24">
        <v>17</v>
      </c>
      <c r="D59" s="24">
        <v>2.1</v>
      </c>
      <c r="E59" s="24">
        <v>4</v>
      </c>
      <c r="F59" s="24">
        <v>436</v>
      </c>
      <c r="G59" s="24">
        <v>102.5</v>
      </c>
      <c r="H59" s="24">
        <v>136</v>
      </c>
      <c r="I59" s="24">
        <v>247</v>
      </c>
      <c r="J59" s="24">
        <v>0.13</v>
      </c>
      <c r="K59" s="24">
        <v>7.3999999999999996E-2</v>
      </c>
      <c r="L59" s="24">
        <v>14</v>
      </c>
      <c r="M59" s="24">
        <v>0.97</v>
      </c>
      <c r="N59" s="25">
        <v>626</v>
      </c>
      <c r="O59" s="7" t="s">
        <v>539</v>
      </c>
      <c r="P59" s="25">
        <v>47</v>
      </c>
      <c r="Q59" s="7" t="s">
        <v>745</v>
      </c>
      <c r="R59" s="7" t="s">
        <v>847</v>
      </c>
      <c r="S59" s="7" t="s">
        <v>711</v>
      </c>
    </row>
    <row r="60" spans="1:19" ht="15" customHeight="1" x14ac:dyDescent="0.25">
      <c r="A60" s="22" t="s">
        <v>553</v>
      </c>
      <c r="B60" s="23" t="s">
        <v>554</v>
      </c>
      <c r="C60" s="24">
        <v>31</v>
      </c>
      <c r="D60" s="24">
        <v>2.7</v>
      </c>
      <c r="E60" s="24">
        <v>12.2</v>
      </c>
      <c r="F60" s="24">
        <v>35</v>
      </c>
      <c r="G60" s="24">
        <v>43</v>
      </c>
      <c r="H60" s="24">
        <v>33</v>
      </c>
      <c r="I60" s="24">
        <v>211</v>
      </c>
      <c r="J60" s="24">
        <v>0.41</v>
      </c>
      <c r="K60" s="24">
        <v>0.14099999999999999</v>
      </c>
      <c r="L60" s="24">
        <v>25</v>
      </c>
      <c r="M60" s="24">
        <v>1.03</v>
      </c>
      <c r="N60" s="25">
        <v>5</v>
      </c>
      <c r="O60" s="7" t="s">
        <v>848</v>
      </c>
      <c r="P60" s="25">
        <v>100</v>
      </c>
      <c r="Q60" s="7" t="s">
        <v>849</v>
      </c>
      <c r="R60" s="7" t="s">
        <v>850</v>
      </c>
      <c r="S60" s="7" t="s">
        <v>711</v>
      </c>
    </row>
    <row r="61" spans="1:19" ht="15" customHeight="1" x14ac:dyDescent="0.25">
      <c r="A61" s="22" t="s">
        <v>555</v>
      </c>
      <c r="B61" s="23" t="s">
        <v>556</v>
      </c>
      <c r="C61" s="24">
        <v>86</v>
      </c>
      <c r="D61" s="24">
        <v>2.7</v>
      </c>
      <c r="E61" s="24">
        <v>6.8</v>
      </c>
      <c r="F61" s="24">
        <v>9</v>
      </c>
      <c r="G61" s="24">
        <v>0.3</v>
      </c>
      <c r="H61" s="24">
        <v>42</v>
      </c>
      <c r="I61" s="24">
        <v>270</v>
      </c>
      <c r="J61" s="24">
        <v>7.0000000000000007E-2</v>
      </c>
      <c r="K61" s="24">
        <v>9.2999999999999999E-2</v>
      </c>
      <c r="L61" s="24">
        <v>37</v>
      </c>
      <c r="M61" s="24">
        <v>0.52</v>
      </c>
      <c r="N61" s="25">
        <v>90</v>
      </c>
      <c r="O61" s="7" t="s">
        <v>851</v>
      </c>
      <c r="P61" s="25">
        <v>145</v>
      </c>
      <c r="Q61" s="7" t="s">
        <v>809</v>
      </c>
      <c r="R61" s="7" t="s">
        <v>852</v>
      </c>
      <c r="S61" s="7" t="s">
        <v>711</v>
      </c>
    </row>
    <row r="62" spans="1:19" ht="15" customHeight="1" x14ac:dyDescent="0.25">
      <c r="A62" s="22" t="s">
        <v>565</v>
      </c>
      <c r="B62" s="23" t="s">
        <v>566</v>
      </c>
      <c r="C62" s="24">
        <v>32</v>
      </c>
      <c r="D62" s="24">
        <v>3.5</v>
      </c>
      <c r="E62" s="24">
        <v>11.6</v>
      </c>
      <c r="F62" s="24">
        <v>2</v>
      </c>
      <c r="G62" s="24">
        <v>3.5</v>
      </c>
      <c r="H62" s="24">
        <v>22</v>
      </c>
      <c r="I62" s="24">
        <v>240</v>
      </c>
      <c r="J62" s="24">
        <v>0.3</v>
      </c>
      <c r="K62" s="24">
        <v>0.08</v>
      </c>
      <c r="L62" s="24">
        <v>15</v>
      </c>
      <c r="M62" s="24">
        <v>0.5</v>
      </c>
      <c r="N62" s="25">
        <v>40</v>
      </c>
      <c r="O62" s="7" t="s">
        <v>853</v>
      </c>
      <c r="P62" s="25">
        <v>85</v>
      </c>
      <c r="Q62" s="7" t="s">
        <v>737</v>
      </c>
      <c r="R62" s="7" t="s">
        <v>854</v>
      </c>
      <c r="S62" s="7" t="s">
        <v>855</v>
      </c>
    </row>
    <row r="63" spans="1:19" ht="15" customHeight="1" x14ac:dyDescent="0.25">
      <c r="A63" s="22" t="s">
        <v>571</v>
      </c>
      <c r="B63" s="23" t="s">
        <v>572</v>
      </c>
      <c r="C63" s="24">
        <v>33</v>
      </c>
      <c r="D63" s="24">
        <v>3.2</v>
      </c>
      <c r="E63" s="24">
        <v>23</v>
      </c>
      <c r="F63" s="24">
        <v>36</v>
      </c>
      <c r="G63" s="24">
        <v>31.3</v>
      </c>
      <c r="H63" s="24">
        <v>60</v>
      </c>
      <c r="I63" s="24">
        <v>299</v>
      </c>
      <c r="J63" s="24">
        <v>0.27</v>
      </c>
      <c r="K63" s="24">
        <v>0.215</v>
      </c>
      <c r="L63" s="24">
        <v>57</v>
      </c>
      <c r="M63" s="24">
        <v>0.62</v>
      </c>
      <c r="N63" s="25">
        <v>12</v>
      </c>
      <c r="O63" s="7" t="s">
        <v>856</v>
      </c>
      <c r="P63" s="25">
        <v>100</v>
      </c>
      <c r="Q63" s="7" t="s">
        <v>709</v>
      </c>
      <c r="R63" s="7" t="s">
        <v>857</v>
      </c>
      <c r="S63" s="7" t="s">
        <v>711</v>
      </c>
    </row>
    <row r="64" spans="1:19" ht="15" customHeight="1" x14ac:dyDescent="0.25">
      <c r="A64" s="22" t="s">
        <v>575</v>
      </c>
      <c r="B64" s="23" t="s">
        <v>576</v>
      </c>
      <c r="C64" s="24">
        <v>34</v>
      </c>
      <c r="D64" s="24">
        <v>2.6</v>
      </c>
      <c r="E64" s="24">
        <v>89.2</v>
      </c>
      <c r="F64" s="24">
        <v>31</v>
      </c>
      <c r="G64" s="24">
        <v>101.6</v>
      </c>
      <c r="H64" s="24">
        <v>63</v>
      </c>
      <c r="I64" s="24">
        <v>316</v>
      </c>
      <c r="J64" s="24">
        <v>0.78</v>
      </c>
      <c r="K64" s="24">
        <v>0.17499999999999999</v>
      </c>
      <c r="L64" s="24">
        <v>21</v>
      </c>
      <c r="M64" s="24">
        <v>0.73</v>
      </c>
      <c r="N64" s="25">
        <v>400</v>
      </c>
      <c r="O64" s="7" t="s">
        <v>844</v>
      </c>
      <c r="P64" s="25">
        <v>91</v>
      </c>
      <c r="Q64" s="7" t="s">
        <v>737</v>
      </c>
      <c r="R64" s="7" t="s">
        <v>858</v>
      </c>
      <c r="S64" s="7" t="s">
        <v>711</v>
      </c>
    </row>
    <row r="65" spans="1:19" ht="15" customHeight="1" x14ac:dyDescent="0.25">
      <c r="A65" s="22" t="s">
        <v>582</v>
      </c>
      <c r="B65" s="23" t="s">
        <v>583</v>
      </c>
      <c r="C65" s="24">
        <v>25</v>
      </c>
      <c r="D65" s="24">
        <v>2</v>
      </c>
      <c r="E65" s="24">
        <v>48.2</v>
      </c>
      <c r="F65" s="24">
        <v>0</v>
      </c>
      <c r="G65" s="24">
        <v>15.5</v>
      </c>
      <c r="H65" s="24">
        <v>57</v>
      </c>
      <c r="I65" s="24">
        <v>299</v>
      </c>
      <c r="J65" s="24">
        <v>0.08</v>
      </c>
      <c r="K65" s="24">
        <v>0.184</v>
      </c>
      <c r="L65" s="24">
        <v>15</v>
      </c>
      <c r="M65" s="24">
        <v>0.42</v>
      </c>
      <c r="N65" s="25">
        <v>588</v>
      </c>
      <c r="O65" s="7" t="s">
        <v>844</v>
      </c>
      <c r="P65" s="25">
        <v>107</v>
      </c>
      <c r="Q65" s="7" t="s">
        <v>737</v>
      </c>
      <c r="R65" s="7" t="s">
        <v>859</v>
      </c>
      <c r="S65" s="7" t="s">
        <v>711</v>
      </c>
    </row>
    <row r="66" spans="1:19" ht="15" customHeight="1" x14ac:dyDescent="0.25">
      <c r="A66" s="22" t="s">
        <v>587</v>
      </c>
      <c r="B66" s="23" t="s">
        <v>588</v>
      </c>
      <c r="C66" s="24">
        <v>43</v>
      </c>
      <c r="D66" s="24">
        <v>2.8</v>
      </c>
      <c r="E66" s="24">
        <v>4.9000000000000004</v>
      </c>
      <c r="F66" s="24">
        <v>2</v>
      </c>
      <c r="G66" s="24">
        <v>0.2</v>
      </c>
      <c r="H66" s="24">
        <v>109</v>
      </c>
      <c r="I66" s="24">
        <v>325</v>
      </c>
      <c r="J66" s="24">
        <v>0.04</v>
      </c>
      <c r="K66" s="24">
        <v>6.7000000000000004E-2</v>
      </c>
      <c r="L66" s="24">
        <v>23</v>
      </c>
      <c r="M66" s="24">
        <v>0.8</v>
      </c>
      <c r="N66" s="25">
        <v>82</v>
      </c>
      <c r="O66" s="7" t="s">
        <v>860</v>
      </c>
      <c r="P66" s="25">
        <v>136</v>
      </c>
      <c r="Q66" s="7" t="s">
        <v>717</v>
      </c>
      <c r="R66" s="7" t="s">
        <v>861</v>
      </c>
      <c r="S66" s="7" t="s">
        <v>711</v>
      </c>
    </row>
    <row r="67" spans="1:19" ht="15" customHeight="1" x14ac:dyDescent="0.25">
      <c r="A67" s="22" t="s">
        <v>591</v>
      </c>
      <c r="B67" s="23" t="s">
        <v>592</v>
      </c>
      <c r="C67" s="24">
        <v>17</v>
      </c>
      <c r="D67" s="24">
        <v>1</v>
      </c>
      <c r="E67" s="24">
        <v>17.899999999999999</v>
      </c>
      <c r="F67" s="24">
        <v>10</v>
      </c>
      <c r="G67" s="24">
        <v>4.3</v>
      </c>
      <c r="H67" s="24">
        <v>24</v>
      </c>
      <c r="I67" s="24">
        <v>261</v>
      </c>
      <c r="J67" s="24">
        <v>0.12</v>
      </c>
      <c r="K67" s="24">
        <v>0.16300000000000001</v>
      </c>
      <c r="L67" s="24">
        <v>18</v>
      </c>
      <c r="M67" s="24">
        <v>0.37</v>
      </c>
      <c r="N67" s="25">
        <v>196</v>
      </c>
      <c r="O67" s="7" t="s">
        <v>788</v>
      </c>
      <c r="P67" s="25">
        <v>124</v>
      </c>
      <c r="Q67" s="7" t="s">
        <v>737</v>
      </c>
      <c r="R67" s="7" t="s">
        <v>862</v>
      </c>
      <c r="S67" s="7" t="s">
        <v>711</v>
      </c>
    </row>
    <row r="68" spans="1:19" ht="15" customHeight="1" x14ac:dyDescent="0.25">
      <c r="A68" s="22" t="s">
        <v>594</v>
      </c>
      <c r="B68" s="23" t="s">
        <v>595</v>
      </c>
      <c r="C68" s="24">
        <v>33</v>
      </c>
      <c r="D68" s="24">
        <v>2.2999999999999998</v>
      </c>
      <c r="E68" s="24">
        <v>0</v>
      </c>
      <c r="F68" s="24">
        <v>0</v>
      </c>
      <c r="G68" s="24">
        <v>0</v>
      </c>
      <c r="H68" s="24">
        <v>38</v>
      </c>
      <c r="I68" s="24">
        <v>420</v>
      </c>
      <c r="J68" s="24">
        <v>0</v>
      </c>
      <c r="K68" s="24">
        <v>0.11</v>
      </c>
      <c r="L68" s="24">
        <v>18</v>
      </c>
      <c r="M68" s="24">
        <v>1.33</v>
      </c>
      <c r="N68" s="25">
        <v>15</v>
      </c>
      <c r="O68" s="7" t="s">
        <v>863</v>
      </c>
      <c r="P68" s="25">
        <v>86</v>
      </c>
      <c r="Q68" s="7" t="s">
        <v>709</v>
      </c>
      <c r="R68" s="7" t="s">
        <v>864</v>
      </c>
      <c r="S68" s="7" t="s">
        <v>711</v>
      </c>
    </row>
    <row r="69" spans="1:19" ht="15" customHeight="1" x14ac:dyDescent="0.25">
      <c r="A69" s="22" t="s">
        <v>602</v>
      </c>
      <c r="B69" s="23" t="s">
        <v>603</v>
      </c>
      <c r="C69" s="24">
        <v>26</v>
      </c>
      <c r="D69" s="24">
        <v>0.5</v>
      </c>
      <c r="E69" s="24">
        <v>9</v>
      </c>
      <c r="F69" s="24">
        <v>426</v>
      </c>
      <c r="G69" s="24">
        <v>1.1000000000000001</v>
      </c>
      <c r="H69" s="24">
        <v>16</v>
      </c>
      <c r="I69" s="24">
        <v>340</v>
      </c>
      <c r="J69" s="24">
        <v>1.06</v>
      </c>
      <c r="K69" s="24">
        <v>6.0999999999999999E-2</v>
      </c>
      <c r="L69" s="24">
        <v>12</v>
      </c>
      <c r="M69" s="24">
        <v>0.8</v>
      </c>
      <c r="N69" s="25">
        <v>250</v>
      </c>
      <c r="O69" s="7" t="s">
        <v>865</v>
      </c>
      <c r="P69" s="25">
        <v>116</v>
      </c>
      <c r="Q69" s="7" t="s">
        <v>720</v>
      </c>
      <c r="R69" s="7" t="s">
        <v>866</v>
      </c>
      <c r="S69" s="7" t="s">
        <v>711</v>
      </c>
    </row>
    <row r="70" spans="1:19" ht="15" customHeight="1" x14ac:dyDescent="0.25">
      <c r="A70" s="22" t="s">
        <v>609</v>
      </c>
      <c r="B70" s="23" t="s">
        <v>610</v>
      </c>
      <c r="C70" s="24">
        <v>86</v>
      </c>
      <c r="D70" s="24">
        <v>3</v>
      </c>
      <c r="E70" s="24">
        <v>2.4</v>
      </c>
      <c r="F70" s="24">
        <v>709</v>
      </c>
      <c r="G70" s="24">
        <v>1.8</v>
      </c>
      <c r="H70" s="24">
        <v>11</v>
      </c>
      <c r="I70" s="24">
        <v>337</v>
      </c>
      <c r="J70" s="24">
        <v>0.26</v>
      </c>
      <c r="K70" s="24">
        <v>0.20899999999999999</v>
      </c>
      <c r="L70" s="24">
        <v>25</v>
      </c>
      <c r="M70" s="24">
        <v>0.61</v>
      </c>
      <c r="N70" s="25">
        <v>130</v>
      </c>
      <c r="O70" s="7" t="s">
        <v>867</v>
      </c>
      <c r="P70" s="25">
        <v>133</v>
      </c>
      <c r="Q70" s="7" t="s">
        <v>720</v>
      </c>
      <c r="R70" s="7" t="s">
        <v>868</v>
      </c>
      <c r="S70" s="7" t="s">
        <v>711</v>
      </c>
    </row>
    <row r="71" spans="1:19" ht="15" customHeight="1" x14ac:dyDescent="0.25">
      <c r="A71" s="22" t="s">
        <v>616</v>
      </c>
      <c r="B71" s="23" t="s">
        <v>617</v>
      </c>
      <c r="C71" s="24">
        <v>77</v>
      </c>
      <c r="D71" s="24">
        <v>2.1</v>
      </c>
      <c r="E71" s="24">
        <v>19.7</v>
      </c>
      <c r="F71" s="24">
        <v>0</v>
      </c>
      <c r="G71" s="24">
        <v>2</v>
      </c>
      <c r="H71" s="24">
        <v>15</v>
      </c>
      <c r="I71" s="24">
        <v>425</v>
      </c>
      <c r="J71" s="24">
        <v>0.01</v>
      </c>
      <c r="K71" s="24">
        <v>0.29799999999999999</v>
      </c>
      <c r="L71" s="24">
        <v>23</v>
      </c>
      <c r="M71" s="24">
        <v>0.81</v>
      </c>
      <c r="N71" s="25">
        <v>213</v>
      </c>
      <c r="O71" s="7" t="s">
        <v>786</v>
      </c>
      <c r="P71" s="25">
        <v>150</v>
      </c>
      <c r="Q71" s="7" t="s">
        <v>717</v>
      </c>
      <c r="R71" s="7" t="s">
        <v>869</v>
      </c>
      <c r="S71" s="7" t="s">
        <v>711</v>
      </c>
    </row>
    <row r="72" spans="1:19" ht="15" customHeight="1" x14ac:dyDescent="0.25">
      <c r="A72" s="22" t="s">
        <v>621</v>
      </c>
      <c r="B72" s="23" t="s">
        <v>622</v>
      </c>
      <c r="C72" s="24">
        <v>118</v>
      </c>
      <c r="D72" s="24">
        <v>4.0999999999999996</v>
      </c>
      <c r="E72" s="24">
        <v>17.100000000000001</v>
      </c>
      <c r="F72" s="24">
        <v>7</v>
      </c>
      <c r="G72" s="24">
        <v>2.2999999999999998</v>
      </c>
      <c r="H72" s="24">
        <v>23</v>
      </c>
      <c r="I72" s="24">
        <v>816</v>
      </c>
      <c r="J72" s="24">
        <v>0.35</v>
      </c>
      <c r="K72" s="24">
        <v>0.29299999999999998</v>
      </c>
      <c r="L72" s="24">
        <v>21</v>
      </c>
      <c r="M72" s="24">
        <v>0.54</v>
      </c>
      <c r="N72" s="25">
        <v>250</v>
      </c>
      <c r="O72" s="7" t="s">
        <v>870</v>
      </c>
      <c r="P72" s="25">
        <v>150</v>
      </c>
      <c r="Q72" s="7" t="s">
        <v>720</v>
      </c>
      <c r="R72" s="7" t="s">
        <v>871</v>
      </c>
      <c r="S72" s="7" t="s">
        <v>711</v>
      </c>
    </row>
    <row r="73" spans="1:19" ht="15" customHeight="1" x14ac:dyDescent="0.25">
      <c r="A73" s="22" t="s">
        <v>627</v>
      </c>
      <c r="B73" s="23" t="s">
        <v>628</v>
      </c>
      <c r="C73" s="24">
        <v>39</v>
      </c>
      <c r="D73" s="24">
        <v>2.6</v>
      </c>
      <c r="E73" s="24">
        <v>28</v>
      </c>
      <c r="F73" s="24">
        <v>280</v>
      </c>
      <c r="G73" s="24"/>
      <c r="H73" s="24">
        <v>85</v>
      </c>
      <c r="I73" s="24">
        <v>450</v>
      </c>
      <c r="J73" s="24"/>
      <c r="K73" s="24"/>
      <c r="L73" s="24">
        <v>50</v>
      </c>
      <c r="M73" s="24">
        <v>2.5</v>
      </c>
      <c r="N73" s="25">
        <v>150</v>
      </c>
      <c r="O73" s="7" t="s">
        <v>872</v>
      </c>
      <c r="P73" s="25">
        <v>30</v>
      </c>
      <c r="Q73" s="7" t="s">
        <v>737</v>
      </c>
      <c r="R73" s="7" t="s">
        <v>873</v>
      </c>
      <c r="S73" s="7" t="s">
        <v>874</v>
      </c>
    </row>
    <row r="74" spans="1:19" ht="15" customHeight="1" x14ac:dyDescent="0.25">
      <c r="A74" s="22" t="s">
        <v>632</v>
      </c>
      <c r="B74" s="23" t="s">
        <v>633</v>
      </c>
      <c r="C74" s="24">
        <v>23</v>
      </c>
      <c r="D74" s="24">
        <v>2</v>
      </c>
      <c r="E74" s="24">
        <v>43.3</v>
      </c>
      <c r="F74" s="24">
        <v>146</v>
      </c>
      <c r="G74" s="24">
        <v>1140</v>
      </c>
      <c r="H74" s="24">
        <v>85</v>
      </c>
      <c r="I74" s="24">
        <v>611</v>
      </c>
      <c r="J74" s="24"/>
      <c r="K74" s="24">
        <v>0.192</v>
      </c>
      <c r="L74" s="24">
        <v>55</v>
      </c>
      <c r="M74" s="24">
        <v>2.3199999999999998</v>
      </c>
      <c r="N74" s="25">
        <v>100</v>
      </c>
      <c r="O74" s="7" t="s">
        <v>875</v>
      </c>
      <c r="P74" s="25">
        <v>28</v>
      </c>
      <c r="Q74" s="7" t="s">
        <v>876</v>
      </c>
      <c r="R74" s="7" t="s">
        <v>877</v>
      </c>
      <c r="S74" s="7" t="s">
        <v>711</v>
      </c>
    </row>
    <row r="75" spans="1:19" ht="15" customHeight="1" x14ac:dyDescent="0.25">
      <c r="A75" s="22" t="s">
        <v>638</v>
      </c>
      <c r="B75" s="23" t="s">
        <v>639</v>
      </c>
      <c r="C75" s="24">
        <v>29</v>
      </c>
      <c r="D75" s="24">
        <v>2.4</v>
      </c>
      <c r="E75" s="24">
        <v>6</v>
      </c>
      <c r="F75" s="24">
        <v>212</v>
      </c>
      <c r="G75" s="24"/>
      <c r="H75" s="24"/>
      <c r="I75" s="24">
        <v>557</v>
      </c>
      <c r="J75" s="24"/>
      <c r="K75" s="24"/>
      <c r="L75" s="24"/>
      <c r="M75" s="24">
        <v>1.3</v>
      </c>
      <c r="N75" s="25">
        <v>150</v>
      </c>
      <c r="O75" s="7" t="s">
        <v>878</v>
      </c>
      <c r="P75" s="25">
        <v>30</v>
      </c>
      <c r="Q75" s="7" t="s">
        <v>737</v>
      </c>
      <c r="R75" s="7" t="s">
        <v>879</v>
      </c>
      <c r="S75" s="7" t="s">
        <v>880</v>
      </c>
    </row>
    <row r="76" spans="1:19" ht="15" customHeight="1" x14ac:dyDescent="0.25">
      <c r="A76" s="22" t="s">
        <v>642</v>
      </c>
      <c r="B76" s="23" t="s">
        <v>643</v>
      </c>
      <c r="C76" s="24">
        <v>23</v>
      </c>
      <c r="D76" s="24">
        <v>2.2000000000000002</v>
      </c>
      <c r="E76" s="24">
        <v>28.1</v>
      </c>
      <c r="F76" s="24">
        <v>469</v>
      </c>
      <c r="G76" s="24">
        <v>482.9</v>
      </c>
      <c r="H76" s="24">
        <v>194</v>
      </c>
      <c r="I76" s="24">
        <v>558</v>
      </c>
      <c r="J76" s="24">
        <v>2.0299999999999998</v>
      </c>
      <c r="K76" s="24">
        <v>0.19500000000000001</v>
      </c>
      <c r="L76" s="24">
        <v>79</v>
      </c>
      <c r="M76" s="24">
        <v>2.71</v>
      </c>
      <c r="N76" s="25">
        <v>30</v>
      </c>
      <c r="O76" s="7" t="s">
        <v>881</v>
      </c>
      <c r="P76" s="25">
        <v>30</v>
      </c>
      <c r="Q76" s="7" t="s">
        <v>876</v>
      </c>
      <c r="R76" s="7" t="s">
        <v>882</v>
      </c>
      <c r="S76" s="7" t="s">
        <v>711</v>
      </c>
    </row>
    <row r="77" spans="1:19" ht="15" customHeight="1" x14ac:dyDescent="0.25">
      <c r="A77" s="22" t="s">
        <v>647</v>
      </c>
      <c r="B77" s="23" t="s">
        <v>648</v>
      </c>
      <c r="C77" s="24">
        <v>35</v>
      </c>
      <c r="D77" s="24">
        <v>4.0999999999999996</v>
      </c>
      <c r="E77" s="24">
        <v>93.4</v>
      </c>
      <c r="F77" s="24">
        <v>241</v>
      </c>
      <c r="G77" s="24">
        <v>390</v>
      </c>
      <c r="H77" s="24">
        <v>62</v>
      </c>
      <c r="I77" s="24">
        <v>348</v>
      </c>
      <c r="J77" s="24">
        <v>0.66</v>
      </c>
      <c r="K77" s="24">
        <v>0.14699999999999999</v>
      </c>
      <c r="L77" s="24">
        <v>33</v>
      </c>
      <c r="M77" s="24">
        <v>1.6</v>
      </c>
      <c r="N77" s="25">
        <v>200</v>
      </c>
      <c r="O77" s="7" t="s">
        <v>883</v>
      </c>
      <c r="P77" s="25">
        <v>67</v>
      </c>
      <c r="Q77" s="7" t="s">
        <v>737</v>
      </c>
      <c r="R77" s="7" t="s">
        <v>884</v>
      </c>
      <c r="S77" s="7" t="s">
        <v>711</v>
      </c>
    </row>
    <row r="78" spans="1:19" ht="15" customHeight="1" x14ac:dyDescent="0.25">
      <c r="A78" s="22" t="s">
        <v>651</v>
      </c>
      <c r="B78" s="23" t="s">
        <v>652</v>
      </c>
      <c r="C78" s="24">
        <v>23</v>
      </c>
      <c r="D78" s="24">
        <v>1.6</v>
      </c>
      <c r="E78" s="24">
        <v>24</v>
      </c>
      <c r="F78" s="24">
        <v>264</v>
      </c>
      <c r="G78" s="24">
        <v>414.8</v>
      </c>
      <c r="H78" s="24">
        <v>68</v>
      </c>
      <c r="I78" s="24">
        <v>556</v>
      </c>
      <c r="J78" s="24">
        <v>0.8</v>
      </c>
      <c r="K78" s="24">
        <v>0.155</v>
      </c>
      <c r="L78" s="24">
        <v>64</v>
      </c>
      <c r="M78" s="24">
        <v>3.2</v>
      </c>
      <c r="N78" s="25">
        <v>50</v>
      </c>
      <c r="O78" s="7" t="s">
        <v>875</v>
      </c>
      <c r="P78" s="25">
        <v>25</v>
      </c>
      <c r="Q78" s="7" t="s">
        <v>885</v>
      </c>
      <c r="R78" s="7" t="s">
        <v>886</v>
      </c>
      <c r="S78" s="7" t="s">
        <v>887</v>
      </c>
    </row>
    <row r="79" spans="1:19" ht="15" customHeight="1" x14ac:dyDescent="0.25">
      <c r="A79" s="22" t="s">
        <v>657</v>
      </c>
      <c r="B79" s="23" t="s">
        <v>658</v>
      </c>
      <c r="C79" s="24">
        <v>52</v>
      </c>
      <c r="D79" s="24">
        <v>3.5</v>
      </c>
      <c r="E79" s="24">
        <v>50</v>
      </c>
      <c r="F79" s="24">
        <v>300</v>
      </c>
      <c r="G79" s="24"/>
      <c r="H79" s="24"/>
      <c r="I79" s="24">
        <v>450</v>
      </c>
      <c r="J79" s="24"/>
      <c r="K79" s="24"/>
      <c r="L79" s="24"/>
      <c r="M79" s="24">
        <v>3.5</v>
      </c>
      <c r="N79" s="25">
        <v>150</v>
      </c>
      <c r="O79" s="7" t="s">
        <v>888</v>
      </c>
      <c r="P79" s="25">
        <v>30</v>
      </c>
      <c r="Q79" s="7" t="s">
        <v>737</v>
      </c>
      <c r="R79" s="7" t="s">
        <v>889</v>
      </c>
      <c r="S79" s="7" t="s">
        <v>890</v>
      </c>
    </row>
    <row r="80" spans="1:19" ht="15" customHeight="1" x14ac:dyDescent="0.25">
      <c r="A80" s="22" t="s">
        <v>662</v>
      </c>
      <c r="B80" s="23" t="s">
        <v>663</v>
      </c>
      <c r="C80" s="24">
        <v>44</v>
      </c>
      <c r="D80" s="24">
        <v>6.8</v>
      </c>
      <c r="E80" s="24">
        <v>13.3</v>
      </c>
      <c r="F80" s="24">
        <v>203</v>
      </c>
      <c r="G80" s="24"/>
      <c r="H80" s="24">
        <v>105</v>
      </c>
      <c r="I80" s="24">
        <v>458</v>
      </c>
      <c r="J80" s="24"/>
      <c r="K80" s="24">
        <v>0.158</v>
      </c>
      <c r="L80" s="24">
        <v>63</v>
      </c>
      <c r="M80" s="24">
        <v>11.87</v>
      </c>
      <c r="N80" s="25">
        <v>2</v>
      </c>
      <c r="O80" s="7" t="s">
        <v>891</v>
      </c>
      <c r="P80" s="25">
        <v>25</v>
      </c>
      <c r="Q80" s="7" t="s">
        <v>892</v>
      </c>
      <c r="R80" s="7" t="s">
        <v>893</v>
      </c>
      <c r="S80" s="7" t="s">
        <v>711</v>
      </c>
    </row>
    <row r="81" spans="1:19" ht="15" customHeight="1" x14ac:dyDescent="0.25">
      <c r="A81" s="22" t="s">
        <v>667</v>
      </c>
      <c r="B81" s="23" t="s">
        <v>668</v>
      </c>
      <c r="C81" s="24">
        <v>23</v>
      </c>
      <c r="D81" s="24">
        <v>2.8</v>
      </c>
      <c r="E81" s="24">
        <v>27</v>
      </c>
      <c r="F81" s="24">
        <v>337</v>
      </c>
      <c r="G81" s="24">
        <v>310</v>
      </c>
      <c r="H81" s="24">
        <v>62</v>
      </c>
      <c r="I81" s="24">
        <v>521</v>
      </c>
      <c r="J81" s="24">
        <v>2.5</v>
      </c>
      <c r="K81" s="24">
        <v>0.14899999999999999</v>
      </c>
      <c r="L81" s="24">
        <v>26</v>
      </c>
      <c r="M81" s="24">
        <v>1.77</v>
      </c>
      <c r="N81" s="25">
        <v>50</v>
      </c>
      <c r="O81" s="7" t="s">
        <v>894</v>
      </c>
      <c r="P81" s="25">
        <v>16</v>
      </c>
      <c r="Q81" s="7" t="s">
        <v>885</v>
      </c>
      <c r="R81" s="7" t="s">
        <v>895</v>
      </c>
      <c r="S81" s="7" t="s">
        <v>711</v>
      </c>
    </row>
    <row r="82" spans="1:19" ht="15" customHeight="1" x14ac:dyDescent="0.25">
      <c r="A82" s="22" t="s">
        <v>670</v>
      </c>
      <c r="B82" s="23" t="s">
        <v>671</v>
      </c>
      <c r="C82" s="24">
        <v>36</v>
      </c>
      <c r="D82" s="24">
        <v>3.3</v>
      </c>
      <c r="E82" s="24">
        <v>133</v>
      </c>
      <c r="F82" s="24">
        <v>421</v>
      </c>
      <c r="G82" s="24">
        <v>1640</v>
      </c>
      <c r="H82" s="24">
        <v>152</v>
      </c>
      <c r="I82" s="24">
        <v>554</v>
      </c>
      <c r="J82" s="24">
        <v>0.75</v>
      </c>
      <c r="K82" s="24">
        <v>0.09</v>
      </c>
      <c r="L82" s="24">
        <v>50</v>
      </c>
      <c r="M82" s="24">
        <v>6.2</v>
      </c>
      <c r="N82" s="25">
        <v>60</v>
      </c>
      <c r="O82" s="7" t="s">
        <v>894</v>
      </c>
      <c r="P82" s="25">
        <v>60</v>
      </c>
      <c r="Q82" s="7" t="s">
        <v>737</v>
      </c>
      <c r="R82" s="7" t="s">
        <v>896</v>
      </c>
      <c r="S82" s="7" t="s">
        <v>711</v>
      </c>
    </row>
    <row r="83" spans="1:19" ht="15" customHeight="1" x14ac:dyDescent="0.25">
      <c r="A83" s="22" t="s">
        <v>673</v>
      </c>
      <c r="B83" s="23" t="s">
        <v>674</v>
      </c>
      <c r="C83" s="24">
        <v>23</v>
      </c>
      <c r="D83" s="24">
        <v>1.6</v>
      </c>
      <c r="E83" s="24">
        <v>18</v>
      </c>
      <c r="F83" s="24">
        <v>264</v>
      </c>
      <c r="G83" s="24">
        <v>414.8</v>
      </c>
      <c r="H83" s="24">
        <v>68</v>
      </c>
      <c r="I83" s="24">
        <v>295</v>
      </c>
      <c r="J83" s="24">
        <v>0.8</v>
      </c>
      <c r="K83" s="24">
        <v>0.155</v>
      </c>
      <c r="L83" s="24">
        <v>64</v>
      </c>
      <c r="M83" s="24">
        <v>3.17</v>
      </c>
      <c r="N83" s="25">
        <v>60</v>
      </c>
      <c r="O83" s="7" t="s">
        <v>897</v>
      </c>
      <c r="P83" s="25">
        <v>24</v>
      </c>
      <c r="Q83" s="7" t="s">
        <v>898</v>
      </c>
      <c r="R83" s="7" t="s">
        <v>899</v>
      </c>
      <c r="S83" s="7" t="s">
        <v>711</v>
      </c>
    </row>
    <row r="84" spans="1:19" ht="15" customHeight="1" x14ac:dyDescent="0.25">
      <c r="A84" s="22" t="s">
        <v>680</v>
      </c>
      <c r="B84" s="23" t="s">
        <v>681</v>
      </c>
      <c r="C84" s="24">
        <v>99</v>
      </c>
      <c r="D84" s="24"/>
      <c r="E84" s="24">
        <v>2.6</v>
      </c>
      <c r="F84" s="24">
        <v>0</v>
      </c>
      <c r="G84" s="24"/>
      <c r="H84" s="24">
        <v>75</v>
      </c>
      <c r="I84" s="24">
        <v>723</v>
      </c>
      <c r="J84" s="24"/>
      <c r="K84" s="24">
        <v>0.08</v>
      </c>
      <c r="L84" s="24">
        <v>60</v>
      </c>
      <c r="M84" s="24">
        <v>8.17</v>
      </c>
      <c r="N84" s="25">
        <v>20</v>
      </c>
      <c r="O84" s="7" t="s">
        <v>900</v>
      </c>
      <c r="P84" s="25">
        <v>67</v>
      </c>
      <c r="Q84" s="7" t="s">
        <v>737</v>
      </c>
      <c r="R84" s="7" t="s">
        <v>901</v>
      </c>
      <c r="S84" s="7" t="s">
        <v>711</v>
      </c>
    </row>
    <row r="85" spans="1:19" ht="15" customHeight="1" x14ac:dyDescent="0.25">
      <c r="A85" s="22" t="s">
        <v>683</v>
      </c>
      <c r="B85" s="23" t="s">
        <v>684</v>
      </c>
      <c r="C85" s="24">
        <v>131</v>
      </c>
      <c r="D85" s="24">
        <v>14.1</v>
      </c>
      <c r="E85" s="24">
        <v>21.8</v>
      </c>
      <c r="F85" s="24">
        <v>146</v>
      </c>
      <c r="G85" s="24"/>
      <c r="H85" s="24">
        <v>109</v>
      </c>
      <c r="I85" s="24">
        <v>668</v>
      </c>
      <c r="J85" s="24"/>
      <c r="K85" s="24">
        <v>0.33600000000000002</v>
      </c>
      <c r="L85" s="24">
        <v>91</v>
      </c>
      <c r="M85" s="24">
        <v>6.65</v>
      </c>
      <c r="N85" s="25">
        <v>2</v>
      </c>
      <c r="O85" s="7" t="s">
        <v>902</v>
      </c>
      <c r="P85" s="25">
        <v>27</v>
      </c>
      <c r="Q85" s="7" t="s">
        <v>903</v>
      </c>
      <c r="R85" s="7" t="s">
        <v>904</v>
      </c>
      <c r="S85" s="7" t="s">
        <v>711</v>
      </c>
    </row>
    <row r="86" spans="1:19" ht="15" customHeight="1" x14ac:dyDescent="0.25">
      <c r="A86" s="22"/>
      <c r="B86" s="23"/>
      <c r="C86" s="25"/>
      <c r="D86" s="25"/>
      <c r="E86" s="25"/>
      <c r="F86" s="25"/>
      <c r="G86" s="25"/>
      <c r="H86" s="25"/>
      <c r="I86" s="25"/>
      <c r="J86" s="25"/>
      <c r="K86" s="25"/>
      <c r="L86" s="25"/>
      <c r="M86" s="25"/>
      <c r="N86" s="25"/>
      <c r="O86" s="7"/>
      <c r="P86" s="25"/>
      <c r="Q86" s="7"/>
      <c r="R86" s="7"/>
      <c r="S86" s="7"/>
    </row>
    <row r="87" spans="1:19" ht="15" customHeight="1" x14ac:dyDescent="0.25">
      <c r="A87" s="26" t="s">
        <v>905</v>
      </c>
      <c r="B87" s="23"/>
      <c r="C87" s="25"/>
      <c r="D87" s="25"/>
      <c r="E87" s="25"/>
      <c r="F87" s="25"/>
      <c r="G87" s="25"/>
      <c r="H87" s="25"/>
      <c r="I87" s="25"/>
      <c r="J87" s="25"/>
      <c r="K87" s="25"/>
      <c r="L87" s="25"/>
      <c r="M87" s="25"/>
      <c r="N87" s="25"/>
      <c r="O87" s="7"/>
      <c r="P87" s="25"/>
      <c r="Q87" s="7"/>
      <c r="R87" s="7"/>
      <c r="S87" s="7"/>
    </row>
  </sheetData>
  <autoFilter ref="A1:S85"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B157"/>
  <sheetViews>
    <sheetView workbookViewId="0">
      <pane xSplit="2" ySplit="1" topLeftCell="C2" activePane="bottomRight" state="frozen"/>
      <selection pane="topRight"/>
      <selection pane="bottomLeft"/>
      <selection pane="bottomRight"/>
    </sheetView>
  </sheetViews>
  <sheetFormatPr defaultRowHeight="15" x14ac:dyDescent="0.25"/>
  <cols>
    <col min="1" max="1" width="7" style="1" customWidth="1"/>
    <col min="2" max="2" width="30" style="1" customWidth="1"/>
    <col min="3" max="3" width="16" style="1" customWidth="1"/>
    <col min="4" max="5" width="14" style="1" customWidth="1"/>
    <col min="6" max="6" width="30" style="1" customWidth="1"/>
    <col min="7" max="7" width="18" style="1" customWidth="1"/>
    <col min="8" max="9" width="28" style="1" customWidth="1"/>
    <col min="10" max="10" width="40" style="1" customWidth="1"/>
    <col min="11" max="11" width="34" style="1" customWidth="1"/>
    <col min="12" max="12" width="22" style="1" customWidth="1"/>
    <col min="13" max="13" width="12" style="1" customWidth="1"/>
    <col min="14" max="16" width="7" style="1" customWidth="1"/>
    <col min="17" max="17" width="10" style="1" customWidth="1"/>
    <col min="18" max="18" width="8" style="1" customWidth="1"/>
    <col min="19" max="31" width="9" style="1" customWidth="1"/>
    <col min="32" max="41" width="8" style="1" customWidth="1"/>
    <col min="42" max="42" width="13" style="1" customWidth="1"/>
    <col min="43" max="43" width="44" style="1" customWidth="1"/>
    <col min="44" max="44" width="30" style="1" customWidth="1"/>
    <col min="45" max="45" width="44" style="1" customWidth="1"/>
    <col min="46" max="46" width="30" style="1" customWidth="1"/>
    <col min="47" max="48" width="7" style="1" customWidth="1"/>
    <col min="49" max="49" width="9" style="1" customWidth="1"/>
    <col min="50" max="50" width="8" style="1" customWidth="1"/>
    <col min="51" max="51" width="22" style="1" customWidth="1"/>
    <col min="52" max="52" width="70" style="1" customWidth="1"/>
    <col min="53" max="53" width="36" style="1" customWidth="1"/>
    <col min="54" max="54" width="10" style="1" customWidth="1"/>
  </cols>
  <sheetData>
    <row r="1" spans="1:54" ht="31.5" customHeight="1" x14ac:dyDescent="0.25">
      <c r="A1" s="21" t="s">
        <v>86</v>
      </c>
      <c r="B1" s="21" t="s">
        <v>906</v>
      </c>
      <c r="C1" s="21" t="s">
        <v>88</v>
      </c>
      <c r="D1" s="21" t="s">
        <v>907</v>
      </c>
      <c r="E1" s="21" t="s">
        <v>908</v>
      </c>
      <c r="F1" s="21" t="s">
        <v>909</v>
      </c>
      <c r="G1" s="21" t="s">
        <v>706</v>
      </c>
      <c r="H1" s="21" t="s">
        <v>910</v>
      </c>
      <c r="I1" s="21" t="s">
        <v>911</v>
      </c>
      <c r="J1" s="21" t="s">
        <v>912</v>
      </c>
      <c r="K1" s="21" t="s">
        <v>913</v>
      </c>
      <c r="L1" s="21" t="s">
        <v>914</v>
      </c>
      <c r="M1" s="21" t="s">
        <v>915</v>
      </c>
      <c r="N1" s="21" t="s">
        <v>916</v>
      </c>
      <c r="O1" s="21" t="s">
        <v>917</v>
      </c>
      <c r="P1" s="21" t="s">
        <v>918</v>
      </c>
      <c r="Q1" s="21" t="s">
        <v>919</v>
      </c>
      <c r="R1" s="21" t="s">
        <v>920</v>
      </c>
      <c r="S1" s="21" t="s">
        <v>921</v>
      </c>
      <c r="T1" s="21" t="s">
        <v>922</v>
      </c>
      <c r="U1" s="21" t="s">
        <v>923</v>
      </c>
      <c r="V1" s="21" t="s">
        <v>9</v>
      </c>
      <c r="W1" s="21" t="s">
        <v>11</v>
      </c>
      <c r="X1" s="21" t="s">
        <v>701</v>
      </c>
      <c r="Y1" s="21" t="s">
        <v>15</v>
      </c>
      <c r="Z1" s="21" t="s">
        <v>17</v>
      </c>
      <c r="AA1" s="21" t="s">
        <v>19</v>
      </c>
      <c r="AB1" s="21" t="s">
        <v>21</v>
      </c>
      <c r="AC1" s="21" t="s">
        <v>23</v>
      </c>
      <c r="AD1" s="21" t="s">
        <v>25</v>
      </c>
      <c r="AE1" s="21" t="s">
        <v>27</v>
      </c>
      <c r="AF1" s="21" t="s">
        <v>924</v>
      </c>
      <c r="AG1" s="21" t="s">
        <v>925</v>
      </c>
      <c r="AH1" s="21" t="s">
        <v>926</v>
      </c>
      <c r="AI1" s="21" t="s">
        <v>927</v>
      </c>
      <c r="AJ1" s="21" t="s">
        <v>928</v>
      </c>
      <c r="AK1" s="21" t="s">
        <v>929</v>
      </c>
      <c r="AL1" s="21" t="s">
        <v>930</v>
      </c>
      <c r="AM1" s="21" t="s">
        <v>931</v>
      </c>
      <c r="AN1" s="21" t="s">
        <v>932</v>
      </c>
      <c r="AO1" s="21" t="s">
        <v>933</v>
      </c>
      <c r="AP1" s="21" t="s">
        <v>934</v>
      </c>
      <c r="AQ1" s="21" t="s">
        <v>935</v>
      </c>
      <c r="AR1" s="21" t="s">
        <v>936</v>
      </c>
      <c r="AS1" s="21" t="s">
        <v>937</v>
      </c>
      <c r="AT1" s="21" t="s">
        <v>938</v>
      </c>
      <c r="AU1" s="21" t="s">
        <v>939</v>
      </c>
      <c r="AV1" s="21" t="s">
        <v>940</v>
      </c>
      <c r="AW1" s="21" t="s">
        <v>941</v>
      </c>
      <c r="AX1" s="21" t="s">
        <v>942</v>
      </c>
      <c r="AY1" s="21" t="s">
        <v>943</v>
      </c>
      <c r="AZ1" s="21" t="s">
        <v>944</v>
      </c>
      <c r="BA1" s="21" t="s">
        <v>945</v>
      </c>
      <c r="BB1" s="21" t="s">
        <v>946</v>
      </c>
    </row>
    <row r="2" spans="1:54" ht="96" customHeight="1" x14ac:dyDescent="0.25">
      <c r="A2" s="22" t="s">
        <v>947</v>
      </c>
      <c r="B2" s="23" t="s">
        <v>948</v>
      </c>
      <c r="C2" s="22" t="s">
        <v>949</v>
      </c>
      <c r="D2" s="22" t="s">
        <v>950</v>
      </c>
      <c r="E2" s="22" t="s">
        <v>951</v>
      </c>
      <c r="F2" s="7" t="s">
        <v>952</v>
      </c>
      <c r="G2" s="22" t="s">
        <v>953</v>
      </c>
      <c r="H2" s="27" t="s">
        <v>954</v>
      </c>
      <c r="I2" s="27" t="s">
        <v>955</v>
      </c>
      <c r="J2" s="7" t="s">
        <v>956</v>
      </c>
      <c r="K2" s="7" t="s">
        <v>957</v>
      </c>
      <c r="L2" s="7" t="s">
        <v>580</v>
      </c>
      <c r="M2" s="22" t="s">
        <v>958</v>
      </c>
      <c r="N2" s="28">
        <v>10</v>
      </c>
      <c r="O2" s="28">
        <v>0</v>
      </c>
      <c r="P2" s="28">
        <f t="shared" ref="P2:P33" si="0">N2+O2</f>
        <v>10</v>
      </c>
      <c r="Q2" s="22" t="str">
        <f t="shared" ref="Q2:Q33" si="1">IF(O2=0,"No-cook",IF(P2&lt;=25,"Quick","Standard"))</f>
        <v>No-cook</v>
      </c>
      <c r="R2" s="28">
        <v>2</v>
      </c>
      <c r="S2" s="22">
        <v>380</v>
      </c>
      <c r="T2" s="22">
        <v>14</v>
      </c>
      <c r="U2" s="29">
        <f>SUMIFS('Recipe Ingredients'!$I$2:$I$2500,'Recipe Ingredients'!$A$2:$A$2500,A2)/R2</f>
        <v>186</v>
      </c>
      <c r="V2" s="29">
        <f>SUMIFS('Recipe Ingredients'!$J$2:$J$2500,'Recipe Ingredients'!$A$2:$A$2500,A2)/R2</f>
        <v>4.5600000000000005</v>
      </c>
      <c r="W2" s="29">
        <f>SUMIFS('Recipe Ingredients'!$K$2:$K$2500,'Recipe Ingredients'!$A$2:$A$2500,A2)/R2</f>
        <v>66.552000000000007</v>
      </c>
      <c r="X2" s="29">
        <f>SUMIFS('Recipe Ingredients'!$L$2:$L$2500,'Recipe Ingredients'!$A$2:$A$2500,A2)/R2</f>
        <v>102.24</v>
      </c>
      <c r="Y2" s="29">
        <f>SUMIFS('Recipe Ingredients'!$M$2:$M$2500,'Recipe Ingredients'!$A$2:$A$2500,A2)/R2</f>
        <v>7.1820000000000004</v>
      </c>
      <c r="Z2" s="29">
        <f>SUMIFS('Recipe Ingredients'!$N$2:$N$2500,'Recipe Ingredients'!$A$2:$A$2500,A2)/R2</f>
        <v>74.759999999999991</v>
      </c>
      <c r="AA2" s="29">
        <f>SUMIFS('Recipe Ingredients'!$O$2:$O$2500,'Recipe Ingredients'!$A$2:$A$2500,A2)/R2</f>
        <v>344.88</v>
      </c>
      <c r="AB2" s="30">
        <f>SUMIFS('Recipe Ingredients'!$P$2:$P$2500,'Recipe Ingredients'!$A$2:$A$2500,A2)/R2</f>
        <v>1.5156000000000003</v>
      </c>
      <c r="AC2" s="30">
        <f>SUMIFS('Recipe Ingredients'!$Q$2:$Q$2500,'Recipe Ingredients'!$A$2:$A$2500,A2)/R2</f>
        <v>0.21792</v>
      </c>
      <c r="AD2" s="29">
        <f>SUMIFS('Recipe Ingredients'!$R$2:$R$2500,'Recipe Ingredients'!$A$2:$A$2500,A2)/R2</f>
        <v>22.02</v>
      </c>
      <c r="AE2" s="30">
        <f>SUMIFS('Recipe Ingredients'!$S$2:$S$2500,'Recipe Ingredients'!$A$2:$A$2500,A2)/R2</f>
        <v>0.55679999999999996</v>
      </c>
      <c r="AF2" s="31">
        <f>IFERROR(V2/'Start Here'!$C$10,0)</f>
        <v>0.18240000000000001</v>
      </c>
      <c r="AG2" s="31">
        <f>IFERROR(W2/'Start Here'!$C$11,0)</f>
        <v>0.83190000000000008</v>
      </c>
      <c r="AH2" s="31">
        <f>IFERROR(X2/'Start Here'!$C$12,0)</f>
        <v>0.1278</v>
      </c>
      <c r="AI2" s="31">
        <f>IFERROR(Y2/'Start Here'!$C$13,0)</f>
        <v>9.5760000000000012E-2</v>
      </c>
      <c r="AJ2" s="31">
        <f>IFERROR(Z2/'Start Here'!$C$14,0)</f>
        <v>0.37379999999999997</v>
      </c>
      <c r="AK2" s="31">
        <f>IFERROR(AA2/'Start Here'!$C$15,0)</f>
        <v>0.17244000000000001</v>
      </c>
      <c r="AL2" s="31">
        <f>IFERROR(AB2/'Start Here'!$C$16,0)</f>
        <v>0.12630000000000002</v>
      </c>
      <c r="AM2" s="31">
        <f>IFERROR(AC2/'Start Here'!$C$17,0)</f>
        <v>0.15565714285714286</v>
      </c>
      <c r="AN2" s="31">
        <f>IFERROR(AD2/'Start Here'!$C$18,0)</f>
        <v>5.8720000000000001E-2</v>
      </c>
      <c r="AO2" s="31">
        <f>IFERROR(AE2/'Start Here'!$C$19,0)</f>
        <v>3.9771428571428569E-2</v>
      </c>
      <c r="AP2" s="22" t="str">
        <f t="shared" ref="AP2:AP33" si="2">IFERROR(SUBSTITUTE(INDEX($AF$1:$AO$1,MATCH(MAX(AF2:AO2),AF2:AO2,0))," % daily",""),"")</f>
        <v>Vitamin C</v>
      </c>
      <c r="AQ2" s="7" t="str">
        <f t="shared" ref="AQ2:AQ33" si="3">IF(MAX(AF2:AO2)&gt;=0.15,"Best for better "&amp;IF(LEFT(AP2,7)="Vitamin","vitamin "&amp;MID(AP2,9,3),LOWER(AP2))&amp;" intake: one serving gives about "&amp;TEXT(MAX(AF2:AO2),"0%")&amp;" of your daily "&amp;IF(LEFT(AP2,7)="Vitamin","vitamin "&amp;MID(AP2,9,3),LOWER(AP2))&amp;" from the produce alone.","A lighter plate: top nutrient is "&amp;IF(LEFT(AP2,7)="Vitamin","vitamin "&amp;MID(AP2,9,3),LOWER(AP2))&amp;" at about "&amp;TEXT(MAX(AF2:AO2),"0%")&amp;" of a day.")</f>
        <v>Best for better vitamin C intake: one serving gives about 83% of your daily vitamin C from the produce alone.</v>
      </c>
      <c r="AR2" s="7" t="str">
        <f t="shared" ref="AR2:AR33" si="4">IF(LEN(IF(AND(AF2&gt;=0.25,"Fibre"&lt;&gt;AP2),"Fibre ("&amp;TEXT(AF2,"0%")&amp;")|","")&amp;IF(AND(AG2&gt;=0.25,"Vitamin C"&lt;&gt;AP2),"Vitamin C ("&amp;TEXT(AG2,"0%")&amp;")|","")&amp;IF(AND(AH2&gt;=0.25,"Vitamin A"&lt;&gt;AP2),"Vitamin A ("&amp;TEXT(AH2,"0%")&amp;")|","")&amp;IF(AND(AI2&gt;=0.25,"Vitamin K"&lt;&gt;AP2),"Vitamin K ("&amp;TEXT(AI2,"0%")&amp;")|","")&amp;IF(AND(AJ2&gt;=0.25,"Folate"&lt;&gt;AP2),"Folate ("&amp;TEXT(AJ2,"0%")&amp;")|","")&amp;IF(AND(AK2&gt;=0.25,"Potassium"&lt;&gt;AP2),"Potassium ("&amp;TEXT(AK2,"0%")&amp;")|","")&amp;IF(AND(AL2&gt;=0.25,"Vitamin E"&lt;&gt;AP2),"Vitamin E ("&amp;TEXT(AL2,"0%")&amp;")|","")&amp;IF(AND(AM2&gt;=0.25,"Vitamin B6"&lt;&gt;AP2),"Vitamin B6 ("&amp;TEXT(AM2,"0%")&amp;")|","")&amp;IF(AND(AN2&gt;=0.25,"Magnesium"&lt;&gt;AP2),"Magnesium ("&amp;TEXT(AN2,"0%")&amp;")|","")&amp;IF(AND(AO2&gt;=0.25,"Iron"&lt;&gt;AP2),"Iron ("&amp;TEXT(AO2,"0%")&amp;")|",""))=0,"",SUBSTITUTE(LEFT(IF(AND(AF2&gt;=0.25,"Fibre"&lt;&gt;AP2),"Fibre ("&amp;TEXT(AF2,"0%")&amp;")|","")&amp;IF(AND(AG2&gt;=0.25,"Vitamin C"&lt;&gt;AP2),"Vitamin C ("&amp;TEXT(AG2,"0%")&amp;")|","")&amp;IF(AND(AH2&gt;=0.25,"Vitamin A"&lt;&gt;AP2),"Vitamin A ("&amp;TEXT(AH2,"0%")&amp;")|","")&amp;IF(AND(AI2&gt;=0.25,"Vitamin K"&lt;&gt;AP2),"Vitamin K ("&amp;TEXT(AI2,"0%")&amp;")|","")&amp;IF(AND(AJ2&gt;=0.25,"Folate"&lt;&gt;AP2),"Folate ("&amp;TEXT(AJ2,"0%")&amp;")|","")&amp;IF(AND(AK2&gt;=0.25,"Potassium"&lt;&gt;AP2),"Potassium ("&amp;TEXT(AK2,"0%")&amp;")|","")&amp;IF(AND(AL2&gt;=0.25,"Vitamin E"&lt;&gt;AP2),"Vitamin E ("&amp;TEXT(AL2,"0%")&amp;")|","")&amp;IF(AND(AM2&gt;=0.25,"Vitamin B6"&lt;&gt;AP2),"Vitamin B6 ("&amp;TEXT(AM2,"0%")&amp;")|","")&amp;IF(AND(AN2&gt;=0.25,"Magnesium"&lt;&gt;AP2),"Magnesium ("&amp;TEXT(AN2,"0%")&amp;")|","")&amp;IF(AND(AO2&gt;=0.25,"Iron"&lt;&gt;AP2),"Iron ("&amp;TEXT(AO2,"0%")&amp;")|",""),LEN(IF(AND(AF2&gt;=0.25,"Fibre"&lt;&gt;AP2),"Fibre ("&amp;TEXT(AF2,"0%")&amp;")|","")&amp;IF(AND(AG2&gt;=0.25,"Vitamin C"&lt;&gt;AP2),"Vitamin C ("&amp;TEXT(AG2,"0%")&amp;")|","")&amp;IF(AND(AH2&gt;=0.25,"Vitamin A"&lt;&gt;AP2),"Vitamin A ("&amp;TEXT(AH2,"0%")&amp;")|","")&amp;IF(AND(AI2&gt;=0.25,"Vitamin K"&lt;&gt;AP2),"Vitamin K ("&amp;TEXT(AI2,"0%")&amp;")|","")&amp;IF(AND(AJ2&gt;=0.25,"Folate"&lt;&gt;AP2),"Folate ("&amp;TEXT(AJ2,"0%")&amp;")|","")&amp;IF(AND(AK2&gt;=0.25,"Potassium"&lt;&gt;AP2),"Potassium ("&amp;TEXT(AK2,"0%")&amp;")|","")&amp;IF(AND(AL2&gt;=0.25,"Vitamin E"&lt;&gt;AP2),"Vitamin E ("&amp;TEXT(AL2,"0%")&amp;")|","")&amp;IF(AND(AM2&gt;=0.25,"Vitamin B6"&lt;&gt;AP2),"Vitamin B6 ("&amp;TEXT(AM2,"0%")&amp;")|","")&amp;IF(AND(AN2&gt;=0.25,"Magnesium"&lt;&gt;AP2),"Magnesium ("&amp;TEXT(AN2,"0%")&amp;")|","")&amp;IF(AND(AO2&gt;=0.25,"Iron"&lt;&gt;AP2),"Iron ("&amp;TEXT(AO2,"0%")&amp;")|",""))-1),"|",", "))</f>
        <v>Folate (37%)</v>
      </c>
      <c r="AS2" s="7" t="s">
        <v>959</v>
      </c>
      <c r="AT2" s="7" t="s">
        <v>960</v>
      </c>
      <c r="AU2" s="28">
        <f>COUNTIFS('Recipe Ingredients'!$A$2:$A$2500,A2,'Recipe Ingredients'!$G$2:$G$2500,"Basket")</f>
        <v>2</v>
      </c>
      <c r="AV2" s="28">
        <f>COUNTIFS('Recipe Ingredients'!$A$2:$A$2500,A2,'Recipe Ingredients'!$G$2:$G$2500,"Protein")+COUNTIFS('Recipe Ingredients'!$A$2:$A$2500,A2,'Recipe Ingredients'!$G$2:$G$2500,"Pantry")</f>
        <v>5</v>
      </c>
      <c r="AW2" s="31">
        <f t="shared" ref="AW2:AW33" si="5">IFERROR(AU2/(AU2+AV2),0)</f>
        <v>0.2857142857142857</v>
      </c>
      <c r="AX2" s="28" t="str">
        <f>IF(AW2&gt;='Start Here'!$C$6,"Yes","No")</f>
        <v>No</v>
      </c>
      <c r="AY2" s="7" t="s">
        <v>961</v>
      </c>
      <c r="AZ2" s="7" t="s">
        <v>962</v>
      </c>
      <c r="BA2" s="7" t="s">
        <v>963</v>
      </c>
      <c r="BB2" s="32" t="s">
        <v>964</v>
      </c>
    </row>
    <row r="3" spans="1:54" ht="96" customHeight="1" x14ac:dyDescent="0.25">
      <c r="A3" s="22" t="s">
        <v>965</v>
      </c>
      <c r="B3" s="23" t="s">
        <v>966</v>
      </c>
      <c r="C3" s="22" t="s">
        <v>949</v>
      </c>
      <c r="D3" s="22" t="s">
        <v>967</v>
      </c>
      <c r="E3" s="22" t="s">
        <v>951</v>
      </c>
      <c r="F3" s="7" t="s">
        <v>968</v>
      </c>
      <c r="G3" s="22" t="s">
        <v>969</v>
      </c>
      <c r="H3" s="27" t="s">
        <v>970</v>
      </c>
      <c r="I3" s="27" t="s">
        <v>971</v>
      </c>
      <c r="J3" s="7" t="s">
        <v>972</v>
      </c>
      <c r="K3" s="7" t="s">
        <v>973</v>
      </c>
      <c r="L3" s="7" t="s">
        <v>974</v>
      </c>
      <c r="M3" s="22" t="s">
        <v>958</v>
      </c>
      <c r="N3" s="28">
        <v>5</v>
      </c>
      <c r="O3" s="28">
        <v>0</v>
      </c>
      <c r="P3" s="28">
        <f t="shared" si="0"/>
        <v>5</v>
      </c>
      <c r="Q3" s="22" t="str">
        <f t="shared" si="1"/>
        <v>No-cook</v>
      </c>
      <c r="R3" s="28">
        <v>2</v>
      </c>
      <c r="S3" s="22">
        <v>320</v>
      </c>
      <c r="T3" s="22">
        <v>12</v>
      </c>
      <c r="U3" s="29">
        <f>SUMIFS('Recipe Ingredients'!$I$2:$I$2500,'Recipe Ingredients'!$A$2:$A$2500,A3)/R3</f>
        <v>219.5</v>
      </c>
      <c r="V3" s="29">
        <f>SUMIFS('Recipe Ingredients'!$J$2:$J$2500,'Recipe Ingredients'!$A$2:$A$2500,A3)/R3</f>
        <v>4.4870000000000001</v>
      </c>
      <c r="W3" s="29">
        <f>SUMIFS('Recipe Ingredients'!$K$2:$K$2500,'Recipe Ingredients'!$A$2:$A$2500,A3)/R3</f>
        <v>113.084</v>
      </c>
      <c r="X3" s="29">
        <f>SUMIFS('Recipe Ingredients'!$L$2:$L$2500,'Recipe Ingredients'!$A$2:$A$2500,A3)/R3</f>
        <v>66.525000000000006</v>
      </c>
      <c r="Y3" s="29">
        <f>SUMIFS('Recipe Ingredients'!$M$2:$M$2500,'Recipe Ingredients'!$A$2:$A$2500,A3)/R3</f>
        <v>4.0629999999999997</v>
      </c>
      <c r="Z3" s="29">
        <f>SUMIFS('Recipe Ingredients'!$N$2:$N$2500,'Recipe Ingredients'!$A$2:$A$2500,A3)/R3</f>
        <v>78.935000000000002</v>
      </c>
      <c r="AA3" s="29">
        <f>SUMIFS('Recipe Ingredients'!$O$2:$O$2500,'Recipe Ingredients'!$A$2:$A$2500,A3)/R3</f>
        <v>381.98500000000001</v>
      </c>
      <c r="AB3" s="30">
        <f>SUMIFS('Recipe Ingredients'!$P$2:$P$2500,'Recipe Ingredients'!$A$2:$A$2500,A3)/R3</f>
        <v>1.1191499999999999</v>
      </c>
      <c r="AC3" s="30">
        <f>SUMIFS('Recipe Ingredients'!$Q$2:$Q$2500,'Recipe Ingredients'!$A$2:$A$2500,A3)/R3</f>
        <v>0.13867499999999999</v>
      </c>
      <c r="AD3" s="29">
        <f>SUMIFS('Recipe Ingredients'!$R$2:$R$2500,'Recipe Ingredients'!$A$2:$A$2500,A3)/R3</f>
        <v>48.405000000000001</v>
      </c>
      <c r="AE3" s="30">
        <f>SUMIFS('Recipe Ingredients'!$S$2:$S$2500,'Recipe Ingredients'!$A$2:$A$2500,A3)/R3</f>
        <v>1.00715</v>
      </c>
      <c r="AF3" s="31">
        <f>IFERROR(V3/'Start Here'!$C$10,0)</f>
        <v>0.17948</v>
      </c>
      <c r="AG3" s="31">
        <f>IFERROR(W3/'Start Here'!$C$11,0)</f>
        <v>1.4135500000000001</v>
      </c>
      <c r="AH3" s="31">
        <f>IFERROR(X3/'Start Here'!$C$12,0)</f>
        <v>8.3156250000000001E-2</v>
      </c>
      <c r="AI3" s="31">
        <f>IFERROR(Y3/'Start Here'!$C$13,0)</f>
        <v>5.417333333333333E-2</v>
      </c>
      <c r="AJ3" s="31">
        <f>IFERROR(Z3/'Start Here'!$C$14,0)</f>
        <v>0.394675</v>
      </c>
      <c r="AK3" s="31">
        <f>IFERROR(AA3/'Start Here'!$C$15,0)</f>
        <v>0.19099250000000001</v>
      </c>
      <c r="AL3" s="31">
        <f>IFERROR(AB3/'Start Here'!$C$16,0)</f>
        <v>9.3262499999999984E-2</v>
      </c>
      <c r="AM3" s="31">
        <f>IFERROR(AC3/'Start Here'!$C$17,0)</f>
        <v>9.9053571428571435E-2</v>
      </c>
      <c r="AN3" s="31">
        <f>IFERROR(AD3/'Start Here'!$C$18,0)</f>
        <v>0.12908</v>
      </c>
      <c r="AO3" s="31">
        <f>IFERROR(AE3/'Start Here'!$C$19,0)</f>
        <v>7.1939285714285719E-2</v>
      </c>
      <c r="AP3" s="22" t="str">
        <f t="shared" si="2"/>
        <v>Vitamin C</v>
      </c>
      <c r="AQ3" s="7" t="str">
        <f t="shared" si="3"/>
        <v>Best for better vitamin C intake: one serving gives about 141% of your daily vitamin C from the produce alone.</v>
      </c>
      <c r="AR3" s="7" t="str">
        <f t="shared" si="4"/>
        <v>Folate (39%)</v>
      </c>
      <c r="AS3" s="7" t="s">
        <v>975</v>
      </c>
      <c r="AT3" s="7" t="s">
        <v>976</v>
      </c>
      <c r="AU3" s="28">
        <f>COUNTIFS('Recipe Ingredients'!$A$2:$A$2500,A3,'Recipe Ingredients'!$G$2:$G$2500,"Basket")</f>
        <v>4</v>
      </c>
      <c r="AV3" s="28">
        <f>COUNTIFS('Recipe Ingredients'!$A$2:$A$2500,A3,'Recipe Ingredients'!$G$2:$G$2500,"Protein")+COUNTIFS('Recipe Ingredients'!$A$2:$A$2500,A3,'Recipe Ingredients'!$G$2:$G$2500,"Pantry")</f>
        <v>3</v>
      </c>
      <c r="AW3" s="31">
        <f t="shared" si="5"/>
        <v>0.5714285714285714</v>
      </c>
      <c r="AX3" s="28" t="str">
        <f>IF(AW3&gt;='Start Here'!$C$6,"Yes","No")</f>
        <v>No</v>
      </c>
      <c r="AY3" s="7" t="s">
        <v>115</v>
      </c>
      <c r="AZ3" s="7" t="s">
        <v>977</v>
      </c>
      <c r="BA3" s="7"/>
      <c r="BB3" s="32" t="s">
        <v>964</v>
      </c>
    </row>
    <row r="4" spans="1:54" ht="96" customHeight="1" x14ac:dyDescent="0.25">
      <c r="A4" s="22" t="s">
        <v>978</v>
      </c>
      <c r="B4" s="23" t="s">
        <v>979</v>
      </c>
      <c r="C4" s="22" t="s">
        <v>949</v>
      </c>
      <c r="D4" s="22" t="s">
        <v>980</v>
      </c>
      <c r="E4" s="22" t="s">
        <v>951</v>
      </c>
      <c r="F4" s="7" t="s">
        <v>981</v>
      </c>
      <c r="G4" s="22" t="s">
        <v>953</v>
      </c>
      <c r="H4" s="27" t="s">
        <v>982</v>
      </c>
      <c r="I4" s="27" t="s">
        <v>983</v>
      </c>
      <c r="J4" s="7" t="s">
        <v>984</v>
      </c>
      <c r="K4" s="7" t="s">
        <v>985</v>
      </c>
      <c r="L4" s="7" t="s">
        <v>620</v>
      </c>
      <c r="M4" s="22" t="s">
        <v>958</v>
      </c>
      <c r="N4" s="28">
        <v>10</v>
      </c>
      <c r="O4" s="28">
        <v>15</v>
      </c>
      <c r="P4" s="28">
        <f t="shared" si="0"/>
        <v>25</v>
      </c>
      <c r="Q4" s="22" t="str">
        <f t="shared" si="1"/>
        <v>Quick</v>
      </c>
      <c r="R4" s="28">
        <v>2</v>
      </c>
      <c r="S4" s="22">
        <v>360</v>
      </c>
      <c r="T4" s="22">
        <v>15</v>
      </c>
      <c r="U4" s="29">
        <f>SUMIFS('Recipe Ingredients'!$I$2:$I$2500,'Recipe Ingredients'!$A$2:$A$2500,A4)/R4</f>
        <v>217.5</v>
      </c>
      <c r="V4" s="29">
        <f>SUMIFS('Recipe Ingredients'!$J$2:$J$2500,'Recipe Ingredients'!$A$2:$A$2500,A4)/R4</f>
        <v>4.6989999999999998</v>
      </c>
      <c r="W4" s="29">
        <f>SUMIFS('Recipe Ingredients'!$K$2:$K$2500,'Recipe Ingredients'!$A$2:$A$2500,A4)/R4</f>
        <v>54.647999999999996</v>
      </c>
      <c r="X4" s="29">
        <f>SUMIFS('Recipe Ingredients'!$L$2:$L$2500,'Recipe Ingredients'!$A$2:$A$2500,A4)/R4</f>
        <v>6.3550000000000004</v>
      </c>
      <c r="Y4" s="29">
        <f>SUMIFS('Recipe Ingredients'!$M$2:$M$2500,'Recipe Ingredients'!$A$2:$A$2500,A4)/R4</f>
        <v>1.2695000000000001</v>
      </c>
      <c r="Z4" s="29">
        <f>SUMIFS('Recipe Ingredients'!$N$2:$N$2500,'Recipe Ingredients'!$A$2:$A$2500,A4)/R4</f>
        <v>39.81</v>
      </c>
      <c r="AA4" s="29">
        <f>SUMIFS('Recipe Ingredients'!$O$2:$O$2500,'Recipe Ingredients'!$A$2:$A$2500,A4)/R4</f>
        <v>529.70500000000004</v>
      </c>
      <c r="AB4" s="30">
        <f>SUMIFS('Recipe Ingredients'!$P$2:$P$2500,'Recipe Ingredients'!$A$2:$A$2500,A4)/R4</f>
        <v>0.1719</v>
      </c>
      <c r="AC4" s="30">
        <f>SUMIFS('Recipe Ingredients'!$Q$2:$Q$2500,'Recipe Ingredients'!$A$2:$A$2500,A4)/R4</f>
        <v>0.53277000000000008</v>
      </c>
      <c r="AD4" s="29">
        <f>SUMIFS('Recipe Ingredients'!$R$2:$R$2500,'Recipe Ingredients'!$A$2:$A$2500,A4)/R4</f>
        <v>42.78</v>
      </c>
      <c r="AE4" s="30">
        <f>SUMIFS('Recipe Ingredients'!$S$2:$S$2500,'Recipe Ingredients'!$A$2:$A$2500,A4)/R4</f>
        <v>0.6480499999999999</v>
      </c>
      <c r="AF4" s="31">
        <f>IFERROR(V4/'Start Here'!$C$10,0)</f>
        <v>0.18795999999999999</v>
      </c>
      <c r="AG4" s="31">
        <f>IFERROR(W4/'Start Here'!$C$11,0)</f>
        <v>0.68309999999999993</v>
      </c>
      <c r="AH4" s="31">
        <f>IFERROR(X4/'Start Here'!$C$12,0)</f>
        <v>7.9437500000000012E-3</v>
      </c>
      <c r="AI4" s="31">
        <f>IFERROR(Y4/'Start Here'!$C$13,0)</f>
        <v>1.6926666666666666E-2</v>
      </c>
      <c r="AJ4" s="31">
        <f>IFERROR(Z4/'Start Here'!$C$14,0)</f>
        <v>0.19905</v>
      </c>
      <c r="AK4" s="31">
        <f>IFERROR(AA4/'Start Here'!$C$15,0)</f>
        <v>0.26485250000000005</v>
      </c>
      <c r="AL4" s="31">
        <f>IFERROR(AB4/'Start Here'!$C$16,0)</f>
        <v>1.4324999999999999E-2</v>
      </c>
      <c r="AM4" s="31">
        <f>IFERROR(AC4/'Start Here'!$C$17,0)</f>
        <v>0.38055000000000005</v>
      </c>
      <c r="AN4" s="31">
        <f>IFERROR(AD4/'Start Here'!$C$18,0)</f>
        <v>0.11408</v>
      </c>
      <c r="AO4" s="31">
        <f>IFERROR(AE4/'Start Here'!$C$19,0)</f>
        <v>4.6289285714285706E-2</v>
      </c>
      <c r="AP4" s="22" t="str">
        <f t="shared" si="2"/>
        <v>Vitamin C</v>
      </c>
      <c r="AQ4" s="7" t="str">
        <f t="shared" si="3"/>
        <v>Best for better vitamin C intake: one serving gives about 68% of your daily vitamin C from the produce alone.</v>
      </c>
      <c r="AR4" s="7" t="str">
        <f t="shared" si="4"/>
        <v>Potassium (26%), Vitamin B6 (38%)</v>
      </c>
      <c r="AS4" s="7" t="s">
        <v>986</v>
      </c>
      <c r="AT4" s="7" t="s">
        <v>987</v>
      </c>
      <c r="AU4" s="28">
        <f>COUNTIFS('Recipe Ingredients'!$A$2:$A$2500,A4,'Recipe Ingredients'!$G$2:$G$2500,"Basket")</f>
        <v>3</v>
      </c>
      <c r="AV4" s="28">
        <f>COUNTIFS('Recipe Ingredients'!$A$2:$A$2500,A4,'Recipe Ingredients'!$G$2:$G$2500,"Protein")+COUNTIFS('Recipe Ingredients'!$A$2:$A$2500,A4,'Recipe Ingredients'!$G$2:$G$2500,"Pantry")</f>
        <v>3</v>
      </c>
      <c r="AW4" s="31">
        <f t="shared" si="5"/>
        <v>0.5</v>
      </c>
      <c r="AX4" s="28" t="str">
        <f>IF(AW4&gt;='Start Here'!$C$6,"Yes","No")</f>
        <v>No</v>
      </c>
      <c r="AY4" s="7" t="s">
        <v>115</v>
      </c>
      <c r="AZ4" s="7" t="s">
        <v>988</v>
      </c>
      <c r="BA4" s="7"/>
      <c r="BB4" s="32" t="s">
        <v>964</v>
      </c>
    </row>
    <row r="5" spans="1:54" ht="96" customHeight="1" x14ac:dyDescent="0.25">
      <c r="A5" s="22" t="s">
        <v>989</v>
      </c>
      <c r="B5" s="23" t="s">
        <v>990</v>
      </c>
      <c r="C5" s="22" t="s">
        <v>949</v>
      </c>
      <c r="D5" s="22" t="s">
        <v>991</v>
      </c>
      <c r="E5" s="22" t="s">
        <v>992</v>
      </c>
      <c r="F5" s="7" t="s">
        <v>993</v>
      </c>
      <c r="G5" s="22" t="s">
        <v>953</v>
      </c>
      <c r="H5" s="27" t="s">
        <v>994</v>
      </c>
      <c r="I5" s="27" t="s">
        <v>995</v>
      </c>
      <c r="J5" s="7" t="s">
        <v>996</v>
      </c>
      <c r="K5" s="7" t="s">
        <v>997</v>
      </c>
      <c r="L5" s="7" t="s">
        <v>580</v>
      </c>
      <c r="M5" s="22" t="s">
        <v>958</v>
      </c>
      <c r="N5" s="28">
        <v>10</v>
      </c>
      <c r="O5" s="28">
        <v>20</v>
      </c>
      <c r="P5" s="28">
        <f t="shared" si="0"/>
        <v>30</v>
      </c>
      <c r="Q5" s="22" t="str">
        <f t="shared" si="1"/>
        <v>Standard</v>
      </c>
      <c r="R5" s="28">
        <v>2</v>
      </c>
      <c r="S5" s="22">
        <v>330</v>
      </c>
      <c r="T5" s="22">
        <v>17</v>
      </c>
      <c r="U5" s="29">
        <f>SUMIFS('Recipe Ingredients'!$I$2:$I$2500,'Recipe Ingredients'!$A$2:$A$2500,A5)/R5</f>
        <v>317.5</v>
      </c>
      <c r="V5" s="29">
        <f>SUMIFS('Recipe Ingredients'!$J$2:$J$2500,'Recipe Ingredients'!$A$2:$A$2500,A5)/R5</f>
        <v>5.3025000000000002</v>
      </c>
      <c r="W5" s="29">
        <f>SUMIFS('Recipe Ingredients'!$K$2:$K$2500,'Recipe Ingredients'!$A$2:$A$2500,A5)/R5</f>
        <v>183.61150000000004</v>
      </c>
      <c r="X5" s="29">
        <f>SUMIFS('Recipe Ingredients'!$L$2:$L$2500,'Recipe Ingredients'!$A$2:$A$2500,A5)/R5</f>
        <v>260.55</v>
      </c>
      <c r="Y5" s="29">
        <f>SUMIFS('Recipe Ingredients'!$M$2:$M$2500,'Recipe Ingredients'!$A$2:$A$2500,A5)/R5</f>
        <v>175.84799999999998</v>
      </c>
      <c r="Z5" s="29">
        <f>SUMIFS('Recipe Ingredients'!$N$2:$N$2500,'Recipe Ingredients'!$A$2:$A$2500,A5)/R5</f>
        <v>96.355000000000018</v>
      </c>
      <c r="AA5" s="29">
        <f>SUMIFS('Recipe Ingredients'!$O$2:$O$2500,'Recipe Ingredients'!$A$2:$A$2500,A5)/R5</f>
        <v>730.88999999999987</v>
      </c>
      <c r="AB5" s="30">
        <f>SUMIFS('Recipe Ingredients'!$P$2:$P$2500,'Recipe Ingredients'!$A$2:$A$2500,A5)/R5</f>
        <v>2.5804500000000008</v>
      </c>
      <c r="AC5" s="30">
        <f>SUMIFS('Recipe Ingredients'!$Q$2:$Q$2500,'Recipe Ingredients'!$A$2:$A$2500,A5)/R5</f>
        <v>0.58807000000000009</v>
      </c>
      <c r="AD5" s="29">
        <f>SUMIFS('Recipe Ingredients'!$R$2:$R$2500,'Recipe Ingredients'!$A$2:$A$2500,A5)/R5</f>
        <v>42.445000000000007</v>
      </c>
      <c r="AE5" s="30">
        <f>SUMIFS('Recipe Ingredients'!$S$2:$S$2500,'Recipe Ingredients'!$A$2:$A$2500,A5)/R5</f>
        <v>1.36355</v>
      </c>
      <c r="AF5" s="31">
        <f>IFERROR(V5/'Start Here'!$C$10,0)</f>
        <v>0.21210000000000001</v>
      </c>
      <c r="AG5" s="31">
        <f>IFERROR(W5/'Start Here'!$C$11,0)</f>
        <v>2.2951437500000003</v>
      </c>
      <c r="AH5" s="31">
        <f>IFERROR(X5/'Start Here'!$C$12,0)</f>
        <v>0.32568750000000002</v>
      </c>
      <c r="AI5" s="31">
        <f>IFERROR(Y5/'Start Here'!$C$13,0)</f>
        <v>2.3446399999999996</v>
      </c>
      <c r="AJ5" s="31">
        <f>IFERROR(Z5/'Start Here'!$C$14,0)</f>
        <v>0.48177500000000006</v>
      </c>
      <c r="AK5" s="31">
        <f>IFERROR(AA5/'Start Here'!$C$15,0)</f>
        <v>0.36544499999999991</v>
      </c>
      <c r="AL5" s="31">
        <f>IFERROR(AB5/'Start Here'!$C$16,0)</f>
        <v>0.21503750000000008</v>
      </c>
      <c r="AM5" s="31">
        <f>IFERROR(AC5/'Start Here'!$C$17,0)</f>
        <v>0.42005000000000009</v>
      </c>
      <c r="AN5" s="31">
        <f>IFERROR(AD5/'Start Here'!$C$18,0)</f>
        <v>0.11318666666666669</v>
      </c>
      <c r="AO5" s="31">
        <f>IFERROR(AE5/'Start Here'!$C$19,0)</f>
        <v>9.7396428571428578E-2</v>
      </c>
      <c r="AP5" s="22" t="str">
        <f t="shared" si="2"/>
        <v>Vitamin K</v>
      </c>
      <c r="AQ5" s="7" t="str">
        <f t="shared" si="3"/>
        <v>Best for better vitamin K intake: one serving gives about 234% of your daily vitamin K from the produce alone.</v>
      </c>
      <c r="AR5" s="7" t="str">
        <f t="shared" si="4"/>
        <v>Vitamin C (230%), Vitamin A (33%), Folate (48%), Potassium (37%), Vitamin B6 (42%)</v>
      </c>
      <c r="AS5" s="7" t="s">
        <v>998</v>
      </c>
      <c r="AT5" s="7" t="s">
        <v>999</v>
      </c>
      <c r="AU5" s="28">
        <f>COUNTIFS('Recipe Ingredients'!$A$2:$A$2500,A5,'Recipe Ingredients'!$G$2:$G$2500,"Basket")</f>
        <v>6</v>
      </c>
      <c r="AV5" s="28">
        <f>COUNTIFS('Recipe Ingredients'!$A$2:$A$2500,A5,'Recipe Ingredients'!$G$2:$G$2500,"Protein")+COUNTIFS('Recipe Ingredients'!$A$2:$A$2500,A5,'Recipe Ingredients'!$G$2:$G$2500,"Pantry")</f>
        <v>3</v>
      </c>
      <c r="AW5" s="31">
        <f t="shared" si="5"/>
        <v>0.66666666666666663</v>
      </c>
      <c r="AX5" s="28" t="str">
        <f>IF(AW5&gt;='Start Here'!$C$6,"Yes","No")</f>
        <v>No</v>
      </c>
      <c r="AY5" s="7" t="s">
        <v>115</v>
      </c>
      <c r="AZ5" s="7" t="s">
        <v>1000</v>
      </c>
      <c r="BA5" s="7"/>
      <c r="BB5" s="32" t="s">
        <v>964</v>
      </c>
    </row>
    <row r="6" spans="1:54" ht="96" customHeight="1" x14ac:dyDescent="0.25">
      <c r="A6" s="22" t="s">
        <v>1001</v>
      </c>
      <c r="B6" s="23" t="s">
        <v>1002</v>
      </c>
      <c r="C6" s="22" t="s">
        <v>949</v>
      </c>
      <c r="D6" s="22" t="s">
        <v>1003</v>
      </c>
      <c r="E6" s="22" t="s">
        <v>951</v>
      </c>
      <c r="F6" s="7" t="s">
        <v>1004</v>
      </c>
      <c r="G6" s="22" t="s">
        <v>1005</v>
      </c>
      <c r="H6" s="27" t="s">
        <v>1006</v>
      </c>
      <c r="I6" s="27" t="s">
        <v>1007</v>
      </c>
      <c r="J6" s="7" t="s">
        <v>1008</v>
      </c>
      <c r="K6" s="7" t="s">
        <v>1009</v>
      </c>
      <c r="L6" s="7" t="s">
        <v>1010</v>
      </c>
      <c r="M6" s="22" t="s">
        <v>958</v>
      </c>
      <c r="N6" s="28">
        <v>10</v>
      </c>
      <c r="O6" s="28">
        <v>3</v>
      </c>
      <c r="P6" s="28">
        <f t="shared" si="0"/>
        <v>13</v>
      </c>
      <c r="Q6" s="22" t="str">
        <f t="shared" si="1"/>
        <v>Quick</v>
      </c>
      <c r="R6" s="28">
        <v>2</v>
      </c>
      <c r="S6" s="22">
        <v>380</v>
      </c>
      <c r="T6" s="22">
        <v>13</v>
      </c>
      <c r="U6" s="29">
        <f>SUMIFS('Recipe Ingredients'!$I$2:$I$2500,'Recipe Ingredients'!$A$2:$A$2500,A6)/R6</f>
        <v>211</v>
      </c>
      <c r="V6" s="29">
        <f>SUMIFS('Recipe Ingredients'!$J$2:$J$2500,'Recipe Ingredients'!$A$2:$A$2500,A6)/R6</f>
        <v>8.6684999999999999</v>
      </c>
      <c r="W6" s="29">
        <f>SUMIFS('Recipe Ingredients'!$K$2:$K$2500,'Recipe Ingredients'!$A$2:$A$2500,A6)/R6</f>
        <v>30.765500000000003</v>
      </c>
      <c r="X6" s="29">
        <f>SUMIFS('Recipe Ingredients'!$L$2:$L$2500,'Recipe Ingredients'!$A$2:$A$2500,A6)/R6</f>
        <v>34.225000000000001</v>
      </c>
      <c r="Y6" s="29">
        <f>SUMIFS('Recipe Ingredients'!$M$2:$M$2500,'Recipe Ingredients'!$A$2:$A$2500,A6)/R6</f>
        <v>26.400000000000002</v>
      </c>
      <c r="Z6" s="29">
        <f>SUMIFS('Recipe Ingredients'!$N$2:$N$2500,'Recipe Ingredients'!$A$2:$A$2500,A6)/R6</f>
        <v>96.275000000000006</v>
      </c>
      <c r="AA6" s="29">
        <f>SUMIFS('Recipe Ingredients'!$O$2:$O$2500,'Recipe Ingredients'!$A$2:$A$2500,A6)/R6</f>
        <v>692.19500000000005</v>
      </c>
      <c r="AB6" s="30">
        <f>SUMIFS('Recipe Ingredients'!$P$2:$P$2500,'Recipe Ingredients'!$A$2:$A$2500,A6)/R6</f>
        <v>2.4985500000000003</v>
      </c>
      <c r="AC6" s="30">
        <f>SUMIFS('Recipe Ingredients'!$Q$2:$Q$2500,'Recipe Ingredients'!$A$2:$A$2500,A6)/R6</f>
        <v>0.34415000000000001</v>
      </c>
      <c r="AD6" s="29">
        <f>SUMIFS('Recipe Ingredients'!$R$2:$R$2500,'Recipe Ingredients'!$A$2:$A$2500,A6)/R6</f>
        <v>39.604999999999997</v>
      </c>
      <c r="AE6" s="30">
        <f>SUMIFS('Recipe Ingredients'!$S$2:$S$2500,'Recipe Ingredients'!$A$2:$A$2500,A6)/R6</f>
        <v>0.96084999999999998</v>
      </c>
      <c r="AF6" s="31">
        <f>IFERROR(V6/'Start Here'!$C$10,0)</f>
        <v>0.34673999999999999</v>
      </c>
      <c r="AG6" s="31">
        <f>IFERROR(W6/'Start Here'!$C$11,0)</f>
        <v>0.38456875000000001</v>
      </c>
      <c r="AH6" s="31">
        <f>IFERROR(X6/'Start Here'!$C$12,0)</f>
        <v>4.278125E-2</v>
      </c>
      <c r="AI6" s="31">
        <f>IFERROR(Y6/'Start Here'!$C$13,0)</f>
        <v>0.35200000000000004</v>
      </c>
      <c r="AJ6" s="31">
        <f>IFERROR(Z6/'Start Here'!$C$14,0)</f>
        <v>0.48137500000000005</v>
      </c>
      <c r="AK6" s="31">
        <f>IFERROR(AA6/'Start Here'!$C$15,0)</f>
        <v>0.3460975</v>
      </c>
      <c r="AL6" s="31">
        <f>IFERROR(AB6/'Start Here'!$C$16,0)</f>
        <v>0.20821250000000002</v>
      </c>
      <c r="AM6" s="31">
        <f>IFERROR(AC6/'Start Here'!$C$17,0)</f>
        <v>0.24582142857142861</v>
      </c>
      <c r="AN6" s="31">
        <f>IFERROR(AD6/'Start Here'!$C$18,0)</f>
        <v>0.10561333333333332</v>
      </c>
      <c r="AO6" s="31">
        <f>IFERROR(AE6/'Start Here'!$C$19,0)</f>
        <v>6.863214285714285E-2</v>
      </c>
      <c r="AP6" s="22" t="str">
        <f t="shared" si="2"/>
        <v>Folate</v>
      </c>
      <c r="AQ6" s="7" t="str">
        <f t="shared" si="3"/>
        <v>Best for better folate intake: one serving gives about 48% of your daily folate from the produce alone.</v>
      </c>
      <c r="AR6" s="7" t="str">
        <f t="shared" si="4"/>
        <v>Fibre (35%), Vitamin C (38%), Vitamin K (35%), Potassium (35%)</v>
      </c>
      <c r="AS6" s="7" t="s">
        <v>1011</v>
      </c>
      <c r="AT6" s="7" t="s">
        <v>1012</v>
      </c>
      <c r="AU6" s="28">
        <f>COUNTIFS('Recipe Ingredients'!$A$2:$A$2500,A6,'Recipe Ingredients'!$G$2:$G$2500,"Basket")</f>
        <v>5</v>
      </c>
      <c r="AV6" s="28">
        <f>COUNTIFS('Recipe Ingredients'!$A$2:$A$2500,A6,'Recipe Ingredients'!$G$2:$G$2500,"Protein")+COUNTIFS('Recipe Ingredients'!$A$2:$A$2500,A6,'Recipe Ingredients'!$G$2:$G$2500,"Pantry")</f>
        <v>2</v>
      </c>
      <c r="AW6" s="31">
        <f t="shared" si="5"/>
        <v>0.7142857142857143</v>
      </c>
      <c r="AX6" s="28" t="str">
        <f>IF(AW6&gt;='Start Here'!$C$6,"Yes","No")</f>
        <v>No</v>
      </c>
      <c r="AY6" s="7" t="s">
        <v>115</v>
      </c>
      <c r="AZ6" s="7" t="s">
        <v>1013</v>
      </c>
      <c r="BA6" s="7"/>
      <c r="BB6" s="32" t="s">
        <v>964</v>
      </c>
    </row>
    <row r="7" spans="1:54" ht="96" customHeight="1" x14ac:dyDescent="0.25">
      <c r="A7" s="22" t="s">
        <v>1014</v>
      </c>
      <c r="B7" s="23" t="s">
        <v>1015</v>
      </c>
      <c r="C7" s="22" t="s">
        <v>949</v>
      </c>
      <c r="D7" s="22" t="s">
        <v>1016</v>
      </c>
      <c r="E7" s="22" t="s">
        <v>951</v>
      </c>
      <c r="F7" s="7" t="s">
        <v>1017</v>
      </c>
      <c r="G7" s="22" t="s">
        <v>1018</v>
      </c>
      <c r="H7" s="27" t="s">
        <v>1019</v>
      </c>
      <c r="I7" s="27" t="s">
        <v>1020</v>
      </c>
      <c r="J7" s="7" t="s">
        <v>1021</v>
      </c>
      <c r="K7" s="7" t="s">
        <v>1022</v>
      </c>
      <c r="L7" s="7" t="s">
        <v>620</v>
      </c>
      <c r="M7" s="22" t="s">
        <v>958</v>
      </c>
      <c r="N7" s="28">
        <v>10</v>
      </c>
      <c r="O7" s="28">
        <v>20</v>
      </c>
      <c r="P7" s="28">
        <f t="shared" si="0"/>
        <v>30</v>
      </c>
      <c r="Q7" s="22" t="str">
        <f t="shared" si="1"/>
        <v>Standard</v>
      </c>
      <c r="R7" s="28">
        <v>2</v>
      </c>
      <c r="S7" s="22">
        <v>420</v>
      </c>
      <c r="T7" s="22">
        <v>16</v>
      </c>
      <c r="U7" s="29">
        <f>SUMIFS('Recipe Ingredients'!$I$2:$I$2500,'Recipe Ingredients'!$A$2:$A$2500,A7)/R7</f>
        <v>266</v>
      </c>
      <c r="V7" s="29">
        <f>SUMIFS('Recipe Ingredients'!$J$2:$J$2500,'Recipe Ingredients'!$A$2:$A$2500,A7)/R7</f>
        <v>6.5595000000000008</v>
      </c>
      <c r="W7" s="29">
        <f>SUMIFS('Recipe Ingredients'!$K$2:$K$2500,'Recipe Ingredients'!$A$2:$A$2500,A7)/R7</f>
        <v>90.643500000000003</v>
      </c>
      <c r="X7" s="29">
        <f>SUMIFS('Recipe Ingredients'!$L$2:$L$2500,'Recipe Ingredients'!$A$2:$A$2500,A7)/R7</f>
        <v>1039.3050000000001</v>
      </c>
      <c r="Y7" s="29">
        <f>SUMIFS('Recipe Ingredients'!$M$2:$M$2500,'Recipe Ingredients'!$A$2:$A$2500,A7)/R7</f>
        <v>180.60050000000001</v>
      </c>
      <c r="Z7" s="29">
        <f>SUMIFS('Recipe Ingredients'!$N$2:$N$2500,'Recipe Ingredients'!$A$2:$A$2500,A7)/R7</f>
        <v>68.820000000000007</v>
      </c>
      <c r="AA7" s="29">
        <f>SUMIFS('Recipe Ingredients'!$O$2:$O$2500,'Recipe Ingredients'!$A$2:$A$2500,A7)/R7</f>
        <v>750.18499999999995</v>
      </c>
      <c r="AB7" s="30">
        <f>SUMIFS('Recipe Ingredients'!$P$2:$P$2500,'Recipe Ingredients'!$A$2:$A$2500,A7)/R7</f>
        <v>1.3303500000000001</v>
      </c>
      <c r="AC7" s="30">
        <f>SUMIFS('Recipe Ingredients'!$Q$2:$Q$2500,'Recipe Ingredients'!$A$2:$A$2500,A7)/R7</f>
        <v>0.5423</v>
      </c>
      <c r="AD7" s="29">
        <f>SUMIFS('Recipe Ingredients'!$R$2:$R$2500,'Recipe Ingredients'!$A$2:$A$2500,A7)/R7</f>
        <v>54.34</v>
      </c>
      <c r="AE7" s="30">
        <f>SUMIFS('Recipe Ingredients'!$S$2:$S$2500,'Recipe Ingredients'!$A$2:$A$2500,A7)/R7</f>
        <v>1.6001499999999997</v>
      </c>
      <c r="AF7" s="31">
        <f>IFERROR(V7/'Start Here'!$C$10,0)</f>
        <v>0.26238000000000006</v>
      </c>
      <c r="AG7" s="31">
        <f>IFERROR(W7/'Start Here'!$C$11,0)</f>
        <v>1.1330437500000001</v>
      </c>
      <c r="AH7" s="31">
        <f>IFERROR(X7/'Start Here'!$C$12,0)</f>
        <v>1.2991312500000001</v>
      </c>
      <c r="AI7" s="31">
        <f>IFERROR(Y7/'Start Here'!$C$13,0)</f>
        <v>2.4080066666666666</v>
      </c>
      <c r="AJ7" s="31">
        <f>IFERROR(Z7/'Start Here'!$C$14,0)</f>
        <v>0.34410000000000002</v>
      </c>
      <c r="AK7" s="31">
        <f>IFERROR(AA7/'Start Here'!$C$15,0)</f>
        <v>0.3750925</v>
      </c>
      <c r="AL7" s="31">
        <f>IFERROR(AB7/'Start Here'!$C$16,0)</f>
        <v>0.11086250000000002</v>
      </c>
      <c r="AM7" s="31">
        <f>IFERROR(AC7/'Start Here'!$C$17,0)</f>
        <v>0.3873571428571429</v>
      </c>
      <c r="AN7" s="31">
        <f>IFERROR(AD7/'Start Here'!$C$18,0)</f>
        <v>0.14490666666666668</v>
      </c>
      <c r="AO7" s="31">
        <f>IFERROR(AE7/'Start Here'!$C$19,0)</f>
        <v>0.11429642857142855</v>
      </c>
      <c r="AP7" s="22" t="str">
        <f t="shared" si="2"/>
        <v>Vitamin K</v>
      </c>
      <c r="AQ7" s="7" t="str">
        <f t="shared" si="3"/>
        <v>Best for better vitamin K intake: one serving gives about 241% of your daily vitamin K from the produce alone.</v>
      </c>
      <c r="AR7" s="7" t="str">
        <f t="shared" si="4"/>
        <v>Fibre (26%), Vitamin C (113%), Vitamin A (130%), Folate (34%), Potassium (38%), Vitamin B6 (39%)</v>
      </c>
      <c r="AS7" s="7" t="s">
        <v>1023</v>
      </c>
      <c r="AT7" s="7" t="s">
        <v>1024</v>
      </c>
      <c r="AU7" s="28">
        <f>COUNTIFS('Recipe Ingredients'!$A$2:$A$2500,A7,'Recipe Ingredients'!$G$2:$G$2500,"Basket")</f>
        <v>5</v>
      </c>
      <c r="AV7" s="28">
        <f>COUNTIFS('Recipe Ingredients'!$A$2:$A$2500,A7,'Recipe Ingredients'!$G$2:$G$2500,"Protein")+COUNTIFS('Recipe Ingredients'!$A$2:$A$2500,A7,'Recipe Ingredients'!$G$2:$G$2500,"Pantry")</f>
        <v>2</v>
      </c>
      <c r="AW7" s="31">
        <f t="shared" si="5"/>
        <v>0.7142857142857143</v>
      </c>
      <c r="AX7" s="28" t="str">
        <f>IF(AW7&gt;='Start Here'!$C$6,"Yes","No")</f>
        <v>No</v>
      </c>
      <c r="AY7" s="7" t="s">
        <v>115</v>
      </c>
      <c r="AZ7" s="7" t="s">
        <v>1025</v>
      </c>
      <c r="BA7" s="7"/>
      <c r="BB7" s="32" t="s">
        <v>964</v>
      </c>
    </row>
    <row r="8" spans="1:54" ht="96" customHeight="1" x14ac:dyDescent="0.25">
      <c r="A8" s="22" t="s">
        <v>1026</v>
      </c>
      <c r="B8" s="23" t="s">
        <v>1027</v>
      </c>
      <c r="C8" s="22" t="s">
        <v>949</v>
      </c>
      <c r="D8" s="22" t="s">
        <v>1028</v>
      </c>
      <c r="E8" s="22" t="s">
        <v>1029</v>
      </c>
      <c r="F8" s="7" t="s">
        <v>1030</v>
      </c>
      <c r="G8" s="22" t="s">
        <v>1031</v>
      </c>
      <c r="H8" s="27" t="s">
        <v>1032</v>
      </c>
      <c r="I8" s="27" t="s">
        <v>1033</v>
      </c>
      <c r="J8" s="7" t="s">
        <v>1034</v>
      </c>
      <c r="K8" s="7" t="s">
        <v>1035</v>
      </c>
      <c r="L8" s="7" t="s">
        <v>974</v>
      </c>
      <c r="M8" s="22" t="s">
        <v>958</v>
      </c>
      <c r="N8" s="28">
        <v>10</v>
      </c>
      <c r="O8" s="28">
        <v>0</v>
      </c>
      <c r="P8" s="28">
        <f t="shared" si="0"/>
        <v>10</v>
      </c>
      <c r="Q8" s="22" t="str">
        <f t="shared" si="1"/>
        <v>No-cook</v>
      </c>
      <c r="R8" s="28">
        <v>2</v>
      </c>
      <c r="S8" s="22">
        <v>340</v>
      </c>
      <c r="T8" s="22">
        <v>14</v>
      </c>
      <c r="U8" s="29">
        <f>SUMIFS('Recipe Ingredients'!$I$2:$I$2500,'Recipe Ingredients'!$A$2:$A$2500,A8)/R8</f>
        <v>263</v>
      </c>
      <c r="V8" s="29">
        <f>SUMIFS('Recipe Ingredients'!$J$2:$J$2500,'Recipe Ingredients'!$A$2:$A$2500,A8)/R8</f>
        <v>8.0830000000000002</v>
      </c>
      <c r="W8" s="29">
        <f>SUMIFS('Recipe Ingredients'!$K$2:$K$2500,'Recipe Ingredients'!$A$2:$A$2500,A8)/R8</f>
        <v>76.989000000000004</v>
      </c>
      <c r="X8" s="29">
        <f>SUMIFS('Recipe Ingredients'!$L$2:$L$2500,'Recipe Ingredients'!$A$2:$A$2500,A8)/R8</f>
        <v>49.604999999999997</v>
      </c>
      <c r="Y8" s="29">
        <f>SUMIFS('Recipe Ingredients'!$M$2:$M$2500,'Recipe Ingredients'!$A$2:$A$2500,A8)/R8</f>
        <v>4.4305000000000003</v>
      </c>
      <c r="Z8" s="29">
        <f>SUMIFS('Recipe Ingredients'!$N$2:$N$2500,'Recipe Ingredients'!$A$2:$A$2500,A8)/R8</f>
        <v>66.67</v>
      </c>
      <c r="AA8" s="29">
        <f>SUMIFS('Recipe Ingredients'!$O$2:$O$2500,'Recipe Ingredients'!$A$2:$A$2500,A8)/R8</f>
        <v>655.41499999999996</v>
      </c>
      <c r="AB8" s="30">
        <f>SUMIFS('Recipe Ingredients'!$P$2:$P$2500,'Recipe Ingredients'!$A$2:$A$2500,A8)/R8</f>
        <v>2.0375000000000001</v>
      </c>
      <c r="AC8" s="30">
        <f>SUMIFS('Recipe Ingredients'!$Q$2:$Q$2500,'Recipe Ingredients'!$A$2:$A$2500,A8)/R8</f>
        <v>0.41698999999999997</v>
      </c>
      <c r="AD8" s="29">
        <f>SUMIFS('Recipe Ingredients'!$R$2:$R$2500,'Recipe Ingredients'!$A$2:$A$2500,A8)/R8</f>
        <v>60.404999999999994</v>
      </c>
      <c r="AE8" s="30">
        <f>SUMIFS('Recipe Ingredients'!$S$2:$S$2500,'Recipe Ingredients'!$A$2:$A$2500,A8)/R8</f>
        <v>1.7015500000000001</v>
      </c>
      <c r="AF8" s="31">
        <f>IFERROR(V8/'Start Here'!$C$10,0)</f>
        <v>0.32332</v>
      </c>
      <c r="AG8" s="31">
        <f>IFERROR(W8/'Start Here'!$C$11,0)</f>
        <v>0.96236250000000001</v>
      </c>
      <c r="AH8" s="31">
        <f>IFERROR(X8/'Start Here'!$C$12,0)</f>
        <v>6.2006249999999999E-2</v>
      </c>
      <c r="AI8" s="31">
        <f>IFERROR(Y8/'Start Here'!$C$13,0)</f>
        <v>5.9073333333333339E-2</v>
      </c>
      <c r="AJ8" s="31">
        <f>IFERROR(Z8/'Start Here'!$C$14,0)</f>
        <v>0.33335000000000004</v>
      </c>
      <c r="AK8" s="31">
        <f>IFERROR(AA8/'Start Here'!$C$15,0)</f>
        <v>0.32770749999999998</v>
      </c>
      <c r="AL8" s="31">
        <f>IFERROR(AB8/'Start Here'!$C$16,0)</f>
        <v>0.16979166666666667</v>
      </c>
      <c r="AM8" s="31">
        <f>IFERROR(AC8/'Start Here'!$C$17,0)</f>
        <v>0.29785</v>
      </c>
      <c r="AN8" s="31">
        <f>IFERROR(AD8/'Start Here'!$C$18,0)</f>
        <v>0.16107999999999997</v>
      </c>
      <c r="AO8" s="31">
        <f>IFERROR(AE8/'Start Here'!$C$19,0)</f>
        <v>0.12153928571428572</v>
      </c>
      <c r="AP8" s="22" t="str">
        <f t="shared" si="2"/>
        <v>Vitamin C</v>
      </c>
      <c r="AQ8" s="7" t="str">
        <f t="shared" si="3"/>
        <v>Best for better vitamin C intake: one serving gives about 96% of your daily vitamin C from the produce alone.</v>
      </c>
      <c r="AR8" s="7" t="str">
        <f t="shared" si="4"/>
        <v>Fibre (32%), Folate (33%), Potassium (33%), Vitamin B6 (30%)</v>
      </c>
      <c r="AS8" s="7" t="s">
        <v>1036</v>
      </c>
      <c r="AT8" s="7" t="s">
        <v>1037</v>
      </c>
      <c r="AU8" s="28">
        <f>COUNTIFS('Recipe Ingredients'!$A$2:$A$2500,A8,'Recipe Ingredients'!$G$2:$G$2500,"Basket")</f>
        <v>5</v>
      </c>
      <c r="AV8" s="28">
        <f>COUNTIFS('Recipe Ingredients'!$A$2:$A$2500,A8,'Recipe Ingredients'!$G$2:$G$2500,"Protein")+COUNTIFS('Recipe Ingredients'!$A$2:$A$2500,A8,'Recipe Ingredients'!$G$2:$G$2500,"Pantry")</f>
        <v>2</v>
      </c>
      <c r="AW8" s="31">
        <f t="shared" si="5"/>
        <v>0.7142857142857143</v>
      </c>
      <c r="AX8" s="28" t="str">
        <f>IF(AW8&gt;='Start Here'!$C$6,"Yes","No")</f>
        <v>No</v>
      </c>
      <c r="AY8" s="7" t="s">
        <v>1038</v>
      </c>
      <c r="AZ8" s="7" t="s">
        <v>1039</v>
      </c>
      <c r="BA8" s="7" t="s">
        <v>1040</v>
      </c>
      <c r="BB8" s="32" t="s">
        <v>964</v>
      </c>
    </row>
    <row r="9" spans="1:54" ht="96" customHeight="1" x14ac:dyDescent="0.25">
      <c r="A9" s="22" t="s">
        <v>1041</v>
      </c>
      <c r="B9" s="23" t="s">
        <v>1042</v>
      </c>
      <c r="C9" s="22" t="s">
        <v>949</v>
      </c>
      <c r="D9" s="22" t="s">
        <v>950</v>
      </c>
      <c r="E9" s="22" t="s">
        <v>1043</v>
      </c>
      <c r="F9" s="7" t="s">
        <v>1044</v>
      </c>
      <c r="G9" s="22" t="s">
        <v>1045</v>
      </c>
      <c r="H9" s="27" t="s">
        <v>1046</v>
      </c>
      <c r="I9" s="27" t="s">
        <v>1047</v>
      </c>
      <c r="J9" s="7" t="s">
        <v>1048</v>
      </c>
      <c r="K9" s="7" t="s">
        <v>1049</v>
      </c>
      <c r="L9" s="7" t="s">
        <v>1050</v>
      </c>
      <c r="M9" s="22" t="s">
        <v>1051</v>
      </c>
      <c r="N9" s="28">
        <v>10</v>
      </c>
      <c r="O9" s="28">
        <v>0</v>
      </c>
      <c r="P9" s="28">
        <f t="shared" si="0"/>
        <v>10</v>
      </c>
      <c r="Q9" s="22" t="str">
        <f t="shared" si="1"/>
        <v>No-cook</v>
      </c>
      <c r="R9" s="28">
        <v>2</v>
      </c>
      <c r="S9" s="22">
        <v>320</v>
      </c>
      <c r="T9" s="22">
        <v>7</v>
      </c>
      <c r="U9" s="29">
        <f>SUMIFS('Recipe Ingredients'!$I$2:$I$2500,'Recipe Ingredients'!$A$2:$A$2500,A9)/R9</f>
        <v>307.5</v>
      </c>
      <c r="V9" s="29">
        <f>SUMIFS('Recipe Ingredients'!$J$2:$J$2500,'Recipe Ingredients'!$A$2:$A$2500,A9)/R9</f>
        <v>13.096000000000002</v>
      </c>
      <c r="W9" s="29">
        <f>SUMIFS('Recipe Ingredients'!$K$2:$K$2500,'Recipe Ingredients'!$A$2:$A$2500,A9)/R9</f>
        <v>74.19550000000001</v>
      </c>
      <c r="X9" s="29">
        <f>SUMIFS('Recipe Ingredients'!$L$2:$L$2500,'Recipe Ingredients'!$A$2:$A$2500,A9)/R9</f>
        <v>91.39</v>
      </c>
      <c r="Y9" s="29">
        <f>SUMIFS('Recipe Ingredients'!$M$2:$M$2500,'Recipe Ingredients'!$A$2:$A$2500,A9)/R9</f>
        <v>7.6439999999999992</v>
      </c>
      <c r="Z9" s="29">
        <f>SUMIFS('Recipe Ingredients'!$N$2:$N$2500,'Recipe Ingredients'!$A$2:$A$2500,A9)/R9</f>
        <v>101.99000000000001</v>
      </c>
      <c r="AA9" s="29">
        <f>SUMIFS('Recipe Ingredients'!$O$2:$O$2500,'Recipe Ingredients'!$A$2:$A$2500,A9)/R9</f>
        <v>714.77</v>
      </c>
      <c r="AB9" s="30">
        <f>SUMIFS('Recipe Ingredients'!$P$2:$P$2500,'Recipe Ingredients'!$A$2:$A$2500,A9)/R9</f>
        <v>1.8268000000000004</v>
      </c>
      <c r="AC9" s="30">
        <f>SUMIFS('Recipe Ingredients'!$Q$2:$Q$2500,'Recipe Ingredients'!$A$2:$A$2500,A9)/R9</f>
        <v>0.279335</v>
      </c>
      <c r="AD9" s="29">
        <f>SUMIFS('Recipe Ingredients'!$R$2:$R$2500,'Recipe Ingredients'!$A$2:$A$2500,A9)/R9</f>
        <v>53.499999999999993</v>
      </c>
      <c r="AE9" s="30">
        <f>SUMIFS('Recipe Ingredients'!$S$2:$S$2500,'Recipe Ingredients'!$A$2:$A$2500,A9)/R9</f>
        <v>2.9469000000000007</v>
      </c>
      <c r="AF9" s="31">
        <f>IFERROR(V9/'Start Here'!$C$10,0)</f>
        <v>0.52384000000000008</v>
      </c>
      <c r="AG9" s="31">
        <f>IFERROR(W9/'Start Here'!$C$11,0)</f>
        <v>0.92744375000000012</v>
      </c>
      <c r="AH9" s="31">
        <f>IFERROR(X9/'Start Here'!$C$12,0)</f>
        <v>0.11423750000000001</v>
      </c>
      <c r="AI9" s="31">
        <f>IFERROR(Y9/'Start Here'!$C$13,0)</f>
        <v>0.10192</v>
      </c>
      <c r="AJ9" s="31">
        <f>IFERROR(Z9/'Start Here'!$C$14,0)</f>
        <v>0.50995000000000001</v>
      </c>
      <c r="AK9" s="31">
        <f>IFERROR(AA9/'Start Here'!$C$15,0)</f>
        <v>0.35738500000000001</v>
      </c>
      <c r="AL9" s="31">
        <f>IFERROR(AB9/'Start Here'!$C$16,0)</f>
        <v>0.15223333333333336</v>
      </c>
      <c r="AM9" s="31">
        <f>IFERROR(AC9/'Start Here'!$C$17,0)</f>
        <v>0.19952500000000001</v>
      </c>
      <c r="AN9" s="31">
        <f>IFERROR(AD9/'Start Here'!$C$18,0)</f>
        <v>0.14266666666666664</v>
      </c>
      <c r="AO9" s="31">
        <f>IFERROR(AE9/'Start Here'!$C$19,0)</f>
        <v>0.2104928571428572</v>
      </c>
      <c r="AP9" s="22" t="str">
        <f t="shared" si="2"/>
        <v>Vitamin C</v>
      </c>
      <c r="AQ9" s="7" t="str">
        <f t="shared" si="3"/>
        <v>Best for better vitamin C intake: one serving gives about 93% of your daily vitamin C from the produce alone.</v>
      </c>
      <c r="AR9" s="7" t="str">
        <f t="shared" si="4"/>
        <v>Fibre (52%), Folate (51%), Potassium (36%)</v>
      </c>
      <c r="AS9" s="7" t="s">
        <v>1052</v>
      </c>
      <c r="AT9" s="7" t="s">
        <v>1053</v>
      </c>
      <c r="AU9" s="28">
        <f>COUNTIFS('Recipe Ingredients'!$A$2:$A$2500,A9,'Recipe Ingredients'!$G$2:$G$2500,"Basket")</f>
        <v>4</v>
      </c>
      <c r="AV9" s="28">
        <f>COUNTIFS('Recipe Ingredients'!$A$2:$A$2500,A9,'Recipe Ingredients'!$G$2:$G$2500,"Protein")+COUNTIFS('Recipe Ingredients'!$A$2:$A$2500,A9,'Recipe Ingredients'!$G$2:$G$2500,"Pantry")</f>
        <v>1</v>
      </c>
      <c r="AW9" s="31">
        <f t="shared" si="5"/>
        <v>0.8</v>
      </c>
      <c r="AX9" s="28" t="str">
        <f>IF(AW9&gt;='Start Here'!$C$6,"Yes","No")</f>
        <v>Yes</v>
      </c>
      <c r="AY9" s="7" t="s">
        <v>1054</v>
      </c>
      <c r="AZ9" s="7" t="s">
        <v>1055</v>
      </c>
      <c r="BA9" s="7"/>
      <c r="BB9" s="32" t="s">
        <v>964</v>
      </c>
    </row>
    <row r="10" spans="1:54" ht="96" customHeight="1" x14ac:dyDescent="0.25">
      <c r="A10" s="22" t="s">
        <v>1056</v>
      </c>
      <c r="B10" s="23" t="s">
        <v>1057</v>
      </c>
      <c r="C10" s="22" t="s">
        <v>949</v>
      </c>
      <c r="D10" s="22" t="s">
        <v>1058</v>
      </c>
      <c r="E10" s="22" t="s">
        <v>951</v>
      </c>
      <c r="F10" s="7" t="s">
        <v>1059</v>
      </c>
      <c r="G10" s="22" t="s">
        <v>1005</v>
      </c>
      <c r="H10" s="27" t="s">
        <v>1060</v>
      </c>
      <c r="I10" s="27" t="s">
        <v>1061</v>
      </c>
      <c r="J10" s="7" t="s">
        <v>1062</v>
      </c>
      <c r="K10" s="7" t="s">
        <v>1063</v>
      </c>
      <c r="L10" s="7" t="s">
        <v>620</v>
      </c>
      <c r="M10" s="22" t="s">
        <v>958</v>
      </c>
      <c r="N10" s="28">
        <v>10</v>
      </c>
      <c r="O10" s="28">
        <v>10</v>
      </c>
      <c r="P10" s="28">
        <f t="shared" si="0"/>
        <v>20</v>
      </c>
      <c r="Q10" s="22" t="str">
        <f t="shared" si="1"/>
        <v>Quick</v>
      </c>
      <c r="R10" s="28">
        <v>2</v>
      </c>
      <c r="S10" s="22">
        <v>450</v>
      </c>
      <c r="T10" s="22">
        <v>20</v>
      </c>
      <c r="U10" s="29">
        <f>SUMIFS('Recipe Ingredients'!$I$2:$I$2500,'Recipe Ingredients'!$A$2:$A$2500,A10)/R10</f>
        <v>205</v>
      </c>
      <c r="V10" s="29">
        <f>SUMIFS('Recipe Ingredients'!$J$2:$J$2500,'Recipe Ingredients'!$A$2:$A$2500,A10)/R10</f>
        <v>8.24</v>
      </c>
      <c r="W10" s="29">
        <f>SUMIFS('Recipe Ingredients'!$K$2:$K$2500,'Recipe Ingredients'!$A$2:$A$2500,A10)/R10</f>
        <v>28.078000000000003</v>
      </c>
      <c r="X10" s="29">
        <f>SUMIFS('Recipe Ingredients'!$L$2:$L$2500,'Recipe Ingredients'!$A$2:$A$2500,A10)/R10</f>
        <v>53.995000000000005</v>
      </c>
      <c r="Y10" s="29">
        <f>SUMIFS('Recipe Ingredients'!$M$2:$M$2500,'Recipe Ingredients'!$A$2:$A$2500,A10)/R10</f>
        <v>185.85300000000001</v>
      </c>
      <c r="Z10" s="29">
        <f>SUMIFS('Recipe Ingredients'!$N$2:$N$2500,'Recipe Ingredients'!$A$2:$A$2500,A10)/R10</f>
        <v>108.06</v>
      </c>
      <c r="AA10" s="29">
        <f>SUMIFS('Recipe Ingredients'!$O$2:$O$2500,'Recipe Ingredients'!$A$2:$A$2500,A10)/R10</f>
        <v>763.27499999999998</v>
      </c>
      <c r="AB10" s="30">
        <f>SUMIFS('Recipe Ingredients'!$P$2:$P$2500,'Recipe Ingredients'!$A$2:$A$2500,A10)/R10</f>
        <v>2.4275500000000001</v>
      </c>
      <c r="AC10" s="30">
        <f>SUMIFS('Recipe Ingredients'!$Q$2:$Q$2500,'Recipe Ingredients'!$A$2:$A$2500,A10)/R10</f>
        <v>0.37282500000000002</v>
      </c>
      <c r="AD10" s="29">
        <f>SUMIFS('Recipe Ingredients'!$R$2:$R$2500,'Recipe Ingredients'!$A$2:$A$2500,A10)/R10</f>
        <v>46.645000000000003</v>
      </c>
      <c r="AE10" s="30">
        <f>SUMIFS('Recipe Ingredients'!$S$2:$S$2500,'Recipe Ingredients'!$A$2:$A$2500,A10)/R10</f>
        <v>1.113</v>
      </c>
      <c r="AF10" s="31">
        <f>IFERROR(V10/'Start Here'!$C$10,0)</f>
        <v>0.3296</v>
      </c>
      <c r="AG10" s="31">
        <f>IFERROR(W10/'Start Here'!$C$11,0)</f>
        <v>0.35097500000000004</v>
      </c>
      <c r="AH10" s="31">
        <f>IFERROR(X10/'Start Here'!$C$12,0)</f>
        <v>6.7493750000000005E-2</v>
      </c>
      <c r="AI10" s="31">
        <f>IFERROR(Y10/'Start Here'!$C$13,0)</f>
        <v>2.47804</v>
      </c>
      <c r="AJ10" s="31">
        <f>IFERROR(Z10/'Start Here'!$C$14,0)</f>
        <v>0.5403</v>
      </c>
      <c r="AK10" s="31">
        <f>IFERROR(AA10/'Start Here'!$C$15,0)</f>
        <v>0.38163749999999996</v>
      </c>
      <c r="AL10" s="31">
        <f>IFERROR(AB10/'Start Here'!$C$16,0)</f>
        <v>0.20229583333333334</v>
      </c>
      <c r="AM10" s="31">
        <f>IFERROR(AC10/'Start Here'!$C$17,0)</f>
        <v>0.26630357142857147</v>
      </c>
      <c r="AN10" s="31">
        <f>IFERROR(AD10/'Start Here'!$C$18,0)</f>
        <v>0.12438666666666667</v>
      </c>
      <c r="AO10" s="31">
        <f>IFERROR(AE10/'Start Here'!$C$19,0)</f>
        <v>7.9500000000000001E-2</v>
      </c>
      <c r="AP10" s="22" t="str">
        <f t="shared" si="2"/>
        <v>Vitamin K</v>
      </c>
      <c r="AQ10" s="7" t="str">
        <f t="shared" si="3"/>
        <v>Best for better vitamin K intake: one serving gives about 248% of your daily vitamin K from the produce alone.</v>
      </c>
      <c r="AR10" s="7" t="str">
        <f t="shared" si="4"/>
        <v>Fibre (33%), Vitamin C (35%), Folate (54%), Potassium (38%), Vitamin B6 (27%)</v>
      </c>
      <c r="AS10" s="7" t="s">
        <v>1011</v>
      </c>
      <c r="AT10" s="7" t="s">
        <v>1012</v>
      </c>
      <c r="AU10" s="28">
        <f>COUNTIFS('Recipe Ingredients'!$A$2:$A$2500,A10,'Recipe Ingredients'!$G$2:$G$2500,"Basket")</f>
        <v>5</v>
      </c>
      <c r="AV10" s="28">
        <f>COUNTIFS('Recipe Ingredients'!$A$2:$A$2500,A10,'Recipe Ingredients'!$G$2:$G$2500,"Protein")+COUNTIFS('Recipe Ingredients'!$A$2:$A$2500,A10,'Recipe Ingredients'!$G$2:$G$2500,"Pantry")</f>
        <v>2</v>
      </c>
      <c r="AW10" s="31">
        <f t="shared" si="5"/>
        <v>0.7142857142857143</v>
      </c>
      <c r="AX10" s="28" t="str">
        <f>IF(AW10&gt;='Start Here'!$C$6,"Yes","No")</f>
        <v>No</v>
      </c>
      <c r="AY10" s="7" t="s">
        <v>115</v>
      </c>
      <c r="AZ10" s="7" t="s">
        <v>1064</v>
      </c>
      <c r="BA10" s="7"/>
      <c r="BB10" s="32" t="s">
        <v>964</v>
      </c>
    </row>
    <row r="11" spans="1:54" ht="96" customHeight="1" x14ac:dyDescent="0.25">
      <c r="A11" s="22" t="s">
        <v>1065</v>
      </c>
      <c r="B11" s="23" t="s">
        <v>1066</v>
      </c>
      <c r="C11" s="22" t="s">
        <v>1067</v>
      </c>
      <c r="D11" s="22" t="s">
        <v>967</v>
      </c>
      <c r="E11" s="22" t="s">
        <v>296</v>
      </c>
      <c r="F11" s="7" t="s">
        <v>1068</v>
      </c>
      <c r="G11" s="22" t="s">
        <v>1069</v>
      </c>
      <c r="H11" s="27" t="s">
        <v>1070</v>
      </c>
      <c r="I11" s="27" t="s">
        <v>1071</v>
      </c>
      <c r="J11" s="7" t="s">
        <v>1072</v>
      </c>
      <c r="K11" s="7" t="s">
        <v>1073</v>
      </c>
      <c r="L11" s="7" t="s">
        <v>157</v>
      </c>
      <c r="M11" s="22" t="s">
        <v>1051</v>
      </c>
      <c r="N11" s="28">
        <v>10</v>
      </c>
      <c r="O11" s="28">
        <v>0</v>
      </c>
      <c r="P11" s="28">
        <f t="shared" si="0"/>
        <v>10</v>
      </c>
      <c r="Q11" s="22" t="str">
        <f t="shared" si="1"/>
        <v>No-cook</v>
      </c>
      <c r="R11" s="28">
        <v>2</v>
      </c>
      <c r="S11" s="22">
        <v>120</v>
      </c>
      <c r="T11" s="22">
        <v>2</v>
      </c>
      <c r="U11" s="29">
        <f>SUMIFS('Recipe Ingredients'!$I$2:$I$2500,'Recipe Ingredients'!$A$2:$A$2500,A11)/R11</f>
        <v>608.5</v>
      </c>
      <c r="V11" s="29">
        <f>SUMIFS('Recipe Ingredients'!$J$2:$J$2500,'Recipe Ingredients'!$A$2:$A$2500,A11)/R11</f>
        <v>6.968</v>
      </c>
      <c r="W11" s="29">
        <f>SUMIFS('Recipe Ingredients'!$K$2:$K$2500,'Recipe Ingredients'!$A$2:$A$2500,A11)/R11</f>
        <v>150.18650000000002</v>
      </c>
      <c r="X11" s="29">
        <f>SUMIFS('Recipe Ingredients'!$L$2:$L$2500,'Recipe Ingredients'!$A$2:$A$2500,A11)/R11</f>
        <v>133.33500000000001</v>
      </c>
      <c r="Y11" s="29">
        <f>SUMIFS('Recipe Ingredients'!$M$2:$M$2500,'Recipe Ingredients'!$A$2:$A$2500,A11)/R11</f>
        <v>31.226499999999998</v>
      </c>
      <c r="Z11" s="29">
        <f>SUMIFS('Recipe Ingredients'!$N$2:$N$2500,'Recipe Ingredients'!$A$2:$A$2500,A11)/R11</f>
        <v>98.249999999999986</v>
      </c>
      <c r="AA11" s="29">
        <f>SUMIFS('Recipe Ingredients'!$O$2:$O$2500,'Recipe Ingredients'!$A$2:$A$2500,A11)/R11</f>
        <v>822.81000000000006</v>
      </c>
      <c r="AB11" s="30">
        <f>SUMIFS('Recipe Ingredients'!$P$2:$P$2500,'Recipe Ingredients'!$A$2:$A$2500,A11)/R11</f>
        <v>1.2585500000000001</v>
      </c>
      <c r="AC11" s="30">
        <f>SUMIFS('Recipe Ingredients'!$Q$2:$Q$2500,'Recipe Ingredients'!$A$2:$A$2500,A11)/R11</f>
        <v>0.37731999999999999</v>
      </c>
      <c r="AD11" s="29">
        <f>SUMIFS('Recipe Ingredients'!$R$2:$R$2500,'Recipe Ingredients'!$A$2:$A$2500,A11)/R11</f>
        <v>72.31</v>
      </c>
      <c r="AE11" s="30">
        <f>SUMIFS('Recipe Ingredients'!$S$2:$S$2500,'Recipe Ingredients'!$A$2:$A$2500,A11)/R11</f>
        <v>1.7431000000000001</v>
      </c>
      <c r="AF11" s="31">
        <f>IFERROR(V11/'Start Here'!$C$10,0)</f>
        <v>0.27872000000000002</v>
      </c>
      <c r="AG11" s="31">
        <f>IFERROR(W11/'Start Here'!$C$11,0)</f>
        <v>1.8773312500000003</v>
      </c>
      <c r="AH11" s="31">
        <f>IFERROR(X11/'Start Here'!$C$12,0)</f>
        <v>0.16666875</v>
      </c>
      <c r="AI11" s="31">
        <f>IFERROR(Y11/'Start Here'!$C$13,0)</f>
        <v>0.4163533333333333</v>
      </c>
      <c r="AJ11" s="31">
        <f>IFERROR(Z11/'Start Here'!$C$14,0)</f>
        <v>0.49124999999999991</v>
      </c>
      <c r="AK11" s="31">
        <f>IFERROR(AA11/'Start Here'!$C$15,0)</f>
        <v>0.41140500000000002</v>
      </c>
      <c r="AL11" s="31">
        <f>IFERROR(AB11/'Start Here'!$C$16,0)</f>
        <v>0.10487916666666668</v>
      </c>
      <c r="AM11" s="31">
        <f>IFERROR(AC11/'Start Here'!$C$17,0)</f>
        <v>0.26951428571428571</v>
      </c>
      <c r="AN11" s="31">
        <f>IFERROR(AD11/'Start Here'!$C$18,0)</f>
        <v>0.19282666666666667</v>
      </c>
      <c r="AO11" s="31">
        <f>IFERROR(AE11/'Start Here'!$C$19,0)</f>
        <v>0.12450714285714286</v>
      </c>
      <c r="AP11" s="22" t="str">
        <f t="shared" si="2"/>
        <v>Vitamin C</v>
      </c>
      <c r="AQ11" s="7" t="str">
        <f t="shared" si="3"/>
        <v>Best for better vitamin C intake: one serving gives about 188% of your daily vitamin C from the produce alone.</v>
      </c>
      <c r="AR11" s="7" t="str">
        <f t="shared" si="4"/>
        <v>Fibre (28%), Vitamin K (42%), Folate (49%), Potassium (41%), Vitamin B6 (27%)</v>
      </c>
      <c r="AS11" s="7" t="s">
        <v>1074</v>
      </c>
      <c r="AT11" s="7" t="s">
        <v>1075</v>
      </c>
      <c r="AU11" s="28">
        <f>COUNTIFS('Recipe Ingredients'!$A$2:$A$2500,A11,'Recipe Ingredients'!$G$2:$G$2500,"Basket")</f>
        <v>6</v>
      </c>
      <c r="AV11" s="28">
        <f>COUNTIFS('Recipe Ingredients'!$A$2:$A$2500,A11,'Recipe Ingredients'!$G$2:$G$2500,"Protein")+COUNTIFS('Recipe Ingredients'!$A$2:$A$2500,A11,'Recipe Ingredients'!$G$2:$G$2500,"Pantry")</f>
        <v>1</v>
      </c>
      <c r="AW11" s="31">
        <f t="shared" si="5"/>
        <v>0.8571428571428571</v>
      </c>
      <c r="AX11" s="28" t="str">
        <f>IF(AW11&gt;='Start Here'!$C$6,"Yes","No")</f>
        <v>Yes</v>
      </c>
      <c r="AY11" s="7" t="s">
        <v>1054</v>
      </c>
      <c r="AZ11" s="7" t="s">
        <v>1076</v>
      </c>
      <c r="BA11" s="7" t="s">
        <v>1077</v>
      </c>
      <c r="BB11" s="32" t="s">
        <v>964</v>
      </c>
    </row>
    <row r="12" spans="1:54" ht="96" customHeight="1" x14ac:dyDescent="0.25">
      <c r="A12" s="22" t="s">
        <v>1078</v>
      </c>
      <c r="B12" s="23" t="s">
        <v>1079</v>
      </c>
      <c r="C12" s="22" t="s">
        <v>1067</v>
      </c>
      <c r="D12" s="22" t="s">
        <v>1080</v>
      </c>
      <c r="E12" s="22" t="s">
        <v>1081</v>
      </c>
      <c r="F12" s="7" t="s">
        <v>1082</v>
      </c>
      <c r="G12" s="22" t="s">
        <v>1005</v>
      </c>
      <c r="H12" s="27" t="s">
        <v>1083</v>
      </c>
      <c r="I12" s="27" t="s">
        <v>1084</v>
      </c>
      <c r="J12" s="7" t="s">
        <v>1085</v>
      </c>
      <c r="K12" s="7" t="s">
        <v>1086</v>
      </c>
      <c r="L12" s="7" t="s">
        <v>1087</v>
      </c>
      <c r="M12" s="22" t="s">
        <v>1051</v>
      </c>
      <c r="N12" s="28">
        <v>10</v>
      </c>
      <c r="O12" s="28">
        <v>0</v>
      </c>
      <c r="P12" s="28">
        <f t="shared" si="0"/>
        <v>10</v>
      </c>
      <c r="Q12" s="22" t="str">
        <f t="shared" si="1"/>
        <v>No-cook</v>
      </c>
      <c r="R12" s="28">
        <v>2</v>
      </c>
      <c r="S12" s="22">
        <v>280</v>
      </c>
      <c r="T12" s="22">
        <v>7</v>
      </c>
      <c r="U12" s="29">
        <f>SUMIFS('Recipe Ingredients'!$I$2:$I$2500,'Recipe Ingredients'!$A$2:$A$2500,A12)/R12</f>
        <v>261.5</v>
      </c>
      <c r="V12" s="29">
        <f>SUMIFS('Recipe Ingredients'!$J$2:$J$2500,'Recipe Ingredients'!$A$2:$A$2500,A12)/R12</f>
        <v>8.2509999999999994</v>
      </c>
      <c r="W12" s="29">
        <f>SUMIFS('Recipe Ingredients'!$K$2:$K$2500,'Recipe Ingredients'!$A$2:$A$2500,A12)/R12</f>
        <v>20.573999999999998</v>
      </c>
      <c r="X12" s="29">
        <f>SUMIFS('Recipe Ingredients'!$L$2:$L$2500,'Recipe Ingredients'!$A$2:$A$2500,A12)/R12</f>
        <v>7.08</v>
      </c>
      <c r="Y12" s="29">
        <f>SUMIFS('Recipe Ingredients'!$M$2:$M$2500,'Recipe Ingredients'!$A$2:$A$2500,A12)/R12</f>
        <v>1.4635</v>
      </c>
      <c r="Z12" s="29">
        <f>SUMIFS('Recipe Ingredients'!$N$2:$N$2500,'Recipe Ingredients'!$A$2:$A$2500,A12)/R12</f>
        <v>85.195000000000007</v>
      </c>
      <c r="AA12" s="29">
        <f>SUMIFS('Recipe Ingredients'!$O$2:$O$2500,'Recipe Ingredients'!$A$2:$A$2500,A12)/R12</f>
        <v>1019.51</v>
      </c>
      <c r="AB12" s="30">
        <f>SUMIFS('Recipe Ingredients'!$P$2:$P$2500,'Recipe Ingredients'!$A$2:$A$2500,A12)/R12</f>
        <v>1.49075</v>
      </c>
      <c r="AC12" s="30">
        <f>SUMIFS('Recipe Ingredients'!$Q$2:$Q$2500,'Recipe Ingredients'!$A$2:$A$2500,A12)/R12</f>
        <v>0.93564500000000006</v>
      </c>
      <c r="AD12" s="29">
        <f>SUMIFS('Recipe Ingredients'!$R$2:$R$2500,'Recipe Ingredients'!$A$2:$A$2500,A12)/R12</f>
        <v>93.435000000000002</v>
      </c>
      <c r="AE12" s="30">
        <f>SUMIFS('Recipe Ingredients'!$S$2:$S$2500,'Recipe Ingredients'!$A$2:$A$2500,A12)/R12</f>
        <v>1.4077000000000002</v>
      </c>
      <c r="AF12" s="31">
        <f>IFERROR(V12/'Start Here'!$C$10,0)</f>
        <v>0.33004</v>
      </c>
      <c r="AG12" s="31">
        <f>IFERROR(W12/'Start Here'!$C$11,0)</f>
        <v>0.25717499999999999</v>
      </c>
      <c r="AH12" s="31">
        <f>IFERROR(X12/'Start Here'!$C$12,0)</f>
        <v>8.8500000000000002E-3</v>
      </c>
      <c r="AI12" s="31">
        <f>IFERROR(Y12/'Start Here'!$C$13,0)</f>
        <v>1.9513333333333334E-2</v>
      </c>
      <c r="AJ12" s="31">
        <f>IFERROR(Z12/'Start Here'!$C$14,0)</f>
        <v>0.42597500000000005</v>
      </c>
      <c r="AK12" s="31">
        <f>IFERROR(AA12/'Start Here'!$C$15,0)</f>
        <v>0.50975499999999996</v>
      </c>
      <c r="AL12" s="31">
        <f>IFERROR(AB12/'Start Here'!$C$16,0)</f>
        <v>0.12422916666666667</v>
      </c>
      <c r="AM12" s="31">
        <f>IFERROR(AC12/'Start Here'!$C$17,0)</f>
        <v>0.66831785714285719</v>
      </c>
      <c r="AN12" s="31">
        <f>IFERROR(AD12/'Start Here'!$C$18,0)</f>
        <v>0.24915999999999999</v>
      </c>
      <c r="AO12" s="31">
        <f>IFERROR(AE12/'Start Here'!$C$19,0)</f>
        <v>0.10055000000000001</v>
      </c>
      <c r="AP12" s="22" t="str">
        <f t="shared" si="2"/>
        <v>Vitamin B6</v>
      </c>
      <c r="AQ12" s="7" t="str">
        <f t="shared" si="3"/>
        <v>Best for better vitamin B6 intake: one serving gives about 67% of your daily vitamin B6 from the produce alone.</v>
      </c>
      <c r="AR12" s="7" t="str">
        <f t="shared" si="4"/>
        <v>Fibre (33%), Vitamin C (26%), Folate (43%), Potassium (51%)</v>
      </c>
      <c r="AS12" s="7" t="s">
        <v>1088</v>
      </c>
      <c r="AT12" s="7" t="s">
        <v>1089</v>
      </c>
      <c r="AU12" s="28">
        <f>COUNTIFS('Recipe Ingredients'!$A$2:$A$2500,A12,'Recipe Ingredients'!$G$2:$G$2500,"Basket")</f>
        <v>3</v>
      </c>
      <c r="AV12" s="28">
        <f>COUNTIFS('Recipe Ingredients'!$A$2:$A$2500,A12,'Recipe Ingredients'!$G$2:$G$2500,"Protein")+COUNTIFS('Recipe Ingredients'!$A$2:$A$2500,A12,'Recipe Ingredients'!$G$2:$G$2500,"Pantry")</f>
        <v>2</v>
      </c>
      <c r="AW12" s="31">
        <f t="shared" si="5"/>
        <v>0.6</v>
      </c>
      <c r="AX12" s="28" t="str">
        <f>IF(AW12&gt;='Start Here'!$C$6,"Yes","No")</f>
        <v>No</v>
      </c>
      <c r="AY12" s="7" t="s">
        <v>115</v>
      </c>
      <c r="AZ12" s="7" t="s">
        <v>1090</v>
      </c>
      <c r="BA12" s="7" t="s">
        <v>1091</v>
      </c>
      <c r="BB12" s="32" t="s">
        <v>964</v>
      </c>
    </row>
    <row r="13" spans="1:54" ht="96" customHeight="1" x14ac:dyDescent="0.25">
      <c r="A13" s="22" t="s">
        <v>1092</v>
      </c>
      <c r="B13" s="23" t="s">
        <v>1093</v>
      </c>
      <c r="C13" s="22" t="s">
        <v>1067</v>
      </c>
      <c r="D13" s="22" t="s">
        <v>1094</v>
      </c>
      <c r="E13" s="22" t="s">
        <v>1081</v>
      </c>
      <c r="F13" s="7" t="s">
        <v>1095</v>
      </c>
      <c r="G13" s="22" t="s">
        <v>1096</v>
      </c>
      <c r="H13" s="27" t="s">
        <v>1097</v>
      </c>
      <c r="I13" s="27" t="s">
        <v>1098</v>
      </c>
      <c r="J13" s="7" t="s">
        <v>1099</v>
      </c>
      <c r="K13" s="7" t="s">
        <v>1100</v>
      </c>
      <c r="L13" s="7" t="s">
        <v>1101</v>
      </c>
      <c r="M13" s="22" t="s">
        <v>958</v>
      </c>
      <c r="N13" s="28">
        <v>10</v>
      </c>
      <c r="O13" s="28">
        <v>10</v>
      </c>
      <c r="P13" s="28">
        <f t="shared" si="0"/>
        <v>20</v>
      </c>
      <c r="Q13" s="22" t="str">
        <f t="shared" si="1"/>
        <v>Quick</v>
      </c>
      <c r="R13" s="28">
        <v>4</v>
      </c>
      <c r="S13" s="22">
        <v>130</v>
      </c>
      <c r="T13" s="22">
        <v>1</v>
      </c>
      <c r="U13" s="29">
        <f>SUMIFS('Recipe Ingredients'!$I$2:$I$2500,'Recipe Ingredients'!$A$2:$A$2500,A13)/R13</f>
        <v>267.75</v>
      </c>
      <c r="V13" s="29">
        <f>SUMIFS('Recipe Ingredients'!$J$2:$J$2500,'Recipe Ingredients'!$A$2:$A$2500,A13)/R13</f>
        <v>5.8639999999999999</v>
      </c>
      <c r="W13" s="29">
        <f>SUMIFS('Recipe Ingredients'!$K$2:$K$2500,'Recipe Ingredients'!$A$2:$A$2500,A13)/R13</f>
        <v>113.8385</v>
      </c>
      <c r="X13" s="29">
        <f>SUMIFS('Recipe Ingredients'!$L$2:$L$2500,'Recipe Ingredients'!$A$2:$A$2500,A13)/R13</f>
        <v>7.1224999999999996</v>
      </c>
      <c r="Y13" s="29">
        <f>SUMIFS('Recipe Ingredients'!$M$2:$M$2500,'Recipe Ingredients'!$A$2:$A$2500,A13)/R13</f>
        <v>1.7337500000000001</v>
      </c>
      <c r="Z13" s="29">
        <f>SUMIFS('Recipe Ingredients'!$N$2:$N$2500,'Recipe Ingredients'!$A$2:$A$2500,A13)/R13</f>
        <v>48.500000000000007</v>
      </c>
      <c r="AA13" s="29">
        <f>SUMIFS('Recipe Ingredients'!$O$2:$O$2500,'Recipe Ingredients'!$A$2:$A$2500,A13)/R13</f>
        <v>351.8075</v>
      </c>
      <c r="AB13" s="30">
        <f>SUMIFS('Recipe Ingredients'!$P$2:$P$2500,'Recipe Ingredients'!$A$2:$A$2500,A13)/R13</f>
        <v>0.14149999999999999</v>
      </c>
      <c r="AC13" s="30">
        <f>SUMIFS('Recipe Ingredients'!$Q$2:$Q$2500,'Recipe Ingredients'!$A$2:$A$2500,A13)/R13</f>
        <v>0.27396750000000003</v>
      </c>
      <c r="AD13" s="29">
        <f>SUMIFS('Recipe Ingredients'!$R$2:$R$2500,'Recipe Ingredients'!$A$2:$A$2500,A13)/R13</f>
        <v>36.075000000000003</v>
      </c>
      <c r="AE13" s="30">
        <f>SUMIFS('Recipe Ingredients'!$S$2:$S$2500,'Recipe Ingredients'!$A$2:$A$2500,A13)/R13</f>
        <v>1.3580500000000002</v>
      </c>
      <c r="AF13" s="31">
        <f>IFERROR(V13/'Start Here'!$C$10,0)</f>
        <v>0.23455999999999999</v>
      </c>
      <c r="AG13" s="31">
        <f>IFERROR(W13/'Start Here'!$C$11,0)</f>
        <v>1.4229812499999999</v>
      </c>
      <c r="AH13" s="31">
        <f>IFERROR(X13/'Start Here'!$C$12,0)</f>
        <v>8.9031249999999996E-3</v>
      </c>
      <c r="AI13" s="31">
        <f>IFERROR(Y13/'Start Here'!$C$13,0)</f>
        <v>2.3116666666666667E-2</v>
      </c>
      <c r="AJ13" s="31">
        <f>IFERROR(Z13/'Start Here'!$C$14,0)</f>
        <v>0.24250000000000005</v>
      </c>
      <c r="AK13" s="31">
        <f>IFERROR(AA13/'Start Here'!$C$15,0)</f>
        <v>0.17590375</v>
      </c>
      <c r="AL13" s="31">
        <f>IFERROR(AB13/'Start Here'!$C$16,0)</f>
        <v>1.1791666666666666E-2</v>
      </c>
      <c r="AM13" s="31">
        <f>IFERROR(AC13/'Start Here'!$C$17,0)</f>
        <v>0.19569107142857145</v>
      </c>
      <c r="AN13" s="31">
        <f>IFERROR(AD13/'Start Here'!$C$18,0)</f>
        <v>9.6200000000000008E-2</v>
      </c>
      <c r="AO13" s="31">
        <f>IFERROR(AE13/'Start Here'!$C$19,0)</f>
        <v>9.7003571428571439E-2</v>
      </c>
      <c r="AP13" s="22" t="str">
        <f t="shared" si="2"/>
        <v>Vitamin C</v>
      </c>
      <c r="AQ13" s="7" t="str">
        <f t="shared" si="3"/>
        <v>Best for better vitamin C intake: one serving gives about 142% of your daily vitamin C from the produce alone.</v>
      </c>
      <c r="AR13" s="7" t="str">
        <f t="shared" si="4"/>
        <v/>
      </c>
      <c r="AS13" s="7" t="s">
        <v>1102</v>
      </c>
      <c r="AT13" s="7" t="s">
        <v>1103</v>
      </c>
      <c r="AU13" s="28">
        <f>COUNTIFS('Recipe Ingredients'!$A$2:$A$2500,A13,'Recipe Ingredients'!$G$2:$G$2500,"Basket")</f>
        <v>3</v>
      </c>
      <c r="AV13" s="28">
        <f>COUNTIFS('Recipe Ingredients'!$A$2:$A$2500,A13,'Recipe Ingredients'!$G$2:$G$2500,"Protein")+COUNTIFS('Recipe Ingredients'!$A$2:$A$2500,A13,'Recipe Ingredients'!$G$2:$G$2500,"Pantry")</f>
        <v>2</v>
      </c>
      <c r="AW13" s="31">
        <f t="shared" si="5"/>
        <v>0.6</v>
      </c>
      <c r="AX13" s="28" t="str">
        <f>IF(AW13&gt;='Start Here'!$C$6,"Yes","No")</f>
        <v>No</v>
      </c>
      <c r="AY13" s="7" t="s">
        <v>115</v>
      </c>
      <c r="AZ13" s="7" t="s">
        <v>1104</v>
      </c>
      <c r="BA13" s="7"/>
      <c r="BB13" s="32" t="s">
        <v>964</v>
      </c>
    </row>
    <row r="14" spans="1:54" ht="96" customHeight="1" x14ac:dyDescent="0.25">
      <c r="A14" s="22" t="s">
        <v>1105</v>
      </c>
      <c r="B14" s="23" t="s">
        <v>1106</v>
      </c>
      <c r="C14" s="22" t="s">
        <v>1067</v>
      </c>
      <c r="D14" s="22" t="s">
        <v>1081</v>
      </c>
      <c r="E14" s="22" t="s">
        <v>1081</v>
      </c>
      <c r="F14" s="7" t="s">
        <v>1107</v>
      </c>
      <c r="G14" s="22" t="s">
        <v>1108</v>
      </c>
      <c r="H14" s="27" t="s">
        <v>1109</v>
      </c>
      <c r="I14" s="27" t="s">
        <v>1110</v>
      </c>
      <c r="J14" s="7" t="s">
        <v>1111</v>
      </c>
      <c r="K14" s="7" t="s">
        <v>1112</v>
      </c>
      <c r="L14" s="7" t="s">
        <v>203</v>
      </c>
      <c r="M14" s="22" t="s">
        <v>1051</v>
      </c>
      <c r="N14" s="28">
        <v>10</v>
      </c>
      <c r="O14" s="28">
        <v>30</v>
      </c>
      <c r="P14" s="28">
        <f t="shared" si="0"/>
        <v>40</v>
      </c>
      <c r="Q14" s="22" t="str">
        <f t="shared" si="1"/>
        <v>Standard</v>
      </c>
      <c r="R14" s="28">
        <v>4</v>
      </c>
      <c r="S14" s="22">
        <v>350</v>
      </c>
      <c r="T14" s="22">
        <v>5</v>
      </c>
      <c r="U14" s="29">
        <f>SUMIFS('Recipe Ingredients'!$I$2:$I$2500,'Recipe Ingredients'!$A$2:$A$2500,A14)/R14</f>
        <v>291</v>
      </c>
      <c r="V14" s="29">
        <f>SUMIFS('Recipe Ingredients'!$J$2:$J$2500,'Recipe Ingredients'!$A$2:$A$2500,A14)/R14</f>
        <v>12.6495</v>
      </c>
      <c r="W14" s="29">
        <f>SUMIFS('Recipe Ingredients'!$K$2:$K$2500,'Recipe Ingredients'!$A$2:$A$2500,A14)/R14</f>
        <v>69.32950000000001</v>
      </c>
      <c r="X14" s="29">
        <f>SUMIFS('Recipe Ingredients'!$L$2:$L$2500,'Recipe Ingredients'!$A$2:$A$2500,A14)/R14</f>
        <v>91.054999999999993</v>
      </c>
      <c r="Y14" s="29">
        <f>SUMIFS('Recipe Ingredients'!$M$2:$M$2500,'Recipe Ingredients'!$A$2:$A$2500,A14)/R14</f>
        <v>7.5440000000000005</v>
      </c>
      <c r="Z14" s="29">
        <f>SUMIFS('Recipe Ingredients'!$N$2:$N$2500,'Recipe Ingredients'!$A$2:$A$2500,A14)/R14</f>
        <v>100.71499999999999</v>
      </c>
      <c r="AA14" s="29">
        <f>SUMIFS('Recipe Ingredients'!$O$2:$O$2500,'Recipe Ingredients'!$A$2:$A$2500,A14)/R14</f>
        <v>698.57499999999993</v>
      </c>
      <c r="AB14" s="30">
        <f>SUMIFS('Recipe Ingredients'!$P$2:$P$2500,'Recipe Ingredients'!$A$2:$A$2500,A14)/R14</f>
        <v>1.7905500000000003</v>
      </c>
      <c r="AC14" s="30">
        <f>SUMIFS('Recipe Ingredients'!$Q$2:$Q$2500,'Recipe Ingredients'!$A$2:$A$2500,A14)/R14</f>
        <v>0.2722675</v>
      </c>
      <c r="AD14" s="29">
        <f>SUMIFS('Recipe Ingredients'!$R$2:$R$2500,'Recipe Ingredients'!$A$2:$A$2500,A14)/R14</f>
        <v>52.575000000000003</v>
      </c>
      <c r="AE14" s="30">
        <f>SUMIFS('Recipe Ingredients'!$S$2:$S$2500,'Recipe Ingredients'!$A$2:$A$2500,A14)/R14</f>
        <v>2.8524750000000001</v>
      </c>
      <c r="AF14" s="31">
        <f>IFERROR(V14/'Start Here'!$C$10,0)</f>
        <v>0.50597999999999999</v>
      </c>
      <c r="AG14" s="31">
        <f>IFERROR(W14/'Start Here'!$C$11,0)</f>
        <v>0.8666187500000001</v>
      </c>
      <c r="AH14" s="31">
        <f>IFERROR(X14/'Start Here'!$C$12,0)</f>
        <v>0.11381875</v>
      </c>
      <c r="AI14" s="31">
        <f>IFERROR(Y14/'Start Here'!$C$13,0)</f>
        <v>0.10058666666666667</v>
      </c>
      <c r="AJ14" s="31">
        <f>IFERROR(Z14/'Start Here'!$C$14,0)</f>
        <v>0.50357499999999999</v>
      </c>
      <c r="AK14" s="31">
        <f>IFERROR(AA14/'Start Here'!$C$15,0)</f>
        <v>0.34928749999999997</v>
      </c>
      <c r="AL14" s="31">
        <f>IFERROR(AB14/'Start Here'!$C$16,0)</f>
        <v>0.14921250000000003</v>
      </c>
      <c r="AM14" s="31">
        <f>IFERROR(AC14/'Start Here'!$C$17,0)</f>
        <v>0.19447678571428573</v>
      </c>
      <c r="AN14" s="31">
        <f>IFERROR(AD14/'Start Here'!$C$18,0)</f>
        <v>0.14020000000000002</v>
      </c>
      <c r="AO14" s="31">
        <f>IFERROR(AE14/'Start Here'!$C$19,0)</f>
        <v>0.2037482142857143</v>
      </c>
      <c r="AP14" s="22" t="str">
        <f t="shared" si="2"/>
        <v>Vitamin C</v>
      </c>
      <c r="AQ14" s="7" t="str">
        <f t="shared" si="3"/>
        <v>Best for better vitamin C intake: one serving gives about 87% of your daily vitamin C from the produce alone.</v>
      </c>
      <c r="AR14" s="7" t="str">
        <f t="shared" si="4"/>
        <v>Fibre (51%), Folate (50%), Potassium (35%)</v>
      </c>
      <c r="AS14" s="7" t="s">
        <v>1113</v>
      </c>
      <c r="AT14" s="7" t="s">
        <v>1114</v>
      </c>
      <c r="AU14" s="28">
        <f>COUNTIFS('Recipe Ingredients'!$A$2:$A$2500,A14,'Recipe Ingredients'!$G$2:$G$2500,"Basket")</f>
        <v>4</v>
      </c>
      <c r="AV14" s="28">
        <f>COUNTIFS('Recipe Ingredients'!$A$2:$A$2500,A14,'Recipe Ingredients'!$G$2:$G$2500,"Protein")+COUNTIFS('Recipe Ingredients'!$A$2:$A$2500,A14,'Recipe Ingredients'!$G$2:$G$2500,"Pantry")</f>
        <v>1</v>
      </c>
      <c r="AW14" s="31">
        <f t="shared" si="5"/>
        <v>0.8</v>
      </c>
      <c r="AX14" s="28" t="str">
        <f>IF(AW14&gt;='Start Here'!$C$6,"Yes","No")</f>
        <v>Yes</v>
      </c>
      <c r="AY14" s="7" t="s">
        <v>1054</v>
      </c>
      <c r="AZ14" s="7" t="s">
        <v>1115</v>
      </c>
      <c r="BA14" s="7" t="s">
        <v>1116</v>
      </c>
      <c r="BB14" s="32" t="s">
        <v>964</v>
      </c>
    </row>
    <row r="15" spans="1:54" ht="96" customHeight="1" x14ac:dyDescent="0.25">
      <c r="A15" s="22" t="s">
        <v>1117</v>
      </c>
      <c r="B15" s="23" t="s">
        <v>1118</v>
      </c>
      <c r="C15" s="22" t="s">
        <v>1067</v>
      </c>
      <c r="D15" s="22" t="s">
        <v>1080</v>
      </c>
      <c r="E15" s="22" t="s">
        <v>1081</v>
      </c>
      <c r="F15" s="7" t="s">
        <v>1119</v>
      </c>
      <c r="G15" s="22" t="s">
        <v>1120</v>
      </c>
      <c r="H15" s="27" t="s">
        <v>1121</v>
      </c>
      <c r="I15" s="27" t="s">
        <v>1122</v>
      </c>
      <c r="J15" s="7" t="s">
        <v>1123</v>
      </c>
      <c r="K15" s="7" t="s">
        <v>1124</v>
      </c>
      <c r="L15" s="7" t="s">
        <v>203</v>
      </c>
      <c r="M15" s="22" t="s">
        <v>958</v>
      </c>
      <c r="N15" s="28">
        <v>15</v>
      </c>
      <c r="O15" s="28">
        <v>0</v>
      </c>
      <c r="P15" s="28">
        <f t="shared" si="0"/>
        <v>15</v>
      </c>
      <c r="Q15" s="22" t="str">
        <f t="shared" si="1"/>
        <v>No-cook</v>
      </c>
      <c r="R15" s="28">
        <v>4</v>
      </c>
      <c r="S15" s="22">
        <v>120</v>
      </c>
      <c r="T15" s="22">
        <v>1</v>
      </c>
      <c r="U15" s="29">
        <f>SUMIFS('Recipe Ingredients'!$I$2:$I$2500,'Recipe Ingredients'!$A$2:$A$2500,A15)/R15</f>
        <v>282.25</v>
      </c>
      <c r="V15" s="29">
        <f>SUMIFS('Recipe Ingredients'!$J$2:$J$2500,'Recipe Ingredients'!$A$2:$A$2500,A15)/R15</f>
        <v>5.9050000000000002</v>
      </c>
      <c r="W15" s="29">
        <f>SUMIFS('Recipe Ingredients'!$K$2:$K$2500,'Recipe Ingredients'!$A$2:$A$2500,A15)/R15</f>
        <v>100.65225</v>
      </c>
      <c r="X15" s="29">
        <f>SUMIFS('Recipe Ingredients'!$L$2:$L$2500,'Recipe Ingredients'!$A$2:$A$2500,A15)/R15</f>
        <v>145.05500000000004</v>
      </c>
      <c r="Y15" s="29">
        <f>SUMIFS('Recipe Ingredients'!$M$2:$M$2500,'Recipe Ingredients'!$A$2:$A$2500,A15)/R15</f>
        <v>10.779000000000002</v>
      </c>
      <c r="Z15" s="29">
        <f>SUMIFS('Recipe Ingredients'!$N$2:$N$2500,'Recipe Ingredients'!$A$2:$A$2500,A15)/R15</f>
        <v>111.59</v>
      </c>
      <c r="AA15" s="29">
        <f>SUMIFS('Recipe Ingredients'!$O$2:$O$2500,'Recipe Ingredients'!$A$2:$A$2500,A15)/R15</f>
        <v>487.42500000000001</v>
      </c>
      <c r="AB15" s="30">
        <f>SUMIFS('Recipe Ingredients'!$P$2:$P$2500,'Recipe Ingredients'!$A$2:$A$2500,A15)/R15</f>
        <v>2.30755</v>
      </c>
      <c r="AC15" s="30">
        <f>SUMIFS('Recipe Ingredients'!$Q$2:$Q$2500,'Recipe Ingredients'!$A$2:$A$2500,A15)/R15</f>
        <v>0.32058249999999999</v>
      </c>
      <c r="AD15" s="29">
        <f>SUMIFS('Recipe Ingredients'!$R$2:$R$2500,'Recipe Ingredients'!$A$2:$A$2500,A15)/R15</f>
        <v>30.119999999999997</v>
      </c>
      <c r="AE15" s="30">
        <f>SUMIFS('Recipe Ingredients'!$S$2:$S$2500,'Recipe Ingredients'!$A$2:$A$2500,A15)/R15</f>
        <v>0.71970000000000001</v>
      </c>
      <c r="AF15" s="31">
        <f>IFERROR(V15/'Start Here'!$C$10,0)</f>
        <v>0.23620000000000002</v>
      </c>
      <c r="AG15" s="31">
        <f>IFERROR(W15/'Start Here'!$C$11,0)</f>
        <v>1.258153125</v>
      </c>
      <c r="AH15" s="31">
        <f>IFERROR(X15/'Start Here'!$C$12,0)</f>
        <v>0.18131875000000006</v>
      </c>
      <c r="AI15" s="31">
        <f>IFERROR(Y15/'Start Here'!$C$13,0)</f>
        <v>0.14372000000000001</v>
      </c>
      <c r="AJ15" s="31">
        <f>IFERROR(Z15/'Start Here'!$C$14,0)</f>
        <v>0.55795000000000006</v>
      </c>
      <c r="AK15" s="31">
        <f>IFERROR(AA15/'Start Here'!$C$15,0)</f>
        <v>0.2437125</v>
      </c>
      <c r="AL15" s="31">
        <f>IFERROR(AB15/'Start Here'!$C$16,0)</f>
        <v>0.19229583333333333</v>
      </c>
      <c r="AM15" s="31">
        <f>IFERROR(AC15/'Start Here'!$C$17,0)</f>
        <v>0.22898750000000001</v>
      </c>
      <c r="AN15" s="31">
        <f>IFERROR(AD15/'Start Here'!$C$18,0)</f>
        <v>8.0319999999999989E-2</v>
      </c>
      <c r="AO15" s="31">
        <f>IFERROR(AE15/'Start Here'!$C$19,0)</f>
        <v>5.140714285714286E-2</v>
      </c>
      <c r="AP15" s="22" t="str">
        <f t="shared" si="2"/>
        <v>Vitamin C</v>
      </c>
      <c r="AQ15" s="7" t="str">
        <f t="shared" si="3"/>
        <v>Best for better vitamin C intake: one serving gives about 126% of your daily vitamin C from the produce alone.</v>
      </c>
      <c r="AR15" s="7" t="str">
        <f t="shared" si="4"/>
        <v>Folate (56%)</v>
      </c>
      <c r="AS15" s="7" t="s">
        <v>959</v>
      </c>
      <c r="AT15" s="7" t="s">
        <v>1125</v>
      </c>
      <c r="AU15" s="28">
        <f>COUNTIFS('Recipe Ingredients'!$A$2:$A$2500,A15,'Recipe Ingredients'!$G$2:$G$2500,"Basket")</f>
        <v>3</v>
      </c>
      <c r="AV15" s="28">
        <f>COUNTIFS('Recipe Ingredients'!$A$2:$A$2500,A15,'Recipe Ingredients'!$G$2:$G$2500,"Protein")+COUNTIFS('Recipe Ingredients'!$A$2:$A$2500,A15,'Recipe Ingredients'!$G$2:$G$2500,"Pantry")</f>
        <v>1</v>
      </c>
      <c r="AW15" s="31">
        <f t="shared" si="5"/>
        <v>0.75</v>
      </c>
      <c r="AX15" s="28" t="str">
        <f>IF(AW15&gt;='Start Here'!$C$6,"Yes","No")</f>
        <v>No</v>
      </c>
      <c r="AY15" s="7" t="s">
        <v>961</v>
      </c>
      <c r="AZ15" s="7" t="s">
        <v>1126</v>
      </c>
      <c r="BA15" s="7" t="s">
        <v>1116</v>
      </c>
      <c r="BB15" s="32" t="s">
        <v>964</v>
      </c>
    </row>
    <row r="16" spans="1:54" ht="96" customHeight="1" x14ac:dyDescent="0.25">
      <c r="A16" s="22" t="s">
        <v>1127</v>
      </c>
      <c r="B16" s="23" t="s">
        <v>1128</v>
      </c>
      <c r="C16" s="22" t="s">
        <v>1129</v>
      </c>
      <c r="D16" s="22" t="s">
        <v>1130</v>
      </c>
      <c r="E16" s="22" t="s">
        <v>1131</v>
      </c>
      <c r="F16" s="7" t="s">
        <v>1132</v>
      </c>
      <c r="G16" s="22" t="s">
        <v>1133</v>
      </c>
      <c r="H16" s="27" t="s">
        <v>1134</v>
      </c>
      <c r="I16" s="27" t="s">
        <v>1135</v>
      </c>
      <c r="J16" s="7" t="s">
        <v>1136</v>
      </c>
      <c r="K16" s="7" t="s">
        <v>1137</v>
      </c>
      <c r="L16" s="7" t="s">
        <v>974</v>
      </c>
      <c r="M16" s="22" t="s">
        <v>1051</v>
      </c>
      <c r="N16" s="28">
        <v>15</v>
      </c>
      <c r="O16" s="28">
        <v>0</v>
      </c>
      <c r="P16" s="28">
        <f t="shared" si="0"/>
        <v>15</v>
      </c>
      <c r="Q16" s="22" t="str">
        <f t="shared" si="1"/>
        <v>No-cook</v>
      </c>
      <c r="R16" s="28">
        <v>2</v>
      </c>
      <c r="S16" s="22">
        <v>140</v>
      </c>
      <c r="T16" s="22">
        <v>3</v>
      </c>
      <c r="U16" s="29">
        <f>SUMIFS('Recipe Ingredients'!$I$2:$I$2500,'Recipe Ingredients'!$A$2:$A$2500,A16)/R16</f>
        <v>392.5</v>
      </c>
      <c r="V16" s="29">
        <f>SUMIFS('Recipe Ingredients'!$J$2:$J$2500,'Recipe Ingredients'!$A$2:$A$2500,A16)/R16</f>
        <v>6.3605</v>
      </c>
      <c r="W16" s="29">
        <f>SUMIFS('Recipe Ingredients'!$K$2:$K$2500,'Recipe Ingredients'!$A$2:$A$2500,A16)/R16</f>
        <v>60.264999999999993</v>
      </c>
      <c r="X16" s="29">
        <f>SUMIFS('Recipe Ingredients'!$L$2:$L$2500,'Recipe Ingredients'!$A$2:$A$2500,A16)/R16</f>
        <v>101.10000000000001</v>
      </c>
      <c r="Y16" s="29">
        <f>SUMIFS('Recipe Ingredients'!$M$2:$M$2500,'Recipe Ingredients'!$A$2:$A$2500,A16)/R16</f>
        <v>239.93899999999999</v>
      </c>
      <c r="Z16" s="29">
        <f>SUMIFS('Recipe Ingredients'!$N$2:$N$2500,'Recipe Ingredients'!$A$2:$A$2500,A16)/R16</f>
        <v>69.5</v>
      </c>
      <c r="AA16" s="29">
        <f>SUMIFS('Recipe Ingredients'!$O$2:$O$2500,'Recipe Ingredients'!$A$2:$A$2500,A16)/R16</f>
        <v>783.06499999999994</v>
      </c>
      <c r="AB16" s="30">
        <f>SUMIFS('Recipe Ingredients'!$P$2:$P$2500,'Recipe Ingredients'!$A$2:$A$2500,A16)/R16</f>
        <v>0.93010000000000004</v>
      </c>
      <c r="AC16" s="30">
        <f>SUMIFS('Recipe Ingredients'!$Q$2:$Q$2500,'Recipe Ingredients'!$A$2:$A$2500,A16)/R16</f>
        <v>0.26605000000000001</v>
      </c>
      <c r="AD16" s="29">
        <f>SUMIFS('Recipe Ingredients'!$R$2:$R$2500,'Recipe Ingredients'!$A$2:$A$2500,A16)/R16</f>
        <v>53.115000000000002</v>
      </c>
      <c r="AE16" s="30">
        <f>SUMIFS('Recipe Ingredients'!$S$2:$S$2500,'Recipe Ingredients'!$A$2:$A$2500,A16)/R16</f>
        <v>2.07925</v>
      </c>
      <c r="AF16" s="31">
        <f>IFERROR(V16/'Start Here'!$C$10,0)</f>
        <v>0.25441999999999998</v>
      </c>
      <c r="AG16" s="31">
        <f>IFERROR(W16/'Start Here'!$C$11,0)</f>
        <v>0.75331249999999994</v>
      </c>
      <c r="AH16" s="31">
        <f>IFERROR(X16/'Start Here'!$C$12,0)</f>
        <v>0.12637500000000002</v>
      </c>
      <c r="AI16" s="31">
        <f>IFERROR(Y16/'Start Here'!$C$13,0)</f>
        <v>3.1991866666666664</v>
      </c>
      <c r="AJ16" s="31">
        <f>IFERROR(Z16/'Start Here'!$C$14,0)</f>
        <v>0.34749999999999998</v>
      </c>
      <c r="AK16" s="31">
        <f>IFERROR(AA16/'Start Here'!$C$15,0)</f>
        <v>0.39153249999999995</v>
      </c>
      <c r="AL16" s="31">
        <f>IFERROR(AB16/'Start Here'!$C$16,0)</f>
        <v>7.7508333333333332E-2</v>
      </c>
      <c r="AM16" s="31">
        <f>IFERROR(AC16/'Start Here'!$C$17,0)</f>
        <v>0.19003571428571431</v>
      </c>
      <c r="AN16" s="31">
        <f>IFERROR(AD16/'Start Here'!$C$18,0)</f>
        <v>0.14164000000000002</v>
      </c>
      <c r="AO16" s="31">
        <f>IFERROR(AE16/'Start Here'!$C$19,0)</f>
        <v>0.14851785714285715</v>
      </c>
      <c r="AP16" s="22" t="str">
        <f t="shared" si="2"/>
        <v>Vitamin K</v>
      </c>
      <c r="AQ16" s="7" t="str">
        <f t="shared" si="3"/>
        <v>Best for better vitamin K intake: one serving gives about 320% of your daily vitamin K from the produce alone.</v>
      </c>
      <c r="AR16" s="7" t="str">
        <f t="shared" si="4"/>
        <v>Fibre (25%), Vitamin C (75%), Folate (35%), Potassium (39%)</v>
      </c>
      <c r="AS16" s="7" t="s">
        <v>1138</v>
      </c>
      <c r="AT16" s="7" t="s">
        <v>1139</v>
      </c>
      <c r="AU16" s="28">
        <f>COUNTIFS('Recipe Ingredients'!$A$2:$A$2500,A16,'Recipe Ingredients'!$G$2:$G$2500,"Basket")</f>
        <v>6</v>
      </c>
      <c r="AV16" s="28">
        <f>COUNTIFS('Recipe Ingredients'!$A$2:$A$2500,A16,'Recipe Ingredients'!$G$2:$G$2500,"Protein")+COUNTIFS('Recipe Ingredients'!$A$2:$A$2500,A16,'Recipe Ingredients'!$G$2:$G$2500,"Pantry")</f>
        <v>0</v>
      </c>
      <c r="AW16" s="31">
        <f t="shared" si="5"/>
        <v>1</v>
      </c>
      <c r="AX16" s="28" t="str">
        <f>IF(AW16&gt;='Start Here'!$C$6,"Yes","No")</f>
        <v>Yes</v>
      </c>
      <c r="AY16" s="7" t="s">
        <v>1140</v>
      </c>
      <c r="AZ16" s="7" t="s">
        <v>1141</v>
      </c>
      <c r="BA16" s="7" t="s">
        <v>1142</v>
      </c>
      <c r="BB16" s="32" t="s">
        <v>964</v>
      </c>
    </row>
    <row r="17" spans="1:54" ht="96" customHeight="1" x14ac:dyDescent="0.25">
      <c r="A17" s="22" t="s">
        <v>1143</v>
      </c>
      <c r="B17" s="23" t="s">
        <v>1144</v>
      </c>
      <c r="C17" s="22" t="s">
        <v>1129</v>
      </c>
      <c r="D17" s="22" t="s">
        <v>1130</v>
      </c>
      <c r="E17" s="22" t="s">
        <v>1145</v>
      </c>
      <c r="F17" s="7" t="s">
        <v>1146</v>
      </c>
      <c r="G17" s="22" t="s">
        <v>1147</v>
      </c>
      <c r="H17" s="27" t="s">
        <v>1148</v>
      </c>
      <c r="I17" s="27" t="s">
        <v>1149</v>
      </c>
      <c r="J17" s="7" t="s">
        <v>1150</v>
      </c>
      <c r="K17" s="7" t="s">
        <v>1151</v>
      </c>
      <c r="L17" s="7" t="s">
        <v>580</v>
      </c>
      <c r="M17" s="22" t="s">
        <v>1152</v>
      </c>
      <c r="N17" s="28">
        <v>15</v>
      </c>
      <c r="O17" s="28">
        <v>15</v>
      </c>
      <c r="P17" s="28">
        <f t="shared" si="0"/>
        <v>30</v>
      </c>
      <c r="Q17" s="22" t="str">
        <f t="shared" si="1"/>
        <v>Standard</v>
      </c>
      <c r="R17" s="28">
        <v>2</v>
      </c>
      <c r="S17" s="22">
        <v>420</v>
      </c>
      <c r="T17" s="22">
        <v>35</v>
      </c>
      <c r="U17" s="29">
        <f>SUMIFS('Recipe Ingredients'!$I$2:$I$2500,'Recipe Ingredients'!$A$2:$A$2500,A17)/R17</f>
        <v>677</v>
      </c>
      <c r="V17" s="29">
        <f>SUMIFS('Recipe Ingredients'!$J$2:$J$2500,'Recipe Ingredients'!$A$2:$A$2500,A17)/R17</f>
        <v>11.290000000000001</v>
      </c>
      <c r="W17" s="29">
        <f>SUMIFS('Recipe Ingredients'!$K$2:$K$2500,'Recipe Ingredients'!$A$2:$A$2500,A17)/R17</f>
        <v>157.88800000000001</v>
      </c>
      <c r="X17" s="29">
        <f>SUMIFS('Recipe Ingredients'!$L$2:$L$2500,'Recipe Ingredients'!$A$2:$A$2500,A17)/R17</f>
        <v>1473.4300000000003</v>
      </c>
      <c r="Y17" s="29">
        <f>SUMIFS('Recipe Ingredients'!$M$2:$M$2500,'Recipe Ingredients'!$A$2:$A$2500,A17)/R17</f>
        <v>364.93950000000001</v>
      </c>
      <c r="Z17" s="29">
        <f>SUMIFS('Recipe Ingredients'!$N$2:$N$2500,'Recipe Ingredients'!$A$2:$A$2500,A17)/R17</f>
        <v>491.40500000000003</v>
      </c>
      <c r="AA17" s="29">
        <f>SUMIFS('Recipe Ingredients'!$O$2:$O$2500,'Recipe Ingredients'!$A$2:$A$2500,A17)/R17</f>
        <v>1297.93</v>
      </c>
      <c r="AB17" s="30">
        <f>SUMIFS('Recipe Ingredients'!$P$2:$P$2500,'Recipe Ingredients'!$A$2:$A$2500,A17)/R17</f>
        <v>1.5297000000000003</v>
      </c>
      <c r="AC17" s="30">
        <f>SUMIFS('Recipe Ingredients'!$Q$2:$Q$2500,'Recipe Ingredients'!$A$2:$A$2500,A17)/R17</f>
        <v>0.61050499999999996</v>
      </c>
      <c r="AD17" s="29">
        <f>SUMIFS('Recipe Ingredients'!$R$2:$R$2500,'Recipe Ingredients'!$A$2:$A$2500,A17)/R17</f>
        <v>87.595000000000013</v>
      </c>
      <c r="AE17" s="30">
        <f>SUMIFS('Recipe Ingredients'!$S$2:$S$2500,'Recipe Ingredients'!$A$2:$A$2500,A17)/R17</f>
        <v>4.3530499999999996</v>
      </c>
      <c r="AF17" s="31">
        <f>IFERROR(V17/'Start Here'!$C$10,0)</f>
        <v>0.45160000000000006</v>
      </c>
      <c r="AG17" s="31">
        <f>IFERROR(W17/'Start Here'!$C$11,0)</f>
        <v>1.9736</v>
      </c>
      <c r="AH17" s="31">
        <f>IFERROR(X17/'Start Here'!$C$12,0)</f>
        <v>1.8417875000000004</v>
      </c>
      <c r="AI17" s="31">
        <f>IFERROR(Y17/'Start Here'!$C$13,0)</f>
        <v>4.8658600000000005</v>
      </c>
      <c r="AJ17" s="31">
        <f>IFERROR(Z17/'Start Here'!$C$14,0)</f>
        <v>2.4570250000000002</v>
      </c>
      <c r="AK17" s="31">
        <f>IFERROR(AA17/'Start Here'!$C$15,0)</f>
        <v>0.64896500000000001</v>
      </c>
      <c r="AL17" s="31">
        <f>IFERROR(AB17/'Start Here'!$C$16,0)</f>
        <v>0.12747500000000003</v>
      </c>
      <c r="AM17" s="31">
        <f>IFERROR(AC17/'Start Here'!$C$17,0)</f>
        <v>0.43607499999999999</v>
      </c>
      <c r="AN17" s="31">
        <f>IFERROR(AD17/'Start Here'!$C$18,0)</f>
        <v>0.23358666666666669</v>
      </c>
      <c r="AO17" s="31">
        <f>IFERROR(AE17/'Start Here'!$C$19,0)</f>
        <v>0.31093214285714282</v>
      </c>
      <c r="AP17" s="22" t="str">
        <f t="shared" si="2"/>
        <v>Vitamin K</v>
      </c>
      <c r="AQ17" s="7" t="str">
        <f t="shared" si="3"/>
        <v>Best for better vitamin K intake: one serving gives about 487% of your daily vitamin K from the produce alone.</v>
      </c>
      <c r="AR17" s="7" t="str">
        <f t="shared" si="4"/>
        <v>Fibre (45%), Vitamin C (197%), Vitamin A (184%), Folate (246%), Potassium (65%), Vitamin B6 (44%), Iron (31%)</v>
      </c>
      <c r="AS17" s="7" t="s">
        <v>1153</v>
      </c>
      <c r="AT17" s="7" t="s">
        <v>1154</v>
      </c>
      <c r="AU17" s="28">
        <f>COUNTIFS('Recipe Ingredients'!$A$2:$A$2500,A17,'Recipe Ingredients'!$G$2:$G$2500,"Basket")</f>
        <v>6</v>
      </c>
      <c r="AV17" s="28">
        <f>COUNTIFS('Recipe Ingredients'!$A$2:$A$2500,A17,'Recipe Ingredients'!$G$2:$G$2500,"Protein")+COUNTIFS('Recipe Ingredients'!$A$2:$A$2500,A17,'Recipe Ingredients'!$G$2:$G$2500,"Pantry")</f>
        <v>3</v>
      </c>
      <c r="AW17" s="31">
        <f t="shared" si="5"/>
        <v>0.66666666666666663</v>
      </c>
      <c r="AX17" s="28" t="str">
        <f>IF(AW17&gt;='Start Here'!$C$6,"Yes","No")</f>
        <v>No</v>
      </c>
      <c r="AY17" s="7" t="s">
        <v>115</v>
      </c>
      <c r="AZ17" s="7" t="s">
        <v>1155</v>
      </c>
      <c r="BA17" s="7"/>
      <c r="BB17" s="32" t="s">
        <v>964</v>
      </c>
    </row>
    <row r="18" spans="1:54" ht="96" customHeight="1" x14ac:dyDescent="0.25">
      <c r="A18" s="22" t="s">
        <v>1156</v>
      </c>
      <c r="B18" s="23" t="s">
        <v>1157</v>
      </c>
      <c r="C18" s="22" t="s">
        <v>1129</v>
      </c>
      <c r="D18" s="22" t="s">
        <v>1130</v>
      </c>
      <c r="E18" s="22" t="s">
        <v>1131</v>
      </c>
      <c r="F18" s="7" t="s">
        <v>1158</v>
      </c>
      <c r="G18" s="22" t="s">
        <v>1159</v>
      </c>
      <c r="H18" s="27" t="s">
        <v>1160</v>
      </c>
      <c r="I18" s="27" t="s">
        <v>1161</v>
      </c>
      <c r="J18" s="7" t="s">
        <v>1162</v>
      </c>
      <c r="K18" s="7" t="s">
        <v>1163</v>
      </c>
      <c r="L18" s="7" t="s">
        <v>1101</v>
      </c>
      <c r="M18" s="22" t="s">
        <v>1051</v>
      </c>
      <c r="N18" s="28">
        <v>15</v>
      </c>
      <c r="O18" s="28">
        <v>0</v>
      </c>
      <c r="P18" s="28">
        <f t="shared" si="0"/>
        <v>15</v>
      </c>
      <c r="Q18" s="22" t="str">
        <f t="shared" si="1"/>
        <v>No-cook</v>
      </c>
      <c r="R18" s="28">
        <v>2</v>
      </c>
      <c r="S18" s="22">
        <v>260</v>
      </c>
      <c r="T18" s="22">
        <v>3</v>
      </c>
      <c r="U18" s="29">
        <f>SUMIFS('Recipe Ingredients'!$I$2:$I$2500,'Recipe Ingredients'!$A$2:$A$2500,A18)/R18</f>
        <v>482.5</v>
      </c>
      <c r="V18" s="29">
        <f>SUMIFS('Recipe Ingredients'!$J$2:$J$2500,'Recipe Ingredients'!$A$2:$A$2500,A18)/R18</f>
        <v>11.785</v>
      </c>
      <c r="W18" s="29">
        <f>SUMIFS('Recipe Ingredients'!$K$2:$K$2500,'Recipe Ingredients'!$A$2:$A$2500,A18)/R18</f>
        <v>91.6875</v>
      </c>
      <c r="X18" s="29">
        <f>SUMIFS('Recipe Ingredients'!$L$2:$L$2500,'Recipe Ingredients'!$A$2:$A$2500,A18)/R18</f>
        <v>156.97999999999999</v>
      </c>
      <c r="Y18" s="29">
        <f>SUMIFS('Recipe Ingredients'!$M$2:$M$2500,'Recipe Ingredients'!$A$2:$A$2500,A18)/R18</f>
        <v>99.74</v>
      </c>
      <c r="Z18" s="29">
        <f>SUMIFS('Recipe Ingredients'!$N$2:$N$2500,'Recipe Ingredients'!$A$2:$A$2500,A18)/R18</f>
        <v>179.04999999999998</v>
      </c>
      <c r="AA18" s="29">
        <f>SUMIFS('Recipe Ingredients'!$O$2:$O$2500,'Recipe Ingredients'!$A$2:$A$2500,A18)/R18</f>
        <v>1126.8800000000001</v>
      </c>
      <c r="AB18" s="30">
        <f>SUMIFS('Recipe Ingredients'!$P$2:$P$2500,'Recipe Ingredients'!$A$2:$A$2500,A18)/R18</f>
        <v>4.0959000000000003</v>
      </c>
      <c r="AC18" s="30">
        <f>SUMIFS('Recipe Ingredients'!$Q$2:$Q$2500,'Recipe Ingredients'!$A$2:$A$2500,A18)/R18</f>
        <v>0.57701999999999998</v>
      </c>
      <c r="AD18" s="29">
        <f>SUMIFS('Recipe Ingredients'!$R$2:$R$2500,'Recipe Ingredients'!$A$2:$A$2500,A18)/R18</f>
        <v>73.050000000000026</v>
      </c>
      <c r="AE18" s="30">
        <f>SUMIFS('Recipe Ingredients'!$S$2:$S$2500,'Recipe Ingredients'!$A$2:$A$2500,A18)/R18</f>
        <v>1.7491500000000002</v>
      </c>
      <c r="AF18" s="31">
        <f>IFERROR(V18/'Start Here'!$C$10,0)</f>
        <v>0.47139999999999999</v>
      </c>
      <c r="AG18" s="31">
        <f>IFERROR(W18/'Start Here'!$C$11,0)</f>
        <v>1.1460937499999999</v>
      </c>
      <c r="AH18" s="31">
        <f>IFERROR(X18/'Start Here'!$C$12,0)</f>
        <v>0.19622499999999998</v>
      </c>
      <c r="AI18" s="31">
        <f>IFERROR(Y18/'Start Here'!$C$13,0)</f>
        <v>1.3298666666666665</v>
      </c>
      <c r="AJ18" s="31">
        <f>IFERROR(Z18/'Start Here'!$C$14,0)</f>
        <v>0.89524999999999988</v>
      </c>
      <c r="AK18" s="31">
        <f>IFERROR(AA18/'Start Here'!$C$15,0)</f>
        <v>0.56344000000000005</v>
      </c>
      <c r="AL18" s="31">
        <f>IFERROR(AB18/'Start Here'!$C$16,0)</f>
        <v>0.34132500000000005</v>
      </c>
      <c r="AM18" s="31">
        <f>IFERROR(AC18/'Start Here'!$C$17,0)</f>
        <v>0.41215714285714289</v>
      </c>
      <c r="AN18" s="31">
        <f>IFERROR(AD18/'Start Here'!$C$18,0)</f>
        <v>0.19480000000000006</v>
      </c>
      <c r="AO18" s="31">
        <f>IFERROR(AE18/'Start Here'!$C$19,0)</f>
        <v>0.12493928571428572</v>
      </c>
      <c r="AP18" s="22" t="str">
        <f t="shared" si="2"/>
        <v>Vitamin K</v>
      </c>
      <c r="AQ18" s="7" t="str">
        <f t="shared" si="3"/>
        <v>Best for better vitamin K intake: one serving gives about 133% of your daily vitamin K from the produce alone.</v>
      </c>
      <c r="AR18" s="7" t="str">
        <f t="shared" si="4"/>
        <v>Fibre (47%), Vitamin C (115%), Folate (90%), Potassium (56%), Vitamin E (34%), Vitamin B6 (41%)</v>
      </c>
      <c r="AS18" s="7" t="s">
        <v>1164</v>
      </c>
      <c r="AT18" s="7" t="s">
        <v>1165</v>
      </c>
      <c r="AU18" s="28">
        <f>COUNTIFS('Recipe Ingredients'!$A$2:$A$2500,A18,'Recipe Ingredients'!$G$2:$G$2500,"Basket")</f>
        <v>7</v>
      </c>
      <c r="AV18" s="28">
        <f>COUNTIFS('Recipe Ingredients'!$A$2:$A$2500,A18,'Recipe Ingredients'!$G$2:$G$2500,"Protein")+COUNTIFS('Recipe Ingredients'!$A$2:$A$2500,A18,'Recipe Ingredients'!$G$2:$G$2500,"Pantry")</f>
        <v>0</v>
      </c>
      <c r="AW18" s="31">
        <f t="shared" si="5"/>
        <v>1</v>
      </c>
      <c r="AX18" s="28" t="str">
        <f>IF(AW18&gt;='Start Here'!$C$6,"Yes","No")</f>
        <v>Yes</v>
      </c>
      <c r="AY18" s="7" t="s">
        <v>1054</v>
      </c>
      <c r="AZ18" s="7" t="s">
        <v>1166</v>
      </c>
      <c r="BA18" s="7" t="s">
        <v>1167</v>
      </c>
      <c r="BB18" s="32" t="s">
        <v>964</v>
      </c>
    </row>
    <row r="19" spans="1:54" ht="96" customHeight="1" x14ac:dyDescent="0.25">
      <c r="A19" s="22" t="s">
        <v>1168</v>
      </c>
      <c r="B19" s="23" t="s">
        <v>1169</v>
      </c>
      <c r="C19" s="22" t="s">
        <v>1129</v>
      </c>
      <c r="D19" s="22" t="s">
        <v>1130</v>
      </c>
      <c r="E19" s="22" t="s">
        <v>1131</v>
      </c>
      <c r="F19" s="7" t="s">
        <v>1170</v>
      </c>
      <c r="G19" s="22" t="s">
        <v>953</v>
      </c>
      <c r="H19" s="27" t="s">
        <v>1171</v>
      </c>
      <c r="I19" s="27" t="s">
        <v>1172</v>
      </c>
      <c r="J19" s="7" t="s">
        <v>1173</v>
      </c>
      <c r="K19" s="7" t="s">
        <v>1174</v>
      </c>
      <c r="L19" s="7" t="s">
        <v>147</v>
      </c>
      <c r="M19" s="22" t="s">
        <v>958</v>
      </c>
      <c r="N19" s="28">
        <v>15</v>
      </c>
      <c r="O19" s="28">
        <v>5</v>
      </c>
      <c r="P19" s="28">
        <f t="shared" si="0"/>
        <v>20</v>
      </c>
      <c r="Q19" s="22" t="str">
        <f t="shared" si="1"/>
        <v>Quick</v>
      </c>
      <c r="R19" s="28">
        <v>2</v>
      </c>
      <c r="S19" s="22">
        <v>230</v>
      </c>
      <c r="T19" s="22">
        <v>12</v>
      </c>
      <c r="U19" s="29">
        <f>SUMIFS('Recipe Ingredients'!$I$2:$I$2500,'Recipe Ingredients'!$A$2:$A$2500,A19)/R19</f>
        <v>438.5</v>
      </c>
      <c r="V19" s="29">
        <f>SUMIFS('Recipe Ingredients'!$J$2:$J$2500,'Recipe Ingredients'!$A$2:$A$2500,A19)/R19</f>
        <v>3.6905000000000001</v>
      </c>
      <c r="W19" s="29">
        <f>SUMIFS('Recipe Ingredients'!$K$2:$K$2500,'Recipe Ingredients'!$A$2:$A$2500,A19)/R19</f>
        <v>35.129000000000005</v>
      </c>
      <c r="X19" s="29">
        <f>SUMIFS('Recipe Ingredients'!$L$2:$L$2500,'Recipe Ingredients'!$A$2:$A$2500,A19)/R19</f>
        <v>97.410000000000011</v>
      </c>
      <c r="Y19" s="29">
        <f>SUMIFS('Recipe Ingredients'!$M$2:$M$2500,'Recipe Ingredients'!$A$2:$A$2500,A19)/R19</f>
        <v>25.167000000000002</v>
      </c>
      <c r="Z19" s="29">
        <f>SUMIFS('Recipe Ingredients'!$N$2:$N$2500,'Recipe Ingredients'!$A$2:$A$2500,A19)/R19</f>
        <v>35.839999999999996</v>
      </c>
      <c r="AA19" s="29">
        <f>SUMIFS('Recipe Ingredients'!$O$2:$O$2500,'Recipe Ingredients'!$A$2:$A$2500,A19)/R19</f>
        <v>588.45500000000004</v>
      </c>
      <c r="AB19" s="30">
        <f>SUMIFS('Recipe Ingredients'!$P$2:$P$2500,'Recipe Ingredients'!$A$2:$A$2500,A19)/R19</f>
        <v>0.23565000000000003</v>
      </c>
      <c r="AC19" s="30">
        <f>SUMIFS('Recipe Ingredients'!$Q$2:$Q$2500,'Recipe Ingredients'!$A$2:$A$2500,A19)/R19</f>
        <v>0.213755</v>
      </c>
      <c r="AD19" s="29">
        <f>SUMIFS('Recipe Ingredients'!$R$2:$R$2500,'Recipe Ingredients'!$A$2:$A$2500,A19)/R19</f>
        <v>53.65</v>
      </c>
      <c r="AE19" s="30">
        <f>SUMIFS('Recipe Ingredients'!$S$2:$S$2500,'Recipe Ingredients'!$A$2:$A$2500,A19)/R19</f>
        <v>2.68275</v>
      </c>
      <c r="AF19" s="31">
        <f>IFERROR(V19/'Start Here'!$C$10,0)</f>
        <v>0.14762</v>
      </c>
      <c r="AG19" s="31">
        <f>IFERROR(W19/'Start Here'!$C$11,0)</f>
        <v>0.43911250000000007</v>
      </c>
      <c r="AH19" s="31">
        <f>IFERROR(X19/'Start Here'!$C$12,0)</f>
        <v>0.12176250000000001</v>
      </c>
      <c r="AI19" s="31">
        <f>IFERROR(Y19/'Start Here'!$C$13,0)</f>
        <v>0.33556000000000002</v>
      </c>
      <c r="AJ19" s="31">
        <f>IFERROR(Z19/'Start Here'!$C$14,0)</f>
        <v>0.17919999999999997</v>
      </c>
      <c r="AK19" s="31">
        <f>IFERROR(AA19/'Start Here'!$C$15,0)</f>
        <v>0.29422750000000003</v>
      </c>
      <c r="AL19" s="31">
        <f>IFERROR(AB19/'Start Here'!$C$16,0)</f>
        <v>1.9637500000000002E-2</v>
      </c>
      <c r="AM19" s="31">
        <f>IFERROR(AC19/'Start Here'!$C$17,0)</f>
        <v>0.15268214285714288</v>
      </c>
      <c r="AN19" s="31">
        <f>IFERROR(AD19/'Start Here'!$C$18,0)</f>
        <v>0.14306666666666668</v>
      </c>
      <c r="AO19" s="31">
        <f>IFERROR(AE19/'Start Here'!$C$19,0)</f>
        <v>0.19162499999999999</v>
      </c>
      <c r="AP19" s="22" t="str">
        <f t="shared" si="2"/>
        <v>Vitamin C</v>
      </c>
      <c r="AQ19" s="7" t="str">
        <f t="shared" si="3"/>
        <v>Best for better vitamin C intake: one serving gives about 44% of your daily vitamin C from the produce alone.</v>
      </c>
      <c r="AR19" s="7" t="str">
        <f t="shared" si="4"/>
        <v>Vitamin K (34%), Potassium (29%)</v>
      </c>
      <c r="AS19" s="7" t="s">
        <v>1175</v>
      </c>
      <c r="AT19" s="7" t="s">
        <v>1176</v>
      </c>
      <c r="AU19" s="28">
        <f>COUNTIFS('Recipe Ingredients'!$A$2:$A$2500,A19,'Recipe Ingredients'!$G$2:$G$2500,"Basket")</f>
        <v>5</v>
      </c>
      <c r="AV19" s="28">
        <f>COUNTIFS('Recipe Ingredients'!$A$2:$A$2500,A19,'Recipe Ingredients'!$G$2:$G$2500,"Protein")+COUNTIFS('Recipe Ingredients'!$A$2:$A$2500,A19,'Recipe Ingredients'!$G$2:$G$2500,"Pantry")</f>
        <v>1</v>
      </c>
      <c r="AW19" s="31">
        <f t="shared" si="5"/>
        <v>0.83333333333333337</v>
      </c>
      <c r="AX19" s="28" t="str">
        <f>IF(AW19&gt;='Start Here'!$C$6,"Yes","No")</f>
        <v>Yes</v>
      </c>
      <c r="AY19" s="7" t="s">
        <v>115</v>
      </c>
      <c r="AZ19" s="7" t="s">
        <v>1177</v>
      </c>
      <c r="BA19" s="7"/>
      <c r="BB19" s="32" t="s">
        <v>964</v>
      </c>
    </row>
    <row r="20" spans="1:54" ht="96" customHeight="1" x14ac:dyDescent="0.25">
      <c r="A20" s="22" t="s">
        <v>1178</v>
      </c>
      <c r="B20" s="23" t="s">
        <v>1179</v>
      </c>
      <c r="C20" s="22" t="s">
        <v>1129</v>
      </c>
      <c r="D20" s="22" t="s">
        <v>1130</v>
      </c>
      <c r="E20" s="22" t="s">
        <v>1145</v>
      </c>
      <c r="F20" s="7" t="s">
        <v>1180</v>
      </c>
      <c r="G20" s="22" t="s">
        <v>1181</v>
      </c>
      <c r="H20" s="27" t="s">
        <v>1182</v>
      </c>
      <c r="I20" s="27" t="s">
        <v>1183</v>
      </c>
      <c r="J20" s="7" t="s">
        <v>1184</v>
      </c>
      <c r="K20" s="7" t="s">
        <v>1185</v>
      </c>
      <c r="L20" s="7" t="s">
        <v>580</v>
      </c>
      <c r="M20" s="22" t="s">
        <v>1152</v>
      </c>
      <c r="N20" s="28">
        <v>15</v>
      </c>
      <c r="O20" s="28">
        <v>15</v>
      </c>
      <c r="P20" s="28">
        <f t="shared" si="0"/>
        <v>30</v>
      </c>
      <c r="Q20" s="22" t="str">
        <f t="shared" si="1"/>
        <v>Standard</v>
      </c>
      <c r="R20" s="28">
        <v>2</v>
      </c>
      <c r="S20" s="22">
        <v>430</v>
      </c>
      <c r="T20" s="22">
        <v>38</v>
      </c>
      <c r="U20" s="29">
        <f>SUMIFS('Recipe Ingredients'!$I$2:$I$2500,'Recipe Ingredients'!$A$2:$A$2500,A20)/R20</f>
        <v>405.5</v>
      </c>
      <c r="V20" s="29">
        <f>SUMIFS('Recipe Ingredients'!$J$2:$J$2500,'Recipe Ingredients'!$A$2:$A$2500,A20)/R20</f>
        <v>8.160499999999999</v>
      </c>
      <c r="W20" s="29">
        <f>SUMIFS('Recipe Ingredients'!$K$2:$K$2500,'Recipe Ingredients'!$A$2:$A$2500,A20)/R20</f>
        <v>36.852000000000004</v>
      </c>
      <c r="X20" s="29">
        <f>SUMIFS('Recipe Ingredients'!$L$2:$L$2500,'Recipe Ingredients'!$A$2:$A$2500,A20)/R20</f>
        <v>1391.01</v>
      </c>
      <c r="Y20" s="29">
        <f>SUMIFS('Recipe Ingredients'!$M$2:$M$2500,'Recipe Ingredients'!$A$2:$A$2500,A20)/R20</f>
        <v>325.74850000000004</v>
      </c>
      <c r="Z20" s="29">
        <f>SUMIFS('Recipe Ingredients'!$N$2:$N$2500,'Recipe Ingredients'!$A$2:$A$2500,A20)/R20</f>
        <v>438.21500000000003</v>
      </c>
      <c r="AA20" s="29">
        <f>SUMIFS('Recipe Ingredients'!$O$2:$O$2500,'Recipe Ingredients'!$A$2:$A$2500,A20)/R20</f>
        <v>966.08499999999992</v>
      </c>
      <c r="AB20" s="30">
        <f>SUMIFS('Recipe Ingredients'!$P$2:$P$2500,'Recipe Ingredients'!$A$2:$A$2500,A20)/R20</f>
        <v>0.78639999999999999</v>
      </c>
      <c r="AC20" s="30">
        <f>SUMIFS('Recipe Ingredients'!$Q$2:$Q$2500,'Recipe Ingredients'!$A$2:$A$2500,A20)/R20</f>
        <v>0.32294499999999998</v>
      </c>
      <c r="AD20" s="29">
        <f>SUMIFS('Recipe Ingredients'!$R$2:$R$2500,'Recipe Ingredients'!$A$2:$A$2500,A20)/R20</f>
        <v>53.335000000000001</v>
      </c>
      <c r="AE20" s="30">
        <f>SUMIFS('Recipe Ingredients'!$S$2:$S$2500,'Recipe Ingredients'!$A$2:$A$2500,A20)/R20</f>
        <v>3.4030000000000005</v>
      </c>
      <c r="AF20" s="31">
        <f>IFERROR(V20/'Start Here'!$C$10,0)</f>
        <v>0.32641999999999993</v>
      </c>
      <c r="AG20" s="31">
        <f>IFERROR(W20/'Start Here'!$C$11,0)</f>
        <v>0.46065000000000006</v>
      </c>
      <c r="AH20" s="31">
        <f>IFERROR(X20/'Start Here'!$C$12,0)</f>
        <v>1.7387625</v>
      </c>
      <c r="AI20" s="31">
        <f>IFERROR(Y20/'Start Here'!$C$13,0)</f>
        <v>4.3433133333333336</v>
      </c>
      <c r="AJ20" s="31">
        <f>IFERROR(Z20/'Start Here'!$C$14,0)</f>
        <v>2.1910750000000001</v>
      </c>
      <c r="AK20" s="31">
        <f>IFERROR(AA20/'Start Here'!$C$15,0)</f>
        <v>0.48304249999999999</v>
      </c>
      <c r="AL20" s="31">
        <f>IFERROR(AB20/'Start Here'!$C$16,0)</f>
        <v>6.5533333333333332E-2</v>
      </c>
      <c r="AM20" s="31">
        <f>IFERROR(AC20/'Start Here'!$C$17,0)</f>
        <v>0.23067499999999999</v>
      </c>
      <c r="AN20" s="31">
        <f>IFERROR(AD20/'Start Here'!$C$18,0)</f>
        <v>0.14222666666666667</v>
      </c>
      <c r="AO20" s="31">
        <f>IFERROR(AE20/'Start Here'!$C$19,0)</f>
        <v>0.2430714285714286</v>
      </c>
      <c r="AP20" s="22" t="str">
        <f t="shared" si="2"/>
        <v>Vitamin K</v>
      </c>
      <c r="AQ20" s="7" t="str">
        <f t="shared" si="3"/>
        <v>Best for better vitamin K intake: one serving gives about 434% of your daily vitamin K from the produce alone.</v>
      </c>
      <c r="AR20" s="7" t="str">
        <f t="shared" si="4"/>
        <v>Fibre (33%), Vitamin C (46%), Vitamin A (174%), Folate (219%), Potassium (48%)</v>
      </c>
      <c r="AS20" s="7" t="s">
        <v>1186</v>
      </c>
      <c r="AT20" s="7" t="s">
        <v>1187</v>
      </c>
      <c r="AU20" s="28">
        <f>COUNTIFS('Recipe Ingredients'!$A$2:$A$2500,A20,'Recipe Ingredients'!$G$2:$G$2500,"Basket")</f>
        <v>4</v>
      </c>
      <c r="AV20" s="28">
        <f>COUNTIFS('Recipe Ingredients'!$A$2:$A$2500,A20,'Recipe Ingredients'!$G$2:$G$2500,"Protein")+COUNTIFS('Recipe Ingredients'!$A$2:$A$2500,A20,'Recipe Ingredients'!$G$2:$G$2500,"Pantry")</f>
        <v>5</v>
      </c>
      <c r="AW20" s="31">
        <f t="shared" si="5"/>
        <v>0.44444444444444442</v>
      </c>
      <c r="AX20" s="28" t="str">
        <f>IF(AW20&gt;='Start Here'!$C$6,"Yes","No")</f>
        <v>No</v>
      </c>
      <c r="AY20" s="7" t="s">
        <v>115</v>
      </c>
      <c r="AZ20" s="7" t="s">
        <v>1188</v>
      </c>
      <c r="BA20" s="7"/>
      <c r="BB20" s="32" t="s">
        <v>964</v>
      </c>
    </row>
    <row r="21" spans="1:54" ht="96" customHeight="1" x14ac:dyDescent="0.25">
      <c r="A21" s="22" t="s">
        <v>1189</v>
      </c>
      <c r="B21" s="23" t="s">
        <v>1190</v>
      </c>
      <c r="C21" s="22" t="s">
        <v>1129</v>
      </c>
      <c r="D21" s="22" t="s">
        <v>1191</v>
      </c>
      <c r="E21" s="22" t="s">
        <v>1192</v>
      </c>
      <c r="F21" s="7" t="s">
        <v>1193</v>
      </c>
      <c r="G21" s="22" t="s">
        <v>1147</v>
      </c>
      <c r="H21" s="27" t="s">
        <v>1194</v>
      </c>
      <c r="I21" s="27" t="s">
        <v>1195</v>
      </c>
      <c r="J21" s="7" t="s">
        <v>1196</v>
      </c>
      <c r="K21" s="7" t="s">
        <v>1197</v>
      </c>
      <c r="L21" s="7" t="s">
        <v>1198</v>
      </c>
      <c r="M21" s="22" t="s">
        <v>1051</v>
      </c>
      <c r="N21" s="28">
        <v>20</v>
      </c>
      <c r="O21" s="28">
        <v>0</v>
      </c>
      <c r="P21" s="28">
        <f t="shared" si="0"/>
        <v>20</v>
      </c>
      <c r="Q21" s="22" t="str">
        <f t="shared" si="1"/>
        <v>No-cook</v>
      </c>
      <c r="R21" s="28">
        <v>4</v>
      </c>
      <c r="S21" s="22">
        <v>210</v>
      </c>
      <c r="T21" s="22">
        <v>7</v>
      </c>
      <c r="U21" s="29">
        <f>SUMIFS('Recipe Ingredients'!$I$2:$I$2500,'Recipe Ingredients'!$A$2:$A$2500,A21)/R21</f>
        <v>214</v>
      </c>
      <c r="V21" s="29">
        <f>SUMIFS('Recipe Ingredients'!$J$2:$J$2500,'Recipe Ingredients'!$A$2:$A$2500,A21)/R21</f>
        <v>6.4232499999999995</v>
      </c>
      <c r="W21" s="29">
        <f>SUMIFS('Recipe Ingredients'!$K$2:$K$2500,'Recipe Ingredients'!$A$2:$A$2500,A21)/R21</f>
        <v>68.003500000000003</v>
      </c>
      <c r="X21" s="29">
        <f>SUMIFS('Recipe Ingredients'!$L$2:$L$2500,'Recipe Ingredients'!$A$2:$A$2500,A21)/R21</f>
        <v>318.70749999999998</v>
      </c>
      <c r="Y21" s="29">
        <f>SUMIFS('Recipe Ingredients'!$M$2:$M$2500,'Recipe Ingredients'!$A$2:$A$2500,A21)/R21</f>
        <v>107.62325</v>
      </c>
      <c r="Z21" s="29">
        <f>SUMIFS('Recipe Ingredients'!$N$2:$N$2500,'Recipe Ingredients'!$A$2:$A$2500,A21)/R21</f>
        <v>96.664999999999992</v>
      </c>
      <c r="AA21" s="29">
        <f>SUMIFS('Recipe Ingredients'!$O$2:$O$2500,'Recipe Ingredients'!$A$2:$A$2500,A21)/R21</f>
        <v>568.93249999999989</v>
      </c>
      <c r="AB21" s="30">
        <f>SUMIFS('Recipe Ingredients'!$P$2:$P$2500,'Recipe Ingredients'!$A$2:$A$2500,A21)/R21</f>
        <v>2.1807250000000002</v>
      </c>
      <c r="AC21" s="30">
        <f>SUMIFS('Recipe Ingredients'!$Q$2:$Q$2500,'Recipe Ingredients'!$A$2:$A$2500,A21)/R21</f>
        <v>0.32968750000000002</v>
      </c>
      <c r="AD21" s="29">
        <f>SUMIFS('Recipe Ingredients'!$R$2:$R$2500,'Recipe Ingredients'!$A$2:$A$2500,A21)/R21</f>
        <v>57.202499999999993</v>
      </c>
      <c r="AE21" s="30">
        <f>SUMIFS('Recipe Ingredients'!$S$2:$S$2500,'Recipe Ingredients'!$A$2:$A$2500,A21)/R21</f>
        <v>2.1113250000000003</v>
      </c>
      <c r="AF21" s="31">
        <f>IFERROR(V21/'Start Here'!$C$10,0)</f>
        <v>0.25692999999999999</v>
      </c>
      <c r="AG21" s="31">
        <f>IFERROR(W21/'Start Here'!$C$11,0)</f>
        <v>0.85004374999999999</v>
      </c>
      <c r="AH21" s="31">
        <f>IFERROR(X21/'Start Here'!$C$12,0)</f>
        <v>0.39838437499999996</v>
      </c>
      <c r="AI21" s="31">
        <f>IFERROR(Y21/'Start Here'!$C$13,0)</f>
        <v>1.4349766666666666</v>
      </c>
      <c r="AJ21" s="31">
        <f>IFERROR(Z21/'Start Here'!$C$14,0)</f>
        <v>0.48332499999999995</v>
      </c>
      <c r="AK21" s="31">
        <f>IFERROR(AA21/'Start Here'!$C$15,0)</f>
        <v>0.28446624999999992</v>
      </c>
      <c r="AL21" s="31">
        <f>IFERROR(AB21/'Start Here'!$C$16,0)</f>
        <v>0.18172708333333334</v>
      </c>
      <c r="AM21" s="31">
        <f>IFERROR(AC21/'Start Here'!$C$17,0)</f>
        <v>0.23549107142857145</v>
      </c>
      <c r="AN21" s="31">
        <f>IFERROR(AD21/'Start Here'!$C$18,0)</f>
        <v>0.15253999999999998</v>
      </c>
      <c r="AO21" s="31">
        <f>IFERROR(AE21/'Start Here'!$C$19,0)</f>
        <v>0.15080892857142861</v>
      </c>
      <c r="AP21" s="22" t="str">
        <f t="shared" si="2"/>
        <v>Vitamin K</v>
      </c>
      <c r="AQ21" s="7" t="str">
        <f t="shared" si="3"/>
        <v>Best for better vitamin K intake: one serving gives about 143% of your daily vitamin K from the produce alone.</v>
      </c>
      <c r="AR21" s="7" t="str">
        <f t="shared" si="4"/>
        <v>Fibre (26%), Vitamin C (85%), Vitamin A (40%), Folate (48%), Potassium (28%)</v>
      </c>
      <c r="AS21" s="7" t="s">
        <v>1199</v>
      </c>
      <c r="AT21" s="7" t="s">
        <v>1200</v>
      </c>
      <c r="AU21" s="28">
        <f>COUNTIFS('Recipe Ingredients'!$A$2:$A$2500,A21,'Recipe Ingredients'!$G$2:$G$2500,"Basket")</f>
        <v>8</v>
      </c>
      <c r="AV21" s="28">
        <f>COUNTIFS('Recipe Ingredients'!$A$2:$A$2500,A21,'Recipe Ingredients'!$G$2:$G$2500,"Protein")+COUNTIFS('Recipe Ingredients'!$A$2:$A$2500,A21,'Recipe Ingredients'!$G$2:$G$2500,"Pantry")</f>
        <v>3</v>
      </c>
      <c r="AW21" s="31">
        <f t="shared" si="5"/>
        <v>0.72727272727272729</v>
      </c>
      <c r="AX21" s="28" t="str">
        <f>IF(AW21&gt;='Start Here'!$C$6,"Yes","No")</f>
        <v>No</v>
      </c>
      <c r="AY21" s="7" t="s">
        <v>115</v>
      </c>
      <c r="AZ21" s="7" t="s">
        <v>1201</v>
      </c>
      <c r="BA21" s="7" t="s">
        <v>1202</v>
      </c>
      <c r="BB21" s="32" t="s">
        <v>964</v>
      </c>
    </row>
    <row r="22" spans="1:54" ht="96" customHeight="1" x14ac:dyDescent="0.25">
      <c r="A22" s="22" t="s">
        <v>1203</v>
      </c>
      <c r="B22" s="23" t="s">
        <v>1204</v>
      </c>
      <c r="C22" s="22" t="s">
        <v>1129</v>
      </c>
      <c r="D22" s="22" t="s">
        <v>1130</v>
      </c>
      <c r="E22" s="22" t="s">
        <v>1131</v>
      </c>
      <c r="F22" s="7" t="s">
        <v>1205</v>
      </c>
      <c r="G22" s="22" t="s">
        <v>1133</v>
      </c>
      <c r="H22" s="27" t="s">
        <v>1206</v>
      </c>
      <c r="I22" s="27" t="s">
        <v>1207</v>
      </c>
      <c r="J22" s="7" t="s">
        <v>1208</v>
      </c>
      <c r="K22" s="7" t="s">
        <v>1209</v>
      </c>
      <c r="L22" s="7" t="s">
        <v>974</v>
      </c>
      <c r="M22" s="22" t="s">
        <v>958</v>
      </c>
      <c r="N22" s="28">
        <v>15</v>
      </c>
      <c r="O22" s="28">
        <v>0</v>
      </c>
      <c r="P22" s="28">
        <f t="shared" si="0"/>
        <v>15</v>
      </c>
      <c r="Q22" s="22" t="str">
        <f t="shared" si="1"/>
        <v>No-cook</v>
      </c>
      <c r="R22" s="28">
        <v>2</v>
      </c>
      <c r="S22" s="22">
        <v>280</v>
      </c>
      <c r="T22" s="22">
        <v>12</v>
      </c>
      <c r="U22" s="29">
        <f>SUMIFS('Recipe Ingredients'!$I$2:$I$2500,'Recipe Ingredients'!$A$2:$A$2500,A22)/R22</f>
        <v>345</v>
      </c>
      <c r="V22" s="29">
        <f>SUMIFS('Recipe Ingredients'!$J$2:$J$2500,'Recipe Ingredients'!$A$2:$A$2500,A22)/R22</f>
        <v>3.7534999999999998</v>
      </c>
      <c r="W22" s="29">
        <f>SUMIFS('Recipe Ingredients'!$K$2:$K$2500,'Recipe Ingredients'!$A$2:$A$2500,A22)/R22</f>
        <v>74.513000000000005</v>
      </c>
      <c r="X22" s="29">
        <f>SUMIFS('Recipe Ingredients'!$L$2:$L$2500,'Recipe Ingredients'!$A$2:$A$2500,A22)/R22</f>
        <v>57.440000000000005</v>
      </c>
      <c r="Y22" s="29">
        <f>SUMIFS('Recipe Ingredients'!$M$2:$M$2500,'Recipe Ingredients'!$A$2:$A$2500,A22)/R22</f>
        <v>36.541999999999994</v>
      </c>
      <c r="Z22" s="29">
        <f>SUMIFS('Recipe Ingredients'!$N$2:$N$2500,'Recipe Ingredients'!$A$2:$A$2500,A22)/R22</f>
        <v>37.254999999999995</v>
      </c>
      <c r="AA22" s="29">
        <f>SUMIFS('Recipe Ingredients'!$O$2:$O$2500,'Recipe Ingredients'!$A$2:$A$2500,A22)/R22</f>
        <v>605.92999999999995</v>
      </c>
      <c r="AB22" s="30">
        <f>SUMIFS('Recipe Ingredients'!$P$2:$P$2500,'Recipe Ingredients'!$A$2:$A$2500,A22)/R22</f>
        <v>0.79475000000000007</v>
      </c>
      <c r="AC22" s="30">
        <f>SUMIFS('Recipe Ingredients'!$Q$2:$Q$2500,'Recipe Ingredients'!$A$2:$A$2500,A22)/R22</f>
        <v>0.31248000000000004</v>
      </c>
      <c r="AD22" s="29">
        <f>SUMIFS('Recipe Ingredients'!$R$2:$R$2500,'Recipe Ingredients'!$A$2:$A$2500,A22)/R22</f>
        <v>39.655000000000001</v>
      </c>
      <c r="AE22" s="30">
        <f>SUMIFS('Recipe Ingredients'!$S$2:$S$2500,'Recipe Ingredients'!$A$2:$A$2500,A22)/R22</f>
        <v>1.0195500000000002</v>
      </c>
      <c r="AF22" s="31">
        <f>IFERROR(V22/'Start Here'!$C$10,0)</f>
        <v>0.15014</v>
      </c>
      <c r="AG22" s="31">
        <f>IFERROR(W22/'Start Here'!$C$11,0)</f>
        <v>0.93141250000000009</v>
      </c>
      <c r="AH22" s="31">
        <f>IFERROR(X22/'Start Here'!$C$12,0)</f>
        <v>7.1800000000000003E-2</v>
      </c>
      <c r="AI22" s="31">
        <f>IFERROR(Y22/'Start Here'!$C$13,0)</f>
        <v>0.48722666666666659</v>
      </c>
      <c r="AJ22" s="31">
        <f>IFERROR(Z22/'Start Here'!$C$14,0)</f>
        <v>0.18627499999999997</v>
      </c>
      <c r="AK22" s="31">
        <f>IFERROR(AA22/'Start Here'!$C$15,0)</f>
        <v>0.30296499999999998</v>
      </c>
      <c r="AL22" s="31">
        <f>IFERROR(AB22/'Start Here'!$C$16,0)</f>
        <v>6.6229166666666672E-2</v>
      </c>
      <c r="AM22" s="31">
        <f>IFERROR(AC22/'Start Here'!$C$17,0)</f>
        <v>0.22320000000000004</v>
      </c>
      <c r="AN22" s="31">
        <f>IFERROR(AD22/'Start Here'!$C$18,0)</f>
        <v>0.10574666666666667</v>
      </c>
      <c r="AO22" s="31">
        <f>IFERROR(AE22/'Start Here'!$C$19,0)</f>
        <v>7.2825000000000015E-2</v>
      </c>
      <c r="AP22" s="22" t="str">
        <f t="shared" si="2"/>
        <v>Vitamin C</v>
      </c>
      <c r="AQ22" s="7" t="str">
        <f t="shared" si="3"/>
        <v>Best for better vitamin C intake: one serving gives about 93% of your daily vitamin C from the produce alone.</v>
      </c>
      <c r="AR22" s="7" t="str">
        <f t="shared" si="4"/>
        <v>Vitamin K (49%), Potassium (30%)</v>
      </c>
      <c r="AS22" s="7" t="s">
        <v>1210</v>
      </c>
      <c r="AT22" s="7" t="s">
        <v>1211</v>
      </c>
      <c r="AU22" s="28">
        <f>COUNTIFS('Recipe Ingredients'!$A$2:$A$2500,A22,'Recipe Ingredients'!$G$2:$G$2500,"Basket")</f>
        <v>5</v>
      </c>
      <c r="AV22" s="28">
        <f>COUNTIFS('Recipe Ingredients'!$A$2:$A$2500,A22,'Recipe Ingredients'!$G$2:$G$2500,"Protein")+COUNTIFS('Recipe Ingredients'!$A$2:$A$2500,A22,'Recipe Ingredients'!$G$2:$G$2500,"Pantry")</f>
        <v>3</v>
      </c>
      <c r="AW22" s="31">
        <f t="shared" si="5"/>
        <v>0.625</v>
      </c>
      <c r="AX22" s="28" t="str">
        <f>IF(AW22&gt;='Start Here'!$C$6,"Yes","No")</f>
        <v>No</v>
      </c>
      <c r="AY22" s="7" t="s">
        <v>115</v>
      </c>
      <c r="AZ22" s="7" t="s">
        <v>1212</v>
      </c>
      <c r="BA22" s="7"/>
      <c r="BB22" s="32" t="s">
        <v>964</v>
      </c>
    </row>
    <row r="23" spans="1:54" ht="96" customHeight="1" x14ac:dyDescent="0.25">
      <c r="A23" s="22" t="s">
        <v>1213</v>
      </c>
      <c r="B23" s="23" t="s">
        <v>1214</v>
      </c>
      <c r="C23" s="22" t="s">
        <v>1129</v>
      </c>
      <c r="D23" s="22" t="s">
        <v>1130</v>
      </c>
      <c r="E23" s="22" t="s">
        <v>1131</v>
      </c>
      <c r="F23" s="7" t="s">
        <v>1215</v>
      </c>
      <c r="G23" s="22" t="s">
        <v>1005</v>
      </c>
      <c r="H23" s="27" t="s">
        <v>1216</v>
      </c>
      <c r="I23" s="27" t="s">
        <v>1217</v>
      </c>
      <c r="J23" s="7" t="s">
        <v>1218</v>
      </c>
      <c r="K23" s="7" t="s">
        <v>1219</v>
      </c>
      <c r="L23" s="7" t="s">
        <v>1101</v>
      </c>
      <c r="M23" s="22" t="s">
        <v>1051</v>
      </c>
      <c r="N23" s="28">
        <v>15</v>
      </c>
      <c r="O23" s="28">
        <v>0</v>
      </c>
      <c r="P23" s="28">
        <f t="shared" si="0"/>
        <v>15</v>
      </c>
      <c r="Q23" s="22" t="str">
        <f t="shared" si="1"/>
        <v>No-cook</v>
      </c>
      <c r="R23" s="28">
        <v>2</v>
      </c>
      <c r="S23" s="22">
        <v>220</v>
      </c>
      <c r="T23" s="22">
        <v>5</v>
      </c>
      <c r="U23" s="29">
        <f>SUMIFS('Recipe Ingredients'!$I$2:$I$2500,'Recipe Ingredients'!$A$2:$A$2500,A23)/R23</f>
        <v>327.5</v>
      </c>
      <c r="V23" s="29">
        <f>SUMIFS('Recipe Ingredients'!$J$2:$J$2500,'Recipe Ingredients'!$A$2:$A$2500,A23)/R23</f>
        <v>12.07</v>
      </c>
      <c r="W23" s="29">
        <f>SUMIFS('Recipe Ingredients'!$K$2:$K$2500,'Recipe Ingredients'!$A$2:$A$2500,A23)/R23</f>
        <v>128.03900000000002</v>
      </c>
      <c r="X23" s="29">
        <f>SUMIFS('Recipe Ingredients'!$L$2:$L$2500,'Recipe Ingredients'!$A$2:$A$2500,A23)/R23</f>
        <v>165.96</v>
      </c>
      <c r="Y23" s="29">
        <f>SUMIFS('Recipe Ingredients'!$M$2:$M$2500,'Recipe Ingredients'!$A$2:$A$2500,A23)/R23</f>
        <v>155.42600000000002</v>
      </c>
      <c r="Z23" s="29">
        <f>SUMIFS('Recipe Ingredients'!$N$2:$N$2500,'Recipe Ingredients'!$A$2:$A$2500,A23)/R23</f>
        <v>161.905</v>
      </c>
      <c r="AA23" s="29">
        <f>SUMIFS('Recipe Ingredients'!$O$2:$O$2500,'Recipe Ingredients'!$A$2:$A$2500,A23)/R23</f>
        <v>965.7650000000001</v>
      </c>
      <c r="AB23" s="30">
        <f>SUMIFS('Recipe Ingredients'!$P$2:$P$2500,'Recipe Ingredients'!$A$2:$A$2500,A23)/R23</f>
        <v>3.1922499999999996</v>
      </c>
      <c r="AC23" s="30">
        <f>SUMIFS('Recipe Ingredients'!$Q$2:$Q$2500,'Recipe Ingredients'!$A$2:$A$2500,A23)/R23</f>
        <v>0.33329999999999999</v>
      </c>
      <c r="AD23" s="29">
        <f>SUMIFS('Recipe Ingredients'!$R$2:$R$2500,'Recipe Ingredients'!$A$2:$A$2500,A23)/R23</f>
        <v>81.784999999999997</v>
      </c>
      <c r="AE23" s="30">
        <f>SUMIFS('Recipe Ingredients'!$S$2:$S$2500,'Recipe Ingredients'!$A$2:$A$2500,A23)/R23</f>
        <v>2.2109000000000005</v>
      </c>
      <c r="AF23" s="31">
        <f>IFERROR(V23/'Start Here'!$C$10,0)</f>
        <v>0.48280000000000001</v>
      </c>
      <c r="AG23" s="31">
        <f>IFERROR(W23/'Start Here'!$C$11,0)</f>
        <v>1.6004875000000003</v>
      </c>
      <c r="AH23" s="31">
        <f>IFERROR(X23/'Start Here'!$C$12,0)</f>
        <v>0.20745000000000002</v>
      </c>
      <c r="AI23" s="31">
        <f>IFERROR(Y23/'Start Here'!$C$13,0)</f>
        <v>2.0723466666666668</v>
      </c>
      <c r="AJ23" s="31">
        <f>IFERROR(Z23/'Start Here'!$C$14,0)</f>
        <v>0.80952500000000005</v>
      </c>
      <c r="AK23" s="31">
        <f>IFERROR(AA23/'Start Here'!$C$15,0)</f>
        <v>0.48288250000000005</v>
      </c>
      <c r="AL23" s="31">
        <f>IFERROR(AB23/'Start Here'!$C$16,0)</f>
        <v>0.26602083333333332</v>
      </c>
      <c r="AM23" s="31">
        <f>IFERROR(AC23/'Start Here'!$C$17,0)</f>
        <v>0.23807142857142857</v>
      </c>
      <c r="AN23" s="31">
        <f>IFERROR(AD23/'Start Here'!$C$18,0)</f>
        <v>0.21809333333333333</v>
      </c>
      <c r="AO23" s="31">
        <f>IFERROR(AE23/'Start Here'!$C$19,0)</f>
        <v>0.1579214285714286</v>
      </c>
      <c r="AP23" s="22" t="str">
        <f t="shared" si="2"/>
        <v>Vitamin K</v>
      </c>
      <c r="AQ23" s="7" t="str">
        <f t="shared" si="3"/>
        <v>Best for better vitamin K intake: one serving gives about 207% of your daily vitamin K from the produce alone.</v>
      </c>
      <c r="AR23" s="7" t="str">
        <f t="shared" si="4"/>
        <v>Fibre (48%), Vitamin C (160%), Folate (81%), Potassium (48%), Vitamin E (27%)</v>
      </c>
      <c r="AS23" s="7" t="s">
        <v>1220</v>
      </c>
      <c r="AT23" s="7" t="s">
        <v>1221</v>
      </c>
      <c r="AU23" s="28">
        <f>COUNTIFS('Recipe Ingredients'!$A$2:$A$2500,A23,'Recipe Ingredients'!$G$2:$G$2500,"Basket")</f>
        <v>6</v>
      </c>
      <c r="AV23" s="28">
        <f>COUNTIFS('Recipe Ingredients'!$A$2:$A$2500,A23,'Recipe Ingredients'!$G$2:$G$2500,"Protein")+COUNTIFS('Recipe Ingredients'!$A$2:$A$2500,A23,'Recipe Ingredients'!$G$2:$G$2500,"Pantry")</f>
        <v>1</v>
      </c>
      <c r="AW23" s="31">
        <f t="shared" si="5"/>
        <v>0.8571428571428571</v>
      </c>
      <c r="AX23" s="28" t="str">
        <f>IF(AW23&gt;='Start Here'!$C$6,"Yes","No")</f>
        <v>Yes</v>
      </c>
      <c r="AY23" s="7" t="s">
        <v>1222</v>
      </c>
      <c r="AZ23" s="7" t="s">
        <v>1223</v>
      </c>
      <c r="BA23" s="7" t="s">
        <v>1224</v>
      </c>
      <c r="BB23" s="32" t="s">
        <v>964</v>
      </c>
    </row>
    <row r="24" spans="1:54" ht="96" customHeight="1" x14ac:dyDescent="0.25">
      <c r="A24" s="22" t="s">
        <v>1225</v>
      </c>
      <c r="B24" s="23" t="s">
        <v>1226</v>
      </c>
      <c r="C24" s="22" t="s">
        <v>1129</v>
      </c>
      <c r="D24" s="22" t="s">
        <v>1130</v>
      </c>
      <c r="E24" s="22" t="s">
        <v>1227</v>
      </c>
      <c r="F24" s="7" t="s">
        <v>1228</v>
      </c>
      <c r="G24" s="22" t="s">
        <v>1229</v>
      </c>
      <c r="H24" s="27" t="s">
        <v>1230</v>
      </c>
      <c r="I24" s="27" t="s">
        <v>1231</v>
      </c>
      <c r="J24" s="7" t="s">
        <v>1232</v>
      </c>
      <c r="K24" s="7" t="s">
        <v>1233</v>
      </c>
      <c r="L24" s="7" t="s">
        <v>234</v>
      </c>
      <c r="M24" s="22" t="s">
        <v>958</v>
      </c>
      <c r="N24" s="28">
        <v>10</v>
      </c>
      <c r="O24" s="28">
        <v>25</v>
      </c>
      <c r="P24" s="28">
        <f t="shared" si="0"/>
        <v>35</v>
      </c>
      <c r="Q24" s="22" t="str">
        <f t="shared" si="1"/>
        <v>Standard</v>
      </c>
      <c r="R24" s="28">
        <v>2</v>
      </c>
      <c r="S24" s="22">
        <v>350</v>
      </c>
      <c r="T24" s="22">
        <v>9</v>
      </c>
      <c r="U24" s="29">
        <f>SUMIFS('Recipe Ingredients'!$I$2:$I$2500,'Recipe Ingredients'!$A$2:$A$2500,A24)/R24</f>
        <v>255.5</v>
      </c>
      <c r="V24" s="29">
        <f>SUMIFS('Recipe Ingredients'!$J$2:$J$2500,'Recipe Ingredients'!$A$2:$A$2500,A24)/R24</f>
        <v>8.9680000000000017</v>
      </c>
      <c r="W24" s="29">
        <f>SUMIFS('Recipe Ingredients'!$K$2:$K$2500,'Recipe Ingredients'!$A$2:$A$2500,A24)/R24</f>
        <v>27.0275</v>
      </c>
      <c r="X24" s="29">
        <f>SUMIFS('Recipe Ingredients'!$L$2:$L$2500,'Recipe Ingredients'!$A$2:$A$2500,A24)/R24</f>
        <v>963.25</v>
      </c>
      <c r="Y24" s="29">
        <f>SUMIFS('Recipe Ingredients'!$M$2:$M$2500,'Recipe Ingredients'!$A$2:$A$2500,A24)/R24</f>
        <v>321.851</v>
      </c>
      <c r="Z24" s="29">
        <f>SUMIFS('Recipe Ingredients'!$N$2:$N$2500,'Recipe Ingredients'!$A$2:$A$2500,A24)/R24</f>
        <v>133.60500000000002</v>
      </c>
      <c r="AA24" s="29">
        <f>SUMIFS('Recipe Ingredients'!$O$2:$O$2500,'Recipe Ingredients'!$A$2:$A$2500,A24)/R24</f>
        <v>940.82499999999993</v>
      </c>
      <c r="AB24" s="30">
        <f>SUMIFS('Recipe Ingredients'!$P$2:$P$2500,'Recipe Ingredients'!$A$2:$A$2500,A24)/R24</f>
        <v>3.4576500000000006</v>
      </c>
      <c r="AC24" s="30">
        <f>SUMIFS('Recipe Ingredients'!$Q$2:$Q$2500,'Recipe Ingredients'!$A$2:$A$2500,A24)/R24</f>
        <v>0.49988500000000002</v>
      </c>
      <c r="AD24" s="29">
        <f>SUMIFS('Recipe Ingredients'!$R$2:$R$2500,'Recipe Ingredients'!$A$2:$A$2500,A24)/R24</f>
        <v>113.98</v>
      </c>
      <c r="AE24" s="30">
        <f>SUMIFS('Recipe Ingredients'!$S$2:$S$2500,'Recipe Ingredients'!$A$2:$A$2500,A24)/R24</f>
        <v>3.3730500000000001</v>
      </c>
      <c r="AF24" s="31">
        <f>IFERROR(V24/'Start Here'!$C$10,0)</f>
        <v>0.35872000000000009</v>
      </c>
      <c r="AG24" s="31">
        <f>IFERROR(W24/'Start Here'!$C$11,0)</f>
        <v>0.33784375</v>
      </c>
      <c r="AH24" s="31">
        <f>IFERROR(X24/'Start Here'!$C$12,0)</f>
        <v>1.2040625</v>
      </c>
      <c r="AI24" s="31">
        <f>IFERROR(Y24/'Start Here'!$C$13,0)</f>
        <v>4.2913466666666666</v>
      </c>
      <c r="AJ24" s="31">
        <f>IFERROR(Z24/'Start Here'!$C$14,0)</f>
        <v>0.66802500000000009</v>
      </c>
      <c r="AK24" s="31">
        <f>IFERROR(AA24/'Start Here'!$C$15,0)</f>
        <v>0.47041249999999996</v>
      </c>
      <c r="AL24" s="31">
        <f>IFERROR(AB24/'Start Here'!$C$16,0)</f>
        <v>0.28813750000000005</v>
      </c>
      <c r="AM24" s="31">
        <f>IFERROR(AC24/'Start Here'!$C$17,0)</f>
        <v>0.35706071428571434</v>
      </c>
      <c r="AN24" s="31">
        <f>IFERROR(AD24/'Start Here'!$C$18,0)</f>
        <v>0.3039466666666667</v>
      </c>
      <c r="AO24" s="31">
        <f>IFERROR(AE24/'Start Here'!$C$19,0)</f>
        <v>0.24093214285714287</v>
      </c>
      <c r="AP24" s="22" t="str">
        <f t="shared" si="2"/>
        <v>Vitamin K</v>
      </c>
      <c r="AQ24" s="7" t="str">
        <f t="shared" si="3"/>
        <v>Best for better vitamin K intake: one serving gives about 429% of your daily vitamin K from the produce alone.</v>
      </c>
      <c r="AR24" s="7" t="str">
        <f t="shared" si="4"/>
        <v>Fibre (36%), Vitamin C (34%), Vitamin A (120%), Folate (67%), Potassium (47%), Vitamin E (29%), Vitamin B6 (36%), Magnesium (30%)</v>
      </c>
      <c r="AS24" s="7" t="s">
        <v>1234</v>
      </c>
      <c r="AT24" s="7" t="s">
        <v>1235</v>
      </c>
      <c r="AU24" s="28">
        <f>COUNTIFS('Recipe Ingredients'!$A$2:$A$2500,A24,'Recipe Ingredients'!$G$2:$G$2500,"Basket")</f>
        <v>5</v>
      </c>
      <c r="AV24" s="28">
        <f>COUNTIFS('Recipe Ingredients'!$A$2:$A$2500,A24,'Recipe Ingredients'!$G$2:$G$2500,"Protein")+COUNTIFS('Recipe Ingredients'!$A$2:$A$2500,A24,'Recipe Ingredients'!$G$2:$G$2500,"Pantry")</f>
        <v>2</v>
      </c>
      <c r="AW24" s="31">
        <f t="shared" si="5"/>
        <v>0.7142857142857143</v>
      </c>
      <c r="AX24" s="28" t="str">
        <f>IF(AW24&gt;='Start Here'!$C$6,"Yes","No")</f>
        <v>No</v>
      </c>
      <c r="AY24" s="7" t="s">
        <v>115</v>
      </c>
      <c r="AZ24" s="7" t="s">
        <v>1236</v>
      </c>
      <c r="BA24" s="7"/>
      <c r="BB24" s="32" t="s">
        <v>964</v>
      </c>
    </row>
    <row r="25" spans="1:54" ht="96" customHeight="1" x14ac:dyDescent="0.25">
      <c r="A25" s="22" t="s">
        <v>1237</v>
      </c>
      <c r="B25" s="23" t="s">
        <v>1238</v>
      </c>
      <c r="C25" s="22" t="s">
        <v>1129</v>
      </c>
      <c r="D25" s="22" t="s">
        <v>1130</v>
      </c>
      <c r="E25" s="22" t="s">
        <v>1131</v>
      </c>
      <c r="F25" s="7" t="s">
        <v>1239</v>
      </c>
      <c r="G25" s="22" t="s">
        <v>1240</v>
      </c>
      <c r="H25" s="27" t="s">
        <v>1241</v>
      </c>
      <c r="I25" s="27" t="s">
        <v>1242</v>
      </c>
      <c r="J25" s="7" t="s">
        <v>1243</v>
      </c>
      <c r="K25" s="7" t="s">
        <v>1244</v>
      </c>
      <c r="L25" s="7" t="s">
        <v>1087</v>
      </c>
      <c r="M25" s="22" t="s">
        <v>1051</v>
      </c>
      <c r="N25" s="28">
        <v>15</v>
      </c>
      <c r="O25" s="28">
        <v>30</v>
      </c>
      <c r="P25" s="28">
        <f t="shared" si="0"/>
        <v>45</v>
      </c>
      <c r="Q25" s="22" t="str">
        <f t="shared" si="1"/>
        <v>Standard</v>
      </c>
      <c r="R25" s="28">
        <v>4</v>
      </c>
      <c r="S25" s="22">
        <v>260</v>
      </c>
      <c r="T25" s="22">
        <v>12</v>
      </c>
      <c r="U25" s="29">
        <f>SUMIFS('Recipe Ingredients'!$I$2:$I$2500,'Recipe Ingredients'!$A$2:$A$2500,A25)/R25</f>
        <v>138.5</v>
      </c>
      <c r="V25" s="29">
        <f>SUMIFS('Recipe Ingredients'!$J$2:$J$2500,'Recipe Ingredients'!$A$2:$A$2500,A25)/R25</f>
        <v>2.9935</v>
      </c>
      <c r="W25" s="29">
        <f>SUMIFS('Recipe Ingredients'!$K$2:$K$2500,'Recipe Ingredients'!$A$2:$A$2500,A25)/R25</f>
        <v>57.277250000000002</v>
      </c>
      <c r="X25" s="29">
        <f>SUMIFS('Recipe Ingredients'!$L$2:$L$2500,'Recipe Ingredients'!$A$2:$A$2500,A25)/R25</f>
        <v>87.9375</v>
      </c>
      <c r="Y25" s="29">
        <f>SUMIFS('Recipe Ingredients'!$M$2:$M$2500,'Recipe Ingredients'!$A$2:$A$2500,A25)/R25</f>
        <v>27.550250000000002</v>
      </c>
      <c r="Z25" s="29">
        <f>SUMIFS('Recipe Ingredients'!$N$2:$N$2500,'Recipe Ingredients'!$A$2:$A$2500,A25)/R25</f>
        <v>37.842499999999994</v>
      </c>
      <c r="AA25" s="29">
        <f>SUMIFS('Recipe Ingredients'!$O$2:$O$2500,'Recipe Ingredients'!$A$2:$A$2500,A25)/R25</f>
        <v>291.92250000000001</v>
      </c>
      <c r="AB25" s="30">
        <f>SUMIFS('Recipe Ingredients'!$P$2:$P$2500,'Recipe Ingredients'!$A$2:$A$2500,A25)/R25</f>
        <v>0.92059999999999997</v>
      </c>
      <c r="AC25" s="30">
        <f>SUMIFS('Recipe Ingredients'!$Q$2:$Q$2500,'Recipe Ingredients'!$A$2:$A$2500,A25)/R25</f>
        <v>0.17690749999999997</v>
      </c>
      <c r="AD25" s="29">
        <f>SUMIFS('Recipe Ingredients'!$R$2:$R$2500,'Recipe Ingredients'!$A$2:$A$2500,A25)/R25</f>
        <v>20.754999999999995</v>
      </c>
      <c r="AE25" s="30">
        <f>SUMIFS('Recipe Ingredients'!$S$2:$S$2500,'Recipe Ingredients'!$A$2:$A$2500,A25)/R25</f>
        <v>0.69639999999999991</v>
      </c>
      <c r="AF25" s="31">
        <f>IFERROR(V25/'Start Here'!$C$10,0)</f>
        <v>0.11974</v>
      </c>
      <c r="AG25" s="31">
        <f>IFERROR(W25/'Start Here'!$C$11,0)</f>
        <v>0.71596562500000005</v>
      </c>
      <c r="AH25" s="31">
        <f>IFERROR(X25/'Start Here'!$C$12,0)</f>
        <v>0.109921875</v>
      </c>
      <c r="AI25" s="31">
        <f>IFERROR(Y25/'Start Here'!$C$13,0)</f>
        <v>0.3673366666666667</v>
      </c>
      <c r="AJ25" s="31">
        <f>IFERROR(Z25/'Start Here'!$C$14,0)</f>
        <v>0.18921249999999998</v>
      </c>
      <c r="AK25" s="31">
        <f>IFERROR(AA25/'Start Here'!$C$15,0)</f>
        <v>0.14596125000000001</v>
      </c>
      <c r="AL25" s="31">
        <f>IFERROR(AB25/'Start Here'!$C$16,0)</f>
        <v>7.6716666666666669E-2</v>
      </c>
      <c r="AM25" s="31">
        <f>IFERROR(AC25/'Start Here'!$C$17,0)</f>
        <v>0.12636249999999999</v>
      </c>
      <c r="AN25" s="31">
        <f>IFERROR(AD25/'Start Here'!$C$18,0)</f>
        <v>5.5346666666666655E-2</v>
      </c>
      <c r="AO25" s="31">
        <f>IFERROR(AE25/'Start Here'!$C$19,0)</f>
        <v>4.9742857142857137E-2</v>
      </c>
      <c r="AP25" s="22" t="str">
        <f t="shared" si="2"/>
        <v>Vitamin C</v>
      </c>
      <c r="AQ25" s="7" t="str">
        <f t="shared" si="3"/>
        <v>Best for better vitamin C intake: one serving gives about 72% of your daily vitamin C from the produce alone.</v>
      </c>
      <c r="AR25" s="7" t="str">
        <f t="shared" si="4"/>
        <v>Vitamin K (37%)</v>
      </c>
      <c r="AS25" s="7" t="s">
        <v>1245</v>
      </c>
      <c r="AT25" s="7" t="s">
        <v>1246</v>
      </c>
      <c r="AU25" s="28">
        <f>COUNTIFS('Recipe Ingredients'!$A$2:$A$2500,A25,'Recipe Ingredients'!$G$2:$G$2500,"Basket")</f>
        <v>7</v>
      </c>
      <c r="AV25" s="28">
        <f>COUNTIFS('Recipe Ingredients'!$A$2:$A$2500,A25,'Recipe Ingredients'!$G$2:$G$2500,"Protein")+COUNTIFS('Recipe Ingredients'!$A$2:$A$2500,A25,'Recipe Ingredients'!$G$2:$G$2500,"Pantry")</f>
        <v>1</v>
      </c>
      <c r="AW25" s="31">
        <f t="shared" si="5"/>
        <v>0.875</v>
      </c>
      <c r="AX25" s="28" t="str">
        <f>IF(AW25&gt;='Start Here'!$C$6,"Yes","No")</f>
        <v>Yes</v>
      </c>
      <c r="AY25" s="7" t="s">
        <v>1247</v>
      </c>
      <c r="AZ25" s="7" t="s">
        <v>1248</v>
      </c>
      <c r="BA25" s="7" t="s">
        <v>1249</v>
      </c>
      <c r="BB25" s="32" t="s">
        <v>964</v>
      </c>
    </row>
    <row r="26" spans="1:54" ht="96" customHeight="1" x14ac:dyDescent="0.25">
      <c r="A26" s="22" t="s">
        <v>1250</v>
      </c>
      <c r="B26" s="23" t="s">
        <v>1251</v>
      </c>
      <c r="C26" s="22" t="s">
        <v>1129</v>
      </c>
      <c r="D26" s="22" t="s">
        <v>1130</v>
      </c>
      <c r="E26" s="22" t="s">
        <v>1145</v>
      </c>
      <c r="F26" s="7" t="s">
        <v>1252</v>
      </c>
      <c r="G26" s="22" t="s">
        <v>953</v>
      </c>
      <c r="H26" s="27" t="s">
        <v>1253</v>
      </c>
      <c r="I26" s="27" t="s">
        <v>1254</v>
      </c>
      <c r="J26" s="7" t="s">
        <v>1255</v>
      </c>
      <c r="K26" s="7" t="s">
        <v>1256</v>
      </c>
      <c r="L26" s="7" t="s">
        <v>620</v>
      </c>
      <c r="M26" s="22" t="s">
        <v>1257</v>
      </c>
      <c r="N26" s="28">
        <v>15</v>
      </c>
      <c r="O26" s="28">
        <v>20</v>
      </c>
      <c r="P26" s="28">
        <f t="shared" si="0"/>
        <v>35</v>
      </c>
      <c r="Q26" s="22" t="str">
        <f t="shared" si="1"/>
        <v>Standard</v>
      </c>
      <c r="R26" s="28">
        <v>2</v>
      </c>
      <c r="S26" s="22">
        <v>450</v>
      </c>
      <c r="T26" s="22">
        <v>30</v>
      </c>
      <c r="U26" s="29">
        <f>SUMIFS('Recipe Ingredients'!$I$2:$I$2500,'Recipe Ingredients'!$A$2:$A$2500,A26)/R26</f>
        <v>643</v>
      </c>
      <c r="V26" s="29">
        <f>SUMIFS('Recipe Ingredients'!$J$2:$J$2500,'Recipe Ingredients'!$A$2:$A$2500,A26)/R26</f>
        <v>13.542</v>
      </c>
      <c r="W26" s="29">
        <f>SUMIFS('Recipe Ingredients'!$K$2:$K$2500,'Recipe Ingredients'!$A$2:$A$2500,A26)/R26</f>
        <v>76.12</v>
      </c>
      <c r="X26" s="29">
        <f>SUMIFS('Recipe Ingredients'!$L$2:$L$2500,'Recipe Ingredients'!$A$2:$A$2500,A26)/R26</f>
        <v>1417.26</v>
      </c>
      <c r="Y26" s="29">
        <f>SUMIFS('Recipe Ingredients'!$M$2:$M$2500,'Recipe Ingredients'!$A$2:$A$2500,A26)/R26</f>
        <v>361.02899999999994</v>
      </c>
      <c r="Z26" s="29">
        <f>SUMIFS('Recipe Ingredients'!$N$2:$N$2500,'Recipe Ingredients'!$A$2:$A$2500,A26)/R26</f>
        <v>488.08000000000004</v>
      </c>
      <c r="AA26" s="29">
        <f>SUMIFS('Recipe Ingredients'!$O$2:$O$2500,'Recipe Ingredients'!$A$2:$A$2500,A26)/R26</f>
        <v>1776.2600000000002</v>
      </c>
      <c r="AB26" s="30">
        <f>SUMIFS('Recipe Ingredients'!$P$2:$P$2500,'Recipe Ingredients'!$A$2:$A$2500,A26)/R26</f>
        <v>1.1105</v>
      </c>
      <c r="AC26" s="30">
        <f>SUMIFS('Recipe Ingredients'!$Q$2:$Q$2500,'Recipe Ingredients'!$A$2:$A$2500,A26)/R26</f>
        <v>0.87396999999999991</v>
      </c>
      <c r="AD26" s="29">
        <f>SUMIFS('Recipe Ingredients'!$R$2:$R$2500,'Recipe Ingredients'!$A$2:$A$2500,A26)/R26</f>
        <v>107.61</v>
      </c>
      <c r="AE26" s="30">
        <f>SUMIFS('Recipe Ingredients'!$S$2:$S$2500,'Recipe Ingredients'!$A$2:$A$2500,A26)/R26</f>
        <v>5.394400000000001</v>
      </c>
      <c r="AF26" s="31">
        <f>IFERROR(V26/'Start Here'!$C$10,0)</f>
        <v>0.54167999999999994</v>
      </c>
      <c r="AG26" s="31">
        <f>IFERROR(W26/'Start Here'!$C$11,0)</f>
        <v>0.95150000000000001</v>
      </c>
      <c r="AH26" s="31">
        <f>IFERROR(X26/'Start Here'!$C$12,0)</f>
        <v>1.7715749999999999</v>
      </c>
      <c r="AI26" s="31">
        <f>IFERROR(Y26/'Start Here'!$C$13,0)</f>
        <v>4.8137199999999991</v>
      </c>
      <c r="AJ26" s="31">
        <f>IFERROR(Z26/'Start Here'!$C$14,0)</f>
        <v>2.4404000000000003</v>
      </c>
      <c r="AK26" s="31">
        <f>IFERROR(AA26/'Start Here'!$C$15,0)</f>
        <v>0.88813000000000009</v>
      </c>
      <c r="AL26" s="31">
        <f>IFERROR(AB26/'Start Here'!$C$16,0)</f>
        <v>9.2541666666666675E-2</v>
      </c>
      <c r="AM26" s="31">
        <f>IFERROR(AC26/'Start Here'!$C$17,0)</f>
        <v>0.62426428571428572</v>
      </c>
      <c r="AN26" s="31">
        <f>IFERROR(AD26/'Start Here'!$C$18,0)</f>
        <v>0.28695999999999999</v>
      </c>
      <c r="AO26" s="31">
        <f>IFERROR(AE26/'Start Here'!$C$19,0)</f>
        <v>0.38531428571428578</v>
      </c>
      <c r="AP26" s="22" t="str">
        <f t="shared" si="2"/>
        <v>Vitamin K</v>
      </c>
      <c r="AQ26" s="7" t="str">
        <f t="shared" si="3"/>
        <v>Best for better vitamin K intake: one serving gives about 481% of your daily vitamin K from the produce alone.</v>
      </c>
      <c r="AR26" s="7" t="str">
        <f t="shared" si="4"/>
        <v>Fibre (54%), Vitamin C (95%), Vitamin A (177%), Folate (244%), Potassium (89%), Vitamin B6 (62%), Magnesium (29%), Iron (39%)</v>
      </c>
      <c r="AS26" s="7" t="s">
        <v>1258</v>
      </c>
      <c r="AT26" s="7" t="s">
        <v>1259</v>
      </c>
      <c r="AU26" s="28">
        <f>COUNTIFS('Recipe Ingredients'!$A$2:$A$2500,A26,'Recipe Ingredients'!$G$2:$G$2500,"Basket")</f>
        <v>6</v>
      </c>
      <c r="AV26" s="28">
        <f>COUNTIFS('Recipe Ingredients'!$A$2:$A$2500,A26,'Recipe Ingredients'!$G$2:$G$2500,"Protein")+COUNTIFS('Recipe Ingredients'!$A$2:$A$2500,A26,'Recipe Ingredients'!$G$2:$G$2500,"Pantry")</f>
        <v>4</v>
      </c>
      <c r="AW26" s="31">
        <f t="shared" si="5"/>
        <v>0.6</v>
      </c>
      <c r="AX26" s="28" t="str">
        <f>IF(AW26&gt;='Start Here'!$C$6,"Yes","No")</f>
        <v>No</v>
      </c>
      <c r="AY26" s="7" t="s">
        <v>115</v>
      </c>
      <c r="AZ26" s="7" t="s">
        <v>1260</v>
      </c>
      <c r="BA26" s="7"/>
      <c r="BB26" s="32" t="s">
        <v>964</v>
      </c>
    </row>
    <row r="27" spans="1:54" ht="96" customHeight="1" x14ac:dyDescent="0.25">
      <c r="A27" s="22" t="s">
        <v>1261</v>
      </c>
      <c r="B27" s="23" t="s">
        <v>1262</v>
      </c>
      <c r="C27" s="22" t="s">
        <v>1129</v>
      </c>
      <c r="D27" s="22" t="s">
        <v>1130</v>
      </c>
      <c r="E27" s="22" t="s">
        <v>1131</v>
      </c>
      <c r="F27" s="7" t="s">
        <v>1263</v>
      </c>
      <c r="G27" s="22" t="s">
        <v>1264</v>
      </c>
      <c r="H27" s="27" t="s">
        <v>1265</v>
      </c>
      <c r="I27" s="27" t="s">
        <v>1266</v>
      </c>
      <c r="J27" s="7" t="s">
        <v>1267</v>
      </c>
      <c r="K27" s="7" t="s">
        <v>1268</v>
      </c>
      <c r="L27" s="7" t="s">
        <v>974</v>
      </c>
      <c r="M27" s="22" t="s">
        <v>1257</v>
      </c>
      <c r="N27" s="28">
        <v>20</v>
      </c>
      <c r="O27" s="28">
        <v>0</v>
      </c>
      <c r="P27" s="28">
        <f t="shared" si="0"/>
        <v>20</v>
      </c>
      <c r="Q27" s="22" t="str">
        <f t="shared" si="1"/>
        <v>No-cook</v>
      </c>
      <c r="R27" s="28">
        <v>2</v>
      </c>
      <c r="S27" s="22">
        <v>180</v>
      </c>
      <c r="T27" s="22">
        <v>5</v>
      </c>
      <c r="U27" s="29">
        <f>SUMIFS('Recipe Ingredients'!$I$2:$I$2500,'Recipe Ingredients'!$A$2:$A$2500,A27)/R27</f>
        <v>445</v>
      </c>
      <c r="V27" s="29">
        <f>SUMIFS('Recipe Ingredients'!$J$2:$J$2500,'Recipe Ingredients'!$A$2:$A$2500,A27)/R27</f>
        <v>9.5044999999999984</v>
      </c>
      <c r="W27" s="29">
        <f>SUMIFS('Recipe Ingredients'!$K$2:$K$2500,'Recipe Ingredients'!$A$2:$A$2500,A27)/R27</f>
        <v>188.39900000000003</v>
      </c>
      <c r="X27" s="29">
        <f>SUMIFS('Recipe Ingredients'!$L$2:$L$2500,'Recipe Ingredients'!$A$2:$A$2500,A27)/R27</f>
        <v>406.005</v>
      </c>
      <c r="Y27" s="29">
        <f>SUMIFS('Recipe Ingredients'!$M$2:$M$2500,'Recipe Ingredients'!$A$2:$A$2500,A27)/R27</f>
        <v>22.677</v>
      </c>
      <c r="Z27" s="29">
        <f>SUMIFS('Recipe Ingredients'!$N$2:$N$2500,'Recipe Ingredients'!$A$2:$A$2500,A27)/R27</f>
        <v>154.57</v>
      </c>
      <c r="AA27" s="29">
        <f>SUMIFS('Recipe Ingredients'!$O$2:$O$2500,'Recipe Ingredients'!$A$2:$A$2500,A27)/R27</f>
        <v>925.3599999999999</v>
      </c>
      <c r="AB27" s="30">
        <f>SUMIFS('Recipe Ingredients'!$P$2:$P$2500,'Recipe Ingredients'!$A$2:$A$2500,A27)/R27</f>
        <v>2.7641500000000003</v>
      </c>
      <c r="AC27" s="30">
        <f>SUMIFS('Recipe Ingredients'!$Q$2:$Q$2500,'Recipe Ingredients'!$A$2:$A$2500,A27)/R27</f>
        <v>0.33855000000000002</v>
      </c>
      <c r="AD27" s="29">
        <f>SUMIFS('Recipe Ingredients'!$R$2:$R$2500,'Recipe Ingredients'!$A$2:$A$2500,A27)/R27</f>
        <v>97.274999999999991</v>
      </c>
      <c r="AE27" s="30">
        <f>SUMIFS('Recipe Ingredients'!$S$2:$S$2500,'Recipe Ingredients'!$A$2:$A$2500,A27)/R27</f>
        <v>2.2041500000000003</v>
      </c>
      <c r="AF27" s="31">
        <f>IFERROR(V27/'Start Here'!$C$10,0)</f>
        <v>0.38017999999999996</v>
      </c>
      <c r="AG27" s="31">
        <f>IFERROR(W27/'Start Here'!$C$11,0)</f>
        <v>2.3549875000000005</v>
      </c>
      <c r="AH27" s="31">
        <f>IFERROR(X27/'Start Here'!$C$12,0)</f>
        <v>0.50750625000000005</v>
      </c>
      <c r="AI27" s="31">
        <f>IFERROR(Y27/'Start Here'!$C$13,0)</f>
        <v>0.30236000000000002</v>
      </c>
      <c r="AJ27" s="31">
        <f>IFERROR(Z27/'Start Here'!$C$14,0)</f>
        <v>0.77284999999999993</v>
      </c>
      <c r="AK27" s="31">
        <f>IFERROR(AA27/'Start Here'!$C$15,0)</f>
        <v>0.46267999999999992</v>
      </c>
      <c r="AL27" s="31">
        <f>IFERROR(AB27/'Start Here'!$C$16,0)</f>
        <v>0.23034583333333336</v>
      </c>
      <c r="AM27" s="31">
        <f>IFERROR(AC27/'Start Here'!$C$17,0)</f>
        <v>0.2418214285714286</v>
      </c>
      <c r="AN27" s="31">
        <f>IFERROR(AD27/'Start Here'!$C$18,0)</f>
        <v>0.25939999999999996</v>
      </c>
      <c r="AO27" s="31">
        <f>IFERROR(AE27/'Start Here'!$C$19,0)</f>
        <v>0.15743928571428573</v>
      </c>
      <c r="AP27" s="22" t="str">
        <f t="shared" si="2"/>
        <v>Vitamin C</v>
      </c>
      <c r="AQ27" s="7" t="str">
        <f t="shared" si="3"/>
        <v>Best for better vitamin C intake: one serving gives about 235% of your daily vitamin C from the produce alone.</v>
      </c>
      <c r="AR27" s="7" t="str">
        <f t="shared" si="4"/>
        <v>Fibre (38%), Vitamin A (51%), Vitamin K (30%), Folate (77%), Potassium (46%), Magnesium (26%)</v>
      </c>
      <c r="AS27" s="7" t="s">
        <v>1269</v>
      </c>
      <c r="AT27" s="7" t="s">
        <v>1270</v>
      </c>
      <c r="AU27" s="28">
        <f>COUNTIFS('Recipe Ingredients'!$A$2:$A$2500,A27,'Recipe Ingredients'!$G$2:$G$2500,"Basket")</f>
        <v>8</v>
      </c>
      <c r="AV27" s="28">
        <f>COUNTIFS('Recipe Ingredients'!$A$2:$A$2500,A27,'Recipe Ingredients'!$G$2:$G$2500,"Protein")+COUNTIFS('Recipe Ingredients'!$A$2:$A$2500,A27,'Recipe Ingredients'!$G$2:$G$2500,"Pantry")</f>
        <v>2</v>
      </c>
      <c r="AW27" s="31">
        <f t="shared" si="5"/>
        <v>0.8</v>
      </c>
      <c r="AX27" s="28" t="str">
        <f>IF(AW27&gt;='Start Here'!$C$6,"Yes","No")</f>
        <v>Yes</v>
      </c>
      <c r="AY27" s="7" t="s">
        <v>115</v>
      </c>
      <c r="AZ27" s="7" t="s">
        <v>1271</v>
      </c>
      <c r="BA27" s="7" t="s">
        <v>1272</v>
      </c>
      <c r="BB27" s="32" t="s">
        <v>964</v>
      </c>
    </row>
    <row r="28" spans="1:54" ht="96" customHeight="1" x14ac:dyDescent="0.25">
      <c r="A28" s="22" t="s">
        <v>1273</v>
      </c>
      <c r="B28" s="23" t="s">
        <v>1274</v>
      </c>
      <c r="C28" s="22" t="s">
        <v>1129</v>
      </c>
      <c r="D28" s="22" t="s">
        <v>1130</v>
      </c>
      <c r="E28" s="22" t="s">
        <v>1275</v>
      </c>
      <c r="F28" s="7" t="s">
        <v>1276</v>
      </c>
      <c r="G28" s="22" t="s">
        <v>1277</v>
      </c>
      <c r="H28" s="27" t="s">
        <v>1278</v>
      </c>
      <c r="I28" s="27" t="s">
        <v>1279</v>
      </c>
      <c r="J28" s="7" t="s">
        <v>1280</v>
      </c>
      <c r="K28" s="7" t="s">
        <v>1281</v>
      </c>
      <c r="L28" s="7" t="s">
        <v>1101</v>
      </c>
      <c r="M28" s="22" t="s">
        <v>1051</v>
      </c>
      <c r="N28" s="28">
        <v>15</v>
      </c>
      <c r="O28" s="28">
        <v>0</v>
      </c>
      <c r="P28" s="28">
        <f t="shared" si="0"/>
        <v>15</v>
      </c>
      <c r="Q28" s="22" t="str">
        <f t="shared" si="1"/>
        <v>No-cook</v>
      </c>
      <c r="R28" s="28">
        <v>2</v>
      </c>
      <c r="S28" s="22">
        <v>150</v>
      </c>
      <c r="T28" s="22">
        <v>2</v>
      </c>
      <c r="U28" s="29">
        <f>SUMIFS('Recipe Ingredients'!$I$2:$I$2500,'Recipe Ingredients'!$A$2:$A$2500,A28)/R28</f>
        <v>214.5</v>
      </c>
      <c r="V28" s="29">
        <f>SUMIFS('Recipe Ingredients'!$J$2:$J$2500,'Recipe Ingredients'!$A$2:$A$2500,A28)/R28</f>
        <v>6.2439999999999989</v>
      </c>
      <c r="W28" s="29">
        <f>SUMIFS('Recipe Ingredients'!$K$2:$K$2500,'Recipe Ingredients'!$A$2:$A$2500,A28)/R28</f>
        <v>51.391500000000008</v>
      </c>
      <c r="X28" s="29">
        <f>SUMIFS('Recipe Ingredients'!$L$2:$L$2500,'Recipe Ingredients'!$A$2:$A$2500,A28)/R28</f>
        <v>1051.425</v>
      </c>
      <c r="Y28" s="29">
        <f>SUMIFS('Recipe Ingredients'!$M$2:$M$2500,'Recipe Ingredients'!$A$2:$A$2500,A28)/R28</f>
        <v>16.103999999999999</v>
      </c>
      <c r="Z28" s="29">
        <f>SUMIFS('Recipe Ingredients'!$N$2:$N$2500,'Recipe Ingredients'!$A$2:$A$2500,A28)/R28</f>
        <v>57.55</v>
      </c>
      <c r="AA28" s="29">
        <f>SUMIFS('Recipe Ingredients'!$O$2:$O$2500,'Recipe Ingredients'!$A$2:$A$2500,A28)/R28</f>
        <v>586.21499999999992</v>
      </c>
      <c r="AB28" s="30">
        <f>SUMIFS('Recipe Ingredients'!$P$2:$P$2500,'Recipe Ingredients'!$A$2:$A$2500,A28)/R28</f>
        <v>0.94485000000000019</v>
      </c>
      <c r="AC28" s="30">
        <f>SUMIFS('Recipe Ingredients'!$Q$2:$Q$2500,'Recipe Ingredients'!$A$2:$A$2500,A28)/R28</f>
        <v>0.23901</v>
      </c>
      <c r="AD28" s="29">
        <f>SUMIFS('Recipe Ingredients'!$R$2:$R$2500,'Recipe Ingredients'!$A$2:$A$2500,A28)/R28</f>
        <v>30.225000000000001</v>
      </c>
      <c r="AE28" s="30">
        <f>SUMIFS('Recipe Ingredients'!$S$2:$S$2500,'Recipe Ingredients'!$A$2:$A$2500,A28)/R28</f>
        <v>2.0022500000000001</v>
      </c>
      <c r="AF28" s="31">
        <f>IFERROR(V28/'Start Here'!$C$10,0)</f>
        <v>0.24975999999999995</v>
      </c>
      <c r="AG28" s="31">
        <f>IFERROR(W28/'Start Here'!$C$11,0)</f>
        <v>0.6423937500000001</v>
      </c>
      <c r="AH28" s="31">
        <f>IFERROR(X28/'Start Here'!$C$12,0)</f>
        <v>1.3142812499999998</v>
      </c>
      <c r="AI28" s="31">
        <f>IFERROR(Y28/'Start Here'!$C$13,0)</f>
        <v>0.21471999999999999</v>
      </c>
      <c r="AJ28" s="31">
        <f>IFERROR(Z28/'Start Here'!$C$14,0)</f>
        <v>0.28775000000000001</v>
      </c>
      <c r="AK28" s="31">
        <f>IFERROR(AA28/'Start Here'!$C$15,0)</f>
        <v>0.29310749999999997</v>
      </c>
      <c r="AL28" s="31">
        <f>IFERROR(AB28/'Start Here'!$C$16,0)</f>
        <v>7.8737500000000016E-2</v>
      </c>
      <c r="AM28" s="31">
        <f>IFERROR(AC28/'Start Here'!$C$17,0)</f>
        <v>0.17072142857142858</v>
      </c>
      <c r="AN28" s="31">
        <f>IFERROR(AD28/'Start Here'!$C$18,0)</f>
        <v>8.0600000000000005E-2</v>
      </c>
      <c r="AO28" s="31">
        <f>IFERROR(AE28/'Start Here'!$C$19,0)</f>
        <v>0.14301785714285714</v>
      </c>
      <c r="AP28" s="22" t="str">
        <f t="shared" si="2"/>
        <v>Vitamin A</v>
      </c>
      <c r="AQ28" s="7" t="str">
        <f t="shared" si="3"/>
        <v>Best for better vitamin A intake: one serving gives about 131% of your daily vitamin A from the produce alone.</v>
      </c>
      <c r="AR28" s="7" t="str">
        <f t="shared" si="4"/>
        <v>Vitamin C (64%), Folate (29%), Potassium (29%)</v>
      </c>
      <c r="AS28" s="7" t="s">
        <v>1282</v>
      </c>
      <c r="AT28" s="7" t="s">
        <v>1283</v>
      </c>
      <c r="AU28" s="28">
        <f>COUNTIFS('Recipe Ingredients'!$A$2:$A$2500,A28,'Recipe Ingredients'!$G$2:$G$2500,"Basket")</f>
        <v>4</v>
      </c>
      <c r="AV28" s="28">
        <f>COUNTIFS('Recipe Ingredients'!$A$2:$A$2500,A28,'Recipe Ingredients'!$G$2:$G$2500,"Protein")+COUNTIFS('Recipe Ingredients'!$A$2:$A$2500,A28,'Recipe Ingredients'!$G$2:$G$2500,"Pantry")</f>
        <v>2</v>
      </c>
      <c r="AW28" s="31">
        <f t="shared" si="5"/>
        <v>0.66666666666666663</v>
      </c>
      <c r="AX28" s="28" t="str">
        <f>IF(AW28&gt;='Start Here'!$C$6,"Yes","No")</f>
        <v>No</v>
      </c>
      <c r="AY28" s="7" t="s">
        <v>115</v>
      </c>
      <c r="AZ28" s="7" t="s">
        <v>1284</v>
      </c>
      <c r="BA28" s="7"/>
      <c r="BB28" s="32" t="s">
        <v>964</v>
      </c>
    </row>
    <row r="29" spans="1:54" ht="96" customHeight="1" x14ac:dyDescent="0.25">
      <c r="A29" s="22" t="s">
        <v>1285</v>
      </c>
      <c r="B29" s="23" t="s">
        <v>1286</v>
      </c>
      <c r="C29" s="22" t="s">
        <v>1129</v>
      </c>
      <c r="D29" s="22" t="s">
        <v>1130</v>
      </c>
      <c r="E29" s="22" t="s">
        <v>1131</v>
      </c>
      <c r="F29" s="7" t="s">
        <v>1287</v>
      </c>
      <c r="G29" s="22" t="s">
        <v>1005</v>
      </c>
      <c r="H29" s="27" t="s">
        <v>1288</v>
      </c>
      <c r="I29" s="27" t="s">
        <v>1289</v>
      </c>
      <c r="J29" s="7" t="s">
        <v>1290</v>
      </c>
      <c r="K29" s="7" t="s">
        <v>1291</v>
      </c>
      <c r="L29" s="7" t="s">
        <v>234</v>
      </c>
      <c r="M29" s="22" t="s">
        <v>958</v>
      </c>
      <c r="N29" s="28">
        <v>15</v>
      </c>
      <c r="O29" s="28">
        <v>40</v>
      </c>
      <c r="P29" s="28">
        <f t="shared" si="0"/>
        <v>55</v>
      </c>
      <c r="Q29" s="22" t="str">
        <f t="shared" si="1"/>
        <v>Standard</v>
      </c>
      <c r="R29" s="28">
        <v>2</v>
      </c>
      <c r="S29" s="22">
        <v>260</v>
      </c>
      <c r="T29" s="22">
        <v>4</v>
      </c>
      <c r="U29" s="29">
        <f>SUMIFS('Recipe Ingredients'!$I$2:$I$2500,'Recipe Ingredients'!$A$2:$A$2500,A29)/R29</f>
        <v>315</v>
      </c>
      <c r="V29" s="29">
        <f>SUMIFS('Recipe Ingredients'!$J$2:$J$2500,'Recipe Ingredients'!$A$2:$A$2500,A29)/R29</f>
        <v>13.013999999999999</v>
      </c>
      <c r="W29" s="29">
        <f>SUMIFS('Recipe Ingredients'!$K$2:$K$2500,'Recipe Ingredients'!$A$2:$A$2500,A29)/R29</f>
        <v>58.575000000000003</v>
      </c>
      <c r="X29" s="29">
        <f>SUMIFS('Recipe Ingredients'!$L$2:$L$2500,'Recipe Ingredients'!$A$2:$A$2500,A29)/R29</f>
        <v>118.48499999999999</v>
      </c>
      <c r="Y29" s="29">
        <f>SUMIFS('Recipe Ingredients'!$M$2:$M$2500,'Recipe Ingredients'!$A$2:$A$2500,A29)/R29</f>
        <v>45.412499999999994</v>
      </c>
      <c r="Z29" s="29">
        <f>SUMIFS('Recipe Ingredients'!$N$2:$N$2500,'Recipe Ingredients'!$A$2:$A$2500,A29)/R29</f>
        <v>262.65000000000003</v>
      </c>
      <c r="AA29" s="29">
        <f>SUMIFS('Recipe Ingredients'!$O$2:$O$2500,'Recipe Ingredients'!$A$2:$A$2500,A29)/R29</f>
        <v>1076.7250000000001</v>
      </c>
      <c r="AB29" s="30">
        <f>SUMIFS('Recipe Ingredients'!$P$2:$P$2500,'Recipe Ingredients'!$A$2:$A$2500,A29)/R29</f>
        <v>3.5356500000000004</v>
      </c>
      <c r="AC29" s="30">
        <f>SUMIFS('Recipe Ingredients'!$Q$2:$Q$2500,'Recipe Ingredients'!$A$2:$A$2500,A29)/R29</f>
        <v>0.45051500000000005</v>
      </c>
      <c r="AD29" s="29">
        <f>SUMIFS('Recipe Ingredients'!$R$2:$R$2500,'Recipe Ingredients'!$A$2:$A$2500,A29)/R29</f>
        <v>85.60499999999999</v>
      </c>
      <c r="AE29" s="30">
        <f>SUMIFS('Recipe Ingredients'!$S$2:$S$2500,'Recipe Ingredients'!$A$2:$A$2500,A29)/R29</f>
        <v>2.3056000000000005</v>
      </c>
      <c r="AF29" s="31">
        <f>IFERROR(V29/'Start Here'!$C$10,0)</f>
        <v>0.52056000000000002</v>
      </c>
      <c r="AG29" s="31">
        <f>IFERROR(W29/'Start Here'!$C$11,0)</f>
        <v>0.73218749999999999</v>
      </c>
      <c r="AH29" s="31">
        <f>IFERROR(X29/'Start Here'!$C$12,0)</f>
        <v>0.14810624999999999</v>
      </c>
      <c r="AI29" s="31">
        <f>IFERROR(Y29/'Start Here'!$C$13,0)</f>
        <v>0.60549999999999993</v>
      </c>
      <c r="AJ29" s="31">
        <f>IFERROR(Z29/'Start Here'!$C$14,0)</f>
        <v>1.3132500000000003</v>
      </c>
      <c r="AK29" s="31">
        <f>IFERROR(AA29/'Start Here'!$C$15,0)</f>
        <v>0.53836250000000008</v>
      </c>
      <c r="AL29" s="31">
        <f>IFERROR(AB29/'Start Here'!$C$16,0)</f>
        <v>0.29463750000000005</v>
      </c>
      <c r="AM29" s="31">
        <f>IFERROR(AC29/'Start Here'!$C$17,0)</f>
        <v>0.32179642857142865</v>
      </c>
      <c r="AN29" s="31">
        <f>IFERROR(AD29/'Start Here'!$C$18,0)</f>
        <v>0.22827999999999998</v>
      </c>
      <c r="AO29" s="31">
        <f>IFERROR(AE29/'Start Here'!$C$19,0)</f>
        <v>0.16468571428571432</v>
      </c>
      <c r="AP29" s="22" t="str">
        <f t="shared" si="2"/>
        <v>Folate</v>
      </c>
      <c r="AQ29" s="7" t="str">
        <f t="shared" si="3"/>
        <v>Best for better folate intake: one serving gives about 131% of your daily folate from the produce alone.</v>
      </c>
      <c r="AR29" s="7" t="str">
        <f t="shared" si="4"/>
        <v>Fibre (52%), Vitamin C (73%), Vitamin K (61%), Potassium (54%), Vitamin E (29%), Vitamin B6 (32%)</v>
      </c>
      <c r="AS29" s="7" t="s">
        <v>1292</v>
      </c>
      <c r="AT29" s="7" t="s">
        <v>1293</v>
      </c>
      <c r="AU29" s="28">
        <f>COUNTIFS('Recipe Ingredients'!$A$2:$A$2500,A29,'Recipe Ingredients'!$G$2:$G$2500,"Basket")</f>
        <v>7</v>
      </c>
      <c r="AV29" s="28">
        <f>COUNTIFS('Recipe Ingredients'!$A$2:$A$2500,A29,'Recipe Ingredients'!$G$2:$G$2500,"Protein")+COUNTIFS('Recipe Ingredients'!$A$2:$A$2500,A29,'Recipe Ingredients'!$G$2:$G$2500,"Pantry")</f>
        <v>1</v>
      </c>
      <c r="AW29" s="31">
        <f t="shared" si="5"/>
        <v>0.875</v>
      </c>
      <c r="AX29" s="28" t="str">
        <f>IF(AW29&gt;='Start Here'!$C$6,"Yes","No")</f>
        <v>Yes</v>
      </c>
      <c r="AY29" s="7" t="s">
        <v>115</v>
      </c>
      <c r="AZ29" s="7" t="s">
        <v>1294</v>
      </c>
      <c r="BA29" s="7"/>
      <c r="BB29" s="32" t="s">
        <v>964</v>
      </c>
    </row>
    <row r="30" spans="1:54" ht="96" customHeight="1" x14ac:dyDescent="0.25">
      <c r="A30" s="22" t="s">
        <v>1295</v>
      </c>
      <c r="B30" s="23" t="s">
        <v>1296</v>
      </c>
      <c r="C30" s="22" t="s">
        <v>1129</v>
      </c>
      <c r="D30" s="22" t="s">
        <v>1130</v>
      </c>
      <c r="E30" s="22" t="s">
        <v>1275</v>
      </c>
      <c r="F30" s="7" t="s">
        <v>1297</v>
      </c>
      <c r="G30" s="22" t="s">
        <v>1298</v>
      </c>
      <c r="H30" s="27" t="s">
        <v>1299</v>
      </c>
      <c r="I30" s="27" t="s">
        <v>1300</v>
      </c>
      <c r="J30" s="7" t="s">
        <v>1301</v>
      </c>
      <c r="K30" s="7" t="s">
        <v>1302</v>
      </c>
      <c r="L30" s="7" t="s">
        <v>1303</v>
      </c>
      <c r="M30" s="22" t="s">
        <v>1051</v>
      </c>
      <c r="N30" s="28">
        <v>10</v>
      </c>
      <c r="O30" s="28">
        <v>0</v>
      </c>
      <c r="P30" s="28">
        <f t="shared" si="0"/>
        <v>10</v>
      </c>
      <c r="Q30" s="22" t="str">
        <f t="shared" si="1"/>
        <v>No-cook</v>
      </c>
      <c r="R30" s="28">
        <v>4</v>
      </c>
      <c r="S30" s="22">
        <v>50</v>
      </c>
      <c r="T30" s="22">
        <v>1</v>
      </c>
      <c r="U30" s="29">
        <f>SUMIFS('Recipe Ingredients'!$I$2:$I$2500,'Recipe Ingredients'!$A$2:$A$2500,A30)/R30</f>
        <v>206.25</v>
      </c>
      <c r="V30" s="29">
        <f>SUMIFS('Recipe Ingredients'!$J$2:$J$2500,'Recipe Ingredients'!$A$2:$A$2500,A30)/R30</f>
        <v>2.7432499999999997</v>
      </c>
      <c r="W30" s="29">
        <f>SUMIFS('Recipe Ingredients'!$K$2:$K$2500,'Recipe Ingredients'!$A$2:$A$2500,A30)/R30</f>
        <v>25.128</v>
      </c>
      <c r="X30" s="29">
        <f>SUMIFS('Recipe Ingredients'!$L$2:$L$2500,'Recipe Ingredients'!$A$2:$A$2500,A30)/R30</f>
        <v>55.987499999999997</v>
      </c>
      <c r="Y30" s="29">
        <f>SUMIFS('Recipe Ingredients'!$M$2:$M$2500,'Recipe Ingredients'!$A$2:$A$2500,A30)/R30</f>
        <v>40.869999999999997</v>
      </c>
      <c r="Z30" s="29">
        <f>SUMIFS('Recipe Ingredients'!$N$2:$N$2500,'Recipe Ingredients'!$A$2:$A$2500,A30)/R30</f>
        <v>27.237499999999997</v>
      </c>
      <c r="AA30" s="29">
        <f>SUMIFS('Recipe Ingredients'!$O$2:$O$2500,'Recipe Ingredients'!$A$2:$A$2500,A30)/R30</f>
        <v>372.5625</v>
      </c>
      <c r="AB30" s="30">
        <f>SUMIFS('Recipe Ingredients'!$P$2:$P$2500,'Recipe Ingredients'!$A$2:$A$2500,A30)/R30</f>
        <v>0.627525</v>
      </c>
      <c r="AC30" s="30">
        <f>SUMIFS('Recipe Ingredients'!$Q$2:$Q$2500,'Recipe Ingredients'!$A$2:$A$2500,A30)/R30</f>
        <v>0.14081000000000002</v>
      </c>
      <c r="AD30" s="29">
        <f>SUMIFS('Recipe Ingredients'!$R$2:$R$2500,'Recipe Ingredients'!$A$2:$A$2500,A30)/R30</f>
        <v>23.427499999999995</v>
      </c>
      <c r="AE30" s="30">
        <f>SUMIFS('Recipe Ingredients'!$S$2:$S$2500,'Recipe Ingredients'!$A$2:$A$2500,A30)/R30</f>
        <v>0.77474999999999994</v>
      </c>
      <c r="AF30" s="31">
        <f>IFERROR(V30/'Start Here'!$C$10,0)</f>
        <v>0.10972999999999999</v>
      </c>
      <c r="AG30" s="31">
        <f>IFERROR(W30/'Start Here'!$C$11,0)</f>
        <v>0.31409999999999999</v>
      </c>
      <c r="AH30" s="31">
        <f>IFERROR(X30/'Start Here'!$C$12,0)</f>
        <v>6.9984375000000001E-2</v>
      </c>
      <c r="AI30" s="31">
        <f>IFERROR(Y30/'Start Here'!$C$13,0)</f>
        <v>0.54493333333333327</v>
      </c>
      <c r="AJ30" s="31">
        <f>IFERROR(Z30/'Start Here'!$C$14,0)</f>
        <v>0.13618749999999999</v>
      </c>
      <c r="AK30" s="31">
        <f>IFERROR(AA30/'Start Here'!$C$15,0)</f>
        <v>0.18628125000000001</v>
      </c>
      <c r="AL30" s="31">
        <f>IFERROR(AB30/'Start Here'!$C$16,0)</f>
        <v>5.229375E-2</v>
      </c>
      <c r="AM30" s="31">
        <f>IFERROR(AC30/'Start Here'!$C$17,0)</f>
        <v>0.10057857142857145</v>
      </c>
      <c r="AN30" s="31">
        <f>IFERROR(AD30/'Start Here'!$C$18,0)</f>
        <v>6.2473333333333318E-2</v>
      </c>
      <c r="AO30" s="31">
        <f>IFERROR(AE30/'Start Here'!$C$19,0)</f>
        <v>5.5339285714285709E-2</v>
      </c>
      <c r="AP30" s="22" t="str">
        <f t="shared" si="2"/>
        <v>Vitamin K</v>
      </c>
      <c r="AQ30" s="7" t="str">
        <f t="shared" si="3"/>
        <v>Best for better vitamin K intake: one serving gives about 54% of your daily vitamin K from the produce alone.</v>
      </c>
      <c r="AR30" s="7" t="str">
        <f t="shared" si="4"/>
        <v>Vitamin C (31%)</v>
      </c>
      <c r="AS30" s="7" t="s">
        <v>1210</v>
      </c>
      <c r="AT30" s="7" t="s">
        <v>1304</v>
      </c>
      <c r="AU30" s="28">
        <f>COUNTIFS('Recipe Ingredients'!$A$2:$A$2500,A30,'Recipe Ingredients'!$G$2:$G$2500,"Basket")</f>
        <v>6</v>
      </c>
      <c r="AV30" s="28">
        <f>COUNTIFS('Recipe Ingredients'!$A$2:$A$2500,A30,'Recipe Ingredients'!$G$2:$G$2500,"Protein")+COUNTIFS('Recipe Ingredients'!$A$2:$A$2500,A30,'Recipe Ingredients'!$G$2:$G$2500,"Pantry")</f>
        <v>0</v>
      </c>
      <c r="AW30" s="31">
        <f t="shared" si="5"/>
        <v>1</v>
      </c>
      <c r="AX30" s="28" t="str">
        <f>IF(AW30&gt;='Start Here'!$C$6,"Yes","No")</f>
        <v>Yes</v>
      </c>
      <c r="AY30" s="7" t="s">
        <v>115</v>
      </c>
      <c r="AZ30" s="7" t="s">
        <v>1305</v>
      </c>
      <c r="BA30" s="7"/>
      <c r="BB30" s="32" t="s">
        <v>964</v>
      </c>
    </row>
    <row r="31" spans="1:54" ht="96" customHeight="1" x14ac:dyDescent="0.25">
      <c r="A31" s="22" t="s">
        <v>1306</v>
      </c>
      <c r="B31" s="23" t="s">
        <v>1307</v>
      </c>
      <c r="C31" s="22" t="s">
        <v>1129</v>
      </c>
      <c r="D31" s="22" t="s">
        <v>1130</v>
      </c>
      <c r="E31" s="22" t="s">
        <v>1308</v>
      </c>
      <c r="F31" s="7" t="s">
        <v>1309</v>
      </c>
      <c r="G31" s="22" t="s">
        <v>1310</v>
      </c>
      <c r="H31" s="27" t="s">
        <v>1311</v>
      </c>
      <c r="I31" s="27" t="s">
        <v>1312</v>
      </c>
      <c r="J31" s="7" t="s">
        <v>1313</v>
      </c>
      <c r="K31" s="7" t="s">
        <v>1314</v>
      </c>
      <c r="L31" s="7" t="s">
        <v>224</v>
      </c>
      <c r="M31" s="22" t="s">
        <v>958</v>
      </c>
      <c r="N31" s="28">
        <v>15</v>
      </c>
      <c r="O31" s="28">
        <v>0</v>
      </c>
      <c r="P31" s="28">
        <f t="shared" si="0"/>
        <v>15</v>
      </c>
      <c r="Q31" s="22" t="str">
        <f t="shared" si="1"/>
        <v>No-cook</v>
      </c>
      <c r="R31" s="28">
        <v>2</v>
      </c>
      <c r="S31" s="22">
        <v>280</v>
      </c>
      <c r="T31" s="22">
        <v>9</v>
      </c>
      <c r="U31" s="29">
        <f>SUMIFS('Recipe Ingredients'!$I$2:$I$2500,'Recipe Ingredients'!$A$2:$A$2500,A31)/R31</f>
        <v>432</v>
      </c>
      <c r="V31" s="29">
        <f>SUMIFS('Recipe Ingredients'!$J$2:$J$2500,'Recipe Ingredients'!$A$2:$A$2500,A31)/R31</f>
        <v>11.239500000000001</v>
      </c>
      <c r="W31" s="29">
        <f>SUMIFS('Recipe Ingredients'!$K$2:$K$2500,'Recipe Ingredients'!$A$2:$A$2500,A31)/R31</f>
        <v>24.18</v>
      </c>
      <c r="X31" s="29">
        <f>SUMIFS('Recipe Ingredients'!$L$2:$L$2500,'Recipe Ingredients'!$A$2:$A$2500,A31)/R31</f>
        <v>213.68</v>
      </c>
      <c r="Y31" s="29">
        <f>SUMIFS('Recipe Ingredients'!$M$2:$M$2500,'Recipe Ingredients'!$A$2:$A$2500,A31)/R31</f>
        <v>67.117999999999995</v>
      </c>
      <c r="Z31" s="29">
        <f>SUMIFS('Recipe Ingredients'!$N$2:$N$2500,'Recipe Ingredients'!$A$2:$A$2500,A31)/R31</f>
        <v>136.315</v>
      </c>
      <c r="AA31" s="29">
        <f>SUMIFS('Recipe Ingredients'!$O$2:$O$2500,'Recipe Ingredients'!$A$2:$A$2500,A31)/R31</f>
        <v>747.48500000000013</v>
      </c>
      <c r="AB31" s="30">
        <f>SUMIFS('Recipe Ingredients'!$P$2:$P$2500,'Recipe Ingredients'!$A$2:$A$2500,A31)/R31</f>
        <v>2.6598999999999999</v>
      </c>
      <c r="AC31" s="30">
        <f>SUMIFS('Recipe Ingredients'!$Q$2:$Q$2500,'Recipe Ingredients'!$A$2:$A$2500,A31)/R31</f>
        <v>0.29526000000000002</v>
      </c>
      <c r="AD31" s="29">
        <f>SUMIFS('Recipe Ingredients'!$R$2:$R$2500,'Recipe Ingredients'!$A$2:$A$2500,A31)/R31</f>
        <v>68.674999999999997</v>
      </c>
      <c r="AE31" s="30">
        <f>SUMIFS('Recipe Ingredients'!$S$2:$S$2500,'Recipe Ingredients'!$A$2:$A$2500,A31)/R31</f>
        <v>2.2925</v>
      </c>
      <c r="AF31" s="31">
        <f>IFERROR(V31/'Start Here'!$C$10,0)</f>
        <v>0.44958000000000004</v>
      </c>
      <c r="AG31" s="31">
        <f>IFERROR(W31/'Start Here'!$C$11,0)</f>
        <v>0.30225000000000002</v>
      </c>
      <c r="AH31" s="31">
        <f>IFERROR(X31/'Start Here'!$C$12,0)</f>
        <v>0.2671</v>
      </c>
      <c r="AI31" s="31">
        <f>IFERROR(Y31/'Start Here'!$C$13,0)</f>
        <v>0.89490666666666663</v>
      </c>
      <c r="AJ31" s="31">
        <f>IFERROR(Z31/'Start Here'!$C$14,0)</f>
        <v>0.68157500000000004</v>
      </c>
      <c r="AK31" s="31">
        <f>IFERROR(AA31/'Start Here'!$C$15,0)</f>
        <v>0.37374250000000009</v>
      </c>
      <c r="AL31" s="31">
        <f>IFERROR(AB31/'Start Here'!$C$16,0)</f>
        <v>0.22165833333333332</v>
      </c>
      <c r="AM31" s="31">
        <f>IFERROR(AC31/'Start Here'!$C$17,0)</f>
        <v>0.21090000000000003</v>
      </c>
      <c r="AN31" s="31">
        <f>IFERROR(AD31/'Start Here'!$C$18,0)</f>
        <v>0.18313333333333331</v>
      </c>
      <c r="AO31" s="31">
        <f>IFERROR(AE31/'Start Here'!$C$19,0)</f>
        <v>0.16375000000000001</v>
      </c>
      <c r="AP31" s="22" t="str">
        <f t="shared" si="2"/>
        <v>Vitamin K</v>
      </c>
      <c r="AQ31" s="7" t="str">
        <f t="shared" si="3"/>
        <v>Best for better vitamin K intake: one serving gives about 89% of your daily vitamin K from the produce alone.</v>
      </c>
      <c r="AR31" s="7" t="str">
        <f t="shared" si="4"/>
        <v>Fibre (45%), Vitamin C (30%), Vitamin A (27%), Folate (68%), Potassium (37%)</v>
      </c>
      <c r="AS31" s="7" t="s">
        <v>1315</v>
      </c>
      <c r="AT31" s="7" t="s">
        <v>1316</v>
      </c>
      <c r="AU31" s="28">
        <f>COUNTIFS('Recipe Ingredients'!$A$2:$A$2500,A31,'Recipe Ingredients'!$G$2:$G$2500,"Basket")</f>
        <v>6</v>
      </c>
      <c r="AV31" s="28">
        <f>COUNTIFS('Recipe Ingredients'!$A$2:$A$2500,A31,'Recipe Ingredients'!$G$2:$G$2500,"Protein")+COUNTIFS('Recipe Ingredients'!$A$2:$A$2500,A31,'Recipe Ingredients'!$G$2:$G$2500,"Pantry")</f>
        <v>2</v>
      </c>
      <c r="AW31" s="31">
        <f t="shared" si="5"/>
        <v>0.75</v>
      </c>
      <c r="AX31" s="28" t="str">
        <f>IF(AW31&gt;='Start Here'!$C$6,"Yes","No")</f>
        <v>No</v>
      </c>
      <c r="AY31" s="7" t="s">
        <v>115</v>
      </c>
      <c r="AZ31" s="7" t="s">
        <v>1317</v>
      </c>
      <c r="BA31" s="7" t="s">
        <v>1318</v>
      </c>
      <c r="BB31" s="32" t="s">
        <v>964</v>
      </c>
    </row>
    <row r="32" spans="1:54" ht="96" customHeight="1" x14ac:dyDescent="0.25">
      <c r="A32" s="22" t="s">
        <v>1319</v>
      </c>
      <c r="B32" s="23" t="s">
        <v>1320</v>
      </c>
      <c r="C32" s="22" t="s">
        <v>1129</v>
      </c>
      <c r="D32" s="22" t="s">
        <v>1321</v>
      </c>
      <c r="E32" s="22" t="s">
        <v>1322</v>
      </c>
      <c r="F32" s="7" t="s">
        <v>1323</v>
      </c>
      <c r="G32" s="22" t="s">
        <v>1005</v>
      </c>
      <c r="H32" s="27" t="s">
        <v>1324</v>
      </c>
      <c r="I32" s="27" t="s">
        <v>1325</v>
      </c>
      <c r="J32" s="7" t="s">
        <v>1326</v>
      </c>
      <c r="K32" s="7" t="s">
        <v>1327</v>
      </c>
      <c r="L32" s="7" t="s">
        <v>620</v>
      </c>
      <c r="M32" s="22" t="s">
        <v>958</v>
      </c>
      <c r="N32" s="28">
        <v>10</v>
      </c>
      <c r="O32" s="28">
        <v>30</v>
      </c>
      <c r="P32" s="28">
        <f t="shared" si="0"/>
        <v>40</v>
      </c>
      <c r="Q32" s="22" t="str">
        <f t="shared" si="1"/>
        <v>Standard</v>
      </c>
      <c r="R32" s="28">
        <v>3</v>
      </c>
      <c r="S32" s="22">
        <v>260</v>
      </c>
      <c r="T32" s="22">
        <v>6</v>
      </c>
      <c r="U32" s="29">
        <f>SUMIFS('Recipe Ingredients'!$I$2:$I$2500,'Recipe Ingredients'!$A$2:$A$2500,A32)/R32</f>
        <v>142.33333333333334</v>
      </c>
      <c r="V32" s="29">
        <f>SUMIFS('Recipe Ingredients'!$J$2:$J$2500,'Recipe Ingredients'!$A$2:$A$2500,A32)/R32</f>
        <v>4.2383333333333333</v>
      </c>
      <c r="W32" s="29">
        <f>SUMIFS('Recipe Ingredients'!$K$2:$K$2500,'Recipe Ingredients'!$A$2:$A$2500,A32)/R32</f>
        <v>6.7299999999999995</v>
      </c>
      <c r="X32" s="29">
        <f>SUMIFS('Recipe Ingredients'!$L$2:$L$2500,'Recipe Ingredients'!$A$2:$A$2500,A32)/R32</f>
        <v>921.92666666666662</v>
      </c>
      <c r="Y32" s="29">
        <f>SUMIFS('Recipe Ingredients'!$M$2:$M$2500,'Recipe Ingredients'!$A$2:$A$2500,A32)/R32</f>
        <v>2.4249999999999998</v>
      </c>
      <c r="Z32" s="29">
        <f>SUMIFS('Recipe Ingredients'!$N$2:$N$2500,'Recipe Ingredients'!$A$2:$A$2500,A32)/R32</f>
        <v>15.236666666666666</v>
      </c>
      <c r="AA32" s="29">
        <f>SUMIFS('Recipe Ingredients'!$O$2:$O$2500,'Recipe Ingredients'!$A$2:$A$2500,A32)/R32</f>
        <v>453.67</v>
      </c>
      <c r="AB32" s="30">
        <f>SUMIFS('Recipe Ingredients'!$P$2:$P$2500,'Recipe Ingredients'!$A$2:$A$2500,A32)/R32</f>
        <v>0.3637333333333333</v>
      </c>
      <c r="AC32" s="30">
        <f>SUMIFS('Recipe Ingredients'!$Q$2:$Q$2500,'Recipe Ingredients'!$A$2:$A$2500,A32)/R32</f>
        <v>0.28892333333333331</v>
      </c>
      <c r="AD32" s="29">
        <f>SUMIFS('Recipe Ingredients'!$R$2:$R$2500,'Recipe Ingredients'!$A$2:$A$2500,A32)/R32</f>
        <v>33.43</v>
      </c>
      <c r="AE32" s="30">
        <f>SUMIFS('Recipe Ingredients'!$S$2:$S$2500,'Recipe Ingredients'!$A$2:$A$2500,A32)/R32</f>
        <v>0.87800000000000011</v>
      </c>
      <c r="AF32" s="31">
        <f>IFERROR(V32/'Start Here'!$C$10,0)</f>
        <v>0.16953333333333334</v>
      </c>
      <c r="AG32" s="31">
        <f>IFERROR(W32/'Start Here'!$C$11,0)</f>
        <v>8.4124999999999991E-2</v>
      </c>
      <c r="AH32" s="31">
        <f>IFERROR(X32/'Start Here'!$C$12,0)</f>
        <v>1.1524083333333333</v>
      </c>
      <c r="AI32" s="31">
        <f>IFERROR(Y32/'Start Here'!$C$13,0)</f>
        <v>3.2333333333333332E-2</v>
      </c>
      <c r="AJ32" s="31">
        <f>IFERROR(Z32/'Start Here'!$C$14,0)</f>
        <v>7.6183333333333325E-2</v>
      </c>
      <c r="AK32" s="31">
        <f>IFERROR(AA32/'Start Here'!$C$15,0)</f>
        <v>0.22683500000000001</v>
      </c>
      <c r="AL32" s="31">
        <f>IFERROR(AB32/'Start Here'!$C$16,0)</f>
        <v>3.0311111111111108E-2</v>
      </c>
      <c r="AM32" s="31">
        <f>IFERROR(AC32/'Start Here'!$C$17,0)</f>
        <v>0.20637380952380951</v>
      </c>
      <c r="AN32" s="31">
        <f>IFERROR(AD32/'Start Here'!$C$18,0)</f>
        <v>8.9146666666666666E-2</v>
      </c>
      <c r="AO32" s="31">
        <f>IFERROR(AE32/'Start Here'!$C$19,0)</f>
        <v>6.2714285714285722E-2</v>
      </c>
      <c r="AP32" s="22" t="str">
        <f t="shared" si="2"/>
        <v>Vitamin A</v>
      </c>
      <c r="AQ32" s="7" t="str">
        <f t="shared" si="3"/>
        <v>Best for better vitamin A intake: one serving gives about 115% of your daily vitamin A from the produce alone.</v>
      </c>
      <c r="AR32" s="7" t="str">
        <f t="shared" si="4"/>
        <v/>
      </c>
      <c r="AS32" s="7" t="s">
        <v>1328</v>
      </c>
      <c r="AT32" s="7" t="s">
        <v>1329</v>
      </c>
      <c r="AU32" s="28">
        <f>COUNTIFS('Recipe Ingredients'!$A$2:$A$2500,A32,'Recipe Ingredients'!$G$2:$G$2500,"Basket")</f>
        <v>3</v>
      </c>
      <c r="AV32" s="28">
        <f>COUNTIFS('Recipe Ingredients'!$A$2:$A$2500,A32,'Recipe Ingredients'!$G$2:$G$2500,"Protein")+COUNTIFS('Recipe Ingredients'!$A$2:$A$2500,A32,'Recipe Ingredients'!$G$2:$G$2500,"Pantry")</f>
        <v>3</v>
      </c>
      <c r="AW32" s="31">
        <f t="shared" si="5"/>
        <v>0.5</v>
      </c>
      <c r="AX32" s="28" t="str">
        <f>IF(AW32&gt;='Start Here'!$C$6,"Yes","No")</f>
        <v>No</v>
      </c>
      <c r="AY32" s="7" t="s">
        <v>115</v>
      </c>
      <c r="AZ32" s="7" t="s">
        <v>1330</v>
      </c>
      <c r="BA32" s="7"/>
      <c r="BB32" s="32" t="s">
        <v>964</v>
      </c>
    </row>
    <row r="33" spans="1:54" ht="96" customHeight="1" x14ac:dyDescent="0.25">
      <c r="A33" s="22" t="s">
        <v>1331</v>
      </c>
      <c r="B33" s="23" t="s">
        <v>1332</v>
      </c>
      <c r="C33" s="22" t="s">
        <v>1129</v>
      </c>
      <c r="D33" s="22" t="s">
        <v>1321</v>
      </c>
      <c r="E33" s="22" t="s">
        <v>1275</v>
      </c>
      <c r="F33" s="7" t="s">
        <v>1333</v>
      </c>
      <c r="G33" s="22" t="s">
        <v>1334</v>
      </c>
      <c r="H33" s="27" t="s">
        <v>1335</v>
      </c>
      <c r="I33" s="27" t="s">
        <v>1336</v>
      </c>
      <c r="J33" s="7" t="s">
        <v>1337</v>
      </c>
      <c r="K33" s="7" t="s">
        <v>1338</v>
      </c>
      <c r="L33" s="7" t="s">
        <v>636</v>
      </c>
      <c r="M33" s="22" t="s">
        <v>958</v>
      </c>
      <c r="N33" s="28">
        <v>10</v>
      </c>
      <c r="O33" s="28">
        <v>15</v>
      </c>
      <c r="P33" s="28">
        <f t="shared" si="0"/>
        <v>25</v>
      </c>
      <c r="Q33" s="22" t="str">
        <f t="shared" si="1"/>
        <v>Quick</v>
      </c>
      <c r="R33" s="28">
        <v>4</v>
      </c>
      <c r="S33" s="22">
        <v>150</v>
      </c>
      <c r="T33" s="22">
        <v>4</v>
      </c>
      <c r="U33" s="29">
        <f>SUMIFS('Recipe Ingredients'!$I$2:$I$2500,'Recipe Ingredients'!$A$2:$A$2500,A33)/R33</f>
        <v>185.25</v>
      </c>
      <c r="V33" s="29">
        <f>SUMIFS('Recipe Ingredients'!$J$2:$J$2500,'Recipe Ingredients'!$A$2:$A$2500,A33)/R33</f>
        <v>4.3182500000000008</v>
      </c>
      <c r="W33" s="29">
        <f>SUMIFS('Recipe Ingredients'!$K$2:$K$2500,'Recipe Ingredients'!$A$2:$A$2500,A33)/R33</f>
        <v>60.019250000000007</v>
      </c>
      <c r="X33" s="29">
        <f>SUMIFS('Recipe Ingredients'!$L$2:$L$2500,'Recipe Ingredients'!$A$2:$A$2500,A33)/R33</f>
        <v>82.017499999999998</v>
      </c>
      <c r="Y33" s="29">
        <f>SUMIFS('Recipe Ingredients'!$M$2:$M$2500,'Recipe Ingredients'!$A$2:$A$2500,A33)/R33</f>
        <v>19.897250000000003</v>
      </c>
      <c r="Z33" s="29">
        <f>SUMIFS('Recipe Ingredients'!$N$2:$N$2500,'Recipe Ingredients'!$A$2:$A$2500,A33)/R33</f>
        <v>72.61999999999999</v>
      </c>
      <c r="AA33" s="29">
        <f>SUMIFS('Recipe Ingredients'!$O$2:$O$2500,'Recipe Ingredients'!$A$2:$A$2500,A33)/R33</f>
        <v>455.01749999999998</v>
      </c>
      <c r="AB33" s="30">
        <f>SUMIFS('Recipe Ingredients'!$P$2:$P$2500,'Recipe Ingredients'!$A$2:$A$2500,A33)/R33</f>
        <v>0.81409999999999993</v>
      </c>
      <c r="AC33" s="30">
        <f>SUMIFS('Recipe Ingredients'!$Q$2:$Q$2500,'Recipe Ingredients'!$A$2:$A$2500,A33)/R33</f>
        <v>0.31477749999999999</v>
      </c>
      <c r="AD33" s="29">
        <f>SUMIFS('Recipe Ingredients'!$R$2:$R$2500,'Recipe Ingredients'!$A$2:$A$2500,A33)/R33</f>
        <v>55.370000000000005</v>
      </c>
      <c r="AE33" s="30">
        <f>SUMIFS('Recipe Ingredients'!$S$2:$S$2500,'Recipe Ingredients'!$A$2:$A$2500,A33)/R33</f>
        <v>0.84402499999999991</v>
      </c>
      <c r="AF33" s="31">
        <f>IFERROR(V33/'Start Here'!$C$10,0)</f>
        <v>0.17273000000000002</v>
      </c>
      <c r="AG33" s="31">
        <f>IFERROR(W33/'Start Here'!$C$11,0)</f>
        <v>0.75024062500000011</v>
      </c>
      <c r="AH33" s="31">
        <f>IFERROR(X33/'Start Here'!$C$12,0)</f>
        <v>0.102521875</v>
      </c>
      <c r="AI33" s="31">
        <f>IFERROR(Y33/'Start Here'!$C$13,0)</f>
        <v>0.26529666666666674</v>
      </c>
      <c r="AJ33" s="31">
        <f>IFERROR(Z33/'Start Here'!$C$14,0)</f>
        <v>0.36309999999999998</v>
      </c>
      <c r="AK33" s="31">
        <f>IFERROR(AA33/'Start Here'!$C$15,0)</f>
        <v>0.22750874999999998</v>
      </c>
      <c r="AL33" s="31">
        <f>IFERROR(AB33/'Start Here'!$C$16,0)</f>
        <v>6.7841666666666661E-2</v>
      </c>
      <c r="AM33" s="31">
        <f>IFERROR(AC33/'Start Here'!$C$17,0)</f>
        <v>0.22484107142857143</v>
      </c>
      <c r="AN33" s="31">
        <f>IFERROR(AD33/'Start Here'!$C$18,0)</f>
        <v>0.14765333333333336</v>
      </c>
      <c r="AO33" s="31">
        <f>IFERROR(AE33/'Start Here'!$C$19,0)</f>
        <v>6.0287499999999994E-2</v>
      </c>
      <c r="AP33" s="22" t="str">
        <f t="shared" si="2"/>
        <v>Vitamin C</v>
      </c>
      <c r="AQ33" s="7" t="str">
        <f t="shared" si="3"/>
        <v>Best for better vitamin C intake: one serving gives about 75% of your daily vitamin C from the produce alone.</v>
      </c>
      <c r="AR33" s="7" t="str">
        <f t="shared" si="4"/>
        <v>Vitamin K (27%), Folate (36%)</v>
      </c>
      <c r="AS33" s="7" t="s">
        <v>1339</v>
      </c>
      <c r="AT33" s="7" t="s">
        <v>1340</v>
      </c>
      <c r="AU33" s="28">
        <f>COUNTIFS('Recipe Ingredients'!$A$2:$A$2500,A33,'Recipe Ingredients'!$G$2:$G$2500,"Basket")</f>
        <v>7</v>
      </c>
      <c r="AV33" s="28">
        <f>COUNTIFS('Recipe Ingredients'!$A$2:$A$2500,A33,'Recipe Ingredients'!$G$2:$G$2500,"Protein")+COUNTIFS('Recipe Ingredients'!$A$2:$A$2500,A33,'Recipe Ingredients'!$G$2:$G$2500,"Pantry")</f>
        <v>1</v>
      </c>
      <c r="AW33" s="31">
        <f t="shared" si="5"/>
        <v>0.875</v>
      </c>
      <c r="AX33" s="28" t="str">
        <f>IF(AW33&gt;='Start Here'!$C$6,"Yes","No")</f>
        <v>Yes</v>
      </c>
      <c r="AY33" s="7" t="s">
        <v>1247</v>
      </c>
      <c r="AZ33" s="7" t="s">
        <v>1341</v>
      </c>
      <c r="BA33" s="7"/>
      <c r="BB33" s="32" t="s">
        <v>964</v>
      </c>
    </row>
    <row r="34" spans="1:54" ht="96" customHeight="1" x14ac:dyDescent="0.25">
      <c r="A34" s="22" t="s">
        <v>1342</v>
      </c>
      <c r="B34" s="23" t="s">
        <v>1343</v>
      </c>
      <c r="C34" s="22" t="s">
        <v>1344</v>
      </c>
      <c r="D34" s="22" t="s">
        <v>1345</v>
      </c>
      <c r="E34" s="22" t="s">
        <v>1145</v>
      </c>
      <c r="F34" s="7" t="s">
        <v>1346</v>
      </c>
      <c r="G34" s="22" t="s">
        <v>1347</v>
      </c>
      <c r="H34" s="27" t="s">
        <v>1348</v>
      </c>
      <c r="I34" s="27" t="s">
        <v>1349</v>
      </c>
      <c r="J34" s="7" t="s">
        <v>1350</v>
      </c>
      <c r="K34" s="7" t="s">
        <v>1351</v>
      </c>
      <c r="L34" s="7" t="s">
        <v>620</v>
      </c>
      <c r="M34" s="22" t="s">
        <v>1152</v>
      </c>
      <c r="N34" s="28">
        <v>20</v>
      </c>
      <c r="O34" s="28">
        <v>20</v>
      </c>
      <c r="P34" s="28">
        <f t="shared" ref="P34:P65" si="6">N34+O34</f>
        <v>40</v>
      </c>
      <c r="Q34" s="22" t="str">
        <f t="shared" ref="Q34:Q65" si="7">IF(O34=0,"No-cook",IF(P34&lt;=25,"Quick","Standard"))</f>
        <v>Standard</v>
      </c>
      <c r="R34" s="28">
        <v>2</v>
      </c>
      <c r="S34" s="22">
        <v>580</v>
      </c>
      <c r="T34" s="22">
        <v>42</v>
      </c>
      <c r="U34" s="29">
        <f>SUMIFS('Recipe Ingredients'!$I$2:$I$2500,'Recipe Ingredients'!$A$2:$A$2500,A34)/R34</f>
        <v>464.5</v>
      </c>
      <c r="V34" s="29">
        <f>SUMIFS('Recipe Ingredients'!$J$2:$J$2500,'Recipe Ingredients'!$A$2:$A$2500,A34)/R34</f>
        <v>9.5570000000000004</v>
      </c>
      <c r="W34" s="29">
        <f>SUMIFS('Recipe Ingredients'!$K$2:$K$2500,'Recipe Ingredients'!$A$2:$A$2500,A34)/R34</f>
        <v>73.067499999999995</v>
      </c>
      <c r="X34" s="29">
        <f>SUMIFS('Recipe Ingredients'!$L$2:$L$2500,'Recipe Ingredients'!$A$2:$A$2500,A34)/R34</f>
        <v>43.410000000000004</v>
      </c>
      <c r="Y34" s="29">
        <f>SUMIFS('Recipe Ingredients'!$M$2:$M$2500,'Recipe Ingredients'!$A$2:$A$2500,A34)/R34</f>
        <v>126.761</v>
      </c>
      <c r="Z34" s="29">
        <f>SUMIFS('Recipe Ingredients'!$N$2:$N$2500,'Recipe Ingredients'!$A$2:$A$2500,A34)/R34</f>
        <v>122.27000000000001</v>
      </c>
      <c r="AA34" s="29">
        <f>SUMIFS('Recipe Ingredients'!$O$2:$O$2500,'Recipe Ingredients'!$A$2:$A$2500,A34)/R34</f>
        <v>918.09499999999991</v>
      </c>
      <c r="AB34" s="30">
        <f>SUMIFS('Recipe Ingredients'!$P$2:$P$2500,'Recipe Ingredients'!$A$2:$A$2500,A34)/R34</f>
        <v>1.6699000000000002</v>
      </c>
      <c r="AC34" s="30">
        <f>SUMIFS('Recipe Ingredients'!$Q$2:$Q$2500,'Recipe Ingredients'!$A$2:$A$2500,A34)/R34</f>
        <v>0.45944500000000005</v>
      </c>
      <c r="AD34" s="29">
        <f>SUMIFS('Recipe Ingredients'!$R$2:$R$2500,'Recipe Ingredients'!$A$2:$A$2500,A34)/R34</f>
        <v>62.014999999999993</v>
      </c>
      <c r="AE34" s="30">
        <f>SUMIFS('Recipe Ingredients'!$S$2:$S$2500,'Recipe Ingredients'!$A$2:$A$2500,A34)/R34</f>
        <v>1.7137500000000001</v>
      </c>
      <c r="AF34" s="31">
        <f>IFERROR(V34/'Start Here'!$C$10,0)</f>
        <v>0.38228000000000001</v>
      </c>
      <c r="AG34" s="31">
        <f>IFERROR(W34/'Start Here'!$C$11,0)</f>
        <v>0.9133437499999999</v>
      </c>
      <c r="AH34" s="31">
        <f>IFERROR(X34/'Start Here'!$C$12,0)</f>
        <v>5.4262500000000005E-2</v>
      </c>
      <c r="AI34" s="31">
        <f>IFERROR(Y34/'Start Here'!$C$13,0)</f>
        <v>1.6901466666666667</v>
      </c>
      <c r="AJ34" s="31">
        <f>IFERROR(Z34/'Start Here'!$C$14,0)</f>
        <v>0.61135000000000006</v>
      </c>
      <c r="AK34" s="31">
        <f>IFERROR(AA34/'Start Here'!$C$15,0)</f>
        <v>0.45904749999999994</v>
      </c>
      <c r="AL34" s="31">
        <f>IFERROR(AB34/'Start Here'!$C$16,0)</f>
        <v>0.13915833333333336</v>
      </c>
      <c r="AM34" s="31">
        <f>IFERROR(AC34/'Start Here'!$C$17,0)</f>
        <v>0.32817500000000005</v>
      </c>
      <c r="AN34" s="31">
        <f>IFERROR(AD34/'Start Here'!$C$18,0)</f>
        <v>0.16537333333333332</v>
      </c>
      <c r="AO34" s="31">
        <f>IFERROR(AE34/'Start Here'!$C$19,0)</f>
        <v>0.12241071428571429</v>
      </c>
      <c r="AP34" s="22" t="str">
        <f t="shared" ref="AP34:AP65" si="8">IFERROR(SUBSTITUTE(INDEX($AF$1:$AO$1,MATCH(MAX(AF34:AO34),AF34:AO34,0))," % daily",""),"")</f>
        <v>Vitamin K</v>
      </c>
      <c r="AQ34" s="7" t="str">
        <f t="shared" ref="AQ34:AQ65" si="9">IF(MAX(AF34:AO34)&gt;=0.15,"Best for better "&amp;IF(LEFT(AP34,7)="Vitamin","vitamin "&amp;MID(AP34,9,3),LOWER(AP34))&amp;" intake: one serving gives about "&amp;TEXT(MAX(AF34:AO34),"0%")&amp;" of your daily "&amp;IF(LEFT(AP34,7)="Vitamin","vitamin "&amp;MID(AP34,9,3),LOWER(AP34))&amp;" from the produce alone.","A lighter plate: top nutrient is "&amp;IF(LEFT(AP34,7)="Vitamin","vitamin "&amp;MID(AP34,9,3),LOWER(AP34))&amp;" at about "&amp;TEXT(MAX(AF34:AO34),"0%")&amp;" of a day.")</f>
        <v>Best for better vitamin K intake: one serving gives about 169% of your daily vitamin K from the produce alone.</v>
      </c>
      <c r="AR34" s="7" t="str">
        <f t="shared" ref="AR34:AR65" si="10">IF(LEN(IF(AND(AF34&gt;=0.25,"Fibre"&lt;&gt;AP34),"Fibre ("&amp;TEXT(AF34,"0%")&amp;")|","")&amp;IF(AND(AG34&gt;=0.25,"Vitamin C"&lt;&gt;AP34),"Vitamin C ("&amp;TEXT(AG34,"0%")&amp;")|","")&amp;IF(AND(AH34&gt;=0.25,"Vitamin A"&lt;&gt;AP34),"Vitamin A ("&amp;TEXT(AH34,"0%")&amp;")|","")&amp;IF(AND(AI34&gt;=0.25,"Vitamin K"&lt;&gt;AP34),"Vitamin K ("&amp;TEXT(AI34,"0%")&amp;")|","")&amp;IF(AND(AJ34&gt;=0.25,"Folate"&lt;&gt;AP34),"Folate ("&amp;TEXT(AJ34,"0%")&amp;")|","")&amp;IF(AND(AK34&gt;=0.25,"Potassium"&lt;&gt;AP34),"Potassium ("&amp;TEXT(AK34,"0%")&amp;")|","")&amp;IF(AND(AL34&gt;=0.25,"Vitamin E"&lt;&gt;AP34),"Vitamin E ("&amp;TEXT(AL34,"0%")&amp;")|","")&amp;IF(AND(AM34&gt;=0.25,"Vitamin B6"&lt;&gt;AP34),"Vitamin B6 ("&amp;TEXT(AM34,"0%")&amp;")|","")&amp;IF(AND(AN34&gt;=0.25,"Magnesium"&lt;&gt;AP34),"Magnesium ("&amp;TEXT(AN34,"0%")&amp;")|","")&amp;IF(AND(AO34&gt;=0.25,"Iron"&lt;&gt;AP34),"Iron ("&amp;TEXT(AO34,"0%")&amp;")|",""))=0,"",SUBSTITUTE(LEFT(IF(AND(AF34&gt;=0.25,"Fibre"&lt;&gt;AP34),"Fibre ("&amp;TEXT(AF34,"0%")&amp;")|","")&amp;IF(AND(AG34&gt;=0.25,"Vitamin C"&lt;&gt;AP34),"Vitamin C ("&amp;TEXT(AG34,"0%")&amp;")|","")&amp;IF(AND(AH34&gt;=0.25,"Vitamin A"&lt;&gt;AP34),"Vitamin A ("&amp;TEXT(AH34,"0%")&amp;")|","")&amp;IF(AND(AI34&gt;=0.25,"Vitamin K"&lt;&gt;AP34),"Vitamin K ("&amp;TEXT(AI34,"0%")&amp;")|","")&amp;IF(AND(AJ34&gt;=0.25,"Folate"&lt;&gt;AP34),"Folate ("&amp;TEXT(AJ34,"0%")&amp;")|","")&amp;IF(AND(AK34&gt;=0.25,"Potassium"&lt;&gt;AP34),"Potassium ("&amp;TEXT(AK34,"0%")&amp;")|","")&amp;IF(AND(AL34&gt;=0.25,"Vitamin E"&lt;&gt;AP34),"Vitamin E ("&amp;TEXT(AL34,"0%")&amp;")|","")&amp;IF(AND(AM34&gt;=0.25,"Vitamin B6"&lt;&gt;AP34),"Vitamin B6 ("&amp;TEXT(AM34,"0%")&amp;")|","")&amp;IF(AND(AN34&gt;=0.25,"Magnesium"&lt;&gt;AP34),"Magnesium ("&amp;TEXT(AN34,"0%")&amp;")|","")&amp;IF(AND(AO34&gt;=0.25,"Iron"&lt;&gt;AP34),"Iron ("&amp;TEXT(AO34,"0%")&amp;")|",""),LEN(IF(AND(AF34&gt;=0.25,"Fibre"&lt;&gt;AP34),"Fibre ("&amp;TEXT(AF34,"0%")&amp;")|","")&amp;IF(AND(AG34&gt;=0.25,"Vitamin C"&lt;&gt;AP34),"Vitamin C ("&amp;TEXT(AG34,"0%")&amp;")|","")&amp;IF(AND(AH34&gt;=0.25,"Vitamin A"&lt;&gt;AP34),"Vitamin A ("&amp;TEXT(AH34,"0%")&amp;")|","")&amp;IF(AND(AI34&gt;=0.25,"Vitamin K"&lt;&gt;AP34),"Vitamin K ("&amp;TEXT(AI34,"0%")&amp;")|","")&amp;IF(AND(AJ34&gt;=0.25,"Folate"&lt;&gt;AP34),"Folate ("&amp;TEXT(AJ34,"0%")&amp;")|","")&amp;IF(AND(AK34&gt;=0.25,"Potassium"&lt;&gt;AP34),"Potassium ("&amp;TEXT(AK34,"0%")&amp;")|","")&amp;IF(AND(AL34&gt;=0.25,"Vitamin E"&lt;&gt;AP34),"Vitamin E ("&amp;TEXT(AL34,"0%")&amp;")|","")&amp;IF(AND(AM34&gt;=0.25,"Vitamin B6"&lt;&gt;AP34),"Vitamin B6 ("&amp;TEXT(AM34,"0%")&amp;")|","")&amp;IF(AND(AN34&gt;=0.25,"Magnesium"&lt;&gt;AP34),"Magnesium ("&amp;TEXT(AN34,"0%")&amp;")|","")&amp;IF(AND(AO34&gt;=0.25,"Iron"&lt;&gt;AP34),"Iron ("&amp;TEXT(AO34,"0%")&amp;")|",""))-1),"|",", "))</f>
        <v>Fibre (38%), Vitamin C (91%), Folate (61%), Potassium (46%), Vitamin B6 (33%)</v>
      </c>
      <c r="AS34" s="7" t="s">
        <v>1352</v>
      </c>
      <c r="AT34" s="7" t="s">
        <v>1353</v>
      </c>
      <c r="AU34" s="28">
        <f>COUNTIFS('Recipe Ingredients'!$A$2:$A$2500,A34,'Recipe Ingredients'!$G$2:$G$2500,"Basket")</f>
        <v>6</v>
      </c>
      <c r="AV34" s="28">
        <f>COUNTIFS('Recipe Ingredients'!$A$2:$A$2500,A34,'Recipe Ingredients'!$G$2:$G$2500,"Protein")+COUNTIFS('Recipe Ingredients'!$A$2:$A$2500,A34,'Recipe Ingredients'!$G$2:$G$2500,"Pantry")</f>
        <v>3</v>
      </c>
      <c r="AW34" s="31">
        <f t="shared" ref="AW34:AW65" si="11">IFERROR(AU34/(AU34+AV34),0)</f>
        <v>0.66666666666666663</v>
      </c>
      <c r="AX34" s="28" t="str">
        <f>IF(AW34&gt;='Start Here'!$C$6,"Yes","No")</f>
        <v>No</v>
      </c>
      <c r="AY34" s="7" t="s">
        <v>115</v>
      </c>
      <c r="AZ34" s="7" t="s">
        <v>1354</v>
      </c>
      <c r="BA34" s="7" t="s">
        <v>1355</v>
      </c>
      <c r="BB34" s="32" t="s">
        <v>964</v>
      </c>
    </row>
    <row r="35" spans="1:54" ht="96" customHeight="1" x14ac:dyDescent="0.25">
      <c r="A35" s="22" t="s">
        <v>1356</v>
      </c>
      <c r="B35" s="23" t="s">
        <v>1357</v>
      </c>
      <c r="C35" s="22" t="s">
        <v>1344</v>
      </c>
      <c r="D35" s="22" t="s">
        <v>1345</v>
      </c>
      <c r="E35" s="22" t="s">
        <v>1145</v>
      </c>
      <c r="F35" s="7" t="s">
        <v>1358</v>
      </c>
      <c r="G35" s="22" t="s">
        <v>1359</v>
      </c>
      <c r="H35" s="27" t="s">
        <v>1360</v>
      </c>
      <c r="I35" s="27" t="s">
        <v>1361</v>
      </c>
      <c r="J35" s="7" t="s">
        <v>1362</v>
      </c>
      <c r="K35" s="7" t="s">
        <v>1363</v>
      </c>
      <c r="L35" s="7" t="s">
        <v>434</v>
      </c>
      <c r="M35" s="22" t="s">
        <v>1051</v>
      </c>
      <c r="N35" s="28">
        <v>20</v>
      </c>
      <c r="O35" s="28">
        <v>25</v>
      </c>
      <c r="P35" s="28">
        <f t="shared" si="6"/>
        <v>45</v>
      </c>
      <c r="Q35" s="22" t="str">
        <f t="shared" si="7"/>
        <v>Standard</v>
      </c>
      <c r="R35" s="28">
        <v>2</v>
      </c>
      <c r="S35" s="22">
        <v>620</v>
      </c>
      <c r="T35" s="22">
        <v>18</v>
      </c>
      <c r="U35" s="29">
        <f>SUMIFS('Recipe Ingredients'!$I$2:$I$2500,'Recipe Ingredients'!$A$2:$A$2500,A35)/R35</f>
        <v>564</v>
      </c>
      <c r="V35" s="29">
        <f>SUMIFS('Recipe Ingredients'!$J$2:$J$2500,'Recipe Ingredients'!$A$2:$A$2500,A35)/R35</f>
        <v>16.816000000000003</v>
      </c>
      <c r="W35" s="29">
        <f>SUMIFS('Recipe Ingredients'!$K$2:$K$2500,'Recipe Ingredients'!$A$2:$A$2500,A35)/R35</f>
        <v>71.350999999999985</v>
      </c>
      <c r="X35" s="29">
        <f>SUMIFS('Recipe Ingredients'!$L$2:$L$2500,'Recipe Ingredients'!$A$2:$A$2500,A35)/R35</f>
        <v>821.95500000000004</v>
      </c>
      <c r="Y35" s="29">
        <f>SUMIFS('Recipe Ingredients'!$M$2:$M$2500,'Recipe Ingredients'!$A$2:$A$2500,A35)/R35</f>
        <v>234.32899999999998</v>
      </c>
      <c r="Z35" s="29">
        <f>SUMIFS('Recipe Ingredients'!$N$2:$N$2500,'Recipe Ingredients'!$A$2:$A$2500,A35)/R35</f>
        <v>362.25000000000006</v>
      </c>
      <c r="AA35" s="29">
        <f>SUMIFS('Recipe Ingredients'!$O$2:$O$2500,'Recipe Ingredients'!$A$2:$A$2500,A35)/R35</f>
        <v>1778.8850000000002</v>
      </c>
      <c r="AB35" s="30">
        <f>SUMIFS('Recipe Ingredients'!$P$2:$P$2500,'Recipe Ingredients'!$A$2:$A$2500,A35)/R35</f>
        <v>3.3102000000000005</v>
      </c>
      <c r="AC35" s="30">
        <f>SUMIFS('Recipe Ingredients'!$Q$2:$Q$2500,'Recipe Ingredients'!$A$2:$A$2500,A35)/R35</f>
        <v>0.82236999999999993</v>
      </c>
      <c r="AD35" s="29">
        <f>SUMIFS('Recipe Ingredients'!$R$2:$R$2500,'Recipe Ingredients'!$A$2:$A$2500,A35)/R35</f>
        <v>118.53999999999999</v>
      </c>
      <c r="AE35" s="30">
        <f>SUMIFS('Recipe Ingredients'!$S$2:$S$2500,'Recipe Ingredients'!$A$2:$A$2500,A35)/R35</f>
        <v>3.7447500000000002</v>
      </c>
      <c r="AF35" s="31">
        <f>IFERROR(V35/'Start Here'!$C$10,0)</f>
        <v>0.67264000000000013</v>
      </c>
      <c r="AG35" s="31">
        <f>IFERROR(W35/'Start Here'!$C$11,0)</f>
        <v>0.89188749999999983</v>
      </c>
      <c r="AH35" s="31">
        <f>IFERROR(X35/'Start Here'!$C$12,0)</f>
        <v>1.02744375</v>
      </c>
      <c r="AI35" s="31">
        <f>IFERROR(Y35/'Start Here'!$C$13,0)</f>
        <v>3.1243866666666662</v>
      </c>
      <c r="AJ35" s="31">
        <f>IFERROR(Z35/'Start Here'!$C$14,0)</f>
        <v>1.8112500000000002</v>
      </c>
      <c r="AK35" s="31">
        <f>IFERROR(AA35/'Start Here'!$C$15,0)</f>
        <v>0.88944250000000014</v>
      </c>
      <c r="AL35" s="31">
        <f>IFERROR(AB35/'Start Here'!$C$16,0)</f>
        <v>0.27585000000000004</v>
      </c>
      <c r="AM35" s="31">
        <f>IFERROR(AC35/'Start Here'!$C$17,0)</f>
        <v>0.58740714285714279</v>
      </c>
      <c r="AN35" s="31">
        <f>IFERROR(AD35/'Start Here'!$C$18,0)</f>
        <v>0.31610666666666665</v>
      </c>
      <c r="AO35" s="31">
        <f>IFERROR(AE35/'Start Here'!$C$19,0)</f>
        <v>0.26748214285714289</v>
      </c>
      <c r="AP35" s="22" t="str">
        <f t="shared" si="8"/>
        <v>Vitamin K</v>
      </c>
      <c r="AQ35" s="7" t="str">
        <f t="shared" si="9"/>
        <v>Best for better vitamin K intake: one serving gives about 312% of your daily vitamin K from the produce alone.</v>
      </c>
      <c r="AR35" s="7" t="str">
        <f t="shared" si="10"/>
        <v>Fibre (67%), Vitamin C (89%), Vitamin A (103%), Folate (181%), Potassium (89%), Vitamin E (28%), Vitamin B6 (59%), Magnesium (32%), Iron (27%)</v>
      </c>
      <c r="AS35" s="7" t="s">
        <v>1364</v>
      </c>
      <c r="AT35" s="7" t="s">
        <v>1365</v>
      </c>
      <c r="AU35" s="28">
        <f>COUNTIFS('Recipe Ingredients'!$A$2:$A$2500,A35,'Recipe Ingredients'!$G$2:$G$2500,"Basket")</f>
        <v>9</v>
      </c>
      <c r="AV35" s="28">
        <f>COUNTIFS('Recipe Ingredients'!$A$2:$A$2500,A35,'Recipe Ingredients'!$G$2:$G$2500,"Protein")+COUNTIFS('Recipe Ingredients'!$A$2:$A$2500,A35,'Recipe Ingredients'!$G$2:$G$2500,"Pantry")</f>
        <v>3</v>
      </c>
      <c r="AW35" s="31">
        <f t="shared" si="11"/>
        <v>0.75</v>
      </c>
      <c r="AX35" s="28" t="str">
        <f>IF(AW35&gt;='Start Here'!$C$6,"Yes","No")</f>
        <v>No</v>
      </c>
      <c r="AY35" s="7" t="s">
        <v>1247</v>
      </c>
      <c r="AZ35" s="7" t="s">
        <v>1366</v>
      </c>
      <c r="BA35" s="7"/>
      <c r="BB35" s="32" t="s">
        <v>964</v>
      </c>
    </row>
    <row r="36" spans="1:54" ht="96" customHeight="1" x14ac:dyDescent="0.25">
      <c r="A36" s="22" t="s">
        <v>1367</v>
      </c>
      <c r="B36" s="23" t="s">
        <v>1368</v>
      </c>
      <c r="C36" s="22" t="s">
        <v>1344</v>
      </c>
      <c r="D36" s="22" t="s">
        <v>1345</v>
      </c>
      <c r="E36" s="22" t="s">
        <v>1145</v>
      </c>
      <c r="F36" s="7" t="s">
        <v>1369</v>
      </c>
      <c r="G36" s="22" t="s">
        <v>1370</v>
      </c>
      <c r="H36" s="27" t="s">
        <v>1371</v>
      </c>
      <c r="I36" s="27" t="s">
        <v>1372</v>
      </c>
      <c r="J36" s="7" t="s">
        <v>1373</v>
      </c>
      <c r="K36" s="7" t="s">
        <v>1374</v>
      </c>
      <c r="L36" s="7" t="s">
        <v>580</v>
      </c>
      <c r="M36" s="22" t="s">
        <v>1257</v>
      </c>
      <c r="N36" s="28">
        <v>20</v>
      </c>
      <c r="O36" s="28">
        <v>20</v>
      </c>
      <c r="P36" s="28">
        <f t="shared" si="6"/>
        <v>40</v>
      </c>
      <c r="Q36" s="22" t="str">
        <f t="shared" si="7"/>
        <v>Standard</v>
      </c>
      <c r="R36" s="28">
        <v>2</v>
      </c>
      <c r="S36" s="22">
        <v>520</v>
      </c>
      <c r="T36" s="22">
        <v>30</v>
      </c>
      <c r="U36" s="29">
        <f>SUMIFS('Recipe Ingredients'!$I$2:$I$2500,'Recipe Ingredients'!$A$2:$A$2500,A36)/R36</f>
        <v>447.5</v>
      </c>
      <c r="V36" s="29">
        <f>SUMIFS('Recipe Ingredients'!$J$2:$J$2500,'Recipe Ingredients'!$A$2:$A$2500,A36)/R36</f>
        <v>8.9725000000000019</v>
      </c>
      <c r="W36" s="29">
        <f>SUMIFS('Recipe Ingredients'!$K$2:$K$2500,'Recipe Ingredients'!$A$2:$A$2500,A36)/R36</f>
        <v>84.73399999999998</v>
      </c>
      <c r="X36" s="29">
        <f>SUMIFS('Recipe Ingredients'!$L$2:$L$2500,'Recipe Ingredients'!$A$2:$A$2500,A36)/R36</f>
        <v>364.59000000000003</v>
      </c>
      <c r="Y36" s="29">
        <f>SUMIFS('Recipe Ingredients'!$M$2:$M$2500,'Recipe Ingredients'!$A$2:$A$2500,A36)/R36</f>
        <v>77.514999999999986</v>
      </c>
      <c r="Z36" s="29">
        <f>SUMIFS('Recipe Ingredients'!$N$2:$N$2500,'Recipe Ingredients'!$A$2:$A$2500,A36)/R36</f>
        <v>141.35</v>
      </c>
      <c r="AA36" s="29">
        <f>SUMIFS('Recipe Ingredients'!$O$2:$O$2500,'Recipe Ingredients'!$A$2:$A$2500,A36)/R36</f>
        <v>919.14499999999998</v>
      </c>
      <c r="AB36" s="30">
        <f>SUMIFS('Recipe Ingredients'!$P$2:$P$2500,'Recipe Ingredients'!$A$2:$A$2500,A36)/R36</f>
        <v>2.9496500000000001</v>
      </c>
      <c r="AC36" s="30">
        <f>SUMIFS('Recipe Ingredients'!$Q$2:$Q$2500,'Recipe Ingredients'!$A$2:$A$2500,A36)/R36</f>
        <v>0.45426500000000003</v>
      </c>
      <c r="AD36" s="29">
        <f>SUMIFS('Recipe Ingredients'!$R$2:$R$2500,'Recipe Ingredients'!$A$2:$A$2500,A36)/R36</f>
        <v>59.535000000000004</v>
      </c>
      <c r="AE36" s="30">
        <f>SUMIFS('Recipe Ingredients'!$S$2:$S$2500,'Recipe Ingredients'!$A$2:$A$2500,A36)/R36</f>
        <v>1.4797</v>
      </c>
      <c r="AF36" s="31">
        <f>IFERROR(V36/'Start Here'!$C$10,0)</f>
        <v>0.35890000000000005</v>
      </c>
      <c r="AG36" s="31">
        <f>IFERROR(W36/'Start Here'!$C$11,0)</f>
        <v>1.0591749999999998</v>
      </c>
      <c r="AH36" s="31">
        <f>IFERROR(X36/'Start Here'!$C$12,0)</f>
        <v>0.45573750000000002</v>
      </c>
      <c r="AI36" s="31">
        <f>IFERROR(Y36/'Start Here'!$C$13,0)</f>
        <v>1.0335333333333332</v>
      </c>
      <c r="AJ36" s="31">
        <f>IFERROR(Z36/'Start Here'!$C$14,0)</f>
        <v>0.70674999999999999</v>
      </c>
      <c r="AK36" s="31">
        <f>IFERROR(AA36/'Start Here'!$C$15,0)</f>
        <v>0.45957249999999999</v>
      </c>
      <c r="AL36" s="31">
        <f>IFERROR(AB36/'Start Here'!$C$16,0)</f>
        <v>0.24580416666666668</v>
      </c>
      <c r="AM36" s="31">
        <f>IFERROR(AC36/'Start Here'!$C$17,0)</f>
        <v>0.32447500000000007</v>
      </c>
      <c r="AN36" s="31">
        <f>IFERROR(AD36/'Start Here'!$C$18,0)</f>
        <v>0.15876000000000001</v>
      </c>
      <c r="AO36" s="31">
        <f>IFERROR(AE36/'Start Here'!$C$19,0)</f>
        <v>0.10569285714285714</v>
      </c>
      <c r="AP36" s="22" t="str">
        <f t="shared" si="8"/>
        <v>Vitamin C</v>
      </c>
      <c r="AQ36" s="7" t="str">
        <f t="shared" si="9"/>
        <v>Best for better vitamin C intake: one serving gives about 106% of your daily vitamin C from the produce alone.</v>
      </c>
      <c r="AR36" s="7" t="str">
        <f t="shared" si="10"/>
        <v>Fibre (36%), Vitamin A (46%), Vitamin K (103%), Folate (71%), Potassium (46%), Vitamin B6 (32%)</v>
      </c>
      <c r="AS36" s="7" t="s">
        <v>1375</v>
      </c>
      <c r="AT36" s="7" t="s">
        <v>1376</v>
      </c>
      <c r="AU36" s="28">
        <f>COUNTIFS('Recipe Ingredients'!$A$2:$A$2500,A36,'Recipe Ingredients'!$G$2:$G$2500,"Basket")</f>
        <v>6</v>
      </c>
      <c r="AV36" s="28">
        <f>COUNTIFS('Recipe Ingredients'!$A$2:$A$2500,A36,'Recipe Ingredients'!$G$2:$G$2500,"Protein")+COUNTIFS('Recipe Ingredients'!$A$2:$A$2500,A36,'Recipe Ingredients'!$G$2:$G$2500,"Pantry")</f>
        <v>5</v>
      </c>
      <c r="AW36" s="31">
        <f t="shared" si="11"/>
        <v>0.54545454545454541</v>
      </c>
      <c r="AX36" s="28" t="str">
        <f>IF(AW36&gt;='Start Here'!$C$6,"Yes","No")</f>
        <v>No</v>
      </c>
      <c r="AY36" s="7" t="s">
        <v>1054</v>
      </c>
      <c r="AZ36" s="7" t="s">
        <v>1377</v>
      </c>
      <c r="BA36" s="7"/>
      <c r="BB36" s="32" t="s">
        <v>964</v>
      </c>
    </row>
    <row r="37" spans="1:54" ht="96" customHeight="1" x14ac:dyDescent="0.25">
      <c r="A37" s="22" t="s">
        <v>1378</v>
      </c>
      <c r="B37" s="23" t="s">
        <v>1379</v>
      </c>
      <c r="C37" s="22" t="s">
        <v>1344</v>
      </c>
      <c r="D37" s="22" t="s">
        <v>1345</v>
      </c>
      <c r="E37" s="22" t="s">
        <v>1380</v>
      </c>
      <c r="F37" s="7" t="s">
        <v>1381</v>
      </c>
      <c r="G37" s="22" t="s">
        <v>1382</v>
      </c>
      <c r="H37" s="27" t="s">
        <v>1383</v>
      </c>
      <c r="I37" s="27" t="s">
        <v>1384</v>
      </c>
      <c r="J37" s="7" t="s">
        <v>1385</v>
      </c>
      <c r="K37" s="7" t="s">
        <v>1386</v>
      </c>
      <c r="L37" s="7" t="s">
        <v>620</v>
      </c>
      <c r="M37" s="22" t="s">
        <v>1152</v>
      </c>
      <c r="N37" s="28">
        <v>15</v>
      </c>
      <c r="O37" s="28">
        <v>20</v>
      </c>
      <c r="P37" s="28">
        <f t="shared" si="6"/>
        <v>35</v>
      </c>
      <c r="Q37" s="22" t="str">
        <f t="shared" si="7"/>
        <v>Standard</v>
      </c>
      <c r="R37" s="28">
        <v>2</v>
      </c>
      <c r="S37" s="22">
        <v>560</v>
      </c>
      <c r="T37" s="22">
        <v>40</v>
      </c>
      <c r="U37" s="29">
        <f>SUMIFS('Recipe Ingredients'!$I$2:$I$2500,'Recipe Ingredients'!$A$2:$A$2500,A37)/R37</f>
        <v>286.5</v>
      </c>
      <c r="V37" s="29">
        <f>SUMIFS('Recipe Ingredients'!$J$2:$J$2500,'Recipe Ingredients'!$A$2:$A$2500,A37)/R37</f>
        <v>7.5109999999999992</v>
      </c>
      <c r="W37" s="29">
        <f>SUMIFS('Recipe Ingredients'!$K$2:$K$2500,'Recipe Ingredients'!$A$2:$A$2500,A37)/R37</f>
        <v>186.13</v>
      </c>
      <c r="X37" s="29">
        <f>SUMIFS('Recipe Ingredients'!$L$2:$L$2500,'Recipe Ingredients'!$A$2:$A$2500,A37)/R37</f>
        <v>578.85</v>
      </c>
      <c r="Y37" s="29">
        <f>SUMIFS('Recipe Ingredients'!$M$2:$M$2500,'Recipe Ingredients'!$A$2:$A$2500,A37)/R37</f>
        <v>242.36049999999997</v>
      </c>
      <c r="Z37" s="29">
        <f>SUMIFS('Recipe Ingredients'!$N$2:$N$2500,'Recipe Ingredients'!$A$2:$A$2500,A37)/R37</f>
        <v>148.10499999999999</v>
      </c>
      <c r="AA37" s="29">
        <f>SUMIFS('Recipe Ingredients'!$O$2:$O$2500,'Recipe Ingredients'!$A$2:$A$2500,A37)/R37</f>
        <v>911.755</v>
      </c>
      <c r="AB37" s="30">
        <f>SUMIFS('Recipe Ingredients'!$P$2:$P$2500,'Recipe Ingredients'!$A$2:$A$2500,A37)/R37</f>
        <v>2.0670000000000002</v>
      </c>
      <c r="AC37" s="30">
        <f>SUMIFS('Recipe Ingredients'!$Q$2:$Q$2500,'Recipe Ingredients'!$A$2:$A$2500,A37)/R37</f>
        <v>0.49238000000000004</v>
      </c>
      <c r="AD37" s="29">
        <f>SUMIFS('Recipe Ingredients'!$R$2:$R$2500,'Recipe Ingredients'!$A$2:$A$2500,A37)/R37</f>
        <v>56.295000000000002</v>
      </c>
      <c r="AE37" s="30">
        <f>SUMIFS('Recipe Ingredients'!$S$2:$S$2500,'Recipe Ingredients'!$A$2:$A$2500,A37)/R37</f>
        <v>1.9609999999999999</v>
      </c>
      <c r="AF37" s="31">
        <f>IFERROR(V37/'Start Here'!$C$10,0)</f>
        <v>0.30043999999999998</v>
      </c>
      <c r="AG37" s="31">
        <f>IFERROR(W37/'Start Here'!$C$11,0)</f>
        <v>2.3266249999999999</v>
      </c>
      <c r="AH37" s="31">
        <f>IFERROR(X37/'Start Here'!$C$12,0)</f>
        <v>0.7235625</v>
      </c>
      <c r="AI37" s="31">
        <f>IFERROR(Y37/'Start Here'!$C$13,0)</f>
        <v>3.2314733333333332</v>
      </c>
      <c r="AJ37" s="31">
        <f>IFERROR(Z37/'Start Here'!$C$14,0)</f>
        <v>0.74052499999999999</v>
      </c>
      <c r="AK37" s="31">
        <f>IFERROR(AA37/'Start Here'!$C$15,0)</f>
        <v>0.45587749999999999</v>
      </c>
      <c r="AL37" s="31">
        <f>IFERROR(AB37/'Start Here'!$C$16,0)</f>
        <v>0.17225000000000001</v>
      </c>
      <c r="AM37" s="31">
        <f>IFERROR(AC37/'Start Here'!$C$17,0)</f>
        <v>0.35170000000000007</v>
      </c>
      <c r="AN37" s="31">
        <f>IFERROR(AD37/'Start Here'!$C$18,0)</f>
        <v>0.15012</v>
      </c>
      <c r="AO37" s="31">
        <f>IFERROR(AE37/'Start Here'!$C$19,0)</f>
        <v>0.14007142857142857</v>
      </c>
      <c r="AP37" s="22" t="str">
        <f t="shared" si="8"/>
        <v>Vitamin K</v>
      </c>
      <c r="AQ37" s="7" t="str">
        <f t="shared" si="9"/>
        <v>Best for better vitamin K intake: one serving gives about 323% of your daily vitamin K from the produce alone.</v>
      </c>
      <c r="AR37" s="7" t="str">
        <f t="shared" si="10"/>
        <v>Fibre (30%), Vitamin C (233%), Vitamin A (72%), Folate (74%), Potassium (46%), Vitamin B6 (35%)</v>
      </c>
      <c r="AS37" s="7" t="s">
        <v>1387</v>
      </c>
      <c r="AT37" s="7" t="s">
        <v>1388</v>
      </c>
      <c r="AU37" s="28">
        <f>COUNTIFS('Recipe Ingredients'!$A$2:$A$2500,A37,'Recipe Ingredients'!$G$2:$G$2500,"Basket")</f>
        <v>5</v>
      </c>
      <c r="AV37" s="28">
        <f>COUNTIFS('Recipe Ingredients'!$A$2:$A$2500,A37,'Recipe Ingredients'!$G$2:$G$2500,"Protein")+COUNTIFS('Recipe Ingredients'!$A$2:$A$2500,A37,'Recipe Ingredients'!$G$2:$G$2500,"Pantry")</f>
        <v>4</v>
      </c>
      <c r="AW37" s="31">
        <f t="shared" si="11"/>
        <v>0.55555555555555558</v>
      </c>
      <c r="AX37" s="28" t="str">
        <f>IF(AW37&gt;='Start Here'!$C$6,"Yes","No")</f>
        <v>No</v>
      </c>
      <c r="AY37" s="7" t="s">
        <v>115</v>
      </c>
      <c r="AZ37" s="7" t="s">
        <v>1389</v>
      </c>
      <c r="BA37" s="7"/>
      <c r="BB37" s="32" t="s">
        <v>964</v>
      </c>
    </row>
    <row r="38" spans="1:54" ht="96" customHeight="1" x14ac:dyDescent="0.25">
      <c r="A38" s="22" t="s">
        <v>1390</v>
      </c>
      <c r="B38" s="23" t="s">
        <v>1391</v>
      </c>
      <c r="C38" s="22" t="s">
        <v>1344</v>
      </c>
      <c r="D38" s="22" t="s">
        <v>1345</v>
      </c>
      <c r="E38" s="22" t="s">
        <v>1145</v>
      </c>
      <c r="F38" s="7" t="s">
        <v>1392</v>
      </c>
      <c r="G38" s="22" t="s">
        <v>1393</v>
      </c>
      <c r="H38" s="27" t="s">
        <v>1394</v>
      </c>
      <c r="I38" s="27" t="s">
        <v>1395</v>
      </c>
      <c r="J38" s="7" t="s">
        <v>1396</v>
      </c>
      <c r="K38" s="7" t="s">
        <v>1397</v>
      </c>
      <c r="L38" s="7" t="s">
        <v>1087</v>
      </c>
      <c r="M38" s="22" t="s">
        <v>958</v>
      </c>
      <c r="N38" s="28">
        <v>25</v>
      </c>
      <c r="O38" s="28">
        <v>20</v>
      </c>
      <c r="P38" s="28">
        <f t="shared" si="6"/>
        <v>45</v>
      </c>
      <c r="Q38" s="22" t="str">
        <f t="shared" si="7"/>
        <v>Standard</v>
      </c>
      <c r="R38" s="28">
        <v>3</v>
      </c>
      <c r="S38" s="22">
        <v>540</v>
      </c>
      <c r="T38" s="22">
        <v>20</v>
      </c>
      <c r="U38" s="29">
        <f>SUMIFS('Recipe Ingredients'!$I$2:$I$2500,'Recipe Ingredients'!$A$2:$A$2500,A38)/R38</f>
        <v>429.33333333333331</v>
      </c>
      <c r="V38" s="29">
        <f>SUMIFS('Recipe Ingredients'!$J$2:$J$2500,'Recipe Ingredients'!$A$2:$A$2500,A38)/R38</f>
        <v>7.0973333333333324</v>
      </c>
      <c r="W38" s="29">
        <f>SUMIFS('Recipe Ingredients'!$K$2:$K$2500,'Recipe Ingredients'!$A$2:$A$2500,A38)/R38</f>
        <v>46.414666666666669</v>
      </c>
      <c r="X38" s="29">
        <f>SUMIFS('Recipe Ingredients'!$L$2:$L$2500,'Recipe Ingredients'!$A$2:$A$2500,A38)/R38</f>
        <v>1000.8566666666667</v>
      </c>
      <c r="Y38" s="29">
        <f>SUMIFS('Recipe Ingredients'!$M$2:$M$2500,'Recipe Ingredients'!$A$2:$A$2500,A38)/R38</f>
        <v>439.28100000000001</v>
      </c>
      <c r="Z38" s="29">
        <f>SUMIFS('Recipe Ingredients'!$N$2:$N$2500,'Recipe Ingredients'!$A$2:$A$2500,A38)/R38</f>
        <v>328.19333333333333</v>
      </c>
      <c r="AA38" s="29">
        <f>SUMIFS('Recipe Ingredients'!$O$2:$O$2500,'Recipe Ingredients'!$A$2:$A$2500,A38)/R38</f>
        <v>964.1</v>
      </c>
      <c r="AB38" s="30">
        <f>SUMIFS('Recipe Ingredients'!$P$2:$P$2500,'Recipe Ingredients'!$A$2:$A$2500,A38)/R38</f>
        <v>0.71830000000000016</v>
      </c>
      <c r="AC38" s="30">
        <f>SUMIFS('Recipe Ingredients'!$Q$2:$Q$2500,'Recipe Ingredients'!$A$2:$A$2500,A38)/R38</f>
        <v>0.34863</v>
      </c>
      <c r="AD38" s="29">
        <f>SUMIFS('Recipe Ingredients'!$R$2:$R$2500,'Recipe Ingredients'!$A$2:$A$2500,A38)/R38</f>
        <v>64.166666666666671</v>
      </c>
      <c r="AE38" s="30">
        <f>SUMIFS('Recipe Ingredients'!$S$2:$S$2500,'Recipe Ingredients'!$A$2:$A$2500,A38)/R38</f>
        <v>3.6006000000000005</v>
      </c>
      <c r="AF38" s="31">
        <f>IFERROR(V38/'Start Here'!$C$10,0)</f>
        <v>0.28389333333333328</v>
      </c>
      <c r="AG38" s="31">
        <f>IFERROR(W38/'Start Here'!$C$11,0)</f>
        <v>0.58018333333333338</v>
      </c>
      <c r="AH38" s="31">
        <f>IFERROR(X38/'Start Here'!$C$12,0)</f>
        <v>1.2510708333333334</v>
      </c>
      <c r="AI38" s="31">
        <f>IFERROR(Y38/'Start Here'!$C$13,0)</f>
        <v>5.8570799999999998</v>
      </c>
      <c r="AJ38" s="31">
        <f>IFERROR(Z38/'Start Here'!$C$14,0)</f>
        <v>1.6409666666666667</v>
      </c>
      <c r="AK38" s="31">
        <f>IFERROR(AA38/'Start Here'!$C$15,0)</f>
        <v>0.48205000000000003</v>
      </c>
      <c r="AL38" s="31">
        <f>IFERROR(AB38/'Start Here'!$C$16,0)</f>
        <v>5.9858333333333347E-2</v>
      </c>
      <c r="AM38" s="31">
        <f>IFERROR(AC38/'Start Here'!$C$17,0)</f>
        <v>0.24902142857142859</v>
      </c>
      <c r="AN38" s="31">
        <f>IFERROR(AD38/'Start Here'!$C$18,0)</f>
        <v>0.17111111111111113</v>
      </c>
      <c r="AO38" s="31">
        <f>IFERROR(AE38/'Start Here'!$C$19,0)</f>
        <v>0.2571857142857143</v>
      </c>
      <c r="AP38" s="22" t="str">
        <f t="shared" si="8"/>
        <v>Vitamin K</v>
      </c>
      <c r="AQ38" s="7" t="str">
        <f t="shared" si="9"/>
        <v>Best for better vitamin K intake: one serving gives about 586% of your daily vitamin K from the produce alone.</v>
      </c>
      <c r="AR38" s="7" t="str">
        <f t="shared" si="10"/>
        <v>Fibre (28%), Vitamin C (58%), Vitamin A (125%), Folate (164%), Potassium (48%), Iron (26%)</v>
      </c>
      <c r="AS38" s="7" t="s">
        <v>1398</v>
      </c>
      <c r="AT38" s="7" t="s">
        <v>1399</v>
      </c>
      <c r="AU38" s="28">
        <f>COUNTIFS('Recipe Ingredients'!$A$2:$A$2500,A38,'Recipe Ingredients'!$G$2:$G$2500,"Basket")</f>
        <v>8</v>
      </c>
      <c r="AV38" s="28">
        <f>COUNTIFS('Recipe Ingredients'!$A$2:$A$2500,A38,'Recipe Ingredients'!$G$2:$G$2500,"Protein")+COUNTIFS('Recipe Ingredients'!$A$2:$A$2500,A38,'Recipe Ingredients'!$G$2:$G$2500,"Pantry")</f>
        <v>4</v>
      </c>
      <c r="AW38" s="31">
        <f t="shared" si="11"/>
        <v>0.66666666666666663</v>
      </c>
      <c r="AX38" s="28" t="str">
        <f>IF(AW38&gt;='Start Here'!$C$6,"Yes","No")</f>
        <v>No</v>
      </c>
      <c r="AY38" s="7" t="s">
        <v>115</v>
      </c>
      <c r="AZ38" s="7" t="s">
        <v>1400</v>
      </c>
      <c r="BA38" s="7" t="s">
        <v>1401</v>
      </c>
      <c r="BB38" s="32" t="s">
        <v>964</v>
      </c>
    </row>
    <row r="39" spans="1:54" ht="96" customHeight="1" x14ac:dyDescent="0.25">
      <c r="A39" s="22" t="s">
        <v>1402</v>
      </c>
      <c r="B39" s="23" t="s">
        <v>1403</v>
      </c>
      <c r="C39" s="22" t="s">
        <v>1344</v>
      </c>
      <c r="D39" s="22" t="s">
        <v>1345</v>
      </c>
      <c r="E39" s="22" t="s">
        <v>1145</v>
      </c>
      <c r="F39" s="7" t="s">
        <v>1404</v>
      </c>
      <c r="G39" s="22" t="s">
        <v>1405</v>
      </c>
      <c r="H39" s="27" t="s">
        <v>1406</v>
      </c>
      <c r="I39" s="27" t="s">
        <v>1407</v>
      </c>
      <c r="J39" s="7" t="s">
        <v>1408</v>
      </c>
      <c r="K39" s="7" t="s">
        <v>1409</v>
      </c>
      <c r="L39" s="7" t="s">
        <v>1050</v>
      </c>
      <c r="M39" s="22" t="s">
        <v>1051</v>
      </c>
      <c r="N39" s="28">
        <v>20</v>
      </c>
      <c r="O39" s="28">
        <v>30</v>
      </c>
      <c r="P39" s="28">
        <f t="shared" si="6"/>
        <v>50</v>
      </c>
      <c r="Q39" s="22" t="str">
        <f t="shared" si="7"/>
        <v>Standard</v>
      </c>
      <c r="R39" s="28">
        <v>2</v>
      </c>
      <c r="S39" s="22">
        <v>560</v>
      </c>
      <c r="T39" s="22">
        <v>18</v>
      </c>
      <c r="U39" s="29">
        <f>SUMIFS('Recipe Ingredients'!$I$2:$I$2500,'Recipe Ingredients'!$A$2:$A$2500,A39)/R39</f>
        <v>314</v>
      </c>
      <c r="V39" s="29">
        <f>SUMIFS('Recipe Ingredients'!$J$2:$J$2500,'Recipe Ingredients'!$A$2:$A$2500,A39)/R39</f>
        <v>8.2824999999999989</v>
      </c>
      <c r="W39" s="29">
        <f>SUMIFS('Recipe Ingredients'!$K$2:$K$2500,'Recipe Ingredients'!$A$2:$A$2500,A39)/R39</f>
        <v>31.2575</v>
      </c>
      <c r="X39" s="29">
        <f>SUMIFS('Recipe Ingredients'!$L$2:$L$2500,'Recipe Ingredients'!$A$2:$A$2500,A39)/R39</f>
        <v>1264.415</v>
      </c>
      <c r="Y39" s="29">
        <f>SUMIFS('Recipe Ingredients'!$M$2:$M$2500,'Recipe Ingredients'!$A$2:$A$2500,A39)/R39</f>
        <v>18.691500000000001</v>
      </c>
      <c r="Z39" s="29">
        <f>SUMIFS('Recipe Ingredients'!$N$2:$N$2500,'Recipe Ingredients'!$A$2:$A$2500,A39)/R39</f>
        <v>97.28</v>
      </c>
      <c r="AA39" s="29">
        <f>SUMIFS('Recipe Ingredients'!$O$2:$O$2500,'Recipe Ingredients'!$A$2:$A$2500,A39)/R39</f>
        <v>953.88499999999999</v>
      </c>
      <c r="AB39" s="30">
        <f>SUMIFS('Recipe Ingredients'!$P$2:$P$2500,'Recipe Ingredients'!$A$2:$A$2500,A39)/R39</f>
        <v>2.1059000000000001</v>
      </c>
      <c r="AC39" s="30">
        <f>SUMIFS('Recipe Ingredients'!$Q$2:$Q$2500,'Recipe Ingredients'!$A$2:$A$2500,A39)/R39</f>
        <v>0.44815500000000003</v>
      </c>
      <c r="AD39" s="29">
        <f>SUMIFS('Recipe Ingredients'!$R$2:$R$2500,'Recipe Ingredients'!$A$2:$A$2500,A39)/R39</f>
        <v>93.844999999999985</v>
      </c>
      <c r="AE39" s="30">
        <f>SUMIFS('Recipe Ingredients'!$S$2:$S$2500,'Recipe Ingredients'!$A$2:$A$2500,A39)/R39</f>
        <v>2.8683999999999998</v>
      </c>
      <c r="AF39" s="31">
        <f>IFERROR(V39/'Start Here'!$C$10,0)</f>
        <v>0.33129999999999993</v>
      </c>
      <c r="AG39" s="31">
        <f>IFERROR(W39/'Start Here'!$C$11,0)</f>
        <v>0.39071875</v>
      </c>
      <c r="AH39" s="31">
        <f>IFERROR(X39/'Start Here'!$C$12,0)</f>
        <v>1.58051875</v>
      </c>
      <c r="AI39" s="31">
        <f>IFERROR(Y39/'Start Here'!$C$13,0)</f>
        <v>0.24922000000000002</v>
      </c>
      <c r="AJ39" s="31">
        <f>IFERROR(Z39/'Start Here'!$C$14,0)</f>
        <v>0.4864</v>
      </c>
      <c r="AK39" s="31">
        <f>IFERROR(AA39/'Start Here'!$C$15,0)</f>
        <v>0.47694249999999999</v>
      </c>
      <c r="AL39" s="31">
        <f>IFERROR(AB39/'Start Here'!$C$16,0)</f>
        <v>0.17549166666666668</v>
      </c>
      <c r="AM39" s="31">
        <f>IFERROR(AC39/'Start Here'!$C$17,0)</f>
        <v>0.3201107142857143</v>
      </c>
      <c r="AN39" s="31">
        <f>IFERROR(AD39/'Start Here'!$C$18,0)</f>
        <v>0.25025333333333327</v>
      </c>
      <c r="AO39" s="31">
        <f>IFERROR(AE39/'Start Here'!$C$19,0)</f>
        <v>0.20488571428571428</v>
      </c>
      <c r="AP39" s="22" t="str">
        <f t="shared" si="8"/>
        <v>Vitamin A</v>
      </c>
      <c r="AQ39" s="7" t="str">
        <f t="shared" si="9"/>
        <v>Best for better vitamin A intake: one serving gives about 158% of your daily vitamin A from the produce alone.</v>
      </c>
      <c r="AR39" s="7" t="str">
        <f t="shared" si="10"/>
        <v>Fibre (33%), Vitamin C (39%), Folate (49%), Potassium (48%), Vitamin B6 (32%), Magnesium (25%)</v>
      </c>
      <c r="AS39" s="7" t="s">
        <v>1410</v>
      </c>
      <c r="AT39" s="7" t="s">
        <v>1411</v>
      </c>
      <c r="AU39" s="28">
        <f>COUNTIFS('Recipe Ingredients'!$A$2:$A$2500,A39,'Recipe Ingredients'!$G$2:$G$2500,"Basket")</f>
        <v>7</v>
      </c>
      <c r="AV39" s="28">
        <f>COUNTIFS('Recipe Ingredients'!$A$2:$A$2500,A39,'Recipe Ingredients'!$G$2:$G$2500,"Protein")+COUNTIFS('Recipe Ingredients'!$A$2:$A$2500,A39,'Recipe Ingredients'!$G$2:$G$2500,"Pantry")</f>
        <v>2</v>
      </c>
      <c r="AW39" s="31">
        <f t="shared" si="11"/>
        <v>0.77777777777777779</v>
      </c>
      <c r="AX39" s="28" t="str">
        <f>IF(AW39&gt;='Start Here'!$C$6,"Yes","No")</f>
        <v>No</v>
      </c>
      <c r="AY39" s="7" t="s">
        <v>115</v>
      </c>
      <c r="AZ39" s="7" t="s">
        <v>1412</v>
      </c>
      <c r="BA39" s="7"/>
      <c r="BB39" s="32" t="s">
        <v>964</v>
      </c>
    </row>
    <row r="40" spans="1:54" ht="96" customHeight="1" x14ac:dyDescent="0.25">
      <c r="A40" s="22" t="s">
        <v>1413</v>
      </c>
      <c r="B40" s="23" t="s">
        <v>1414</v>
      </c>
      <c r="C40" s="22" t="s">
        <v>1344</v>
      </c>
      <c r="D40" s="22" t="s">
        <v>1345</v>
      </c>
      <c r="E40" s="22" t="s">
        <v>1380</v>
      </c>
      <c r="F40" s="7" t="s">
        <v>1415</v>
      </c>
      <c r="G40" s="22" t="s">
        <v>1005</v>
      </c>
      <c r="H40" s="27" t="s">
        <v>1416</v>
      </c>
      <c r="I40" s="27" t="s">
        <v>1417</v>
      </c>
      <c r="J40" s="7" t="s">
        <v>1418</v>
      </c>
      <c r="K40" s="7" t="s">
        <v>1419</v>
      </c>
      <c r="L40" s="7" t="s">
        <v>620</v>
      </c>
      <c r="M40" s="22" t="s">
        <v>1152</v>
      </c>
      <c r="N40" s="28">
        <v>25</v>
      </c>
      <c r="O40" s="28">
        <v>20</v>
      </c>
      <c r="P40" s="28">
        <f t="shared" si="6"/>
        <v>45</v>
      </c>
      <c r="Q40" s="22" t="str">
        <f t="shared" si="7"/>
        <v>Standard</v>
      </c>
      <c r="R40" s="28">
        <v>2</v>
      </c>
      <c r="S40" s="22">
        <v>610</v>
      </c>
      <c r="T40" s="22">
        <v>35</v>
      </c>
      <c r="U40" s="29">
        <f>SUMIFS('Recipe Ingredients'!$I$2:$I$2500,'Recipe Ingredients'!$A$2:$A$2500,A40)/R40</f>
        <v>303</v>
      </c>
      <c r="V40" s="29">
        <f>SUMIFS('Recipe Ingredients'!$J$2:$J$2500,'Recipe Ingredients'!$A$2:$A$2500,A40)/R40</f>
        <v>4.4999999999999982</v>
      </c>
      <c r="W40" s="29">
        <f>SUMIFS('Recipe Ingredients'!$K$2:$K$2500,'Recipe Ingredients'!$A$2:$A$2500,A40)/R40</f>
        <v>27.285499999999999</v>
      </c>
      <c r="X40" s="29">
        <f>SUMIFS('Recipe Ingredients'!$L$2:$L$2500,'Recipe Ingredients'!$A$2:$A$2500,A40)/R40</f>
        <v>566.45500000000004</v>
      </c>
      <c r="Y40" s="29">
        <f>SUMIFS('Recipe Ingredients'!$M$2:$M$2500,'Recipe Ingredients'!$A$2:$A$2500,A40)/R40</f>
        <v>383.38500000000005</v>
      </c>
      <c r="Z40" s="29">
        <f>SUMIFS('Recipe Ingredients'!$N$2:$N$2500,'Recipe Ingredients'!$A$2:$A$2500,A40)/R40</f>
        <v>72.53</v>
      </c>
      <c r="AA40" s="29">
        <f>SUMIFS('Recipe Ingredients'!$O$2:$O$2500,'Recipe Ingredients'!$A$2:$A$2500,A40)/R40</f>
        <v>829.59499999999991</v>
      </c>
      <c r="AB40" s="30">
        <f>SUMIFS('Recipe Ingredients'!$P$2:$P$2500,'Recipe Ingredients'!$A$2:$A$2500,A40)/R40</f>
        <v>0.54990000000000006</v>
      </c>
      <c r="AC40" s="30">
        <f>SUMIFS('Recipe Ingredients'!$Q$2:$Q$2500,'Recipe Ingredients'!$A$2:$A$2500,A40)/R40</f>
        <v>0.30429</v>
      </c>
      <c r="AD40" s="29">
        <f>SUMIFS('Recipe Ingredients'!$R$2:$R$2500,'Recipe Ingredients'!$A$2:$A$2500,A40)/R40</f>
        <v>54.35</v>
      </c>
      <c r="AE40" s="30">
        <f>SUMIFS('Recipe Ingredients'!$S$2:$S$2500,'Recipe Ingredients'!$A$2:$A$2500,A40)/R40</f>
        <v>2.1246499999999999</v>
      </c>
      <c r="AF40" s="31">
        <f>IFERROR(V40/'Start Here'!$C$10,0)</f>
        <v>0.17999999999999994</v>
      </c>
      <c r="AG40" s="31">
        <f>IFERROR(W40/'Start Here'!$C$11,0)</f>
        <v>0.34106874999999998</v>
      </c>
      <c r="AH40" s="31">
        <f>IFERROR(X40/'Start Here'!$C$12,0)</f>
        <v>0.70806875000000002</v>
      </c>
      <c r="AI40" s="31">
        <f>IFERROR(Y40/'Start Here'!$C$13,0)</f>
        <v>5.1118000000000006</v>
      </c>
      <c r="AJ40" s="31">
        <f>IFERROR(Z40/'Start Here'!$C$14,0)</f>
        <v>0.36265000000000003</v>
      </c>
      <c r="AK40" s="31">
        <f>IFERROR(AA40/'Start Here'!$C$15,0)</f>
        <v>0.41479749999999993</v>
      </c>
      <c r="AL40" s="31">
        <f>IFERROR(AB40/'Start Here'!$C$16,0)</f>
        <v>4.5825000000000005E-2</v>
      </c>
      <c r="AM40" s="31">
        <f>IFERROR(AC40/'Start Here'!$C$17,0)</f>
        <v>0.21735000000000002</v>
      </c>
      <c r="AN40" s="31">
        <f>IFERROR(AD40/'Start Here'!$C$18,0)</f>
        <v>0.14493333333333333</v>
      </c>
      <c r="AO40" s="31">
        <f>IFERROR(AE40/'Start Here'!$C$19,0)</f>
        <v>0.15176071428571428</v>
      </c>
      <c r="AP40" s="22" t="str">
        <f t="shared" si="8"/>
        <v>Vitamin K</v>
      </c>
      <c r="AQ40" s="7" t="str">
        <f t="shared" si="9"/>
        <v>Best for better vitamin K intake: one serving gives about 511% of your daily vitamin K from the produce alone.</v>
      </c>
      <c r="AR40" s="7" t="str">
        <f t="shared" si="10"/>
        <v>Vitamin C (34%), Vitamin A (71%), Folate (36%), Potassium (41%)</v>
      </c>
      <c r="AS40" s="7" t="s">
        <v>1420</v>
      </c>
      <c r="AT40" s="7" t="s">
        <v>1421</v>
      </c>
      <c r="AU40" s="28">
        <f>COUNTIFS('Recipe Ingredients'!$A$2:$A$2500,A40,'Recipe Ingredients'!$G$2:$G$2500,"Basket")</f>
        <v>7</v>
      </c>
      <c r="AV40" s="28">
        <f>COUNTIFS('Recipe Ingredients'!$A$2:$A$2500,A40,'Recipe Ingredients'!$G$2:$G$2500,"Protein")+COUNTIFS('Recipe Ingredients'!$A$2:$A$2500,A40,'Recipe Ingredients'!$G$2:$G$2500,"Pantry")</f>
        <v>6</v>
      </c>
      <c r="AW40" s="31">
        <f t="shared" si="11"/>
        <v>0.53846153846153844</v>
      </c>
      <c r="AX40" s="28" t="str">
        <f>IF(AW40&gt;='Start Here'!$C$6,"Yes","No")</f>
        <v>No</v>
      </c>
      <c r="AY40" s="7" t="s">
        <v>115</v>
      </c>
      <c r="AZ40" s="7" t="s">
        <v>1422</v>
      </c>
      <c r="BA40" s="7"/>
      <c r="BB40" s="32" t="s">
        <v>964</v>
      </c>
    </row>
    <row r="41" spans="1:54" ht="96" customHeight="1" x14ac:dyDescent="0.25">
      <c r="A41" s="22" t="s">
        <v>1423</v>
      </c>
      <c r="B41" s="23" t="s">
        <v>1424</v>
      </c>
      <c r="C41" s="22" t="s">
        <v>1344</v>
      </c>
      <c r="D41" s="22" t="s">
        <v>1345</v>
      </c>
      <c r="E41" s="22" t="s">
        <v>1145</v>
      </c>
      <c r="F41" s="7" t="s">
        <v>1425</v>
      </c>
      <c r="G41" s="22" t="s">
        <v>1426</v>
      </c>
      <c r="H41" s="27" t="s">
        <v>1427</v>
      </c>
      <c r="I41" s="27" t="s">
        <v>1428</v>
      </c>
      <c r="J41" s="7" t="s">
        <v>1429</v>
      </c>
      <c r="K41" s="7" t="s">
        <v>1430</v>
      </c>
      <c r="L41" s="7" t="s">
        <v>1087</v>
      </c>
      <c r="M41" s="22" t="s">
        <v>1051</v>
      </c>
      <c r="N41" s="28">
        <v>20</v>
      </c>
      <c r="O41" s="28">
        <v>15</v>
      </c>
      <c r="P41" s="28">
        <f t="shared" si="6"/>
        <v>35</v>
      </c>
      <c r="Q41" s="22" t="str">
        <f t="shared" si="7"/>
        <v>Standard</v>
      </c>
      <c r="R41" s="28">
        <v>2</v>
      </c>
      <c r="S41" s="22">
        <v>540</v>
      </c>
      <c r="T41" s="22">
        <v>24</v>
      </c>
      <c r="U41" s="29">
        <f>SUMIFS('Recipe Ingredients'!$I$2:$I$2500,'Recipe Ingredients'!$A$2:$A$2500,A41)/R41</f>
        <v>403.5</v>
      </c>
      <c r="V41" s="29">
        <f>SUMIFS('Recipe Ingredients'!$J$2:$J$2500,'Recipe Ingredients'!$A$2:$A$2500,A41)/R41</f>
        <v>7.3124999999999982</v>
      </c>
      <c r="W41" s="29">
        <f>SUMIFS('Recipe Ingredients'!$K$2:$K$2500,'Recipe Ingredients'!$A$2:$A$2500,A41)/R41</f>
        <v>89.427500000000009</v>
      </c>
      <c r="X41" s="29">
        <f>SUMIFS('Recipe Ingredients'!$L$2:$L$2500,'Recipe Ingredients'!$A$2:$A$2500,A41)/R41</f>
        <v>638.59499999999991</v>
      </c>
      <c r="Y41" s="29">
        <f>SUMIFS('Recipe Ingredients'!$M$2:$M$2500,'Recipe Ingredients'!$A$2:$A$2500,A41)/R41</f>
        <v>153.68199999999999</v>
      </c>
      <c r="Z41" s="29">
        <f>SUMIFS('Recipe Ingredients'!$N$2:$N$2500,'Recipe Ingredients'!$A$2:$A$2500,A41)/R41</f>
        <v>66.155000000000001</v>
      </c>
      <c r="AA41" s="29">
        <f>SUMIFS('Recipe Ingredients'!$O$2:$O$2500,'Recipe Ingredients'!$A$2:$A$2500,A41)/R41</f>
        <v>926.5899999999998</v>
      </c>
      <c r="AB41" s="30">
        <f>SUMIFS('Recipe Ingredients'!$P$2:$P$2500,'Recipe Ingredients'!$A$2:$A$2500,A41)/R41</f>
        <v>1.1269000000000005</v>
      </c>
      <c r="AC41" s="30">
        <f>SUMIFS('Recipe Ingredients'!$Q$2:$Q$2500,'Recipe Ingredients'!$A$2:$A$2500,A41)/R41</f>
        <v>0.46748499999999998</v>
      </c>
      <c r="AD41" s="29">
        <f>SUMIFS('Recipe Ingredients'!$R$2:$R$2500,'Recipe Ingredients'!$A$2:$A$2500,A41)/R41</f>
        <v>60.405000000000001</v>
      </c>
      <c r="AE41" s="30">
        <f>SUMIFS('Recipe Ingredients'!$S$2:$S$2500,'Recipe Ingredients'!$A$2:$A$2500,A41)/R41</f>
        <v>2.3348</v>
      </c>
      <c r="AF41" s="31">
        <f>IFERROR(V41/'Start Here'!$C$10,0)</f>
        <v>0.29249999999999993</v>
      </c>
      <c r="AG41" s="31">
        <f>IFERROR(W41/'Start Here'!$C$11,0)</f>
        <v>1.11784375</v>
      </c>
      <c r="AH41" s="31">
        <f>IFERROR(X41/'Start Here'!$C$12,0)</f>
        <v>0.79824374999999992</v>
      </c>
      <c r="AI41" s="31">
        <f>IFERROR(Y41/'Start Here'!$C$13,0)</f>
        <v>2.049093333333333</v>
      </c>
      <c r="AJ41" s="31">
        <f>IFERROR(Z41/'Start Here'!$C$14,0)</f>
        <v>0.33077499999999999</v>
      </c>
      <c r="AK41" s="31">
        <f>IFERROR(AA41/'Start Here'!$C$15,0)</f>
        <v>0.4632949999999999</v>
      </c>
      <c r="AL41" s="31">
        <f>IFERROR(AB41/'Start Here'!$C$16,0)</f>
        <v>9.3908333333333371E-2</v>
      </c>
      <c r="AM41" s="31">
        <f>IFERROR(AC41/'Start Here'!$C$17,0)</f>
        <v>0.33391785714285716</v>
      </c>
      <c r="AN41" s="31">
        <f>IFERROR(AD41/'Start Here'!$C$18,0)</f>
        <v>0.16108</v>
      </c>
      <c r="AO41" s="31">
        <f>IFERROR(AE41/'Start Here'!$C$19,0)</f>
        <v>0.16677142857142857</v>
      </c>
      <c r="AP41" s="22" t="str">
        <f t="shared" si="8"/>
        <v>Vitamin K</v>
      </c>
      <c r="AQ41" s="7" t="str">
        <f t="shared" si="9"/>
        <v>Best for better vitamin K intake: one serving gives about 205% of your daily vitamin K from the produce alone.</v>
      </c>
      <c r="AR41" s="7" t="str">
        <f t="shared" si="10"/>
        <v>Fibre (29%), Vitamin C (112%), Vitamin A (80%), Folate (33%), Potassium (46%), Vitamin B6 (33%)</v>
      </c>
      <c r="AS41" s="7" t="s">
        <v>1199</v>
      </c>
      <c r="AT41" s="7" t="s">
        <v>1431</v>
      </c>
      <c r="AU41" s="28">
        <f>COUNTIFS('Recipe Ingredients'!$A$2:$A$2500,A41,'Recipe Ingredients'!$G$2:$G$2500,"Basket")</f>
        <v>9</v>
      </c>
      <c r="AV41" s="28">
        <f>COUNTIFS('Recipe Ingredients'!$A$2:$A$2500,A41,'Recipe Ingredients'!$G$2:$G$2500,"Protein")+COUNTIFS('Recipe Ingredients'!$A$2:$A$2500,A41,'Recipe Ingredients'!$G$2:$G$2500,"Pantry")</f>
        <v>4</v>
      </c>
      <c r="AW41" s="31">
        <f t="shared" si="11"/>
        <v>0.69230769230769229</v>
      </c>
      <c r="AX41" s="28" t="str">
        <f>IF(AW41&gt;='Start Here'!$C$6,"Yes","No")</f>
        <v>No</v>
      </c>
      <c r="AY41" s="7" t="s">
        <v>115</v>
      </c>
      <c r="AZ41" s="7" t="s">
        <v>1432</v>
      </c>
      <c r="BA41" s="7"/>
      <c r="BB41" s="32" t="s">
        <v>964</v>
      </c>
    </row>
    <row r="42" spans="1:54" ht="96" customHeight="1" x14ac:dyDescent="0.25">
      <c r="A42" s="22" t="s">
        <v>1433</v>
      </c>
      <c r="B42" s="23" t="s">
        <v>1434</v>
      </c>
      <c r="C42" s="22" t="s">
        <v>1344</v>
      </c>
      <c r="D42" s="22" t="s">
        <v>1345</v>
      </c>
      <c r="E42" s="22" t="s">
        <v>1145</v>
      </c>
      <c r="F42" s="7" t="s">
        <v>1435</v>
      </c>
      <c r="G42" s="22" t="s">
        <v>1436</v>
      </c>
      <c r="H42" s="27" t="s">
        <v>1437</v>
      </c>
      <c r="I42" s="27" t="s">
        <v>1438</v>
      </c>
      <c r="J42" s="7" t="s">
        <v>1439</v>
      </c>
      <c r="K42" s="7" t="s">
        <v>1440</v>
      </c>
      <c r="L42" s="7" t="s">
        <v>580</v>
      </c>
      <c r="M42" s="22" t="s">
        <v>1152</v>
      </c>
      <c r="N42" s="28">
        <v>20</v>
      </c>
      <c r="O42" s="28">
        <v>20</v>
      </c>
      <c r="P42" s="28">
        <f t="shared" si="6"/>
        <v>40</v>
      </c>
      <c r="Q42" s="22" t="str">
        <f t="shared" si="7"/>
        <v>Standard</v>
      </c>
      <c r="R42" s="28">
        <v>2</v>
      </c>
      <c r="S42" s="22">
        <v>560</v>
      </c>
      <c r="T42" s="22">
        <v>42</v>
      </c>
      <c r="U42" s="29">
        <f>SUMIFS('Recipe Ingredients'!$I$2:$I$2500,'Recipe Ingredients'!$A$2:$A$2500,A42)/R42</f>
        <v>472</v>
      </c>
      <c r="V42" s="29">
        <f>SUMIFS('Recipe Ingredients'!$J$2:$J$2500,'Recipe Ingredients'!$A$2:$A$2500,A42)/R42</f>
        <v>7.3475000000000001</v>
      </c>
      <c r="W42" s="29">
        <f>SUMIFS('Recipe Ingredients'!$K$2:$K$2500,'Recipe Ingredients'!$A$2:$A$2500,A42)/R42</f>
        <v>43.218499999999999</v>
      </c>
      <c r="X42" s="29">
        <f>SUMIFS('Recipe Ingredients'!$L$2:$L$2500,'Recipe Ingredients'!$A$2:$A$2500,A42)/R42</f>
        <v>754.59</v>
      </c>
      <c r="Y42" s="29">
        <f>SUMIFS('Recipe Ingredients'!$M$2:$M$2500,'Recipe Ingredients'!$A$2:$A$2500,A42)/R42</f>
        <v>192.60249999999996</v>
      </c>
      <c r="Z42" s="29">
        <f>SUMIFS('Recipe Ingredients'!$N$2:$N$2500,'Recipe Ingredients'!$A$2:$A$2500,A42)/R42</f>
        <v>258.95500000000004</v>
      </c>
      <c r="AA42" s="29">
        <f>SUMIFS('Recipe Ingredients'!$O$2:$O$2500,'Recipe Ingredients'!$A$2:$A$2500,A42)/R42</f>
        <v>977.64999999999986</v>
      </c>
      <c r="AB42" s="30">
        <f>SUMIFS('Recipe Ingredients'!$P$2:$P$2500,'Recipe Ingredients'!$A$2:$A$2500,A42)/R42</f>
        <v>0.80220000000000002</v>
      </c>
      <c r="AC42" s="30">
        <f>SUMIFS('Recipe Ingredients'!$Q$2:$Q$2500,'Recipe Ingredients'!$A$2:$A$2500,A42)/R42</f>
        <v>0.36340999999999996</v>
      </c>
      <c r="AD42" s="29">
        <f>SUMIFS('Recipe Ingredients'!$R$2:$R$2500,'Recipe Ingredients'!$A$2:$A$2500,A42)/R42</f>
        <v>65.400000000000006</v>
      </c>
      <c r="AE42" s="30">
        <f>SUMIFS('Recipe Ingredients'!$S$2:$S$2500,'Recipe Ingredients'!$A$2:$A$2500,A42)/R42</f>
        <v>3.9570500000000006</v>
      </c>
      <c r="AF42" s="31">
        <f>IFERROR(V42/'Start Here'!$C$10,0)</f>
        <v>0.29389999999999999</v>
      </c>
      <c r="AG42" s="31">
        <f>IFERROR(W42/'Start Here'!$C$11,0)</f>
        <v>0.54023124999999994</v>
      </c>
      <c r="AH42" s="31">
        <f>IFERROR(X42/'Start Here'!$C$12,0)</f>
        <v>0.94323750000000006</v>
      </c>
      <c r="AI42" s="31">
        <f>IFERROR(Y42/'Start Here'!$C$13,0)</f>
        <v>2.5680333333333327</v>
      </c>
      <c r="AJ42" s="31">
        <f>IFERROR(Z42/'Start Here'!$C$14,0)</f>
        <v>1.2947750000000002</v>
      </c>
      <c r="AK42" s="31">
        <f>IFERROR(AA42/'Start Here'!$C$15,0)</f>
        <v>0.48882499999999995</v>
      </c>
      <c r="AL42" s="31">
        <f>IFERROR(AB42/'Start Here'!$C$16,0)</f>
        <v>6.6850000000000007E-2</v>
      </c>
      <c r="AM42" s="31">
        <f>IFERROR(AC42/'Start Here'!$C$17,0)</f>
        <v>0.25957857142857144</v>
      </c>
      <c r="AN42" s="31">
        <f>IFERROR(AD42/'Start Here'!$C$18,0)</f>
        <v>0.17440000000000003</v>
      </c>
      <c r="AO42" s="31">
        <f>IFERROR(AE42/'Start Here'!$C$19,0)</f>
        <v>0.28264642857142863</v>
      </c>
      <c r="AP42" s="22" t="str">
        <f t="shared" si="8"/>
        <v>Vitamin K</v>
      </c>
      <c r="AQ42" s="7" t="str">
        <f t="shared" si="9"/>
        <v>Best for better vitamin K intake: one serving gives about 257% of your daily vitamin K from the produce alone.</v>
      </c>
      <c r="AR42" s="7" t="str">
        <f t="shared" si="10"/>
        <v>Fibre (29%), Vitamin C (54%), Vitamin A (94%), Folate (129%), Potassium (49%), Vitamin B6 (26%), Iron (28%)</v>
      </c>
      <c r="AS42" s="7" t="s">
        <v>1441</v>
      </c>
      <c r="AT42" s="7" t="s">
        <v>1442</v>
      </c>
      <c r="AU42" s="28">
        <f>COUNTIFS('Recipe Ingredients'!$A$2:$A$2500,A42,'Recipe Ingredients'!$G$2:$G$2500,"Basket")</f>
        <v>7</v>
      </c>
      <c r="AV42" s="28">
        <f>COUNTIFS('Recipe Ingredients'!$A$2:$A$2500,A42,'Recipe Ingredients'!$G$2:$G$2500,"Protein")+COUNTIFS('Recipe Ingredients'!$A$2:$A$2500,A42,'Recipe Ingredients'!$G$2:$G$2500,"Pantry")</f>
        <v>4</v>
      </c>
      <c r="AW42" s="31">
        <f t="shared" si="11"/>
        <v>0.63636363636363635</v>
      </c>
      <c r="AX42" s="28" t="str">
        <f>IF(AW42&gt;='Start Here'!$C$6,"Yes","No")</f>
        <v>No</v>
      </c>
      <c r="AY42" s="7" t="s">
        <v>115</v>
      </c>
      <c r="AZ42" s="7" t="s">
        <v>1443</v>
      </c>
      <c r="BA42" s="7"/>
      <c r="BB42" s="32" t="s">
        <v>964</v>
      </c>
    </row>
    <row r="43" spans="1:54" ht="96" customHeight="1" x14ac:dyDescent="0.25">
      <c r="A43" s="22" t="s">
        <v>1444</v>
      </c>
      <c r="B43" s="23" t="s">
        <v>1445</v>
      </c>
      <c r="C43" s="22" t="s">
        <v>1344</v>
      </c>
      <c r="D43" s="22" t="s">
        <v>1345</v>
      </c>
      <c r="E43" s="22" t="s">
        <v>1380</v>
      </c>
      <c r="F43" s="7" t="s">
        <v>1446</v>
      </c>
      <c r="G43" s="22" t="s">
        <v>1447</v>
      </c>
      <c r="H43" s="27" t="s">
        <v>1448</v>
      </c>
      <c r="I43" s="27" t="s">
        <v>1449</v>
      </c>
      <c r="J43" s="7" t="s">
        <v>1450</v>
      </c>
      <c r="K43" s="7" t="s">
        <v>1451</v>
      </c>
      <c r="L43" s="7" t="s">
        <v>234</v>
      </c>
      <c r="M43" s="22" t="s">
        <v>1257</v>
      </c>
      <c r="N43" s="28">
        <v>20</v>
      </c>
      <c r="O43" s="28">
        <v>25</v>
      </c>
      <c r="P43" s="28">
        <f t="shared" si="6"/>
        <v>45</v>
      </c>
      <c r="Q43" s="22" t="str">
        <f t="shared" si="7"/>
        <v>Standard</v>
      </c>
      <c r="R43" s="28">
        <v>2</v>
      </c>
      <c r="S43" s="22">
        <v>600</v>
      </c>
      <c r="T43" s="22">
        <v>28</v>
      </c>
      <c r="U43" s="29">
        <f>SUMIFS('Recipe Ingredients'!$I$2:$I$2500,'Recipe Ingredients'!$A$2:$A$2500,A43)/R43</f>
        <v>405</v>
      </c>
      <c r="V43" s="29">
        <f>SUMIFS('Recipe Ingredients'!$J$2:$J$2500,'Recipe Ingredients'!$A$2:$A$2500,A43)/R43</f>
        <v>14.7195</v>
      </c>
      <c r="W43" s="29">
        <f>SUMIFS('Recipe Ingredients'!$K$2:$K$2500,'Recipe Ingredients'!$A$2:$A$2500,A43)/R43</f>
        <v>158.13900000000001</v>
      </c>
      <c r="X43" s="29">
        <f>SUMIFS('Recipe Ingredients'!$L$2:$L$2500,'Recipe Ingredients'!$A$2:$A$2500,A43)/R43</f>
        <v>235.83499999999995</v>
      </c>
      <c r="Y43" s="29">
        <f>SUMIFS('Recipe Ingredients'!$M$2:$M$2500,'Recipe Ingredients'!$A$2:$A$2500,A43)/R43</f>
        <v>57.146000000000001</v>
      </c>
      <c r="Z43" s="29">
        <f>SUMIFS('Recipe Ingredients'!$N$2:$N$2500,'Recipe Ingredients'!$A$2:$A$2500,A43)/R43</f>
        <v>142.82999999999998</v>
      </c>
      <c r="AA43" s="29">
        <f>SUMIFS('Recipe Ingredients'!$O$2:$O$2500,'Recipe Ingredients'!$A$2:$A$2500,A43)/R43</f>
        <v>921.93</v>
      </c>
      <c r="AB43" s="30">
        <f>SUMIFS('Recipe Ingredients'!$P$2:$P$2500,'Recipe Ingredients'!$A$2:$A$2500,A43)/R43</f>
        <v>3.1520000000000001</v>
      </c>
      <c r="AC43" s="30">
        <f>SUMIFS('Recipe Ingredients'!$Q$2:$Q$2500,'Recipe Ingredients'!$A$2:$A$2500,A43)/R43</f>
        <v>0.51986499999999991</v>
      </c>
      <c r="AD43" s="29">
        <f>SUMIFS('Recipe Ingredients'!$R$2:$R$2500,'Recipe Ingredients'!$A$2:$A$2500,A43)/R43</f>
        <v>64.885000000000005</v>
      </c>
      <c r="AE43" s="30">
        <f>SUMIFS('Recipe Ingredients'!$S$2:$S$2500,'Recipe Ingredients'!$A$2:$A$2500,A43)/R43</f>
        <v>3.4904000000000006</v>
      </c>
      <c r="AF43" s="31">
        <f>IFERROR(V43/'Start Here'!$C$10,0)</f>
        <v>0.58877999999999997</v>
      </c>
      <c r="AG43" s="31">
        <f>IFERROR(W43/'Start Here'!$C$11,0)</f>
        <v>1.9767375</v>
      </c>
      <c r="AH43" s="31">
        <f>IFERROR(X43/'Start Here'!$C$12,0)</f>
        <v>0.29479374999999997</v>
      </c>
      <c r="AI43" s="31">
        <f>IFERROR(Y43/'Start Here'!$C$13,0)</f>
        <v>0.76194666666666666</v>
      </c>
      <c r="AJ43" s="31">
        <f>IFERROR(Z43/'Start Here'!$C$14,0)</f>
        <v>0.71414999999999995</v>
      </c>
      <c r="AK43" s="31">
        <f>IFERROR(AA43/'Start Here'!$C$15,0)</f>
        <v>0.46096499999999996</v>
      </c>
      <c r="AL43" s="31">
        <f>IFERROR(AB43/'Start Here'!$C$16,0)</f>
        <v>0.26266666666666666</v>
      </c>
      <c r="AM43" s="31">
        <f>IFERROR(AC43/'Start Here'!$C$17,0)</f>
        <v>0.37133214285714283</v>
      </c>
      <c r="AN43" s="31">
        <f>IFERROR(AD43/'Start Here'!$C$18,0)</f>
        <v>0.17302666666666669</v>
      </c>
      <c r="AO43" s="31">
        <f>IFERROR(AE43/'Start Here'!$C$19,0)</f>
        <v>0.24931428571428577</v>
      </c>
      <c r="AP43" s="22" t="str">
        <f t="shared" si="8"/>
        <v>Vitamin C</v>
      </c>
      <c r="AQ43" s="7" t="str">
        <f t="shared" si="9"/>
        <v>Best for better vitamin C intake: one serving gives about 198% of your daily vitamin C from the produce alone.</v>
      </c>
      <c r="AR43" s="7" t="str">
        <f t="shared" si="10"/>
        <v>Fibre (59%), Vitamin A (29%), Vitamin K (76%), Folate (71%), Potassium (46%), Vitamin E (26%), Vitamin B6 (37%)</v>
      </c>
      <c r="AS43" s="7" t="s">
        <v>1113</v>
      </c>
      <c r="AT43" s="7" t="s">
        <v>1452</v>
      </c>
      <c r="AU43" s="28">
        <f>COUNTIFS('Recipe Ingredients'!$A$2:$A$2500,A43,'Recipe Ingredients'!$G$2:$G$2500,"Basket")</f>
        <v>8</v>
      </c>
      <c r="AV43" s="28">
        <f>COUNTIFS('Recipe Ingredients'!$A$2:$A$2500,A43,'Recipe Ingredients'!$G$2:$G$2500,"Protein")+COUNTIFS('Recipe Ingredients'!$A$2:$A$2500,A43,'Recipe Ingredients'!$G$2:$G$2500,"Pantry")</f>
        <v>2</v>
      </c>
      <c r="AW43" s="31">
        <f t="shared" si="11"/>
        <v>0.8</v>
      </c>
      <c r="AX43" s="28" t="str">
        <f>IF(AW43&gt;='Start Here'!$C$6,"Yes","No")</f>
        <v>Yes</v>
      </c>
      <c r="AY43" s="7" t="s">
        <v>1054</v>
      </c>
      <c r="AZ43" s="7" t="s">
        <v>1453</v>
      </c>
      <c r="BA43" s="7"/>
      <c r="BB43" s="32" t="s">
        <v>964</v>
      </c>
    </row>
    <row r="44" spans="1:54" ht="96" customHeight="1" x14ac:dyDescent="0.25">
      <c r="A44" s="22" t="s">
        <v>1454</v>
      </c>
      <c r="B44" s="23" t="s">
        <v>1455</v>
      </c>
      <c r="C44" s="22" t="s">
        <v>1344</v>
      </c>
      <c r="D44" s="22" t="s">
        <v>1058</v>
      </c>
      <c r="E44" s="22" t="s">
        <v>1145</v>
      </c>
      <c r="F44" s="7" t="s">
        <v>1456</v>
      </c>
      <c r="G44" s="22" t="s">
        <v>1457</v>
      </c>
      <c r="H44" s="27" t="s">
        <v>1458</v>
      </c>
      <c r="I44" s="27" t="s">
        <v>1459</v>
      </c>
      <c r="J44" s="7" t="s">
        <v>1460</v>
      </c>
      <c r="K44" s="7" t="s">
        <v>1461</v>
      </c>
      <c r="L44" s="7" t="s">
        <v>580</v>
      </c>
      <c r="M44" s="22" t="s">
        <v>1152</v>
      </c>
      <c r="N44" s="28">
        <v>20</v>
      </c>
      <c r="O44" s="28">
        <v>15</v>
      </c>
      <c r="P44" s="28">
        <f t="shared" si="6"/>
        <v>35</v>
      </c>
      <c r="Q44" s="22" t="str">
        <f t="shared" si="7"/>
        <v>Standard</v>
      </c>
      <c r="R44" s="28">
        <v>2</v>
      </c>
      <c r="S44" s="22">
        <v>520</v>
      </c>
      <c r="T44" s="22">
        <v>38</v>
      </c>
      <c r="U44" s="29">
        <f>SUMIFS('Recipe Ingredients'!$I$2:$I$2500,'Recipe Ingredients'!$A$2:$A$2500,A44)/R44</f>
        <v>401.5</v>
      </c>
      <c r="V44" s="29">
        <f>SUMIFS('Recipe Ingredients'!$J$2:$J$2500,'Recipe Ingredients'!$A$2:$A$2500,A44)/R44</f>
        <v>6.1244999999999985</v>
      </c>
      <c r="W44" s="29">
        <f>SUMIFS('Recipe Ingredients'!$K$2:$K$2500,'Recipe Ingredients'!$A$2:$A$2500,A44)/R44</f>
        <v>66.704499999999996</v>
      </c>
      <c r="X44" s="29">
        <f>SUMIFS('Recipe Ingredients'!$L$2:$L$2500,'Recipe Ingredients'!$A$2:$A$2500,A44)/R44</f>
        <v>294.06</v>
      </c>
      <c r="Y44" s="29">
        <f>SUMIFS('Recipe Ingredients'!$M$2:$M$2500,'Recipe Ingredients'!$A$2:$A$2500,A44)/R44</f>
        <v>120.027</v>
      </c>
      <c r="Z44" s="29">
        <f>SUMIFS('Recipe Ingredients'!$N$2:$N$2500,'Recipe Ingredients'!$A$2:$A$2500,A44)/R44</f>
        <v>81.344999999999999</v>
      </c>
      <c r="AA44" s="29">
        <f>SUMIFS('Recipe Ingredients'!$O$2:$O$2500,'Recipe Ingredients'!$A$2:$A$2500,A44)/R44</f>
        <v>730.91499999999985</v>
      </c>
      <c r="AB44" s="30">
        <f>SUMIFS('Recipe Ingredients'!$P$2:$P$2500,'Recipe Ingredients'!$A$2:$A$2500,A44)/R44</f>
        <v>0.78115000000000001</v>
      </c>
      <c r="AC44" s="30">
        <f>SUMIFS('Recipe Ingredients'!$Q$2:$Q$2500,'Recipe Ingredients'!$A$2:$A$2500,A44)/R44</f>
        <v>0.37428</v>
      </c>
      <c r="AD44" s="29">
        <f>SUMIFS('Recipe Ingredients'!$R$2:$R$2500,'Recipe Ingredients'!$A$2:$A$2500,A44)/R44</f>
        <v>48.324999999999996</v>
      </c>
      <c r="AE44" s="30">
        <f>SUMIFS('Recipe Ingredients'!$S$2:$S$2500,'Recipe Ingredients'!$A$2:$A$2500,A44)/R44</f>
        <v>1.4094999999999998</v>
      </c>
      <c r="AF44" s="31">
        <f>IFERROR(V44/'Start Here'!$C$10,0)</f>
        <v>0.24497999999999995</v>
      </c>
      <c r="AG44" s="31">
        <f>IFERROR(W44/'Start Here'!$C$11,0)</f>
        <v>0.83380624999999997</v>
      </c>
      <c r="AH44" s="31">
        <f>IFERROR(X44/'Start Here'!$C$12,0)</f>
        <v>0.36757499999999999</v>
      </c>
      <c r="AI44" s="31">
        <f>IFERROR(Y44/'Start Here'!$C$13,0)</f>
        <v>1.60036</v>
      </c>
      <c r="AJ44" s="31">
        <f>IFERROR(Z44/'Start Here'!$C$14,0)</f>
        <v>0.406725</v>
      </c>
      <c r="AK44" s="31">
        <f>IFERROR(AA44/'Start Here'!$C$15,0)</f>
        <v>0.36545749999999994</v>
      </c>
      <c r="AL44" s="31">
        <f>IFERROR(AB44/'Start Here'!$C$16,0)</f>
        <v>6.5095833333333339E-2</v>
      </c>
      <c r="AM44" s="31">
        <f>IFERROR(AC44/'Start Here'!$C$17,0)</f>
        <v>0.26734285714285716</v>
      </c>
      <c r="AN44" s="31">
        <f>IFERROR(AD44/'Start Here'!$C$18,0)</f>
        <v>0.12886666666666666</v>
      </c>
      <c r="AO44" s="31">
        <f>IFERROR(AE44/'Start Here'!$C$19,0)</f>
        <v>0.10067857142857141</v>
      </c>
      <c r="AP44" s="22" t="str">
        <f t="shared" si="8"/>
        <v>Vitamin K</v>
      </c>
      <c r="AQ44" s="7" t="str">
        <f t="shared" si="9"/>
        <v>Best for better vitamin K intake: one serving gives about 160% of your daily vitamin K from the produce alone.</v>
      </c>
      <c r="AR44" s="7" t="str">
        <f t="shared" si="10"/>
        <v>Vitamin C (83%), Vitamin A (37%), Folate (41%), Potassium (37%), Vitamin B6 (27%)</v>
      </c>
      <c r="AS44" s="7" t="s">
        <v>1462</v>
      </c>
      <c r="AT44" s="7" t="s">
        <v>1463</v>
      </c>
      <c r="AU44" s="28">
        <f>COUNTIFS('Recipe Ingredients'!$A$2:$A$2500,A44,'Recipe Ingredients'!$G$2:$G$2500,"Basket")</f>
        <v>7</v>
      </c>
      <c r="AV44" s="28">
        <f>COUNTIFS('Recipe Ingredients'!$A$2:$A$2500,A44,'Recipe Ingredients'!$G$2:$G$2500,"Protein")+COUNTIFS('Recipe Ingredients'!$A$2:$A$2500,A44,'Recipe Ingredients'!$G$2:$G$2500,"Pantry")</f>
        <v>4</v>
      </c>
      <c r="AW44" s="31">
        <f t="shared" si="11"/>
        <v>0.63636363636363635</v>
      </c>
      <c r="AX44" s="28" t="str">
        <f>IF(AW44&gt;='Start Here'!$C$6,"Yes","No")</f>
        <v>No</v>
      </c>
      <c r="AY44" s="7" t="s">
        <v>115</v>
      </c>
      <c r="AZ44" s="7" t="s">
        <v>1464</v>
      </c>
      <c r="BA44" s="7" t="s">
        <v>1465</v>
      </c>
      <c r="BB44" s="32" t="s">
        <v>964</v>
      </c>
    </row>
    <row r="45" spans="1:54" ht="96" customHeight="1" x14ac:dyDescent="0.25">
      <c r="A45" s="22" t="s">
        <v>1466</v>
      </c>
      <c r="B45" s="23" t="s">
        <v>1467</v>
      </c>
      <c r="C45" s="22" t="s">
        <v>1344</v>
      </c>
      <c r="D45" s="22" t="s">
        <v>1058</v>
      </c>
      <c r="E45" s="22" t="s">
        <v>1380</v>
      </c>
      <c r="F45" s="7" t="s">
        <v>1468</v>
      </c>
      <c r="G45" s="22" t="s">
        <v>1469</v>
      </c>
      <c r="H45" s="27" t="s">
        <v>1470</v>
      </c>
      <c r="I45" s="27" t="s">
        <v>1471</v>
      </c>
      <c r="J45" s="7" t="s">
        <v>1472</v>
      </c>
      <c r="K45" s="7" t="s">
        <v>1473</v>
      </c>
      <c r="L45" s="7" t="s">
        <v>580</v>
      </c>
      <c r="M45" s="22" t="s">
        <v>1257</v>
      </c>
      <c r="N45" s="28">
        <v>20</v>
      </c>
      <c r="O45" s="28">
        <v>10</v>
      </c>
      <c r="P45" s="28">
        <f t="shared" si="6"/>
        <v>30</v>
      </c>
      <c r="Q45" s="22" t="str">
        <f t="shared" si="7"/>
        <v>Standard</v>
      </c>
      <c r="R45" s="28">
        <v>2</v>
      </c>
      <c r="S45" s="22">
        <v>480</v>
      </c>
      <c r="T45" s="22">
        <v>32</v>
      </c>
      <c r="U45" s="29">
        <f>SUMIFS('Recipe Ingredients'!$I$2:$I$2500,'Recipe Ingredients'!$A$2:$A$2500,A45)/R45</f>
        <v>356.5</v>
      </c>
      <c r="V45" s="29">
        <f>SUMIFS('Recipe Ingredients'!$J$2:$J$2500,'Recipe Ingredients'!$A$2:$A$2500,A45)/R45</f>
        <v>10.120999999999999</v>
      </c>
      <c r="W45" s="29">
        <f>SUMIFS('Recipe Ingredients'!$K$2:$K$2500,'Recipe Ingredients'!$A$2:$A$2500,A45)/R45</f>
        <v>112.99499999999999</v>
      </c>
      <c r="X45" s="29">
        <f>SUMIFS('Recipe Ingredients'!$L$2:$L$2500,'Recipe Ingredients'!$A$2:$A$2500,A45)/R45</f>
        <v>64.02</v>
      </c>
      <c r="Y45" s="29">
        <f>SUMIFS('Recipe Ingredients'!$M$2:$M$2500,'Recipe Ingredients'!$A$2:$A$2500,A45)/R45</f>
        <v>144.48949999999999</v>
      </c>
      <c r="Z45" s="29">
        <f>SUMIFS('Recipe Ingredients'!$N$2:$N$2500,'Recipe Ingredients'!$A$2:$A$2500,A45)/R45</f>
        <v>124.27</v>
      </c>
      <c r="AA45" s="29">
        <f>SUMIFS('Recipe Ingredients'!$O$2:$O$2500,'Recipe Ingredients'!$A$2:$A$2500,A45)/R45</f>
        <v>715.23500000000001</v>
      </c>
      <c r="AB45" s="30">
        <f>SUMIFS('Recipe Ingredients'!$P$2:$P$2500,'Recipe Ingredients'!$A$2:$A$2500,A45)/R45</f>
        <v>1.7565499999999998</v>
      </c>
      <c r="AC45" s="30">
        <f>SUMIFS('Recipe Ingredients'!$Q$2:$Q$2500,'Recipe Ingredients'!$A$2:$A$2500,A45)/R45</f>
        <v>0.45086000000000004</v>
      </c>
      <c r="AD45" s="29">
        <f>SUMIFS('Recipe Ingredients'!$R$2:$R$2500,'Recipe Ingredients'!$A$2:$A$2500,A45)/R45</f>
        <v>48.92</v>
      </c>
      <c r="AE45" s="30">
        <f>SUMIFS('Recipe Ingredients'!$S$2:$S$2500,'Recipe Ingredients'!$A$2:$A$2500,A45)/R45</f>
        <v>1.7832499999999998</v>
      </c>
      <c r="AF45" s="31">
        <f>IFERROR(V45/'Start Here'!$C$10,0)</f>
        <v>0.40483999999999992</v>
      </c>
      <c r="AG45" s="31">
        <f>IFERROR(W45/'Start Here'!$C$11,0)</f>
        <v>1.4124374999999998</v>
      </c>
      <c r="AH45" s="31">
        <f>IFERROR(X45/'Start Here'!$C$12,0)</f>
        <v>8.0024999999999999E-2</v>
      </c>
      <c r="AI45" s="31">
        <f>IFERROR(Y45/'Start Here'!$C$13,0)</f>
        <v>1.9265266666666665</v>
      </c>
      <c r="AJ45" s="31">
        <f>IFERROR(Z45/'Start Here'!$C$14,0)</f>
        <v>0.62134999999999996</v>
      </c>
      <c r="AK45" s="31">
        <f>IFERROR(AA45/'Start Here'!$C$15,0)</f>
        <v>0.35761750000000003</v>
      </c>
      <c r="AL45" s="31">
        <f>IFERROR(AB45/'Start Here'!$C$16,0)</f>
        <v>0.14637916666666664</v>
      </c>
      <c r="AM45" s="31">
        <f>IFERROR(AC45/'Start Here'!$C$17,0)</f>
        <v>0.32204285714285719</v>
      </c>
      <c r="AN45" s="31">
        <f>IFERROR(AD45/'Start Here'!$C$18,0)</f>
        <v>0.13045333333333334</v>
      </c>
      <c r="AO45" s="31">
        <f>IFERROR(AE45/'Start Here'!$C$19,0)</f>
        <v>0.12737499999999999</v>
      </c>
      <c r="AP45" s="22" t="str">
        <f t="shared" si="8"/>
        <v>Vitamin K</v>
      </c>
      <c r="AQ45" s="7" t="str">
        <f t="shared" si="9"/>
        <v>Best for better vitamin K intake: one serving gives about 193% of your daily vitamin K from the produce alone.</v>
      </c>
      <c r="AR45" s="7" t="str">
        <f t="shared" si="10"/>
        <v>Fibre (40%), Vitamin C (141%), Folate (62%), Potassium (36%), Vitamin B6 (32%)</v>
      </c>
      <c r="AS45" s="7" t="s">
        <v>1474</v>
      </c>
      <c r="AT45" s="7" t="s">
        <v>1475</v>
      </c>
      <c r="AU45" s="28">
        <f>COUNTIFS('Recipe Ingredients'!$A$2:$A$2500,A45,'Recipe Ingredients'!$G$2:$G$2500,"Basket")</f>
        <v>7</v>
      </c>
      <c r="AV45" s="28">
        <f>COUNTIFS('Recipe Ingredients'!$A$2:$A$2500,A45,'Recipe Ingredients'!$G$2:$G$2500,"Protein")+COUNTIFS('Recipe Ingredients'!$A$2:$A$2500,A45,'Recipe Ingredients'!$G$2:$G$2500,"Pantry")</f>
        <v>3</v>
      </c>
      <c r="AW45" s="31">
        <f t="shared" si="11"/>
        <v>0.7</v>
      </c>
      <c r="AX45" s="28" t="str">
        <f>IF(AW45&gt;='Start Here'!$C$6,"Yes","No")</f>
        <v>No</v>
      </c>
      <c r="AY45" s="7" t="s">
        <v>115</v>
      </c>
      <c r="AZ45" s="7" t="s">
        <v>1476</v>
      </c>
      <c r="BA45" s="7"/>
      <c r="BB45" s="32" t="s">
        <v>964</v>
      </c>
    </row>
    <row r="46" spans="1:54" ht="96" customHeight="1" x14ac:dyDescent="0.25">
      <c r="A46" s="22" t="s">
        <v>1477</v>
      </c>
      <c r="B46" s="23" t="s">
        <v>1478</v>
      </c>
      <c r="C46" s="22" t="s">
        <v>1344</v>
      </c>
      <c r="D46" s="22" t="s">
        <v>1058</v>
      </c>
      <c r="E46" s="22" t="s">
        <v>1145</v>
      </c>
      <c r="F46" s="7" t="s">
        <v>1479</v>
      </c>
      <c r="G46" s="22" t="s">
        <v>1147</v>
      </c>
      <c r="H46" s="27" t="s">
        <v>1480</v>
      </c>
      <c r="I46" s="27" t="s">
        <v>1481</v>
      </c>
      <c r="J46" s="7" t="s">
        <v>1482</v>
      </c>
      <c r="K46" s="7" t="s">
        <v>1483</v>
      </c>
      <c r="L46" s="7" t="s">
        <v>1484</v>
      </c>
      <c r="M46" s="22" t="s">
        <v>1152</v>
      </c>
      <c r="N46" s="28">
        <v>15</v>
      </c>
      <c r="O46" s="28">
        <v>10</v>
      </c>
      <c r="P46" s="28">
        <f t="shared" si="6"/>
        <v>25</v>
      </c>
      <c r="Q46" s="22" t="str">
        <f t="shared" si="7"/>
        <v>Quick</v>
      </c>
      <c r="R46" s="28">
        <v>2</v>
      </c>
      <c r="S46" s="22">
        <v>350</v>
      </c>
      <c r="T46" s="22">
        <v>32</v>
      </c>
      <c r="U46" s="29">
        <f>SUMIFS('Recipe Ingredients'!$I$2:$I$2500,'Recipe Ingredients'!$A$2:$A$2500,A46)/R46</f>
        <v>447.5</v>
      </c>
      <c r="V46" s="29">
        <f>SUMIFS('Recipe Ingredients'!$J$2:$J$2500,'Recipe Ingredients'!$A$2:$A$2500,A46)/R46</f>
        <v>10.873000000000003</v>
      </c>
      <c r="W46" s="29">
        <f>SUMIFS('Recipe Ingredients'!$K$2:$K$2500,'Recipe Ingredients'!$A$2:$A$2500,A46)/R46</f>
        <v>66.509</v>
      </c>
      <c r="X46" s="29">
        <f>SUMIFS('Recipe Ingredients'!$L$2:$L$2500,'Recipe Ingredients'!$A$2:$A$2500,A46)/R46</f>
        <v>1674.625</v>
      </c>
      <c r="Y46" s="29">
        <f>SUMIFS('Recipe Ingredients'!$M$2:$M$2500,'Recipe Ingredients'!$A$2:$A$2500,A46)/R46</f>
        <v>357.63050000000004</v>
      </c>
      <c r="Z46" s="29">
        <f>SUMIFS('Recipe Ingredients'!$N$2:$N$2500,'Recipe Ingredients'!$A$2:$A$2500,A46)/R46</f>
        <v>494.47</v>
      </c>
      <c r="AA46" s="29">
        <f>SUMIFS('Recipe Ingredients'!$O$2:$O$2500,'Recipe Ingredients'!$A$2:$A$2500,A46)/R46</f>
        <v>1158.4850000000001</v>
      </c>
      <c r="AB46" s="30">
        <f>SUMIFS('Recipe Ingredients'!$P$2:$P$2500,'Recipe Ingredients'!$A$2:$A$2500,A46)/R46</f>
        <v>2.5098000000000003</v>
      </c>
      <c r="AC46" s="30">
        <f>SUMIFS('Recipe Ingredients'!$Q$2:$Q$2500,'Recipe Ingredients'!$A$2:$A$2500,A46)/R46</f>
        <v>0.485815</v>
      </c>
      <c r="AD46" s="29">
        <f>SUMIFS('Recipe Ingredients'!$R$2:$R$2500,'Recipe Ingredients'!$A$2:$A$2500,A46)/R46</f>
        <v>85.265000000000015</v>
      </c>
      <c r="AE46" s="30">
        <f>SUMIFS('Recipe Ingredients'!$S$2:$S$2500,'Recipe Ingredients'!$A$2:$A$2500,A46)/R46</f>
        <v>4.4626000000000001</v>
      </c>
      <c r="AF46" s="31">
        <f>IFERROR(V46/'Start Here'!$C$10,0)</f>
        <v>0.43492000000000014</v>
      </c>
      <c r="AG46" s="31">
        <f>IFERROR(W46/'Start Here'!$C$11,0)</f>
        <v>0.8313625</v>
      </c>
      <c r="AH46" s="31">
        <f>IFERROR(X46/'Start Here'!$C$12,0)</f>
        <v>2.09328125</v>
      </c>
      <c r="AI46" s="31">
        <f>IFERROR(Y46/'Start Here'!$C$13,0)</f>
        <v>4.7684066666666673</v>
      </c>
      <c r="AJ46" s="31">
        <f>IFERROR(Z46/'Start Here'!$C$14,0)</f>
        <v>2.47235</v>
      </c>
      <c r="AK46" s="31">
        <f>IFERROR(AA46/'Start Here'!$C$15,0)</f>
        <v>0.5792425000000001</v>
      </c>
      <c r="AL46" s="31">
        <f>IFERROR(AB46/'Start Here'!$C$16,0)</f>
        <v>0.20915000000000003</v>
      </c>
      <c r="AM46" s="31">
        <f>IFERROR(AC46/'Start Here'!$C$17,0)</f>
        <v>0.34701071428571428</v>
      </c>
      <c r="AN46" s="31">
        <f>IFERROR(AD46/'Start Here'!$C$18,0)</f>
        <v>0.22737333333333337</v>
      </c>
      <c r="AO46" s="31">
        <f>IFERROR(AE46/'Start Here'!$C$19,0)</f>
        <v>0.31875714285714285</v>
      </c>
      <c r="AP46" s="22" t="str">
        <f t="shared" si="8"/>
        <v>Vitamin K</v>
      </c>
      <c r="AQ46" s="7" t="str">
        <f t="shared" si="9"/>
        <v>Best for better vitamin K intake: one serving gives about 477% of your daily vitamin K from the produce alone.</v>
      </c>
      <c r="AR46" s="7" t="str">
        <f t="shared" si="10"/>
        <v>Fibre (43%), Vitamin C (83%), Vitamin A (209%), Folate (247%), Potassium (58%), Vitamin B6 (35%), Iron (32%)</v>
      </c>
      <c r="AS46" s="7" t="s">
        <v>1485</v>
      </c>
      <c r="AT46" s="7" t="s">
        <v>1486</v>
      </c>
      <c r="AU46" s="28">
        <f>COUNTIFS('Recipe Ingredients'!$A$2:$A$2500,A46,'Recipe Ingredients'!$G$2:$G$2500,"Basket")</f>
        <v>8</v>
      </c>
      <c r="AV46" s="28">
        <f>COUNTIFS('Recipe Ingredients'!$A$2:$A$2500,A46,'Recipe Ingredients'!$G$2:$G$2500,"Protein")+COUNTIFS('Recipe Ingredients'!$A$2:$A$2500,A46,'Recipe Ingredients'!$G$2:$G$2500,"Pantry")</f>
        <v>2</v>
      </c>
      <c r="AW46" s="31">
        <f t="shared" si="11"/>
        <v>0.8</v>
      </c>
      <c r="AX46" s="28" t="str">
        <f>IF(AW46&gt;='Start Here'!$C$6,"Yes","No")</f>
        <v>Yes</v>
      </c>
      <c r="AY46" s="7" t="s">
        <v>115</v>
      </c>
      <c r="AZ46" s="7" t="s">
        <v>1487</v>
      </c>
      <c r="BA46" s="7" t="s">
        <v>1488</v>
      </c>
      <c r="BB46" s="32" t="s">
        <v>964</v>
      </c>
    </row>
    <row r="47" spans="1:54" ht="96" customHeight="1" x14ac:dyDescent="0.25">
      <c r="A47" s="22" t="s">
        <v>1489</v>
      </c>
      <c r="B47" s="23" t="s">
        <v>1490</v>
      </c>
      <c r="C47" s="22" t="s">
        <v>1344</v>
      </c>
      <c r="D47" s="22" t="s">
        <v>1058</v>
      </c>
      <c r="E47" s="22" t="s">
        <v>1380</v>
      </c>
      <c r="F47" s="7" t="s">
        <v>1491</v>
      </c>
      <c r="G47" s="22" t="s">
        <v>1492</v>
      </c>
      <c r="H47" s="27" t="s">
        <v>1493</v>
      </c>
      <c r="I47" s="27" t="s">
        <v>1494</v>
      </c>
      <c r="J47" s="7" t="s">
        <v>1495</v>
      </c>
      <c r="K47" s="7" t="s">
        <v>1496</v>
      </c>
      <c r="L47" s="7" t="s">
        <v>580</v>
      </c>
      <c r="M47" s="22" t="s">
        <v>1152</v>
      </c>
      <c r="N47" s="28">
        <v>15</v>
      </c>
      <c r="O47" s="28">
        <v>10</v>
      </c>
      <c r="P47" s="28">
        <f t="shared" si="6"/>
        <v>25</v>
      </c>
      <c r="Q47" s="22" t="str">
        <f t="shared" si="7"/>
        <v>Quick</v>
      </c>
      <c r="R47" s="28">
        <v>2</v>
      </c>
      <c r="S47" s="22">
        <v>380</v>
      </c>
      <c r="T47" s="22">
        <v>34</v>
      </c>
      <c r="U47" s="29">
        <f>SUMIFS('Recipe Ingredients'!$I$2:$I$2500,'Recipe Ingredients'!$A$2:$A$2500,A47)/R47</f>
        <v>614</v>
      </c>
      <c r="V47" s="29">
        <f>SUMIFS('Recipe Ingredients'!$J$2:$J$2500,'Recipe Ingredients'!$A$2:$A$2500,A47)/R47</f>
        <v>9.9425000000000008</v>
      </c>
      <c r="W47" s="29">
        <f>SUMIFS('Recipe Ingredients'!$K$2:$K$2500,'Recipe Ingredients'!$A$2:$A$2500,A47)/R47</f>
        <v>39.046499999999995</v>
      </c>
      <c r="X47" s="29">
        <f>SUMIFS('Recipe Ingredients'!$L$2:$L$2500,'Recipe Ingredients'!$A$2:$A$2500,A47)/R47</f>
        <v>1398.9150000000002</v>
      </c>
      <c r="Y47" s="29">
        <f>SUMIFS('Recipe Ingredients'!$M$2:$M$2500,'Recipe Ingredients'!$A$2:$A$2500,A47)/R47</f>
        <v>350.82600000000008</v>
      </c>
      <c r="Z47" s="29">
        <f>SUMIFS('Recipe Ingredients'!$N$2:$N$2500,'Recipe Ingredients'!$A$2:$A$2500,A47)/R47</f>
        <v>458.64500000000004</v>
      </c>
      <c r="AA47" s="29">
        <f>SUMIFS('Recipe Ingredients'!$O$2:$O$2500,'Recipe Ingredients'!$A$2:$A$2500,A47)/R47</f>
        <v>1255.7550000000001</v>
      </c>
      <c r="AB47" s="30">
        <f>SUMIFS('Recipe Ingredients'!$P$2:$P$2500,'Recipe Ingredients'!$A$2:$A$2500,A47)/R47</f>
        <v>0.87155000000000016</v>
      </c>
      <c r="AC47" s="30">
        <f>SUMIFS('Recipe Ingredients'!$Q$2:$Q$2500,'Recipe Ingredients'!$A$2:$A$2500,A47)/R47</f>
        <v>0.42182500000000001</v>
      </c>
      <c r="AD47" s="29">
        <f>SUMIFS('Recipe Ingredients'!$R$2:$R$2500,'Recipe Ingredients'!$A$2:$A$2500,A47)/R47</f>
        <v>77.715000000000003</v>
      </c>
      <c r="AE47" s="30">
        <f>SUMIFS('Recipe Ingredients'!$S$2:$S$2500,'Recipe Ingredients'!$A$2:$A$2500,A47)/R47</f>
        <v>3.9414000000000002</v>
      </c>
      <c r="AF47" s="31">
        <f>IFERROR(V47/'Start Here'!$C$10,0)</f>
        <v>0.39770000000000005</v>
      </c>
      <c r="AG47" s="31">
        <f>IFERROR(W47/'Start Here'!$C$11,0)</f>
        <v>0.48808124999999991</v>
      </c>
      <c r="AH47" s="31">
        <f>IFERROR(X47/'Start Here'!$C$12,0)</f>
        <v>1.7486437500000003</v>
      </c>
      <c r="AI47" s="31">
        <f>IFERROR(Y47/'Start Here'!$C$13,0)</f>
        <v>4.6776800000000014</v>
      </c>
      <c r="AJ47" s="31">
        <f>IFERROR(Z47/'Start Here'!$C$14,0)</f>
        <v>2.2932250000000001</v>
      </c>
      <c r="AK47" s="31">
        <f>IFERROR(AA47/'Start Here'!$C$15,0)</f>
        <v>0.62787750000000009</v>
      </c>
      <c r="AL47" s="31">
        <f>IFERROR(AB47/'Start Here'!$C$16,0)</f>
        <v>7.2629166666666675E-2</v>
      </c>
      <c r="AM47" s="31">
        <f>IFERROR(AC47/'Start Here'!$C$17,0)</f>
        <v>0.30130357142857145</v>
      </c>
      <c r="AN47" s="31">
        <f>IFERROR(AD47/'Start Here'!$C$18,0)</f>
        <v>0.20724000000000001</v>
      </c>
      <c r="AO47" s="31">
        <f>IFERROR(AE47/'Start Here'!$C$19,0)</f>
        <v>0.28152857142857146</v>
      </c>
      <c r="AP47" s="22" t="str">
        <f t="shared" si="8"/>
        <v>Vitamin K</v>
      </c>
      <c r="AQ47" s="7" t="str">
        <f t="shared" si="9"/>
        <v>Best for better vitamin K intake: one serving gives about 468% of your daily vitamin K from the produce alone.</v>
      </c>
      <c r="AR47" s="7" t="str">
        <f t="shared" si="10"/>
        <v>Fibre (40%), Vitamin C (49%), Vitamin A (175%), Folate (229%), Potassium (63%), Vitamin B6 (30%), Iron (28%)</v>
      </c>
      <c r="AS47" s="7" t="s">
        <v>1352</v>
      </c>
      <c r="AT47" s="7" t="s">
        <v>1497</v>
      </c>
      <c r="AU47" s="28">
        <f>COUNTIFS('Recipe Ingredients'!$A$2:$A$2500,A47,'Recipe Ingredients'!$G$2:$G$2500,"Basket")</f>
        <v>5</v>
      </c>
      <c r="AV47" s="28">
        <f>COUNTIFS('Recipe Ingredients'!$A$2:$A$2500,A47,'Recipe Ingredients'!$G$2:$G$2500,"Protein")+COUNTIFS('Recipe Ingredients'!$A$2:$A$2500,A47,'Recipe Ingredients'!$G$2:$G$2500,"Pantry")</f>
        <v>2</v>
      </c>
      <c r="AW47" s="31">
        <f t="shared" si="11"/>
        <v>0.7142857142857143</v>
      </c>
      <c r="AX47" s="28" t="str">
        <f>IF(AW47&gt;='Start Here'!$C$6,"Yes","No")</f>
        <v>No</v>
      </c>
      <c r="AY47" s="7" t="s">
        <v>115</v>
      </c>
      <c r="AZ47" s="7" t="s">
        <v>1498</v>
      </c>
      <c r="BA47" s="7"/>
      <c r="BB47" s="32" t="s">
        <v>964</v>
      </c>
    </row>
    <row r="48" spans="1:54" ht="96" customHeight="1" x14ac:dyDescent="0.25">
      <c r="A48" s="22" t="s">
        <v>1499</v>
      </c>
      <c r="B48" s="23" t="s">
        <v>1500</v>
      </c>
      <c r="C48" s="22" t="s">
        <v>1344</v>
      </c>
      <c r="D48" s="22" t="s">
        <v>1058</v>
      </c>
      <c r="E48" s="22" t="s">
        <v>1227</v>
      </c>
      <c r="F48" s="7" t="s">
        <v>1501</v>
      </c>
      <c r="G48" s="22" t="s">
        <v>1005</v>
      </c>
      <c r="H48" s="27" t="s">
        <v>1502</v>
      </c>
      <c r="I48" s="27" t="s">
        <v>1503</v>
      </c>
      <c r="J48" s="7" t="s">
        <v>1504</v>
      </c>
      <c r="K48" s="7" t="s">
        <v>1505</v>
      </c>
      <c r="L48" s="7" t="s">
        <v>620</v>
      </c>
      <c r="M48" s="22" t="s">
        <v>958</v>
      </c>
      <c r="N48" s="28">
        <v>10</v>
      </c>
      <c r="O48" s="28">
        <v>10</v>
      </c>
      <c r="P48" s="28">
        <f t="shared" si="6"/>
        <v>20</v>
      </c>
      <c r="Q48" s="22" t="str">
        <f t="shared" si="7"/>
        <v>Quick</v>
      </c>
      <c r="R48" s="28">
        <v>2</v>
      </c>
      <c r="S48" s="22">
        <v>480</v>
      </c>
      <c r="T48" s="22">
        <v>20</v>
      </c>
      <c r="U48" s="29">
        <f>SUMIFS('Recipe Ingredients'!$I$2:$I$2500,'Recipe Ingredients'!$A$2:$A$2500,A48)/R48</f>
        <v>197</v>
      </c>
      <c r="V48" s="29">
        <f>SUMIFS('Recipe Ingredients'!$J$2:$J$2500,'Recipe Ingredients'!$A$2:$A$2500,A48)/R48</f>
        <v>6.5770000000000008</v>
      </c>
      <c r="W48" s="29">
        <f>SUMIFS('Recipe Ingredients'!$K$2:$K$2500,'Recipe Ingredients'!$A$2:$A$2500,A48)/R48</f>
        <v>93.575500000000005</v>
      </c>
      <c r="X48" s="29">
        <f>SUMIFS('Recipe Ingredients'!$L$2:$L$2500,'Recipe Ingredients'!$A$2:$A$2500,A48)/R48</f>
        <v>121.88500000000001</v>
      </c>
      <c r="Y48" s="29">
        <f>SUMIFS('Recipe Ingredients'!$M$2:$M$2500,'Recipe Ingredients'!$A$2:$A$2500,A48)/R48</f>
        <v>173.40049999999999</v>
      </c>
      <c r="Z48" s="29">
        <f>SUMIFS('Recipe Ingredients'!$N$2:$N$2500,'Recipe Ingredients'!$A$2:$A$2500,A48)/R48</f>
        <v>104.125</v>
      </c>
      <c r="AA48" s="29">
        <f>SUMIFS('Recipe Ingredients'!$O$2:$O$2500,'Recipe Ingredients'!$A$2:$A$2500,A48)/R48</f>
        <v>618.45500000000004</v>
      </c>
      <c r="AB48" s="30">
        <f>SUMIFS('Recipe Ingredients'!$P$2:$P$2500,'Recipe Ingredients'!$A$2:$A$2500,A48)/R48</f>
        <v>2.0190000000000001</v>
      </c>
      <c r="AC48" s="30">
        <f>SUMIFS('Recipe Ingredients'!$Q$2:$Q$2500,'Recipe Ingredients'!$A$2:$A$2500,A48)/R48</f>
        <v>0.40843499999999999</v>
      </c>
      <c r="AD48" s="29">
        <f>SUMIFS('Recipe Ingredients'!$R$2:$R$2500,'Recipe Ingredients'!$A$2:$A$2500,A48)/R48</f>
        <v>48.97</v>
      </c>
      <c r="AE48" s="30">
        <f>SUMIFS('Recipe Ingredients'!$S$2:$S$2500,'Recipe Ingredients'!$A$2:$A$2500,A48)/R48</f>
        <v>1.1577</v>
      </c>
      <c r="AF48" s="31">
        <f>IFERROR(V48/'Start Here'!$C$10,0)</f>
        <v>0.26308000000000004</v>
      </c>
      <c r="AG48" s="31">
        <f>IFERROR(W48/'Start Here'!$C$11,0)</f>
        <v>1.16969375</v>
      </c>
      <c r="AH48" s="31">
        <f>IFERROR(X48/'Start Here'!$C$12,0)</f>
        <v>0.15235625</v>
      </c>
      <c r="AI48" s="31">
        <f>IFERROR(Y48/'Start Here'!$C$13,0)</f>
        <v>2.3120066666666665</v>
      </c>
      <c r="AJ48" s="31">
        <f>IFERROR(Z48/'Start Here'!$C$14,0)</f>
        <v>0.520625</v>
      </c>
      <c r="AK48" s="31">
        <f>IFERROR(AA48/'Start Here'!$C$15,0)</f>
        <v>0.30922750000000004</v>
      </c>
      <c r="AL48" s="31">
        <f>IFERROR(AB48/'Start Here'!$C$16,0)</f>
        <v>0.16825000000000001</v>
      </c>
      <c r="AM48" s="31">
        <f>IFERROR(AC48/'Start Here'!$C$17,0)</f>
        <v>0.2917392857142857</v>
      </c>
      <c r="AN48" s="31">
        <f>IFERROR(AD48/'Start Here'!$C$18,0)</f>
        <v>0.13058666666666666</v>
      </c>
      <c r="AO48" s="31">
        <f>IFERROR(AE48/'Start Here'!$C$19,0)</f>
        <v>8.2692857142857137E-2</v>
      </c>
      <c r="AP48" s="22" t="str">
        <f t="shared" si="8"/>
        <v>Vitamin K</v>
      </c>
      <c r="AQ48" s="7" t="str">
        <f t="shared" si="9"/>
        <v>Best for better vitamin K intake: one serving gives about 231% of your daily vitamin K from the produce alone.</v>
      </c>
      <c r="AR48" s="7" t="str">
        <f t="shared" si="10"/>
        <v>Fibre (26%), Vitamin C (117%), Folate (52%), Potassium (31%), Vitamin B6 (29%)</v>
      </c>
      <c r="AS48" s="7" t="s">
        <v>1245</v>
      </c>
      <c r="AT48" s="7" t="s">
        <v>1506</v>
      </c>
      <c r="AU48" s="28">
        <f>COUNTIFS('Recipe Ingredients'!$A$2:$A$2500,A48,'Recipe Ingredients'!$G$2:$G$2500,"Basket")</f>
        <v>6</v>
      </c>
      <c r="AV48" s="28">
        <f>COUNTIFS('Recipe Ingredients'!$A$2:$A$2500,A48,'Recipe Ingredients'!$G$2:$G$2500,"Protein")+COUNTIFS('Recipe Ingredients'!$A$2:$A$2500,A48,'Recipe Ingredients'!$G$2:$G$2500,"Pantry")</f>
        <v>3</v>
      </c>
      <c r="AW48" s="31">
        <f t="shared" si="11"/>
        <v>0.66666666666666663</v>
      </c>
      <c r="AX48" s="28" t="str">
        <f>IF(AW48&gt;='Start Here'!$C$6,"Yes","No")</f>
        <v>No</v>
      </c>
      <c r="AY48" s="7" t="s">
        <v>1247</v>
      </c>
      <c r="AZ48" s="7" t="s">
        <v>1507</v>
      </c>
      <c r="BA48" s="7"/>
      <c r="BB48" s="32" t="s">
        <v>964</v>
      </c>
    </row>
    <row r="49" spans="1:54" ht="96" customHeight="1" x14ac:dyDescent="0.25">
      <c r="A49" s="22" t="s">
        <v>1508</v>
      </c>
      <c r="B49" s="23" t="s">
        <v>1509</v>
      </c>
      <c r="C49" s="22" t="s">
        <v>1344</v>
      </c>
      <c r="D49" s="22" t="s">
        <v>1510</v>
      </c>
      <c r="E49" s="22" t="s">
        <v>1380</v>
      </c>
      <c r="F49" s="7" t="s">
        <v>1511</v>
      </c>
      <c r="G49" s="22" t="s">
        <v>1045</v>
      </c>
      <c r="H49" s="27" t="s">
        <v>1512</v>
      </c>
      <c r="I49" s="27" t="s">
        <v>1513</v>
      </c>
      <c r="J49" s="7" t="s">
        <v>1514</v>
      </c>
      <c r="K49" s="7" t="s">
        <v>1515</v>
      </c>
      <c r="L49" s="7" t="s">
        <v>620</v>
      </c>
      <c r="M49" s="22" t="s">
        <v>1152</v>
      </c>
      <c r="N49" s="28">
        <v>20</v>
      </c>
      <c r="O49" s="28">
        <v>35</v>
      </c>
      <c r="P49" s="28">
        <f t="shared" si="6"/>
        <v>55</v>
      </c>
      <c r="Q49" s="22" t="str">
        <f t="shared" si="7"/>
        <v>Standard</v>
      </c>
      <c r="R49" s="28">
        <v>2</v>
      </c>
      <c r="S49" s="22">
        <v>540</v>
      </c>
      <c r="T49" s="22">
        <v>30</v>
      </c>
      <c r="U49" s="29">
        <f>SUMIFS('Recipe Ingredients'!$I$2:$I$2500,'Recipe Ingredients'!$A$2:$A$2500,A49)/R49</f>
        <v>404</v>
      </c>
      <c r="V49" s="29">
        <f>SUMIFS('Recipe Ingredients'!$J$2:$J$2500,'Recipe Ingredients'!$A$2:$A$2500,A49)/R49</f>
        <v>7.9699999999999989</v>
      </c>
      <c r="W49" s="29">
        <f>SUMIFS('Recipe Ingredients'!$K$2:$K$2500,'Recipe Ingredients'!$A$2:$A$2500,A49)/R49</f>
        <v>321.923</v>
      </c>
      <c r="X49" s="29">
        <f>SUMIFS('Recipe Ingredients'!$L$2:$L$2500,'Recipe Ingredients'!$A$2:$A$2500,A49)/R49</f>
        <v>404.23000000000008</v>
      </c>
      <c r="Y49" s="29">
        <f>SUMIFS('Recipe Ingredients'!$M$2:$M$2500,'Recipe Ingredients'!$A$2:$A$2500,A49)/R49</f>
        <v>17.105999999999998</v>
      </c>
      <c r="Z49" s="29">
        <f>SUMIFS('Recipe Ingredients'!$N$2:$N$2500,'Recipe Ingredients'!$A$2:$A$2500,A49)/R49</f>
        <v>148.44999999999999</v>
      </c>
      <c r="AA49" s="29">
        <f>SUMIFS('Recipe Ingredients'!$O$2:$O$2500,'Recipe Ingredients'!$A$2:$A$2500,A49)/R49</f>
        <v>866.17000000000007</v>
      </c>
      <c r="AB49" s="30">
        <f>SUMIFS('Recipe Ingredients'!$P$2:$P$2500,'Recipe Ingredients'!$A$2:$A$2500,A49)/R49</f>
        <v>4.1470000000000002</v>
      </c>
      <c r="AC49" s="30">
        <f>SUMIFS('Recipe Ingredients'!$Q$2:$Q$2500,'Recipe Ingredients'!$A$2:$A$2500,A49)/R49</f>
        <v>0.89213999999999982</v>
      </c>
      <c r="AD49" s="29">
        <f>SUMIFS('Recipe Ingredients'!$R$2:$R$2500,'Recipe Ingredients'!$A$2:$A$2500,A49)/R49</f>
        <v>58.509999999999991</v>
      </c>
      <c r="AE49" s="30">
        <f>SUMIFS('Recipe Ingredients'!$S$2:$S$2500,'Recipe Ingredients'!$A$2:$A$2500,A49)/R49</f>
        <v>1.6015999999999999</v>
      </c>
      <c r="AF49" s="31">
        <f>IFERROR(V49/'Start Here'!$C$10,0)</f>
        <v>0.31879999999999997</v>
      </c>
      <c r="AG49" s="31">
        <f>IFERROR(W49/'Start Here'!$C$11,0)</f>
        <v>4.0240375000000004</v>
      </c>
      <c r="AH49" s="31">
        <f>IFERROR(X49/'Start Here'!$C$12,0)</f>
        <v>0.50528750000000011</v>
      </c>
      <c r="AI49" s="31">
        <f>IFERROR(Y49/'Start Here'!$C$13,0)</f>
        <v>0.22807999999999998</v>
      </c>
      <c r="AJ49" s="31">
        <f>IFERROR(Z49/'Start Here'!$C$14,0)</f>
        <v>0.74224999999999997</v>
      </c>
      <c r="AK49" s="31">
        <f>IFERROR(AA49/'Start Here'!$C$15,0)</f>
        <v>0.43308500000000005</v>
      </c>
      <c r="AL49" s="31">
        <f>IFERROR(AB49/'Start Here'!$C$16,0)</f>
        <v>0.34558333333333335</v>
      </c>
      <c r="AM49" s="31">
        <f>IFERROR(AC49/'Start Here'!$C$17,0)</f>
        <v>0.63724285714285711</v>
      </c>
      <c r="AN49" s="31">
        <f>IFERROR(AD49/'Start Here'!$C$18,0)</f>
        <v>0.15602666666666665</v>
      </c>
      <c r="AO49" s="31">
        <f>IFERROR(AE49/'Start Here'!$C$19,0)</f>
        <v>0.11439999999999999</v>
      </c>
      <c r="AP49" s="22" t="str">
        <f t="shared" si="8"/>
        <v>Vitamin C</v>
      </c>
      <c r="AQ49" s="7" t="str">
        <f t="shared" si="9"/>
        <v>Best for better vitamin C intake: one serving gives about 402% of your daily vitamin C from the produce alone.</v>
      </c>
      <c r="AR49" s="7" t="str">
        <f t="shared" si="10"/>
        <v>Fibre (32%), Vitamin A (51%), Folate (74%), Potassium (43%), Vitamin E (35%), Vitamin B6 (64%)</v>
      </c>
      <c r="AS49" s="7" t="s">
        <v>1516</v>
      </c>
      <c r="AT49" s="7" t="s">
        <v>1517</v>
      </c>
      <c r="AU49" s="28">
        <f>COUNTIFS('Recipe Ingredients'!$A$2:$A$2500,A49,'Recipe Ingredients'!$G$2:$G$2500,"Basket")</f>
        <v>6</v>
      </c>
      <c r="AV49" s="28">
        <f>COUNTIFS('Recipe Ingredients'!$A$2:$A$2500,A49,'Recipe Ingredients'!$G$2:$G$2500,"Protein")+COUNTIFS('Recipe Ingredients'!$A$2:$A$2500,A49,'Recipe Ingredients'!$G$2:$G$2500,"Pantry")</f>
        <v>4</v>
      </c>
      <c r="AW49" s="31">
        <f t="shared" si="11"/>
        <v>0.6</v>
      </c>
      <c r="AX49" s="28" t="str">
        <f>IF(AW49&gt;='Start Here'!$C$6,"Yes","No")</f>
        <v>No</v>
      </c>
      <c r="AY49" s="7" t="s">
        <v>1247</v>
      </c>
      <c r="AZ49" s="7" t="s">
        <v>1518</v>
      </c>
      <c r="BA49" s="7"/>
      <c r="BB49" s="32" t="s">
        <v>964</v>
      </c>
    </row>
    <row r="50" spans="1:54" ht="96" customHeight="1" x14ac:dyDescent="0.25">
      <c r="A50" s="22" t="s">
        <v>1519</v>
      </c>
      <c r="B50" s="23" t="s">
        <v>1520</v>
      </c>
      <c r="C50" s="22" t="s">
        <v>1344</v>
      </c>
      <c r="D50" s="22" t="s">
        <v>1521</v>
      </c>
      <c r="E50" s="22" t="s">
        <v>1522</v>
      </c>
      <c r="F50" s="7" t="s">
        <v>1523</v>
      </c>
      <c r="G50" s="22" t="s">
        <v>1310</v>
      </c>
      <c r="H50" s="27" t="s">
        <v>1524</v>
      </c>
      <c r="I50" s="27" t="s">
        <v>1525</v>
      </c>
      <c r="J50" s="7" t="s">
        <v>1526</v>
      </c>
      <c r="K50" s="7" t="s">
        <v>1527</v>
      </c>
      <c r="L50" s="7" t="s">
        <v>1010</v>
      </c>
      <c r="M50" s="22" t="s">
        <v>1051</v>
      </c>
      <c r="N50" s="28">
        <v>15</v>
      </c>
      <c r="O50" s="28">
        <v>0</v>
      </c>
      <c r="P50" s="28">
        <f t="shared" si="6"/>
        <v>15</v>
      </c>
      <c r="Q50" s="22" t="str">
        <f t="shared" si="7"/>
        <v>No-cook</v>
      </c>
      <c r="R50" s="28">
        <v>3</v>
      </c>
      <c r="S50" s="22">
        <v>210</v>
      </c>
      <c r="T50" s="22">
        <v>4</v>
      </c>
      <c r="U50" s="29">
        <f>SUMIFS('Recipe Ingredients'!$I$2:$I$2500,'Recipe Ingredients'!$A$2:$A$2500,A50)/R50</f>
        <v>413.66666666666669</v>
      </c>
      <c r="V50" s="29">
        <f>SUMIFS('Recipe Ingredients'!$J$2:$J$2500,'Recipe Ingredients'!$A$2:$A$2500,A50)/R50</f>
        <v>14.432333333333334</v>
      </c>
      <c r="W50" s="29">
        <f>SUMIFS('Recipe Ingredients'!$K$2:$K$2500,'Recipe Ingredients'!$A$2:$A$2500,A50)/R50</f>
        <v>44.973333333333336</v>
      </c>
      <c r="X50" s="29">
        <f>SUMIFS('Recipe Ingredients'!$L$2:$L$2500,'Recipe Ingredients'!$A$2:$A$2500,A50)/R50</f>
        <v>398.62333333333339</v>
      </c>
      <c r="Y50" s="29">
        <f>SUMIFS('Recipe Ingredients'!$M$2:$M$2500,'Recipe Ingredients'!$A$2:$A$2500,A50)/R50</f>
        <v>84.86066666666666</v>
      </c>
      <c r="Z50" s="29">
        <f>SUMIFS('Recipe Ingredients'!$N$2:$N$2500,'Recipe Ingredients'!$A$2:$A$2500,A50)/R50</f>
        <v>149.82333333333335</v>
      </c>
      <c r="AA50" s="29">
        <f>SUMIFS('Recipe Ingredients'!$O$2:$O$2500,'Recipe Ingredients'!$A$2:$A$2500,A50)/R50</f>
        <v>1217.9366666666667</v>
      </c>
      <c r="AB50" s="30">
        <f>SUMIFS('Recipe Ingredients'!$P$2:$P$2500,'Recipe Ingredients'!$A$2:$A$2500,A50)/R50</f>
        <v>3.6986333333333334</v>
      </c>
      <c r="AC50" s="30">
        <f>SUMIFS('Recipe Ingredients'!$Q$2:$Q$2500,'Recipe Ingredients'!$A$2:$A$2500,A50)/R50</f>
        <v>0.54851333333333341</v>
      </c>
      <c r="AD50" s="29">
        <f>SUMIFS('Recipe Ingredients'!$R$2:$R$2500,'Recipe Ingredients'!$A$2:$A$2500,A50)/R50</f>
        <v>73.423333333333332</v>
      </c>
      <c r="AE50" s="30">
        <f>SUMIFS('Recipe Ingredients'!$S$2:$S$2500,'Recipe Ingredients'!$A$2:$A$2500,A50)/R50</f>
        <v>1.9338666666666668</v>
      </c>
      <c r="AF50" s="31">
        <f>IFERROR(V50/'Start Here'!$C$10,0)</f>
        <v>0.57729333333333333</v>
      </c>
      <c r="AG50" s="31">
        <f>IFERROR(W50/'Start Here'!$C$11,0)</f>
        <v>0.5621666666666667</v>
      </c>
      <c r="AH50" s="31">
        <f>IFERROR(X50/'Start Here'!$C$12,0)</f>
        <v>0.49827916666666672</v>
      </c>
      <c r="AI50" s="31">
        <f>IFERROR(Y50/'Start Here'!$C$13,0)</f>
        <v>1.1314755555555556</v>
      </c>
      <c r="AJ50" s="31">
        <f>IFERROR(Z50/'Start Here'!$C$14,0)</f>
        <v>0.74911666666666676</v>
      </c>
      <c r="AK50" s="31">
        <f>IFERROR(AA50/'Start Here'!$C$15,0)</f>
        <v>0.60896833333333333</v>
      </c>
      <c r="AL50" s="31">
        <f>IFERROR(AB50/'Start Here'!$C$16,0)</f>
        <v>0.30821944444444443</v>
      </c>
      <c r="AM50" s="31">
        <f>IFERROR(AC50/'Start Here'!$C$17,0)</f>
        <v>0.3917952380952382</v>
      </c>
      <c r="AN50" s="31">
        <f>IFERROR(AD50/'Start Here'!$C$18,0)</f>
        <v>0.19579555555555556</v>
      </c>
      <c r="AO50" s="31">
        <f>IFERROR(AE50/'Start Here'!$C$19,0)</f>
        <v>0.13813333333333336</v>
      </c>
      <c r="AP50" s="22" t="str">
        <f t="shared" si="8"/>
        <v>Vitamin K</v>
      </c>
      <c r="AQ50" s="7" t="str">
        <f t="shared" si="9"/>
        <v>Best for better vitamin K intake: one serving gives about 113% of your daily vitamin K from the produce alone.</v>
      </c>
      <c r="AR50" s="7" t="str">
        <f t="shared" si="10"/>
        <v>Fibre (58%), Vitamin C (56%), Vitamin A (50%), Folate (75%), Potassium (61%), Vitamin E (31%), Vitamin B6 (39%)</v>
      </c>
      <c r="AS50" s="7" t="s">
        <v>1011</v>
      </c>
      <c r="AT50" s="7" t="s">
        <v>1012</v>
      </c>
      <c r="AU50" s="28">
        <f>COUNTIFS('Recipe Ingredients'!$A$2:$A$2500,A50,'Recipe Ingredients'!$G$2:$G$2500,"Basket")</f>
        <v>9</v>
      </c>
      <c r="AV50" s="28">
        <f>COUNTIFS('Recipe Ingredients'!$A$2:$A$2500,A50,'Recipe Ingredients'!$G$2:$G$2500,"Protein")+COUNTIFS('Recipe Ingredients'!$A$2:$A$2500,A50,'Recipe Ingredients'!$G$2:$G$2500,"Pantry")</f>
        <v>0</v>
      </c>
      <c r="AW50" s="31">
        <f t="shared" si="11"/>
        <v>1</v>
      </c>
      <c r="AX50" s="28" t="str">
        <f>IF(AW50&gt;='Start Here'!$C$6,"Yes","No")</f>
        <v>Yes</v>
      </c>
      <c r="AY50" s="7" t="s">
        <v>1140</v>
      </c>
      <c r="AZ50" s="7" t="s">
        <v>1528</v>
      </c>
      <c r="BA50" s="7"/>
      <c r="BB50" s="32" t="s">
        <v>964</v>
      </c>
    </row>
    <row r="51" spans="1:54" ht="96" customHeight="1" x14ac:dyDescent="0.25">
      <c r="A51" s="22" t="s">
        <v>1529</v>
      </c>
      <c r="B51" s="23" t="s">
        <v>1530</v>
      </c>
      <c r="C51" s="22" t="s">
        <v>1344</v>
      </c>
      <c r="D51" s="22" t="s">
        <v>1521</v>
      </c>
      <c r="E51" s="22" t="s">
        <v>1531</v>
      </c>
      <c r="F51" s="7" t="s">
        <v>1532</v>
      </c>
      <c r="G51" s="22" t="s">
        <v>1533</v>
      </c>
      <c r="H51" s="27" t="s">
        <v>1534</v>
      </c>
      <c r="I51" s="27" t="s">
        <v>1535</v>
      </c>
      <c r="J51" s="7" t="s">
        <v>1536</v>
      </c>
      <c r="K51" s="7" t="s">
        <v>1537</v>
      </c>
      <c r="L51" s="7" t="s">
        <v>1198</v>
      </c>
      <c r="M51" s="22" t="s">
        <v>1051</v>
      </c>
      <c r="N51" s="28">
        <v>10</v>
      </c>
      <c r="O51" s="28">
        <v>20</v>
      </c>
      <c r="P51" s="28">
        <f t="shared" si="6"/>
        <v>30</v>
      </c>
      <c r="Q51" s="22" t="str">
        <f t="shared" si="7"/>
        <v>Standard</v>
      </c>
      <c r="R51" s="28">
        <v>4</v>
      </c>
      <c r="S51" s="22">
        <v>140</v>
      </c>
      <c r="T51" s="22">
        <v>4</v>
      </c>
      <c r="U51" s="29">
        <f>SUMIFS('Recipe Ingredients'!$I$2:$I$2500,'Recipe Ingredients'!$A$2:$A$2500,A51)/R51</f>
        <v>134</v>
      </c>
      <c r="V51" s="29">
        <f>SUMIFS('Recipe Ingredients'!$J$2:$J$2500,'Recipe Ingredients'!$A$2:$A$2500,A51)/R51</f>
        <v>4.3389999999999995</v>
      </c>
      <c r="W51" s="29">
        <f>SUMIFS('Recipe Ingredients'!$K$2:$K$2500,'Recipe Ingredients'!$A$2:$A$2500,A51)/R51</f>
        <v>29.207500000000003</v>
      </c>
      <c r="X51" s="29">
        <f>SUMIFS('Recipe Ingredients'!$L$2:$L$2500,'Recipe Ingredients'!$A$2:$A$2500,A51)/R51</f>
        <v>287.995</v>
      </c>
      <c r="Y51" s="29">
        <f>SUMIFS('Recipe Ingredients'!$M$2:$M$2500,'Recipe Ingredients'!$A$2:$A$2500,A51)/R51</f>
        <v>129.85150000000002</v>
      </c>
      <c r="Z51" s="29">
        <f>SUMIFS('Recipe Ingredients'!$N$2:$N$2500,'Recipe Ingredients'!$A$2:$A$2500,A51)/R51</f>
        <v>36.435000000000002</v>
      </c>
      <c r="AA51" s="29">
        <f>SUMIFS('Recipe Ingredients'!$O$2:$O$2500,'Recipe Ingredients'!$A$2:$A$2500,A51)/R51</f>
        <v>357.17499999999995</v>
      </c>
      <c r="AB51" s="30">
        <f>SUMIFS('Recipe Ingredients'!$P$2:$P$2500,'Recipe Ingredients'!$A$2:$A$2500,A51)/R51</f>
        <v>0.52050000000000007</v>
      </c>
      <c r="AC51" s="30">
        <f>SUMIFS('Recipe Ingredients'!$Q$2:$Q$2500,'Recipe Ingredients'!$A$2:$A$2500,A51)/R51</f>
        <v>0.14296500000000001</v>
      </c>
      <c r="AD51" s="29">
        <f>SUMIFS('Recipe Ingredients'!$R$2:$R$2500,'Recipe Ingredients'!$A$2:$A$2500,A51)/R51</f>
        <v>20.945</v>
      </c>
      <c r="AE51" s="30">
        <f>SUMIFS('Recipe Ingredients'!$S$2:$S$2500,'Recipe Ingredients'!$A$2:$A$2500,A51)/R51</f>
        <v>1.069</v>
      </c>
      <c r="AF51" s="31">
        <f>IFERROR(V51/'Start Here'!$C$10,0)</f>
        <v>0.17355999999999999</v>
      </c>
      <c r="AG51" s="31">
        <f>IFERROR(W51/'Start Here'!$C$11,0)</f>
        <v>0.36509375000000005</v>
      </c>
      <c r="AH51" s="31">
        <f>IFERROR(X51/'Start Here'!$C$12,0)</f>
        <v>0.35999375</v>
      </c>
      <c r="AI51" s="31">
        <f>IFERROR(Y51/'Start Here'!$C$13,0)</f>
        <v>1.7313533333333335</v>
      </c>
      <c r="AJ51" s="31">
        <f>IFERROR(Z51/'Start Here'!$C$14,0)</f>
        <v>0.182175</v>
      </c>
      <c r="AK51" s="31">
        <f>IFERROR(AA51/'Start Here'!$C$15,0)</f>
        <v>0.17858749999999998</v>
      </c>
      <c r="AL51" s="31">
        <f>IFERROR(AB51/'Start Here'!$C$16,0)</f>
        <v>4.3375000000000004E-2</v>
      </c>
      <c r="AM51" s="31">
        <f>IFERROR(AC51/'Start Here'!$C$17,0)</f>
        <v>0.10211785714285715</v>
      </c>
      <c r="AN51" s="31">
        <f>IFERROR(AD51/'Start Here'!$C$18,0)</f>
        <v>5.5853333333333331E-2</v>
      </c>
      <c r="AO51" s="31">
        <f>IFERROR(AE51/'Start Here'!$C$19,0)</f>
        <v>7.635714285714286E-2</v>
      </c>
      <c r="AP51" s="22" t="str">
        <f t="shared" si="8"/>
        <v>Vitamin K</v>
      </c>
      <c r="AQ51" s="7" t="str">
        <f t="shared" si="9"/>
        <v>Best for better vitamin K intake: one serving gives about 173% of your daily vitamin K from the produce alone.</v>
      </c>
      <c r="AR51" s="7" t="str">
        <f t="shared" si="10"/>
        <v>Vitamin C (37%), Vitamin A (36%)</v>
      </c>
      <c r="AS51" s="7" t="s">
        <v>1538</v>
      </c>
      <c r="AT51" s="7" t="s">
        <v>1539</v>
      </c>
      <c r="AU51" s="28">
        <f>COUNTIFS('Recipe Ingredients'!$A$2:$A$2500,A51,'Recipe Ingredients'!$G$2:$G$2500,"Basket")</f>
        <v>5</v>
      </c>
      <c r="AV51" s="28">
        <f>COUNTIFS('Recipe Ingredients'!$A$2:$A$2500,A51,'Recipe Ingredients'!$G$2:$G$2500,"Protein")+COUNTIFS('Recipe Ingredients'!$A$2:$A$2500,A51,'Recipe Ingredients'!$G$2:$G$2500,"Pantry")</f>
        <v>2</v>
      </c>
      <c r="AW51" s="31">
        <f t="shared" si="11"/>
        <v>0.7142857142857143</v>
      </c>
      <c r="AX51" s="28" t="str">
        <f>IF(AW51&gt;='Start Here'!$C$6,"Yes","No")</f>
        <v>No</v>
      </c>
      <c r="AY51" s="7" t="s">
        <v>1140</v>
      </c>
      <c r="AZ51" s="7" t="s">
        <v>1540</v>
      </c>
      <c r="BA51" s="7"/>
      <c r="BB51" s="32" t="s">
        <v>964</v>
      </c>
    </row>
    <row r="52" spans="1:54" ht="96" customHeight="1" x14ac:dyDescent="0.25">
      <c r="A52" s="22" t="s">
        <v>1541</v>
      </c>
      <c r="B52" s="23" t="s">
        <v>1542</v>
      </c>
      <c r="C52" s="22" t="s">
        <v>1344</v>
      </c>
      <c r="D52" s="22" t="s">
        <v>1521</v>
      </c>
      <c r="E52" s="22" t="s">
        <v>296</v>
      </c>
      <c r="F52" s="7" t="s">
        <v>1543</v>
      </c>
      <c r="G52" s="22" t="s">
        <v>1533</v>
      </c>
      <c r="H52" s="27" t="s">
        <v>1544</v>
      </c>
      <c r="I52" s="27" t="s">
        <v>1545</v>
      </c>
      <c r="J52" s="7" t="s">
        <v>1546</v>
      </c>
      <c r="K52" s="7" t="s">
        <v>1547</v>
      </c>
      <c r="L52" s="7" t="s">
        <v>1087</v>
      </c>
      <c r="M52" s="22" t="s">
        <v>1051</v>
      </c>
      <c r="N52" s="28">
        <v>15</v>
      </c>
      <c r="O52" s="28">
        <v>0</v>
      </c>
      <c r="P52" s="28">
        <f t="shared" si="6"/>
        <v>15</v>
      </c>
      <c r="Q52" s="22" t="str">
        <f t="shared" si="7"/>
        <v>No-cook</v>
      </c>
      <c r="R52" s="28">
        <v>4</v>
      </c>
      <c r="S52" s="22">
        <v>230</v>
      </c>
      <c r="T52" s="22">
        <v>10</v>
      </c>
      <c r="U52" s="29">
        <f>SUMIFS('Recipe Ingredients'!$I$2:$I$2500,'Recipe Ingredients'!$A$2:$A$2500,A52)/R52</f>
        <v>171.5</v>
      </c>
      <c r="V52" s="29">
        <f>SUMIFS('Recipe Ingredients'!$J$2:$J$2500,'Recipe Ingredients'!$A$2:$A$2500,A52)/R52</f>
        <v>2.9924999999999997</v>
      </c>
      <c r="W52" s="29">
        <f>SUMIFS('Recipe Ingredients'!$K$2:$K$2500,'Recipe Ingredients'!$A$2:$A$2500,A52)/R52</f>
        <v>52.370250000000006</v>
      </c>
      <c r="X52" s="29">
        <f>SUMIFS('Recipe Ingredients'!$L$2:$L$2500,'Recipe Ingredients'!$A$2:$A$2500,A52)/R52</f>
        <v>305.69</v>
      </c>
      <c r="Y52" s="29">
        <f>SUMIFS('Recipe Ingredients'!$M$2:$M$2500,'Recipe Ingredients'!$A$2:$A$2500,A52)/R52</f>
        <v>18.550249999999998</v>
      </c>
      <c r="Z52" s="29">
        <f>SUMIFS('Recipe Ingredients'!$N$2:$N$2500,'Recipe Ingredients'!$A$2:$A$2500,A52)/R52</f>
        <v>30.787500000000001</v>
      </c>
      <c r="AA52" s="29">
        <f>SUMIFS('Recipe Ingredients'!$O$2:$O$2500,'Recipe Ingredients'!$A$2:$A$2500,A52)/R52</f>
        <v>345.01499999999999</v>
      </c>
      <c r="AB52" s="30">
        <f>SUMIFS('Recipe Ingredients'!$P$2:$P$2500,'Recipe Ingredients'!$A$2:$A$2500,A52)/R52</f>
        <v>0.77687499999999998</v>
      </c>
      <c r="AC52" s="30">
        <f>SUMIFS('Recipe Ingredients'!$Q$2:$Q$2500,'Recipe Ingredients'!$A$2:$A$2500,A52)/R52</f>
        <v>0.2048875</v>
      </c>
      <c r="AD52" s="29">
        <f>SUMIFS('Recipe Ingredients'!$R$2:$R$2500,'Recipe Ingredients'!$A$2:$A$2500,A52)/R52</f>
        <v>21.547499999999999</v>
      </c>
      <c r="AE52" s="30">
        <f>SUMIFS('Recipe Ingredients'!$S$2:$S$2500,'Recipe Ingredients'!$A$2:$A$2500,A52)/R52</f>
        <v>0.64262499999999989</v>
      </c>
      <c r="AF52" s="31">
        <f>IFERROR(V52/'Start Here'!$C$10,0)</f>
        <v>0.11969999999999999</v>
      </c>
      <c r="AG52" s="31">
        <f>IFERROR(W52/'Start Here'!$C$11,0)</f>
        <v>0.65462812500000012</v>
      </c>
      <c r="AH52" s="31">
        <f>IFERROR(X52/'Start Here'!$C$12,0)</f>
        <v>0.38211250000000002</v>
      </c>
      <c r="AI52" s="31">
        <f>IFERROR(Y52/'Start Here'!$C$13,0)</f>
        <v>0.24733666666666665</v>
      </c>
      <c r="AJ52" s="31">
        <f>IFERROR(Z52/'Start Here'!$C$14,0)</f>
        <v>0.1539375</v>
      </c>
      <c r="AK52" s="31">
        <f>IFERROR(AA52/'Start Here'!$C$15,0)</f>
        <v>0.17250749999999998</v>
      </c>
      <c r="AL52" s="31">
        <f>IFERROR(AB52/'Start Here'!$C$16,0)</f>
        <v>6.4739583333333336E-2</v>
      </c>
      <c r="AM52" s="31">
        <f>IFERROR(AC52/'Start Here'!$C$17,0)</f>
        <v>0.14634821428571429</v>
      </c>
      <c r="AN52" s="31">
        <f>IFERROR(AD52/'Start Here'!$C$18,0)</f>
        <v>5.7459999999999997E-2</v>
      </c>
      <c r="AO52" s="31">
        <f>IFERROR(AE52/'Start Here'!$C$19,0)</f>
        <v>4.5901785714285707E-2</v>
      </c>
      <c r="AP52" s="22" t="str">
        <f t="shared" si="8"/>
        <v>Vitamin C</v>
      </c>
      <c r="AQ52" s="7" t="str">
        <f t="shared" si="9"/>
        <v>Best for better vitamin C intake: one serving gives about 65% of your daily vitamin C from the produce alone.</v>
      </c>
      <c r="AR52" s="7" t="str">
        <f t="shared" si="10"/>
        <v>Vitamin A (38%)</v>
      </c>
      <c r="AS52" s="7" t="s">
        <v>1548</v>
      </c>
      <c r="AT52" s="7" t="s">
        <v>1549</v>
      </c>
      <c r="AU52" s="28">
        <f>COUNTIFS('Recipe Ingredients'!$A$2:$A$2500,A52,'Recipe Ingredients'!$G$2:$G$2500,"Basket")</f>
        <v>6</v>
      </c>
      <c r="AV52" s="28">
        <f>COUNTIFS('Recipe Ingredients'!$A$2:$A$2500,A52,'Recipe Ingredients'!$G$2:$G$2500,"Protein")+COUNTIFS('Recipe Ingredients'!$A$2:$A$2500,A52,'Recipe Ingredients'!$G$2:$G$2500,"Pantry")</f>
        <v>3</v>
      </c>
      <c r="AW52" s="31">
        <f t="shared" si="11"/>
        <v>0.66666666666666663</v>
      </c>
      <c r="AX52" s="28" t="str">
        <f>IF(AW52&gt;='Start Here'!$C$6,"Yes","No")</f>
        <v>No</v>
      </c>
      <c r="AY52" s="7" t="s">
        <v>1140</v>
      </c>
      <c r="AZ52" s="7" t="s">
        <v>1550</v>
      </c>
      <c r="BA52" s="7"/>
      <c r="BB52" s="32" t="s">
        <v>964</v>
      </c>
    </row>
    <row r="53" spans="1:54" ht="96" customHeight="1" x14ac:dyDescent="0.25">
      <c r="A53" s="22" t="s">
        <v>1551</v>
      </c>
      <c r="B53" s="23" t="s">
        <v>1552</v>
      </c>
      <c r="C53" s="22" t="s">
        <v>1344</v>
      </c>
      <c r="D53" s="22" t="s">
        <v>1553</v>
      </c>
      <c r="E53" s="22" t="s">
        <v>1531</v>
      </c>
      <c r="F53" s="7" t="s">
        <v>1554</v>
      </c>
      <c r="G53" s="22" t="s">
        <v>1555</v>
      </c>
      <c r="H53" s="27" t="s">
        <v>1556</v>
      </c>
      <c r="I53" s="27" t="s">
        <v>1557</v>
      </c>
      <c r="J53" s="7" t="s">
        <v>1558</v>
      </c>
      <c r="K53" s="7" t="s">
        <v>1559</v>
      </c>
      <c r="L53" s="7" t="s">
        <v>620</v>
      </c>
      <c r="M53" s="22" t="s">
        <v>958</v>
      </c>
      <c r="N53" s="28">
        <v>5</v>
      </c>
      <c r="O53" s="28">
        <v>15</v>
      </c>
      <c r="P53" s="28">
        <f t="shared" si="6"/>
        <v>20</v>
      </c>
      <c r="Q53" s="22" t="str">
        <f t="shared" si="7"/>
        <v>Quick</v>
      </c>
      <c r="R53" s="28">
        <v>4</v>
      </c>
      <c r="S53" s="22">
        <v>200</v>
      </c>
      <c r="T53" s="22">
        <v>5</v>
      </c>
      <c r="U53" s="29">
        <f>SUMIFS('Recipe Ingredients'!$I$2:$I$2500,'Recipe Ingredients'!$A$2:$A$2500,A53)/R53</f>
        <v>114.25</v>
      </c>
      <c r="V53" s="29">
        <f>SUMIFS('Recipe Ingredients'!$J$2:$J$2500,'Recipe Ingredients'!$A$2:$A$2500,A53)/R53</f>
        <v>3.109</v>
      </c>
      <c r="W53" s="29">
        <f>SUMIFS('Recipe Ingredients'!$K$2:$K$2500,'Recipe Ingredients'!$A$2:$A$2500,A53)/R53</f>
        <v>13.019250000000001</v>
      </c>
      <c r="X53" s="29">
        <f>SUMIFS('Recipe Ingredients'!$L$2:$L$2500,'Recipe Ingredients'!$A$2:$A$2500,A53)/R53</f>
        <v>33.71</v>
      </c>
      <c r="Y53" s="29">
        <f>SUMIFS('Recipe Ingredients'!$M$2:$M$2500,'Recipe Ingredients'!$A$2:$A$2500,A53)/R53</f>
        <v>23.6205</v>
      </c>
      <c r="Z53" s="29">
        <f>SUMIFS('Recipe Ingredients'!$N$2:$N$2500,'Recipe Ingredients'!$A$2:$A$2500,A53)/R53</f>
        <v>43.79</v>
      </c>
      <c r="AA53" s="29">
        <f>SUMIFS('Recipe Ingredients'!$O$2:$O$2500,'Recipe Ingredients'!$A$2:$A$2500,A53)/R53</f>
        <v>299.15999999999997</v>
      </c>
      <c r="AB53" s="30">
        <f>SUMIFS('Recipe Ingredients'!$P$2:$P$2500,'Recipe Ingredients'!$A$2:$A$2500,A53)/R53</f>
        <v>0.28734999999999999</v>
      </c>
      <c r="AC53" s="30">
        <f>SUMIFS('Recipe Ingredients'!$Q$2:$Q$2500,'Recipe Ingredients'!$A$2:$A$2500,A53)/R53</f>
        <v>0.1020775</v>
      </c>
      <c r="AD53" s="29">
        <f>SUMIFS('Recipe Ingredients'!$R$2:$R$2500,'Recipe Ingredients'!$A$2:$A$2500,A53)/R53</f>
        <v>36.255000000000003</v>
      </c>
      <c r="AE53" s="30">
        <f>SUMIFS('Recipe Ingredients'!$S$2:$S$2500,'Recipe Ingredients'!$A$2:$A$2500,A53)/R53</f>
        <v>0.70125000000000004</v>
      </c>
      <c r="AF53" s="31">
        <f>IFERROR(V53/'Start Here'!$C$10,0)</f>
        <v>0.12436</v>
      </c>
      <c r="AG53" s="31">
        <f>IFERROR(W53/'Start Here'!$C$11,0)</f>
        <v>0.16274062500000003</v>
      </c>
      <c r="AH53" s="31">
        <f>IFERROR(X53/'Start Here'!$C$12,0)</f>
        <v>4.2137500000000001E-2</v>
      </c>
      <c r="AI53" s="31">
        <f>IFERROR(Y53/'Start Here'!$C$13,0)</f>
        <v>0.31494</v>
      </c>
      <c r="AJ53" s="31">
        <f>IFERROR(Z53/'Start Here'!$C$14,0)</f>
        <v>0.21895000000000001</v>
      </c>
      <c r="AK53" s="31">
        <f>IFERROR(AA53/'Start Here'!$C$15,0)</f>
        <v>0.14957999999999999</v>
      </c>
      <c r="AL53" s="31">
        <f>IFERROR(AB53/'Start Here'!$C$16,0)</f>
        <v>2.3945833333333333E-2</v>
      </c>
      <c r="AM53" s="31">
        <f>IFERROR(AC53/'Start Here'!$C$17,0)</f>
        <v>7.2912500000000005E-2</v>
      </c>
      <c r="AN53" s="31">
        <f>IFERROR(AD53/'Start Here'!$C$18,0)</f>
        <v>9.6680000000000002E-2</v>
      </c>
      <c r="AO53" s="31">
        <f>IFERROR(AE53/'Start Here'!$C$19,0)</f>
        <v>5.0089285714285718E-2</v>
      </c>
      <c r="AP53" s="22" t="str">
        <f t="shared" si="8"/>
        <v>Vitamin K</v>
      </c>
      <c r="AQ53" s="7" t="str">
        <f t="shared" si="9"/>
        <v>Best for better vitamin K intake: one serving gives about 31% of your daily vitamin K from the produce alone.</v>
      </c>
      <c r="AR53" s="7" t="str">
        <f t="shared" si="10"/>
        <v/>
      </c>
      <c r="AS53" s="7" t="s">
        <v>1560</v>
      </c>
      <c r="AT53" s="7" t="s">
        <v>1561</v>
      </c>
      <c r="AU53" s="28">
        <f>COUNTIFS('Recipe Ingredients'!$A$2:$A$2500,A53,'Recipe Ingredients'!$G$2:$G$2500,"Basket")</f>
        <v>3</v>
      </c>
      <c r="AV53" s="28">
        <f>COUNTIFS('Recipe Ingredients'!$A$2:$A$2500,A53,'Recipe Ingredients'!$G$2:$G$2500,"Protein")+COUNTIFS('Recipe Ingredients'!$A$2:$A$2500,A53,'Recipe Ingredients'!$G$2:$G$2500,"Pantry")</f>
        <v>3</v>
      </c>
      <c r="AW53" s="31">
        <f t="shared" si="11"/>
        <v>0.5</v>
      </c>
      <c r="AX53" s="28" t="str">
        <f>IF(AW53&gt;='Start Here'!$C$6,"Yes","No")</f>
        <v>No</v>
      </c>
      <c r="AY53" s="7" t="s">
        <v>1247</v>
      </c>
      <c r="AZ53" s="7" t="s">
        <v>1562</v>
      </c>
      <c r="BA53" s="7" t="s">
        <v>1563</v>
      </c>
      <c r="BB53" s="32" t="s">
        <v>964</v>
      </c>
    </row>
    <row r="54" spans="1:54" ht="96" customHeight="1" x14ac:dyDescent="0.25">
      <c r="A54" s="22" t="s">
        <v>1564</v>
      </c>
      <c r="B54" s="23" t="s">
        <v>1565</v>
      </c>
      <c r="C54" s="22" t="s">
        <v>1566</v>
      </c>
      <c r="D54" s="22" t="s">
        <v>1567</v>
      </c>
      <c r="E54" s="22" t="s">
        <v>1380</v>
      </c>
      <c r="F54" s="7" t="s">
        <v>1568</v>
      </c>
      <c r="G54" s="22" t="s">
        <v>1147</v>
      </c>
      <c r="H54" s="27" t="s">
        <v>1569</v>
      </c>
      <c r="I54" s="27" t="s">
        <v>1570</v>
      </c>
      <c r="J54" s="7" t="s">
        <v>1571</v>
      </c>
      <c r="K54" s="7" t="s">
        <v>1572</v>
      </c>
      <c r="L54" s="7" t="s">
        <v>580</v>
      </c>
      <c r="M54" s="22" t="s">
        <v>1152</v>
      </c>
      <c r="N54" s="28">
        <v>15</v>
      </c>
      <c r="O54" s="28">
        <v>12</v>
      </c>
      <c r="P54" s="28">
        <f t="shared" si="6"/>
        <v>27</v>
      </c>
      <c r="Q54" s="22" t="str">
        <f t="shared" si="7"/>
        <v>Standard</v>
      </c>
      <c r="R54" s="28">
        <v>2</v>
      </c>
      <c r="S54" s="22">
        <v>480</v>
      </c>
      <c r="T54" s="22">
        <v>38</v>
      </c>
      <c r="U54" s="29">
        <f>SUMIFS('Recipe Ingredients'!$I$2:$I$2500,'Recipe Ingredients'!$A$2:$A$2500,A54)/R54</f>
        <v>414.5</v>
      </c>
      <c r="V54" s="29">
        <f>SUMIFS('Recipe Ingredients'!$J$2:$J$2500,'Recipe Ingredients'!$A$2:$A$2500,A54)/R54</f>
        <v>9.9984999999999982</v>
      </c>
      <c r="W54" s="29">
        <f>SUMIFS('Recipe Ingredients'!$K$2:$K$2500,'Recipe Ingredients'!$A$2:$A$2500,A54)/R54</f>
        <v>311.82750000000004</v>
      </c>
      <c r="X54" s="29">
        <f>SUMIFS('Recipe Ingredients'!$L$2:$L$2500,'Recipe Ingredients'!$A$2:$A$2500,A54)/R54</f>
        <v>686.72500000000002</v>
      </c>
      <c r="Y54" s="29">
        <f>SUMIFS('Recipe Ingredients'!$M$2:$M$2500,'Recipe Ingredients'!$A$2:$A$2500,A54)/R54</f>
        <v>265.22949999999997</v>
      </c>
      <c r="Z54" s="29">
        <f>SUMIFS('Recipe Ingredients'!$N$2:$N$2500,'Recipe Ingredients'!$A$2:$A$2500,A54)/R54</f>
        <v>186.26999999999998</v>
      </c>
      <c r="AA54" s="29">
        <f>SUMIFS('Recipe Ingredients'!$O$2:$O$2500,'Recipe Ingredients'!$A$2:$A$2500,A54)/R54</f>
        <v>1168.1399999999999</v>
      </c>
      <c r="AB54" s="30">
        <f>SUMIFS('Recipe Ingredients'!$P$2:$P$2500,'Recipe Ingredients'!$A$2:$A$2500,A54)/R54</f>
        <v>3.2696999999999998</v>
      </c>
      <c r="AC54" s="30">
        <f>SUMIFS('Recipe Ingredients'!$Q$2:$Q$2500,'Recipe Ingredients'!$A$2:$A$2500,A54)/R54</f>
        <v>0.821905</v>
      </c>
      <c r="AD54" s="29">
        <f>SUMIFS('Recipe Ingredients'!$R$2:$R$2500,'Recipe Ingredients'!$A$2:$A$2500,A54)/R54</f>
        <v>71.259999999999991</v>
      </c>
      <c r="AE54" s="30">
        <f>SUMIFS('Recipe Ingredients'!$S$2:$S$2500,'Recipe Ingredients'!$A$2:$A$2500,A54)/R54</f>
        <v>2.5556499999999995</v>
      </c>
      <c r="AF54" s="31">
        <f>IFERROR(V54/'Start Here'!$C$10,0)</f>
        <v>0.39993999999999991</v>
      </c>
      <c r="AG54" s="31">
        <f>IFERROR(W54/'Start Here'!$C$11,0)</f>
        <v>3.8978437500000007</v>
      </c>
      <c r="AH54" s="31">
        <f>IFERROR(X54/'Start Here'!$C$12,0)</f>
        <v>0.85840625000000004</v>
      </c>
      <c r="AI54" s="31">
        <f>IFERROR(Y54/'Start Here'!$C$13,0)</f>
        <v>3.5363933333333328</v>
      </c>
      <c r="AJ54" s="31">
        <f>IFERROR(Z54/'Start Here'!$C$14,0)</f>
        <v>0.9313499999999999</v>
      </c>
      <c r="AK54" s="31">
        <f>IFERROR(AA54/'Start Here'!$C$15,0)</f>
        <v>0.58406999999999998</v>
      </c>
      <c r="AL54" s="31">
        <f>IFERROR(AB54/'Start Here'!$C$16,0)</f>
        <v>0.27247499999999997</v>
      </c>
      <c r="AM54" s="31">
        <f>IFERROR(AC54/'Start Here'!$C$17,0)</f>
        <v>0.58707500000000001</v>
      </c>
      <c r="AN54" s="31">
        <f>IFERROR(AD54/'Start Here'!$C$18,0)</f>
        <v>0.19002666666666665</v>
      </c>
      <c r="AO54" s="31">
        <f>IFERROR(AE54/'Start Here'!$C$19,0)</f>
        <v>0.18254642857142853</v>
      </c>
      <c r="AP54" s="22" t="str">
        <f t="shared" si="8"/>
        <v>Vitamin C</v>
      </c>
      <c r="AQ54" s="7" t="str">
        <f t="shared" si="9"/>
        <v>Best for better vitamin C intake: one serving gives about 390% of your daily vitamin C from the produce alone.</v>
      </c>
      <c r="AR54" s="7" t="str">
        <f t="shared" si="10"/>
        <v>Fibre (40%), Vitamin A (86%), Vitamin K (354%), Folate (93%), Potassium (58%), Vitamin E (27%), Vitamin B6 (59%)</v>
      </c>
      <c r="AS54" s="7" t="s">
        <v>1387</v>
      </c>
      <c r="AT54" s="7" t="s">
        <v>1573</v>
      </c>
      <c r="AU54" s="28">
        <f>COUNTIFS('Recipe Ingredients'!$A$2:$A$2500,A54,'Recipe Ingredients'!$G$2:$G$2500,"Basket")</f>
        <v>7</v>
      </c>
      <c r="AV54" s="28">
        <f>COUNTIFS('Recipe Ingredients'!$A$2:$A$2500,A54,'Recipe Ingredients'!$G$2:$G$2500,"Protein")+COUNTIFS('Recipe Ingredients'!$A$2:$A$2500,A54,'Recipe Ingredients'!$G$2:$G$2500,"Pantry")</f>
        <v>4</v>
      </c>
      <c r="AW54" s="31">
        <f t="shared" si="11"/>
        <v>0.63636363636363635</v>
      </c>
      <c r="AX54" s="28" t="str">
        <f>IF(AW54&gt;='Start Here'!$C$6,"Yes","No")</f>
        <v>No</v>
      </c>
      <c r="AY54" s="7" t="s">
        <v>115</v>
      </c>
      <c r="AZ54" s="7" t="s">
        <v>1574</v>
      </c>
      <c r="BA54" s="7"/>
      <c r="BB54" s="32" t="s">
        <v>964</v>
      </c>
    </row>
    <row r="55" spans="1:54" ht="96" customHeight="1" x14ac:dyDescent="0.25">
      <c r="A55" s="22" t="s">
        <v>1575</v>
      </c>
      <c r="B55" s="23" t="s">
        <v>1576</v>
      </c>
      <c r="C55" s="22" t="s">
        <v>1566</v>
      </c>
      <c r="D55" s="22" t="s">
        <v>1577</v>
      </c>
      <c r="E55" s="22" t="s">
        <v>1380</v>
      </c>
      <c r="F55" s="7" t="s">
        <v>1578</v>
      </c>
      <c r="G55" s="22" t="s">
        <v>1147</v>
      </c>
      <c r="H55" s="27" t="s">
        <v>1579</v>
      </c>
      <c r="I55" s="27" t="s">
        <v>1580</v>
      </c>
      <c r="J55" s="7" t="s">
        <v>1581</v>
      </c>
      <c r="K55" s="7" t="s">
        <v>1582</v>
      </c>
      <c r="L55" s="7" t="s">
        <v>234</v>
      </c>
      <c r="M55" s="22" t="s">
        <v>1152</v>
      </c>
      <c r="N55" s="28">
        <v>20</v>
      </c>
      <c r="O55" s="28">
        <v>25</v>
      </c>
      <c r="P55" s="28">
        <f t="shared" si="6"/>
        <v>45</v>
      </c>
      <c r="Q55" s="22" t="str">
        <f t="shared" si="7"/>
        <v>Standard</v>
      </c>
      <c r="R55" s="28">
        <v>3</v>
      </c>
      <c r="S55" s="22">
        <v>520</v>
      </c>
      <c r="T55" s="22">
        <v>30</v>
      </c>
      <c r="U55" s="29">
        <f>SUMIFS('Recipe Ingredients'!$I$2:$I$2500,'Recipe Ingredients'!$A$2:$A$2500,A55)/R55</f>
        <v>311.66666666666669</v>
      </c>
      <c r="V55" s="29">
        <f>SUMIFS('Recipe Ingredients'!$J$2:$J$2500,'Recipe Ingredients'!$A$2:$A$2500,A55)/R55</f>
        <v>14.689999999999998</v>
      </c>
      <c r="W55" s="29">
        <f>SUMIFS('Recipe Ingredients'!$K$2:$K$2500,'Recipe Ingredients'!$A$2:$A$2500,A55)/R55</f>
        <v>33.646999999999998</v>
      </c>
      <c r="X55" s="29">
        <f>SUMIFS('Recipe Ingredients'!$L$2:$L$2500,'Recipe Ingredients'!$A$2:$A$2500,A55)/R55</f>
        <v>424.75333333333339</v>
      </c>
      <c r="Y55" s="29">
        <f>SUMIFS('Recipe Ingredients'!$M$2:$M$2500,'Recipe Ingredients'!$A$2:$A$2500,A55)/R55</f>
        <v>57.351999999999983</v>
      </c>
      <c r="Z55" s="29">
        <f>SUMIFS('Recipe Ingredients'!$N$2:$N$2500,'Recipe Ingredients'!$A$2:$A$2500,A55)/R55</f>
        <v>89.390000000000029</v>
      </c>
      <c r="AA55" s="29">
        <f>SUMIFS('Recipe Ingredients'!$O$2:$O$2500,'Recipe Ingredients'!$A$2:$A$2500,A55)/R55</f>
        <v>1059.0999999999999</v>
      </c>
      <c r="AB55" s="30">
        <f>SUMIFS('Recipe Ingredients'!$P$2:$P$2500,'Recipe Ingredients'!$A$2:$A$2500,A55)/R55</f>
        <v>1.4300333333333335</v>
      </c>
      <c r="AC55" s="30">
        <f>SUMIFS('Recipe Ingredients'!$Q$2:$Q$2500,'Recipe Ingredients'!$A$2:$A$2500,A55)/R55</f>
        <v>0.24955333333333332</v>
      </c>
      <c r="AD55" s="29">
        <f>SUMIFS('Recipe Ingredients'!$R$2:$R$2500,'Recipe Ingredients'!$A$2:$A$2500,A55)/R55</f>
        <v>84.983333333333334</v>
      </c>
      <c r="AE55" s="30">
        <f>SUMIFS('Recipe Ingredients'!$S$2:$S$2500,'Recipe Ingredients'!$A$2:$A$2500,A55)/R55</f>
        <v>5.7745333333333333</v>
      </c>
      <c r="AF55" s="31">
        <f>IFERROR(V55/'Start Here'!$C$10,0)</f>
        <v>0.5875999999999999</v>
      </c>
      <c r="AG55" s="31">
        <f>IFERROR(W55/'Start Here'!$C$11,0)</f>
        <v>0.4205875</v>
      </c>
      <c r="AH55" s="31">
        <f>IFERROR(X55/'Start Here'!$C$12,0)</f>
        <v>0.53094166666666676</v>
      </c>
      <c r="AI55" s="31">
        <f>IFERROR(Y55/'Start Here'!$C$13,0)</f>
        <v>0.76469333333333311</v>
      </c>
      <c r="AJ55" s="31">
        <f>IFERROR(Z55/'Start Here'!$C$14,0)</f>
        <v>0.44695000000000012</v>
      </c>
      <c r="AK55" s="31">
        <f>IFERROR(AA55/'Start Here'!$C$15,0)</f>
        <v>0.52954999999999997</v>
      </c>
      <c r="AL55" s="31">
        <f>IFERROR(AB55/'Start Here'!$C$16,0)</f>
        <v>0.11916944444444445</v>
      </c>
      <c r="AM55" s="31">
        <f>IFERROR(AC55/'Start Here'!$C$17,0)</f>
        <v>0.17825238095238097</v>
      </c>
      <c r="AN55" s="31">
        <f>IFERROR(AD55/'Start Here'!$C$18,0)</f>
        <v>0.22662222222222222</v>
      </c>
      <c r="AO55" s="31">
        <f>IFERROR(AE55/'Start Here'!$C$19,0)</f>
        <v>0.41246666666666665</v>
      </c>
      <c r="AP55" s="22" t="str">
        <f t="shared" si="8"/>
        <v>Vitamin K</v>
      </c>
      <c r="AQ55" s="7" t="str">
        <f t="shared" si="9"/>
        <v>Best for better vitamin K intake: one serving gives about 76% of your daily vitamin K from the produce alone.</v>
      </c>
      <c r="AR55" s="7" t="str">
        <f t="shared" si="10"/>
        <v>Fibre (59%), Vitamin C (42%), Vitamin A (53%), Folate (45%), Potassium (53%), Iron (41%)</v>
      </c>
      <c r="AS55" s="7" t="s">
        <v>1583</v>
      </c>
      <c r="AT55" s="7" t="s">
        <v>1584</v>
      </c>
      <c r="AU55" s="28">
        <f>COUNTIFS('Recipe Ingredients'!$A$2:$A$2500,A55,'Recipe Ingredients'!$G$2:$G$2500,"Basket")</f>
        <v>10</v>
      </c>
      <c r="AV55" s="28">
        <f>COUNTIFS('Recipe Ingredients'!$A$2:$A$2500,A55,'Recipe Ingredients'!$G$2:$G$2500,"Protein")+COUNTIFS('Recipe Ingredients'!$A$2:$A$2500,A55,'Recipe Ingredients'!$G$2:$G$2500,"Pantry")</f>
        <v>4</v>
      </c>
      <c r="AW55" s="31">
        <f t="shared" si="11"/>
        <v>0.7142857142857143</v>
      </c>
      <c r="AX55" s="28" t="str">
        <f>IF(AW55&gt;='Start Here'!$C$6,"Yes","No")</f>
        <v>No</v>
      </c>
      <c r="AY55" s="7" t="s">
        <v>115</v>
      </c>
      <c r="AZ55" s="7" t="s">
        <v>1585</v>
      </c>
      <c r="BA55" s="7"/>
      <c r="BB55" s="32" t="s">
        <v>964</v>
      </c>
    </row>
    <row r="56" spans="1:54" ht="96" customHeight="1" x14ac:dyDescent="0.25">
      <c r="A56" s="22" t="s">
        <v>1586</v>
      </c>
      <c r="B56" s="23" t="s">
        <v>1587</v>
      </c>
      <c r="C56" s="22" t="s">
        <v>1566</v>
      </c>
      <c r="D56" s="22" t="s">
        <v>1567</v>
      </c>
      <c r="E56" s="22" t="s">
        <v>1380</v>
      </c>
      <c r="F56" s="7" t="s">
        <v>1588</v>
      </c>
      <c r="G56" s="22" t="s">
        <v>1589</v>
      </c>
      <c r="H56" s="27" t="s">
        <v>1590</v>
      </c>
      <c r="I56" s="27" t="s">
        <v>1591</v>
      </c>
      <c r="J56" s="7" t="s">
        <v>1592</v>
      </c>
      <c r="K56" s="7" t="s">
        <v>1593</v>
      </c>
      <c r="L56" s="7" t="s">
        <v>620</v>
      </c>
      <c r="M56" s="22" t="s">
        <v>1152</v>
      </c>
      <c r="N56" s="28">
        <v>15</v>
      </c>
      <c r="O56" s="28">
        <v>12</v>
      </c>
      <c r="P56" s="28">
        <f t="shared" si="6"/>
        <v>27</v>
      </c>
      <c r="Q56" s="22" t="str">
        <f t="shared" si="7"/>
        <v>Standard</v>
      </c>
      <c r="R56" s="28">
        <v>2</v>
      </c>
      <c r="S56" s="22">
        <v>500</v>
      </c>
      <c r="T56" s="22">
        <v>36</v>
      </c>
      <c r="U56" s="29">
        <f>SUMIFS('Recipe Ingredients'!$I$2:$I$2500,'Recipe Ingredients'!$A$2:$A$2500,A56)/R56</f>
        <v>199.5</v>
      </c>
      <c r="V56" s="29">
        <f>SUMIFS('Recipe Ingredients'!$J$2:$J$2500,'Recipe Ingredients'!$A$2:$A$2500,A56)/R56</f>
        <v>3.7990000000000004</v>
      </c>
      <c r="W56" s="29">
        <f>SUMIFS('Recipe Ingredients'!$K$2:$K$2500,'Recipe Ingredients'!$A$2:$A$2500,A56)/R56</f>
        <v>132.0205</v>
      </c>
      <c r="X56" s="29">
        <f>SUMIFS('Recipe Ingredients'!$L$2:$L$2500,'Recipe Ingredients'!$A$2:$A$2500,A56)/R56</f>
        <v>111.625</v>
      </c>
      <c r="Y56" s="29">
        <f>SUMIFS('Recipe Ingredients'!$M$2:$M$2500,'Recipe Ingredients'!$A$2:$A$2500,A56)/R56</f>
        <v>38.646999999999998</v>
      </c>
      <c r="Z56" s="29">
        <f>SUMIFS('Recipe Ingredients'!$N$2:$N$2500,'Recipe Ingredients'!$A$2:$A$2500,A56)/R56</f>
        <v>54.285000000000004</v>
      </c>
      <c r="AA56" s="29">
        <f>SUMIFS('Recipe Ingredients'!$O$2:$O$2500,'Recipe Ingredients'!$A$2:$A$2500,A56)/R56</f>
        <v>394.52499999999998</v>
      </c>
      <c r="AB56" s="30">
        <f>SUMIFS('Recipe Ingredients'!$P$2:$P$2500,'Recipe Ingredients'!$A$2:$A$2500,A56)/R56</f>
        <v>1.27565</v>
      </c>
      <c r="AC56" s="30">
        <f>SUMIFS('Recipe Ingredients'!$Q$2:$Q$2500,'Recipe Ingredients'!$A$2:$A$2500,A56)/R56</f>
        <v>0.43062499999999992</v>
      </c>
      <c r="AD56" s="29">
        <f>SUMIFS('Recipe Ingredients'!$R$2:$R$2500,'Recipe Ingredients'!$A$2:$A$2500,A56)/R56</f>
        <v>25.565000000000001</v>
      </c>
      <c r="AE56" s="30">
        <f>SUMIFS('Recipe Ingredients'!$S$2:$S$2500,'Recipe Ingredients'!$A$2:$A$2500,A56)/R56</f>
        <v>0.89165000000000005</v>
      </c>
      <c r="AF56" s="31">
        <f>IFERROR(V56/'Start Here'!$C$10,0)</f>
        <v>0.15196000000000001</v>
      </c>
      <c r="AG56" s="31">
        <f>IFERROR(W56/'Start Here'!$C$11,0)</f>
        <v>1.65025625</v>
      </c>
      <c r="AH56" s="31">
        <f>IFERROR(X56/'Start Here'!$C$12,0)</f>
        <v>0.13953125</v>
      </c>
      <c r="AI56" s="31">
        <f>IFERROR(Y56/'Start Here'!$C$13,0)</f>
        <v>0.51529333333333327</v>
      </c>
      <c r="AJ56" s="31">
        <f>IFERROR(Z56/'Start Here'!$C$14,0)</f>
        <v>0.27142500000000003</v>
      </c>
      <c r="AK56" s="31">
        <f>IFERROR(AA56/'Start Here'!$C$15,0)</f>
        <v>0.19726249999999998</v>
      </c>
      <c r="AL56" s="31">
        <f>IFERROR(AB56/'Start Here'!$C$16,0)</f>
        <v>0.10630416666666666</v>
      </c>
      <c r="AM56" s="31">
        <f>IFERROR(AC56/'Start Here'!$C$17,0)</f>
        <v>0.30758928571428568</v>
      </c>
      <c r="AN56" s="31">
        <f>IFERROR(AD56/'Start Here'!$C$18,0)</f>
        <v>6.8173333333333336E-2</v>
      </c>
      <c r="AO56" s="31">
        <f>IFERROR(AE56/'Start Here'!$C$19,0)</f>
        <v>6.3689285714285712E-2</v>
      </c>
      <c r="AP56" s="22" t="str">
        <f t="shared" si="8"/>
        <v>Vitamin C</v>
      </c>
      <c r="AQ56" s="7" t="str">
        <f t="shared" si="9"/>
        <v>Best for better vitamin C intake: one serving gives about 165% of your daily vitamin C from the produce alone.</v>
      </c>
      <c r="AR56" s="7" t="str">
        <f t="shared" si="10"/>
        <v>Vitamin K (52%), Folate (27%), Vitamin B6 (31%)</v>
      </c>
      <c r="AS56" s="7" t="s">
        <v>1594</v>
      </c>
      <c r="AT56" s="7" t="s">
        <v>1595</v>
      </c>
      <c r="AU56" s="28">
        <f>COUNTIFS('Recipe Ingredients'!$A$2:$A$2500,A56,'Recipe Ingredients'!$G$2:$G$2500,"Basket")</f>
        <v>6</v>
      </c>
      <c r="AV56" s="28">
        <f>COUNTIFS('Recipe Ingredients'!$A$2:$A$2500,A56,'Recipe Ingredients'!$G$2:$G$2500,"Protein")+COUNTIFS('Recipe Ingredients'!$A$2:$A$2500,A56,'Recipe Ingredients'!$G$2:$G$2500,"Pantry")</f>
        <v>4</v>
      </c>
      <c r="AW56" s="31">
        <f t="shared" si="11"/>
        <v>0.6</v>
      </c>
      <c r="AX56" s="28" t="str">
        <f>IF(AW56&gt;='Start Here'!$C$6,"Yes","No")</f>
        <v>No</v>
      </c>
      <c r="AY56" s="7" t="s">
        <v>115</v>
      </c>
      <c r="AZ56" s="7" t="s">
        <v>1596</v>
      </c>
      <c r="BA56" s="7"/>
      <c r="BB56" s="32" t="s">
        <v>964</v>
      </c>
    </row>
    <row r="57" spans="1:54" ht="96" customHeight="1" x14ac:dyDescent="0.25">
      <c r="A57" s="22" t="s">
        <v>1597</v>
      </c>
      <c r="B57" s="23" t="s">
        <v>1598</v>
      </c>
      <c r="C57" s="22" t="s">
        <v>1566</v>
      </c>
      <c r="D57" s="22" t="s">
        <v>1567</v>
      </c>
      <c r="E57" s="22" t="s">
        <v>1380</v>
      </c>
      <c r="F57" s="7" t="s">
        <v>1599</v>
      </c>
      <c r="G57" s="22" t="s">
        <v>1045</v>
      </c>
      <c r="H57" s="27" t="s">
        <v>1600</v>
      </c>
      <c r="I57" s="27" t="s">
        <v>1601</v>
      </c>
      <c r="J57" s="7" t="s">
        <v>1602</v>
      </c>
      <c r="K57" s="7" t="s">
        <v>1603</v>
      </c>
      <c r="L57" s="7" t="s">
        <v>1484</v>
      </c>
      <c r="M57" s="22" t="s">
        <v>1257</v>
      </c>
      <c r="N57" s="28">
        <v>15</v>
      </c>
      <c r="O57" s="28">
        <v>12</v>
      </c>
      <c r="P57" s="28">
        <f t="shared" si="6"/>
        <v>27</v>
      </c>
      <c r="Q57" s="22" t="str">
        <f t="shared" si="7"/>
        <v>Standard</v>
      </c>
      <c r="R57" s="28">
        <v>2</v>
      </c>
      <c r="S57" s="22">
        <v>360</v>
      </c>
      <c r="T57" s="22">
        <v>30</v>
      </c>
      <c r="U57" s="29">
        <f>SUMIFS('Recipe Ingredients'!$I$2:$I$2500,'Recipe Ingredients'!$A$2:$A$2500,A57)/R57</f>
        <v>438</v>
      </c>
      <c r="V57" s="29">
        <f>SUMIFS('Recipe Ingredients'!$J$2:$J$2500,'Recipe Ingredients'!$A$2:$A$2500,A57)/R57</f>
        <v>9.7360000000000007</v>
      </c>
      <c r="W57" s="29">
        <f>SUMIFS('Recipe Ingredients'!$K$2:$K$2500,'Recipe Ingredients'!$A$2:$A$2500,A57)/R57</f>
        <v>156.94799999999998</v>
      </c>
      <c r="X57" s="29">
        <f>SUMIFS('Recipe Ingredients'!$L$2:$L$2500,'Recipe Ingredients'!$A$2:$A$2500,A57)/R57</f>
        <v>538.1</v>
      </c>
      <c r="Y57" s="29">
        <f>SUMIFS('Recipe Ingredients'!$M$2:$M$2500,'Recipe Ingredients'!$A$2:$A$2500,A57)/R57</f>
        <v>121.7555</v>
      </c>
      <c r="Z57" s="29">
        <f>SUMIFS('Recipe Ingredients'!$N$2:$N$2500,'Recipe Ingredients'!$A$2:$A$2500,A57)/R57</f>
        <v>210.98500000000001</v>
      </c>
      <c r="AA57" s="29">
        <f>SUMIFS('Recipe Ingredients'!$O$2:$O$2500,'Recipe Ingredients'!$A$2:$A$2500,A57)/R57</f>
        <v>1285.0149999999999</v>
      </c>
      <c r="AB57" s="30">
        <f>SUMIFS('Recipe Ingredients'!$P$2:$P$2500,'Recipe Ingredients'!$A$2:$A$2500,A57)/R57</f>
        <v>0.98844999999999994</v>
      </c>
      <c r="AC57" s="30">
        <f>SUMIFS('Recipe Ingredients'!$Q$2:$Q$2500,'Recipe Ingredients'!$A$2:$A$2500,A57)/R57</f>
        <v>0.75841500000000006</v>
      </c>
      <c r="AD57" s="29">
        <f>SUMIFS('Recipe Ingredients'!$R$2:$R$2500,'Recipe Ingredients'!$A$2:$A$2500,A57)/R57</f>
        <v>72.394999999999996</v>
      </c>
      <c r="AE57" s="30">
        <f>SUMIFS('Recipe Ingredients'!$S$2:$S$2500,'Recipe Ingredients'!$A$2:$A$2500,A57)/R57</f>
        <v>2.3617999999999997</v>
      </c>
      <c r="AF57" s="31">
        <f>IFERROR(V57/'Start Here'!$C$10,0)</f>
        <v>0.38944000000000001</v>
      </c>
      <c r="AG57" s="31">
        <f>IFERROR(W57/'Start Here'!$C$11,0)</f>
        <v>1.9618499999999996</v>
      </c>
      <c r="AH57" s="31">
        <f>IFERROR(X57/'Start Here'!$C$12,0)</f>
        <v>0.67262500000000003</v>
      </c>
      <c r="AI57" s="31">
        <f>IFERROR(Y57/'Start Here'!$C$13,0)</f>
        <v>1.6234066666666667</v>
      </c>
      <c r="AJ57" s="31">
        <f>IFERROR(Z57/'Start Here'!$C$14,0)</f>
        <v>1.0549250000000001</v>
      </c>
      <c r="AK57" s="31">
        <f>IFERROR(AA57/'Start Here'!$C$15,0)</f>
        <v>0.6425074999999999</v>
      </c>
      <c r="AL57" s="31">
        <f>IFERROR(AB57/'Start Here'!$C$16,0)</f>
        <v>8.2370833333333324E-2</v>
      </c>
      <c r="AM57" s="31">
        <f>IFERROR(AC57/'Start Here'!$C$17,0)</f>
        <v>0.54172500000000012</v>
      </c>
      <c r="AN57" s="31">
        <f>IFERROR(AD57/'Start Here'!$C$18,0)</f>
        <v>0.19305333333333333</v>
      </c>
      <c r="AO57" s="31">
        <f>IFERROR(AE57/'Start Here'!$C$19,0)</f>
        <v>0.16869999999999999</v>
      </c>
      <c r="AP57" s="22" t="str">
        <f t="shared" si="8"/>
        <v>Vitamin C</v>
      </c>
      <c r="AQ57" s="7" t="str">
        <f t="shared" si="9"/>
        <v>Best for better vitamin C intake: one serving gives about 196% of your daily vitamin C from the produce alone.</v>
      </c>
      <c r="AR57" s="7" t="str">
        <f t="shared" si="10"/>
        <v>Fibre (39%), Vitamin A (67%), Vitamin K (162%), Folate (105%), Potassium (64%), Vitamin B6 (54%)</v>
      </c>
      <c r="AS57" s="7" t="s">
        <v>1604</v>
      </c>
      <c r="AT57" s="7" t="s">
        <v>1605</v>
      </c>
      <c r="AU57" s="28">
        <f>COUNTIFS('Recipe Ingredients'!$A$2:$A$2500,A57,'Recipe Ingredients'!$G$2:$G$2500,"Basket")</f>
        <v>6</v>
      </c>
      <c r="AV57" s="28">
        <f>COUNTIFS('Recipe Ingredients'!$A$2:$A$2500,A57,'Recipe Ingredients'!$G$2:$G$2500,"Protein")+COUNTIFS('Recipe Ingredients'!$A$2:$A$2500,A57,'Recipe Ingredients'!$G$2:$G$2500,"Pantry")</f>
        <v>3</v>
      </c>
      <c r="AW57" s="31">
        <f t="shared" si="11"/>
        <v>0.66666666666666663</v>
      </c>
      <c r="AX57" s="28" t="str">
        <f>IF(AW57&gt;='Start Here'!$C$6,"Yes","No")</f>
        <v>No</v>
      </c>
      <c r="AY57" s="7" t="s">
        <v>115</v>
      </c>
      <c r="AZ57" s="7" t="s">
        <v>1606</v>
      </c>
      <c r="BA57" s="7"/>
      <c r="BB57" s="32" t="s">
        <v>964</v>
      </c>
    </row>
    <row r="58" spans="1:54" ht="96" customHeight="1" x14ac:dyDescent="0.25">
      <c r="A58" s="22" t="s">
        <v>1607</v>
      </c>
      <c r="B58" s="23" t="s">
        <v>1608</v>
      </c>
      <c r="C58" s="22" t="s">
        <v>1566</v>
      </c>
      <c r="D58" s="22" t="s">
        <v>1609</v>
      </c>
      <c r="E58" s="22" t="s">
        <v>1380</v>
      </c>
      <c r="F58" s="7" t="s">
        <v>1610</v>
      </c>
      <c r="G58" s="22" t="s">
        <v>1611</v>
      </c>
      <c r="H58" s="27" t="s">
        <v>1612</v>
      </c>
      <c r="I58" s="27" t="s">
        <v>1613</v>
      </c>
      <c r="J58" s="7" t="s">
        <v>1614</v>
      </c>
      <c r="K58" s="7" t="s">
        <v>1615</v>
      </c>
      <c r="L58" s="7" t="s">
        <v>620</v>
      </c>
      <c r="M58" s="22" t="s">
        <v>1257</v>
      </c>
      <c r="N58" s="28">
        <v>15</v>
      </c>
      <c r="O58" s="28">
        <v>25</v>
      </c>
      <c r="P58" s="28">
        <f t="shared" si="6"/>
        <v>40</v>
      </c>
      <c r="Q58" s="22" t="str">
        <f t="shared" si="7"/>
        <v>Standard</v>
      </c>
      <c r="R58" s="28">
        <v>2</v>
      </c>
      <c r="S58" s="22">
        <v>520</v>
      </c>
      <c r="T58" s="22">
        <v>36</v>
      </c>
      <c r="U58" s="29">
        <f>SUMIFS('Recipe Ingredients'!$I$2:$I$2500,'Recipe Ingredients'!$A$2:$A$2500,A58)/R58</f>
        <v>468</v>
      </c>
      <c r="V58" s="29">
        <f>SUMIFS('Recipe Ingredients'!$J$2:$J$2500,'Recipe Ingredients'!$A$2:$A$2500,A58)/R58</f>
        <v>9.7965</v>
      </c>
      <c r="W58" s="29">
        <f>SUMIFS('Recipe Ingredients'!$K$2:$K$2500,'Recipe Ingredients'!$A$2:$A$2500,A58)/R58</f>
        <v>122.41799999999998</v>
      </c>
      <c r="X58" s="29">
        <f>SUMIFS('Recipe Ingredients'!$L$2:$L$2500,'Recipe Ingredients'!$A$2:$A$2500,A58)/R58</f>
        <v>243.32999999999996</v>
      </c>
      <c r="Y58" s="29">
        <f>SUMIFS('Recipe Ingredients'!$M$2:$M$2500,'Recipe Ingredients'!$A$2:$A$2500,A58)/R58</f>
        <v>55.519500000000001</v>
      </c>
      <c r="Z58" s="29">
        <f>SUMIFS('Recipe Ingredients'!$N$2:$N$2500,'Recipe Ingredients'!$A$2:$A$2500,A58)/R58</f>
        <v>132.65</v>
      </c>
      <c r="AA58" s="29">
        <f>SUMIFS('Recipe Ingredients'!$O$2:$O$2500,'Recipe Ingredients'!$A$2:$A$2500,A58)/R58</f>
        <v>1408.4650000000001</v>
      </c>
      <c r="AB58" s="30">
        <f>SUMIFS('Recipe Ingredients'!$P$2:$P$2500,'Recipe Ingredients'!$A$2:$A$2500,A58)/R58</f>
        <v>2.3193000000000006</v>
      </c>
      <c r="AC58" s="30">
        <f>SUMIFS('Recipe Ingredients'!$Q$2:$Q$2500,'Recipe Ingredients'!$A$2:$A$2500,A58)/R58</f>
        <v>0.87339999999999995</v>
      </c>
      <c r="AD58" s="29">
        <f>SUMIFS('Recipe Ingredients'!$R$2:$R$2500,'Recipe Ingredients'!$A$2:$A$2500,A58)/R58</f>
        <v>97.905000000000001</v>
      </c>
      <c r="AE58" s="30">
        <f>SUMIFS('Recipe Ingredients'!$S$2:$S$2500,'Recipe Ingredients'!$A$2:$A$2500,A58)/R58</f>
        <v>2.17435</v>
      </c>
      <c r="AF58" s="31">
        <f>IFERROR(V58/'Start Here'!$C$10,0)</f>
        <v>0.39185999999999999</v>
      </c>
      <c r="AG58" s="31">
        <f>IFERROR(W58/'Start Here'!$C$11,0)</f>
        <v>1.5302249999999997</v>
      </c>
      <c r="AH58" s="31">
        <f>IFERROR(X58/'Start Here'!$C$12,0)</f>
        <v>0.30416249999999995</v>
      </c>
      <c r="AI58" s="31">
        <f>IFERROR(Y58/'Start Here'!$C$13,0)</f>
        <v>0.74026000000000003</v>
      </c>
      <c r="AJ58" s="31">
        <f>IFERROR(Z58/'Start Here'!$C$14,0)</f>
        <v>0.66325000000000001</v>
      </c>
      <c r="AK58" s="31">
        <f>IFERROR(AA58/'Start Here'!$C$15,0)</f>
        <v>0.70423250000000004</v>
      </c>
      <c r="AL58" s="31">
        <f>IFERROR(AB58/'Start Here'!$C$16,0)</f>
        <v>0.19327500000000006</v>
      </c>
      <c r="AM58" s="31">
        <f>IFERROR(AC58/'Start Here'!$C$17,0)</f>
        <v>0.62385714285714289</v>
      </c>
      <c r="AN58" s="31">
        <f>IFERROR(AD58/'Start Here'!$C$18,0)</f>
        <v>0.26107999999999998</v>
      </c>
      <c r="AO58" s="31">
        <f>IFERROR(AE58/'Start Here'!$C$19,0)</f>
        <v>0.15531071428571427</v>
      </c>
      <c r="AP58" s="22" t="str">
        <f t="shared" si="8"/>
        <v>Vitamin C</v>
      </c>
      <c r="AQ58" s="7" t="str">
        <f t="shared" si="9"/>
        <v>Best for better vitamin C intake: one serving gives about 153% of your daily vitamin C from the produce alone.</v>
      </c>
      <c r="AR58" s="7" t="str">
        <f t="shared" si="10"/>
        <v>Fibre (39%), Vitamin A (30%), Vitamin K (74%), Folate (66%), Potassium (70%), Vitamin B6 (62%), Magnesium (26%)</v>
      </c>
      <c r="AS58" s="7" t="s">
        <v>1616</v>
      </c>
      <c r="AT58" s="7" t="s">
        <v>1617</v>
      </c>
      <c r="AU58" s="28">
        <f>COUNTIFS('Recipe Ingredients'!$A$2:$A$2500,A58,'Recipe Ingredients'!$G$2:$G$2500,"Basket")</f>
        <v>8</v>
      </c>
      <c r="AV58" s="28">
        <f>COUNTIFS('Recipe Ingredients'!$A$2:$A$2500,A58,'Recipe Ingredients'!$G$2:$G$2500,"Protein")+COUNTIFS('Recipe Ingredients'!$A$2:$A$2500,A58,'Recipe Ingredients'!$G$2:$G$2500,"Pantry")</f>
        <v>2</v>
      </c>
      <c r="AW58" s="31">
        <f t="shared" si="11"/>
        <v>0.8</v>
      </c>
      <c r="AX58" s="28" t="str">
        <f>IF(AW58&gt;='Start Here'!$C$6,"Yes","No")</f>
        <v>Yes</v>
      </c>
      <c r="AY58" s="7" t="s">
        <v>1054</v>
      </c>
      <c r="AZ58" s="7" t="s">
        <v>1618</v>
      </c>
      <c r="BA58" s="7" t="s">
        <v>1619</v>
      </c>
      <c r="BB58" s="32" t="s">
        <v>964</v>
      </c>
    </row>
    <row r="59" spans="1:54" ht="96" customHeight="1" x14ac:dyDescent="0.25">
      <c r="A59" s="22" t="s">
        <v>1620</v>
      </c>
      <c r="B59" s="23" t="s">
        <v>1621</v>
      </c>
      <c r="C59" s="22" t="s">
        <v>1566</v>
      </c>
      <c r="D59" s="22" t="s">
        <v>1577</v>
      </c>
      <c r="E59" s="22" t="s">
        <v>1380</v>
      </c>
      <c r="F59" s="7" t="s">
        <v>1622</v>
      </c>
      <c r="G59" s="22" t="s">
        <v>1623</v>
      </c>
      <c r="H59" s="27" t="s">
        <v>1624</v>
      </c>
      <c r="I59" s="27" t="s">
        <v>1625</v>
      </c>
      <c r="J59" s="7" t="s">
        <v>1626</v>
      </c>
      <c r="K59" s="7" t="s">
        <v>1627</v>
      </c>
      <c r="L59" s="7" t="s">
        <v>1087</v>
      </c>
      <c r="M59" s="22" t="s">
        <v>1051</v>
      </c>
      <c r="N59" s="28">
        <v>15</v>
      </c>
      <c r="O59" s="28">
        <v>25</v>
      </c>
      <c r="P59" s="28">
        <f t="shared" si="6"/>
        <v>40</v>
      </c>
      <c r="Q59" s="22" t="str">
        <f t="shared" si="7"/>
        <v>Standard</v>
      </c>
      <c r="R59" s="28">
        <v>3</v>
      </c>
      <c r="S59" s="22">
        <v>430</v>
      </c>
      <c r="T59" s="22">
        <v>16</v>
      </c>
      <c r="U59" s="29">
        <f>SUMIFS('Recipe Ingredients'!$I$2:$I$2500,'Recipe Ingredients'!$A$2:$A$2500,A59)/R59</f>
        <v>177.66666666666666</v>
      </c>
      <c r="V59" s="29">
        <f>SUMIFS('Recipe Ingredients'!$J$2:$J$2500,'Recipe Ingredients'!$A$2:$A$2500,A59)/R59</f>
        <v>5.2570000000000006</v>
      </c>
      <c r="W59" s="29">
        <f>SUMIFS('Recipe Ingredients'!$K$2:$K$2500,'Recipe Ingredients'!$A$2:$A$2500,A59)/R59</f>
        <v>30.605666666666664</v>
      </c>
      <c r="X59" s="29">
        <f>SUMIFS('Recipe Ingredients'!$L$2:$L$2500,'Recipe Ingredients'!$A$2:$A$2500,A59)/R59</f>
        <v>80.866666666666674</v>
      </c>
      <c r="Y59" s="29">
        <f>SUMIFS('Recipe Ingredients'!$M$2:$M$2500,'Recipe Ingredients'!$A$2:$A$2500,A59)/R59</f>
        <v>430.86000000000007</v>
      </c>
      <c r="Z59" s="29">
        <f>SUMIFS('Recipe Ingredients'!$N$2:$N$2500,'Recipe Ingredients'!$A$2:$A$2500,A59)/R59</f>
        <v>57.373333333333342</v>
      </c>
      <c r="AA59" s="29">
        <f>SUMIFS('Recipe Ingredients'!$O$2:$O$2500,'Recipe Ingredients'!$A$2:$A$2500,A59)/R59</f>
        <v>580.98666666666668</v>
      </c>
      <c r="AB59" s="30">
        <f>SUMIFS('Recipe Ingredients'!$P$2:$P$2500,'Recipe Ingredients'!$A$2:$A$2500,A59)/R59</f>
        <v>0.44133333333333341</v>
      </c>
      <c r="AC59" s="30">
        <f>SUMIFS('Recipe Ingredients'!$Q$2:$Q$2500,'Recipe Ingredients'!$A$2:$A$2500,A59)/R59</f>
        <v>0.23152333333333333</v>
      </c>
      <c r="AD59" s="29">
        <f>SUMIFS('Recipe Ingredients'!$R$2:$R$2500,'Recipe Ingredients'!$A$2:$A$2500,A59)/R59</f>
        <v>44.633333333333333</v>
      </c>
      <c r="AE59" s="30">
        <f>SUMIFS('Recipe Ingredients'!$S$2:$S$2500,'Recipe Ingredients'!$A$2:$A$2500,A59)/R59</f>
        <v>2.0002999999999997</v>
      </c>
      <c r="AF59" s="31">
        <f>IFERROR(V59/'Start Here'!$C$10,0)</f>
        <v>0.21028000000000002</v>
      </c>
      <c r="AG59" s="31">
        <f>IFERROR(W59/'Start Here'!$C$11,0)</f>
        <v>0.3825708333333333</v>
      </c>
      <c r="AH59" s="31">
        <f>IFERROR(X59/'Start Here'!$C$12,0)</f>
        <v>0.10108333333333334</v>
      </c>
      <c r="AI59" s="31">
        <f>IFERROR(Y59/'Start Here'!$C$13,0)</f>
        <v>5.7448000000000006</v>
      </c>
      <c r="AJ59" s="31">
        <f>IFERROR(Z59/'Start Here'!$C$14,0)</f>
        <v>0.28686666666666671</v>
      </c>
      <c r="AK59" s="31">
        <f>IFERROR(AA59/'Start Here'!$C$15,0)</f>
        <v>0.29049333333333333</v>
      </c>
      <c r="AL59" s="31">
        <f>IFERROR(AB59/'Start Here'!$C$16,0)</f>
        <v>3.6777777777777784E-2</v>
      </c>
      <c r="AM59" s="31">
        <f>IFERROR(AC59/'Start Here'!$C$17,0)</f>
        <v>0.16537380952380953</v>
      </c>
      <c r="AN59" s="31">
        <f>IFERROR(AD59/'Start Here'!$C$18,0)</f>
        <v>0.11902222222222222</v>
      </c>
      <c r="AO59" s="31">
        <f>IFERROR(AE59/'Start Here'!$C$19,0)</f>
        <v>0.14287857142857141</v>
      </c>
      <c r="AP59" s="22" t="str">
        <f t="shared" si="8"/>
        <v>Vitamin K</v>
      </c>
      <c r="AQ59" s="7" t="str">
        <f t="shared" si="9"/>
        <v>Best for better vitamin K intake: one serving gives about 574% of your daily vitamin K from the produce alone.</v>
      </c>
      <c r="AR59" s="7" t="str">
        <f t="shared" si="10"/>
        <v>Vitamin C (38%), Folate (29%), Potassium (29%)</v>
      </c>
      <c r="AS59" s="7" t="s">
        <v>1628</v>
      </c>
      <c r="AT59" s="7" t="s">
        <v>1629</v>
      </c>
      <c r="AU59" s="28">
        <f>COUNTIFS('Recipe Ingredients'!$A$2:$A$2500,A59,'Recipe Ingredients'!$G$2:$G$2500,"Basket")</f>
        <v>7</v>
      </c>
      <c r="AV59" s="28">
        <f>COUNTIFS('Recipe Ingredients'!$A$2:$A$2500,A59,'Recipe Ingredients'!$G$2:$G$2500,"Protein")+COUNTIFS('Recipe Ingredients'!$A$2:$A$2500,A59,'Recipe Ingredients'!$G$2:$G$2500,"Pantry")</f>
        <v>4</v>
      </c>
      <c r="AW59" s="31">
        <f t="shared" si="11"/>
        <v>0.63636363636363635</v>
      </c>
      <c r="AX59" s="28" t="str">
        <f>IF(AW59&gt;='Start Here'!$C$6,"Yes","No")</f>
        <v>No</v>
      </c>
      <c r="AY59" s="7" t="s">
        <v>115</v>
      </c>
      <c r="AZ59" s="7" t="s">
        <v>1630</v>
      </c>
      <c r="BA59" s="7"/>
      <c r="BB59" s="32" t="s">
        <v>964</v>
      </c>
    </row>
    <row r="60" spans="1:54" ht="96" customHeight="1" x14ac:dyDescent="0.25">
      <c r="A60" s="22" t="s">
        <v>1631</v>
      </c>
      <c r="B60" s="23" t="s">
        <v>1632</v>
      </c>
      <c r="C60" s="22" t="s">
        <v>1566</v>
      </c>
      <c r="D60" s="22" t="s">
        <v>1577</v>
      </c>
      <c r="E60" s="22" t="s">
        <v>1380</v>
      </c>
      <c r="F60" s="7" t="s">
        <v>1633</v>
      </c>
      <c r="G60" s="22" t="s">
        <v>1634</v>
      </c>
      <c r="H60" s="27" t="s">
        <v>1635</v>
      </c>
      <c r="I60" s="27" t="s">
        <v>1636</v>
      </c>
      <c r="J60" s="7" t="s">
        <v>1637</v>
      </c>
      <c r="K60" s="7" t="s">
        <v>1638</v>
      </c>
      <c r="L60" s="7" t="s">
        <v>620</v>
      </c>
      <c r="M60" s="22" t="s">
        <v>1152</v>
      </c>
      <c r="N60" s="28">
        <v>15</v>
      </c>
      <c r="O60" s="28">
        <v>40</v>
      </c>
      <c r="P60" s="28">
        <f t="shared" si="6"/>
        <v>55</v>
      </c>
      <c r="Q60" s="22" t="str">
        <f t="shared" si="7"/>
        <v>Standard</v>
      </c>
      <c r="R60" s="28">
        <v>4</v>
      </c>
      <c r="S60" s="22">
        <v>520</v>
      </c>
      <c r="T60" s="22">
        <v>35</v>
      </c>
      <c r="U60" s="29">
        <f>SUMIFS('Recipe Ingredients'!$I$2:$I$2500,'Recipe Ingredients'!$A$2:$A$2500,A60)/R60</f>
        <v>139</v>
      </c>
      <c r="V60" s="29">
        <f>SUMIFS('Recipe Ingredients'!$J$2:$J$2500,'Recipe Ingredients'!$A$2:$A$2500,A60)/R60</f>
        <v>3.1412499999999999</v>
      </c>
      <c r="W60" s="29">
        <f>SUMIFS('Recipe Ingredients'!$K$2:$K$2500,'Recipe Ingredients'!$A$2:$A$2500,A60)/R60</f>
        <v>12.171749999999999</v>
      </c>
      <c r="X60" s="29">
        <f>SUMIFS('Recipe Ingredients'!$L$2:$L$2500,'Recipe Ingredients'!$A$2:$A$2500,A60)/R60</f>
        <v>478.22</v>
      </c>
      <c r="Y60" s="29">
        <f>SUMIFS('Recipe Ingredients'!$M$2:$M$2500,'Recipe Ingredients'!$A$2:$A$2500,A60)/R60</f>
        <v>19.483750000000001</v>
      </c>
      <c r="Z60" s="29">
        <f>SUMIFS('Recipe Ingredients'!$N$2:$N$2500,'Recipe Ingredients'!$A$2:$A$2500,A60)/R60</f>
        <v>22.615000000000002</v>
      </c>
      <c r="AA60" s="29">
        <f>SUMIFS('Recipe Ingredients'!$O$2:$O$2500,'Recipe Ingredients'!$A$2:$A$2500,A60)/R60</f>
        <v>384.98749999999995</v>
      </c>
      <c r="AB60" s="30">
        <f>SUMIFS('Recipe Ingredients'!$P$2:$P$2500,'Recipe Ingredients'!$A$2:$A$2500,A60)/R60</f>
        <v>0.40392500000000009</v>
      </c>
      <c r="AC60" s="30">
        <f>SUMIFS('Recipe Ingredients'!$Q$2:$Q$2500,'Recipe Ingredients'!$A$2:$A$2500,A60)/R60</f>
        <v>0.24759999999999999</v>
      </c>
      <c r="AD60" s="29">
        <f>SUMIFS('Recipe Ingredients'!$R$2:$R$2500,'Recipe Ingredients'!$A$2:$A$2500,A60)/R60</f>
        <v>26.560000000000002</v>
      </c>
      <c r="AE60" s="30">
        <f>SUMIFS('Recipe Ingredients'!$S$2:$S$2500,'Recipe Ingredients'!$A$2:$A$2500,A60)/R60</f>
        <v>0.7353249999999999</v>
      </c>
      <c r="AF60" s="31">
        <f>IFERROR(V60/'Start Here'!$C$10,0)</f>
        <v>0.12564999999999998</v>
      </c>
      <c r="AG60" s="31">
        <f>IFERROR(W60/'Start Here'!$C$11,0)</f>
        <v>0.15214687499999999</v>
      </c>
      <c r="AH60" s="31">
        <f>IFERROR(X60/'Start Here'!$C$12,0)</f>
        <v>0.59777500000000006</v>
      </c>
      <c r="AI60" s="31">
        <f>IFERROR(Y60/'Start Here'!$C$13,0)</f>
        <v>0.25978333333333337</v>
      </c>
      <c r="AJ60" s="31">
        <f>IFERROR(Z60/'Start Here'!$C$14,0)</f>
        <v>0.11307500000000001</v>
      </c>
      <c r="AK60" s="31">
        <f>IFERROR(AA60/'Start Here'!$C$15,0)</f>
        <v>0.19249374999999996</v>
      </c>
      <c r="AL60" s="31">
        <f>IFERROR(AB60/'Start Here'!$C$16,0)</f>
        <v>3.3660416666666672E-2</v>
      </c>
      <c r="AM60" s="31">
        <f>IFERROR(AC60/'Start Here'!$C$17,0)</f>
        <v>0.17685714285714285</v>
      </c>
      <c r="AN60" s="31">
        <f>IFERROR(AD60/'Start Here'!$C$18,0)</f>
        <v>7.0826666666666677E-2</v>
      </c>
      <c r="AO60" s="31">
        <f>IFERROR(AE60/'Start Here'!$C$19,0)</f>
        <v>5.2523214285714277E-2</v>
      </c>
      <c r="AP60" s="22" t="str">
        <f t="shared" si="8"/>
        <v>Vitamin A</v>
      </c>
      <c r="AQ60" s="7" t="str">
        <f t="shared" si="9"/>
        <v>Best for better vitamin A intake: one serving gives about 60% of your daily vitamin A from the produce alone.</v>
      </c>
      <c r="AR60" s="7" t="str">
        <f t="shared" si="10"/>
        <v>Vitamin K (26%)</v>
      </c>
      <c r="AS60" s="7" t="s">
        <v>1639</v>
      </c>
      <c r="AT60" s="7" t="s">
        <v>1640</v>
      </c>
      <c r="AU60" s="28">
        <f>COUNTIFS('Recipe Ingredients'!$A$2:$A$2500,A60,'Recipe Ingredients'!$G$2:$G$2500,"Basket")</f>
        <v>7</v>
      </c>
      <c r="AV60" s="28">
        <f>COUNTIFS('Recipe Ingredients'!$A$2:$A$2500,A60,'Recipe Ingredients'!$G$2:$G$2500,"Protein")+COUNTIFS('Recipe Ingredients'!$A$2:$A$2500,A60,'Recipe Ingredients'!$G$2:$G$2500,"Pantry")</f>
        <v>4</v>
      </c>
      <c r="AW60" s="31">
        <f t="shared" si="11"/>
        <v>0.63636363636363635</v>
      </c>
      <c r="AX60" s="28" t="str">
        <f>IF(AW60&gt;='Start Here'!$C$6,"Yes","No")</f>
        <v>No</v>
      </c>
      <c r="AY60" s="7" t="s">
        <v>115</v>
      </c>
      <c r="AZ60" s="7" t="s">
        <v>1641</v>
      </c>
      <c r="BA60" s="7" t="s">
        <v>1642</v>
      </c>
      <c r="BB60" s="32" t="s">
        <v>964</v>
      </c>
    </row>
    <row r="61" spans="1:54" ht="96" customHeight="1" x14ac:dyDescent="0.25">
      <c r="A61" s="22" t="s">
        <v>1643</v>
      </c>
      <c r="B61" s="23" t="s">
        <v>1644</v>
      </c>
      <c r="C61" s="22" t="s">
        <v>1566</v>
      </c>
      <c r="D61" s="22" t="s">
        <v>1645</v>
      </c>
      <c r="E61" s="22" t="s">
        <v>1380</v>
      </c>
      <c r="F61" s="7" t="s">
        <v>1646</v>
      </c>
      <c r="G61" s="22" t="s">
        <v>1647</v>
      </c>
      <c r="H61" s="27" t="s">
        <v>1648</v>
      </c>
      <c r="I61" s="27" t="s">
        <v>1649</v>
      </c>
      <c r="J61" s="7" t="s">
        <v>1650</v>
      </c>
      <c r="K61" s="7" t="s">
        <v>1651</v>
      </c>
      <c r="L61" s="7" t="s">
        <v>620</v>
      </c>
      <c r="M61" s="22" t="s">
        <v>958</v>
      </c>
      <c r="N61" s="28">
        <v>10</v>
      </c>
      <c r="O61" s="28">
        <v>20</v>
      </c>
      <c r="P61" s="28">
        <f t="shared" si="6"/>
        <v>30</v>
      </c>
      <c r="Q61" s="22" t="str">
        <f t="shared" si="7"/>
        <v>Standard</v>
      </c>
      <c r="R61" s="28">
        <v>2</v>
      </c>
      <c r="S61" s="22">
        <v>520</v>
      </c>
      <c r="T61" s="22">
        <v>18</v>
      </c>
      <c r="U61" s="29">
        <f>SUMIFS('Recipe Ingredients'!$I$2:$I$2500,'Recipe Ingredients'!$A$2:$A$2500,A61)/R61</f>
        <v>347</v>
      </c>
      <c r="V61" s="29">
        <f>SUMIFS('Recipe Ingredients'!$J$2:$J$2500,'Recipe Ingredients'!$A$2:$A$2500,A61)/R61</f>
        <v>5.6980000000000004</v>
      </c>
      <c r="W61" s="29">
        <f>SUMIFS('Recipe Ingredients'!$K$2:$K$2500,'Recipe Ingredients'!$A$2:$A$2500,A61)/R61</f>
        <v>109.60550000000002</v>
      </c>
      <c r="X61" s="29">
        <f>SUMIFS('Recipe Ingredients'!$L$2:$L$2500,'Recipe Ingredients'!$A$2:$A$2500,A61)/R61</f>
        <v>268.46499999999997</v>
      </c>
      <c r="Y61" s="29">
        <f>SUMIFS('Recipe Ingredients'!$M$2:$M$2500,'Recipe Ingredients'!$A$2:$A$2500,A61)/R61</f>
        <v>150.11199999999999</v>
      </c>
      <c r="Z61" s="29">
        <f>SUMIFS('Recipe Ingredients'!$N$2:$N$2500,'Recipe Ingredients'!$A$2:$A$2500,A61)/R61</f>
        <v>116.84500000000001</v>
      </c>
      <c r="AA61" s="29">
        <f>SUMIFS('Recipe Ingredients'!$O$2:$O$2500,'Recipe Ingredients'!$A$2:$A$2500,A61)/R61</f>
        <v>899.79000000000008</v>
      </c>
      <c r="AB61" s="30">
        <f>SUMIFS('Recipe Ingredients'!$P$2:$P$2500,'Recipe Ingredients'!$A$2:$A$2500,A61)/R61</f>
        <v>2.2162000000000002</v>
      </c>
      <c r="AC61" s="30">
        <f>SUMIFS('Recipe Ingredients'!$Q$2:$Q$2500,'Recipe Ingredients'!$A$2:$A$2500,A61)/R61</f>
        <v>0.51851999999999998</v>
      </c>
      <c r="AD61" s="29">
        <f>SUMIFS('Recipe Ingredients'!$R$2:$R$2500,'Recipe Ingredients'!$A$2:$A$2500,A61)/R61</f>
        <v>60.005000000000003</v>
      </c>
      <c r="AE61" s="30">
        <f>SUMIFS('Recipe Ingredients'!$S$2:$S$2500,'Recipe Ingredients'!$A$2:$A$2500,A61)/R61</f>
        <v>2.3202499999999997</v>
      </c>
      <c r="AF61" s="31">
        <f>IFERROR(V61/'Start Here'!$C$10,0)</f>
        <v>0.22792000000000001</v>
      </c>
      <c r="AG61" s="31">
        <f>IFERROR(W61/'Start Here'!$C$11,0)</f>
        <v>1.3700687500000002</v>
      </c>
      <c r="AH61" s="31">
        <f>IFERROR(X61/'Start Here'!$C$12,0)</f>
        <v>0.33558124999999994</v>
      </c>
      <c r="AI61" s="31">
        <f>IFERROR(Y61/'Start Here'!$C$13,0)</f>
        <v>2.0014933333333333</v>
      </c>
      <c r="AJ61" s="31">
        <f>IFERROR(Z61/'Start Here'!$C$14,0)</f>
        <v>0.58422500000000011</v>
      </c>
      <c r="AK61" s="31">
        <f>IFERROR(AA61/'Start Here'!$C$15,0)</f>
        <v>0.44989500000000004</v>
      </c>
      <c r="AL61" s="31">
        <f>IFERROR(AB61/'Start Here'!$C$16,0)</f>
        <v>0.18468333333333334</v>
      </c>
      <c r="AM61" s="31">
        <f>IFERROR(AC61/'Start Here'!$C$17,0)</f>
        <v>0.37037142857142857</v>
      </c>
      <c r="AN61" s="31">
        <f>IFERROR(AD61/'Start Here'!$C$18,0)</f>
        <v>0.16001333333333334</v>
      </c>
      <c r="AO61" s="31">
        <f>IFERROR(AE61/'Start Here'!$C$19,0)</f>
        <v>0.16573214285714283</v>
      </c>
      <c r="AP61" s="22" t="str">
        <f t="shared" si="8"/>
        <v>Vitamin K</v>
      </c>
      <c r="AQ61" s="7" t="str">
        <f t="shared" si="9"/>
        <v>Best for better vitamin K intake: one serving gives about 200% of your daily vitamin K from the produce alone.</v>
      </c>
      <c r="AR61" s="7" t="str">
        <f t="shared" si="10"/>
        <v>Vitamin C (137%), Vitamin A (34%), Folate (58%), Potassium (45%), Vitamin B6 (37%)</v>
      </c>
      <c r="AS61" s="7" t="s">
        <v>998</v>
      </c>
      <c r="AT61" s="7" t="s">
        <v>1652</v>
      </c>
      <c r="AU61" s="28">
        <f>COUNTIFS('Recipe Ingredients'!$A$2:$A$2500,A61,'Recipe Ingredients'!$G$2:$G$2500,"Basket")</f>
        <v>7</v>
      </c>
      <c r="AV61" s="28">
        <f>COUNTIFS('Recipe Ingredients'!$A$2:$A$2500,A61,'Recipe Ingredients'!$G$2:$G$2500,"Protein")+COUNTIFS('Recipe Ingredients'!$A$2:$A$2500,A61,'Recipe Ingredients'!$G$2:$G$2500,"Pantry")</f>
        <v>2</v>
      </c>
      <c r="AW61" s="31">
        <f t="shared" si="11"/>
        <v>0.77777777777777779</v>
      </c>
      <c r="AX61" s="28" t="str">
        <f>IF(AW61&gt;='Start Here'!$C$6,"Yes","No")</f>
        <v>No</v>
      </c>
      <c r="AY61" s="7" t="s">
        <v>115</v>
      </c>
      <c r="AZ61" s="7" t="s">
        <v>1653</v>
      </c>
      <c r="BA61" s="7"/>
      <c r="BB61" s="32" t="s">
        <v>964</v>
      </c>
    </row>
    <row r="62" spans="1:54" ht="96" customHeight="1" x14ac:dyDescent="0.25">
      <c r="A62" s="22" t="s">
        <v>1654</v>
      </c>
      <c r="B62" s="23" t="s">
        <v>1655</v>
      </c>
      <c r="C62" s="22" t="s">
        <v>1566</v>
      </c>
      <c r="D62" s="22" t="s">
        <v>1567</v>
      </c>
      <c r="E62" s="22" t="s">
        <v>1145</v>
      </c>
      <c r="F62" s="7" t="s">
        <v>1656</v>
      </c>
      <c r="G62" s="22" t="s">
        <v>1657</v>
      </c>
      <c r="H62" s="27" t="s">
        <v>1658</v>
      </c>
      <c r="I62" s="27" t="s">
        <v>1659</v>
      </c>
      <c r="J62" s="7" t="s">
        <v>1660</v>
      </c>
      <c r="K62" s="7" t="s">
        <v>1661</v>
      </c>
      <c r="L62" s="7" t="s">
        <v>620</v>
      </c>
      <c r="M62" s="22" t="s">
        <v>958</v>
      </c>
      <c r="N62" s="28">
        <v>15</v>
      </c>
      <c r="O62" s="28">
        <v>15</v>
      </c>
      <c r="P62" s="28">
        <f t="shared" si="6"/>
        <v>30</v>
      </c>
      <c r="Q62" s="22" t="str">
        <f t="shared" si="7"/>
        <v>Standard</v>
      </c>
      <c r="R62" s="28">
        <v>3</v>
      </c>
      <c r="S62" s="22">
        <v>450</v>
      </c>
      <c r="T62" s="22">
        <v>14</v>
      </c>
      <c r="U62" s="29">
        <f>SUMIFS('Recipe Ingredients'!$I$2:$I$2500,'Recipe Ingredients'!$A$2:$A$2500,A62)/R62</f>
        <v>126</v>
      </c>
      <c r="V62" s="29">
        <f>SUMIFS('Recipe Ingredients'!$J$2:$J$2500,'Recipe Ingredients'!$A$2:$A$2500,A62)/R62</f>
        <v>3.3806666666666665</v>
      </c>
      <c r="W62" s="29">
        <f>SUMIFS('Recipe Ingredients'!$K$2:$K$2500,'Recipe Ingredients'!$A$2:$A$2500,A62)/R62</f>
        <v>12.200000000000001</v>
      </c>
      <c r="X62" s="29">
        <f>SUMIFS('Recipe Ingredients'!$L$2:$L$2500,'Recipe Ingredients'!$A$2:$A$2500,A62)/R62</f>
        <v>361.43333333333334</v>
      </c>
      <c r="Y62" s="29">
        <f>SUMIFS('Recipe Ingredients'!$M$2:$M$2500,'Recipe Ingredients'!$A$2:$A$2500,A62)/R62</f>
        <v>50.880333333333333</v>
      </c>
      <c r="Z62" s="29">
        <f>SUMIFS('Recipe Ingredients'!$N$2:$N$2500,'Recipe Ingredients'!$A$2:$A$2500,A62)/R62</f>
        <v>41.536666666666669</v>
      </c>
      <c r="AA62" s="29">
        <f>SUMIFS('Recipe Ingredients'!$O$2:$O$2500,'Recipe Ingredients'!$A$2:$A$2500,A62)/R62</f>
        <v>351.6366666666666</v>
      </c>
      <c r="AB62" s="30">
        <f>SUMIFS('Recipe Ingredients'!$P$2:$P$2500,'Recipe Ingredients'!$A$2:$A$2500,A62)/R62</f>
        <v>0.52316666666666667</v>
      </c>
      <c r="AC62" s="30">
        <f>SUMIFS('Recipe Ingredients'!$Q$2:$Q$2500,'Recipe Ingredients'!$A$2:$A$2500,A62)/R62</f>
        <v>0.17286999999999997</v>
      </c>
      <c r="AD62" s="29">
        <f>SUMIFS('Recipe Ingredients'!$R$2:$R$2500,'Recipe Ingredients'!$A$2:$A$2500,A62)/R62</f>
        <v>29.963333333333335</v>
      </c>
      <c r="AE62" s="30">
        <f>SUMIFS('Recipe Ingredients'!$S$2:$S$2500,'Recipe Ingredients'!$A$2:$A$2500,A62)/R62</f>
        <v>0.90733333333333321</v>
      </c>
      <c r="AF62" s="31">
        <f>IFERROR(V62/'Start Here'!$C$10,0)</f>
        <v>0.13522666666666666</v>
      </c>
      <c r="AG62" s="31">
        <f>IFERROR(W62/'Start Here'!$C$11,0)</f>
        <v>0.15250000000000002</v>
      </c>
      <c r="AH62" s="31">
        <f>IFERROR(X62/'Start Here'!$C$12,0)</f>
        <v>0.45179166666666665</v>
      </c>
      <c r="AI62" s="31">
        <f>IFERROR(Y62/'Start Here'!$C$13,0)</f>
        <v>0.67840444444444448</v>
      </c>
      <c r="AJ62" s="31">
        <f>IFERROR(Z62/'Start Here'!$C$14,0)</f>
        <v>0.20768333333333333</v>
      </c>
      <c r="AK62" s="31">
        <f>IFERROR(AA62/'Start Here'!$C$15,0)</f>
        <v>0.1758183333333333</v>
      </c>
      <c r="AL62" s="31">
        <f>IFERROR(AB62/'Start Here'!$C$16,0)</f>
        <v>4.3597222222222225E-2</v>
      </c>
      <c r="AM62" s="31">
        <f>IFERROR(AC62/'Start Here'!$C$17,0)</f>
        <v>0.12347857142857141</v>
      </c>
      <c r="AN62" s="31">
        <f>IFERROR(AD62/'Start Here'!$C$18,0)</f>
        <v>7.9902222222222222E-2</v>
      </c>
      <c r="AO62" s="31">
        <f>IFERROR(AE62/'Start Here'!$C$19,0)</f>
        <v>6.4809523809523803E-2</v>
      </c>
      <c r="AP62" s="22" t="str">
        <f t="shared" si="8"/>
        <v>Vitamin K</v>
      </c>
      <c r="AQ62" s="7" t="str">
        <f t="shared" si="9"/>
        <v>Best for better vitamin K intake: one serving gives about 68% of your daily vitamin K from the produce alone.</v>
      </c>
      <c r="AR62" s="7" t="str">
        <f t="shared" si="10"/>
        <v>Vitamin A (45%)</v>
      </c>
      <c r="AS62" s="7" t="s">
        <v>1662</v>
      </c>
      <c r="AT62" s="7" t="s">
        <v>1663</v>
      </c>
      <c r="AU62" s="28">
        <f>COUNTIFS('Recipe Ingredients'!$A$2:$A$2500,A62,'Recipe Ingredients'!$G$2:$G$2500,"Basket")</f>
        <v>6</v>
      </c>
      <c r="AV62" s="28">
        <f>COUNTIFS('Recipe Ingredients'!$A$2:$A$2500,A62,'Recipe Ingredients'!$G$2:$G$2500,"Protein")+COUNTIFS('Recipe Ingredients'!$A$2:$A$2500,A62,'Recipe Ingredients'!$G$2:$G$2500,"Pantry")</f>
        <v>4</v>
      </c>
      <c r="AW62" s="31">
        <f t="shared" si="11"/>
        <v>0.6</v>
      </c>
      <c r="AX62" s="28" t="str">
        <f>IF(AW62&gt;='Start Here'!$C$6,"Yes","No")</f>
        <v>No</v>
      </c>
      <c r="AY62" s="7" t="s">
        <v>1247</v>
      </c>
      <c r="AZ62" s="7" t="s">
        <v>1664</v>
      </c>
      <c r="BA62" s="7" t="s">
        <v>1665</v>
      </c>
      <c r="BB62" s="32" t="s">
        <v>964</v>
      </c>
    </row>
    <row r="63" spans="1:54" ht="96" customHeight="1" x14ac:dyDescent="0.25">
      <c r="A63" s="22" t="s">
        <v>1666</v>
      </c>
      <c r="B63" s="23" t="s">
        <v>1667</v>
      </c>
      <c r="C63" s="22" t="s">
        <v>1566</v>
      </c>
      <c r="D63" s="22" t="s">
        <v>1577</v>
      </c>
      <c r="E63" s="22" t="s">
        <v>1380</v>
      </c>
      <c r="F63" s="7" t="s">
        <v>1668</v>
      </c>
      <c r="G63" s="22" t="s">
        <v>953</v>
      </c>
      <c r="H63" s="27" t="s">
        <v>1669</v>
      </c>
      <c r="I63" s="27" t="s">
        <v>1670</v>
      </c>
      <c r="J63" s="7" t="s">
        <v>1671</v>
      </c>
      <c r="K63" s="7" t="s">
        <v>1672</v>
      </c>
      <c r="L63" s="7" t="s">
        <v>234</v>
      </c>
      <c r="M63" s="22" t="s">
        <v>1257</v>
      </c>
      <c r="N63" s="28">
        <v>15</v>
      </c>
      <c r="O63" s="28">
        <v>20</v>
      </c>
      <c r="P63" s="28">
        <f t="shared" si="6"/>
        <v>35</v>
      </c>
      <c r="Q63" s="22" t="str">
        <f t="shared" si="7"/>
        <v>Standard</v>
      </c>
      <c r="R63" s="28">
        <v>3</v>
      </c>
      <c r="S63" s="22">
        <v>430</v>
      </c>
      <c r="T63" s="22">
        <v>26</v>
      </c>
      <c r="U63" s="29">
        <f>SUMIFS('Recipe Ingredients'!$I$2:$I$2500,'Recipe Ingredients'!$A$2:$A$2500,A63)/R63</f>
        <v>245</v>
      </c>
      <c r="V63" s="29">
        <f>SUMIFS('Recipe Ingredients'!$J$2:$J$2500,'Recipe Ingredients'!$A$2:$A$2500,A63)/R63</f>
        <v>10.181000000000001</v>
      </c>
      <c r="W63" s="29">
        <f>SUMIFS('Recipe Ingredients'!$K$2:$K$2500,'Recipe Ingredients'!$A$2:$A$2500,A63)/R63</f>
        <v>34.630333333333333</v>
      </c>
      <c r="X63" s="29">
        <f>SUMIFS('Recipe Ingredients'!$L$2:$L$2500,'Recipe Ingredients'!$A$2:$A$2500,A63)/R63</f>
        <v>42.126666666666665</v>
      </c>
      <c r="Y63" s="29">
        <f>SUMIFS('Recipe Ingredients'!$M$2:$M$2500,'Recipe Ingredients'!$A$2:$A$2500,A63)/R63</f>
        <v>24.807333333333336</v>
      </c>
      <c r="Z63" s="29">
        <f>SUMIFS('Recipe Ingredients'!$N$2:$N$2500,'Recipe Ingredients'!$A$2:$A$2500,A63)/R63</f>
        <v>73.073333333333338</v>
      </c>
      <c r="AA63" s="29">
        <f>SUMIFS('Recipe Ingredients'!$O$2:$O$2500,'Recipe Ingredients'!$A$2:$A$2500,A63)/R63</f>
        <v>660.8266666666666</v>
      </c>
      <c r="AB63" s="30">
        <f>SUMIFS('Recipe Ingredients'!$P$2:$P$2500,'Recipe Ingredients'!$A$2:$A$2500,A63)/R63</f>
        <v>0.67473333333333352</v>
      </c>
      <c r="AC63" s="30">
        <f>SUMIFS('Recipe Ingredients'!$Q$2:$Q$2500,'Recipe Ingredients'!$A$2:$A$2500,A63)/R63</f>
        <v>0.31506666666666666</v>
      </c>
      <c r="AD63" s="29">
        <f>SUMIFS('Recipe Ingredients'!$R$2:$R$2500,'Recipe Ingredients'!$A$2:$A$2500,A63)/R63</f>
        <v>73.459999999999994</v>
      </c>
      <c r="AE63" s="30">
        <f>SUMIFS('Recipe Ingredients'!$S$2:$S$2500,'Recipe Ingredients'!$A$2:$A$2500,A63)/R63</f>
        <v>2.8875999999999995</v>
      </c>
      <c r="AF63" s="31">
        <f>IFERROR(V63/'Start Here'!$C$10,0)</f>
        <v>0.40724000000000005</v>
      </c>
      <c r="AG63" s="31">
        <f>IFERROR(W63/'Start Here'!$C$11,0)</f>
        <v>0.43287916666666665</v>
      </c>
      <c r="AH63" s="31">
        <f>IFERROR(X63/'Start Here'!$C$12,0)</f>
        <v>5.2658333333333335E-2</v>
      </c>
      <c r="AI63" s="31">
        <f>IFERROR(Y63/'Start Here'!$C$13,0)</f>
        <v>0.33076444444444447</v>
      </c>
      <c r="AJ63" s="31">
        <f>IFERROR(Z63/'Start Here'!$C$14,0)</f>
        <v>0.36536666666666667</v>
      </c>
      <c r="AK63" s="31">
        <f>IFERROR(AA63/'Start Here'!$C$15,0)</f>
        <v>0.33041333333333328</v>
      </c>
      <c r="AL63" s="31">
        <f>IFERROR(AB63/'Start Here'!$C$16,0)</f>
        <v>5.6227777777777793E-2</v>
      </c>
      <c r="AM63" s="31">
        <f>IFERROR(AC63/'Start Here'!$C$17,0)</f>
        <v>0.22504761904761905</v>
      </c>
      <c r="AN63" s="31">
        <f>IFERROR(AD63/'Start Here'!$C$18,0)</f>
        <v>0.19589333333333331</v>
      </c>
      <c r="AO63" s="31">
        <f>IFERROR(AE63/'Start Here'!$C$19,0)</f>
        <v>0.20625714285714283</v>
      </c>
      <c r="AP63" s="22" t="str">
        <f t="shared" si="8"/>
        <v>Vitamin C</v>
      </c>
      <c r="AQ63" s="7" t="str">
        <f t="shared" si="9"/>
        <v>Best for better vitamin C intake: one serving gives about 43% of your daily vitamin C from the produce alone.</v>
      </c>
      <c r="AR63" s="7" t="str">
        <f t="shared" si="10"/>
        <v>Fibre (41%), Vitamin K (33%), Folate (37%), Potassium (33%)</v>
      </c>
      <c r="AS63" s="7" t="s">
        <v>1673</v>
      </c>
      <c r="AT63" s="7" t="s">
        <v>1674</v>
      </c>
      <c r="AU63" s="28">
        <f>COUNTIFS('Recipe Ingredients'!$A$2:$A$2500,A63,'Recipe Ingredients'!$G$2:$G$2500,"Basket")</f>
        <v>9</v>
      </c>
      <c r="AV63" s="28">
        <f>COUNTIFS('Recipe Ingredients'!$A$2:$A$2500,A63,'Recipe Ingredients'!$G$2:$G$2500,"Protein")+COUNTIFS('Recipe Ingredients'!$A$2:$A$2500,A63,'Recipe Ingredients'!$G$2:$G$2500,"Pantry")</f>
        <v>3</v>
      </c>
      <c r="AW63" s="31">
        <f t="shared" si="11"/>
        <v>0.75</v>
      </c>
      <c r="AX63" s="28" t="str">
        <f>IF(AW63&gt;='Start Here'!$C$6,"Yes","No")</f>
        <v>No</v>
      </c>
      <c r="AY63" s="7" t="s">
        <v>1675</v>
      </c>
      <c r="AZ63" s="7" t="s">
        <v>1676</v>
      </c>
      <c r="BA63" s="7"/>
      <c r="BB63" s="32" t="s">
        <v>964</v>
      </c>
    </row>
    <row r="64" spans="1:54" ht="96" customHeight="1" x14ac:dyDescent="0.25">
      <c r="A64" s="22" t="s">
        <v>1677</v>
      </c>
      <c r="B64" s="23" t="s">
        <v>1678</v>
      </c>
      <c r="C64" s="22" t="s">
        <v>1566</v>
      </c>
      <c r="D64" s="22" t="s">
        <v>1679</v>
      </c>
      <c r="E64" s="22" t="s">
        <v>1680</v>
      </c>
      <c r="F64" s="7" t="s">
        <v>1681</v>
      </c>
      <c r="G64" s="22" t="s">
        <v>1533</v>
      </c>
      <c r="H64" s="27" t="s">
        <v>1682</v>
      </c>
      <c r="I64" s="27" t="s">
        <v>1683</v>
      </c>
      <c r="J64" s="7" t="s">
        <v>1684</v>
      </c>
      <c r="K64" s="7" t="s">
        <v>1685</v>
      </c>
      <c r="L64" s="7" t="s">
        <v>1198</v>
      </c>
      <c r="M64" s="22" t="s">
        <v>1051</v>
      </c>
      <c r="N64" s="28">
        <v>20</v>
      </c>
      <c r="O64" s="28">
        <v>40</v>
      </c>
      <c r="P64" s="28">
        <f t="shared" si="6"/>
        <v>60</v>
      </c>
      <c r="Q64" s="22" t="str">
        <f t="shared" si="7"/>
        <v>Standard</v>
      </c>
      <c r="R64" s="28">
        <v>4</v>
      </c>
      <c r="S64" s="22">
        <v>180</v>
      </c>
      <c r="T64" s="22">
        <v>4</v>
      </c>
      <c r="U64" s="29">
        <f>SUMIFS('Recipe Ingredients'!$I$2:$I$2500,'Recipe Ingredients'!$A$2:$A$2500,A64)/R64</f>
        <v>313.75</v>
      </c>
      <c r="V64" s="29">
        <f>SUMIFS('Recipe Ingredients'!$J$2:$J$2500,'Recipe Ingredients'!$A$2:$A$2500,A64)/R64</f>
        <v>5.9257499999999999</v>
      </c>
      <c r="W64" s="29">
        <f>SUMIFS('Recipe Ingredients'!$K$2:$K$2500,'Recipe Ingredients'!$A$2:$A$2500,A64)/R64</f>
        <v>131.02000000000001</v>
      </c>
      <c r="X64" s="29">
        <f>SUMIFS('Recipe Ingredients'!$L$2:$L$2500,'Recipe Ingredients'!$A$2:$A$2500,A64)/R64</f>
        <v>157.22000000000003</v>
      </c>
      <c r="Y64" s="29">
        <f>SUMIFS('Recipe Ingredients'!$M$2:$M$2500,'Recipe Ingredients'!$A$2:$A$2500,A64)/R64</f>
        <v>46.717500000000001</v>
      </c>
      <c r="Z64" s="29">
        <f>SUMIFS('Recipe Ingredients'!$N$2:$N$2500,'Recipe Ingredients'!$A$2:$A$2500,A64)/R64</f>
        <v>77.344999999999999</v>
      </c>
      <c r="AA64" s="29">
        <f>SUMIFS('Recipe Ingredients'!$O$2:$O$2500,'Recipe Ingredients'!$A$2:$A$2500,A64)/R64</f>
        <v>727.05250000000001</v>
      </c>
      <c r="AB64" s="30">
        <f>SUMIFS('Recipe Ingredients'!$P$2:$P$2500,'Recipe Ingredients'!$A$2:$A$2500,A64)/R64</f>
        <v>1.7753750000000001</v>
      </c>
      <c r="AC64" s="30">
        <f>SUMIFS('Recipe Ingredients'!$Q$2:$Q$2500,'Recipe Ingredients'!$A$2:$A$2500,A64)/R64</f>
        <v>0.51132999999999995</v>
      </c>
      <c r="AD64" s="29">
        <f>SUMIFS('Recipe Ingredients'!$R$2:$R$2500,'Recipe Ingredients'!$A$2:$A$2500,A64)/R64</f>
        <v>44.76</v>
      </c>
      <c r="AE64" s="30">
        <f>SUMIFS('Recipe Ingredients'!$S$2:$S$2500,'Recipe Ingredients'!$A$2:$A$2500,A64)/R64</f>
        <v>1.3962999999999999</v>
      </c>
      <c r="AF64" s="31">
        <f>IFERROR(V64/'Start Here'!$C$10,0)</f>
        <v>0.23702999999999999</v>
      </c>
      <c r="AG64" s="31">
        <f>IFERROR(W64/'Start Here'!$C$11,0)</f>
        <v>1.63775</v>
      </c>
      <c r="AH64" s="31">
        <f>IFERROR(X64/'Start Here'!$C$12,0)</f>
        <v>0.19652500000000003</v>
      </c>
      <c r="AI64" s="31">
        <f>IFERROR(Y64/'Start Here'!$C$13,0)</f>
        <v>0.62290000000000001</v>
      </c>
      <c r="AJ64" s="31">
        <f>IFERROR(Z64/'Start Here'!$C$14,0)</f>
        <v>0.38672499999999999</v>
      </c>
      <c r="AK64" s="31">
        <f>IFERROR(AA64/'Start Here'!$C$15,0)</f>
        <v>0.36352625</v>
      </c>
      <c r="AL64" s="31">
        <f>IFERROR(AB64/'Start Here'!$C$16,0)</f>
        <v>0.14794791666666668</v>
      </c>
      <c r="AM64" s="31">
        <f>IFERROR(AC64/'Start Here'!$C$17,0)</f>
        <v>0.36523571428571427</v>
      </c>
      <c r="AN64" s="31">
        <f>IFERROR(AD64/'Start Here'!$C$18,0)</f>
        <v>0.11935999999999999</v>
      </c>
      <c r="AO64" s="31">
        <f>IFERROR(AE64/'Start Here'!$C$19,0)</f>
        <v>9.9735714285714275E-2</v>
      </c>
      <c r="AP64" s="22" t="str">
        <f t="shared" si="8"/>
        <v>Vitamin C</v>
      </c>
      <c r="AQ64" s="7" t="str">
        <f t="shared" si="9"/>
        <v>Best for better vitamin C intake: one serving gives about 164% of your daily vitamin C from the produce alone.</v>
      </c>
      <c r="AR64" s="7" t="str">
        <f t="shared" si="10"/>
        <v>Vitamin K (62%), Folate (39%), Potassium (36%), Vitamin B6 (37%)</v>
      </c>
      <c r="AS64" s="7" t="s">
        <v>1686</v>
      </c>
      <c r="AT64" s="7" t="s">
        <v>1687</v>
      </c>
      <c r="AU64" s="28">
        <f>COUNTIFS('Recipe Ingredients'!$A$2:$A$2500,A64,'Recipe Ingredients'!$G$2:$G$2500,"Basket")</f>
        <v>8</v>
      </c>
      <c r="AV64" s="28">
        <f>COUNTIFS('Recipe Ingredients'!$A$2:$A$2500,A64,'Recipe Ingredients'!$G$2:$G$2500,"Protein")+COUNTIFS('Recipe Ingredients'!$A$2:$A$2500,A64,'Recipe Ingredients'!$G$2:$G$2500,"Pantry")</f>
        <v>1</v>
      </c>
      <c r="AW64" s="31">
        <f t="shared" si="11"/>
        <v>0.88888888888888884</v>
      </c>
      <c r="AX64" s="28" t="str">
        <f>IF(AW64&gt;='Start Here'!$C$6,"Yes","No")</f>
        <v>Yes</v>
      </c>
      <c r="AY64" s="7" t="s">
        <v>1140</v>
      </c>
      <c r="AZ64" s="7" t="s">
        <v>1688</v>
      </c>
      <c r="BA64" s="7" t="s">
        <v>1689</v>
      </c>
      <c r="BB64" s="32" t="s">
        <v>964</v>
      </c>
    </row>
    <row r="65" spans="1:54" ht="96" customHeight="1" x14ac:dyDescent="0.25">
      <c r="A65" s="22" t="s">
        <v>1690</v>
      </c>
      <c r="B65" s="23" t="s">
        <v>1691</v>
      </c>
      <c r="C65" s="22" t="s">
        <v>1566</v>
      </c>
      <c r="D65" s="22" t="s">
        <v>1692</v>
      </c>
      <c r="E65" s="22" t="s">
        <v>1380</v>
      </c>
      <c r="F65" s="7" t="s">
        <v>1693</v>
      </c>
      <c r="G65" s="22" t="s">
        <v>1694</v>
      </c>
      <c r="H65" s="27" t="s">
        <v>1695</v>
      </c>
      <c r="I65" s="27" t="s">
        <v>1696</v>
      </c>
      <c r="J65" s="7" t="s">
        <v>1697</v>
      </c>
      <c r="K65" s="7" t="s">
        <v>1698</v>
      </c>
      <c r="L65" s="7" t="s">
        <v>620</v>
      </c>
      <c r="M65" s="22" t="s">
        <v>1152</v>
      </c>
      <c r="N65" s="28">
        <v>15</v>
      </c>
      <c r="O65" s="28">
        <v>20</v>
      </c>
      <c r="P65" s="28">
        <f t="shared" si="6"/>
        <v>35</v>
      </c>
      <c r="Q65" s="22" t="str">
        <f t="shared" si="7"/>
        <v>Standard</v>
      </c>
      <c r="R65" s="28">
        <v>2</v>
      </c>
      <c r="S65" s="22">
        <v>560</v>
      </c>
      <c r="T65" s="22">
        <v>42</v>
      </c>
      <c r="U65" s="29">
        <f>SUMIFS('Recipe Ingredients'!$I$2:$I$2500,'Recipe Ingredients'!$A$2:$A$2500,A65)/R65</f>
        <v>206.5</v>
      </c>
      <c r="V65" s="29">
        <f>SUMIFS('Recipe Ingredients'!$J$2:$J$2500,'Recipe Ingredients'!$A$2:$A$2500,A65)/R65</f>
        <v>5.76</v>
      </c>
      <c r="W65" s="29">
        <f>SUMIFS('Recipe Ingredients'!$K$2:$K$2500,'Recipe Ingredients'!$A$2:$A$2500,A65)/R65</f>
        <v>38.334499999999998</v>
      </c>
      <c r="X65" s="29">
        <f>SUMIFS('Recipe Ingredients'!$L$2:$L$2500,'Recipe Ingredients'!$A$2:$A$2500,A65)/R65</f>
        <v>1041.4750000000001</v>
      </c>
      <c r="Y65" s="29">
        <f>SUMIFS('Recipe Ingredients'!$M$2:$M$2500,'Recipe Ingredients'!$A$2:$A$2500,A65)/R65</f>
        <v>311.45749999999998</v>
      </c>
      <c r="Z65" s="29">
        <f>SUMIFS('Recipe Ingredients'!$N$2:$N$2500,'Recipe Ingredients'!$A$2:$A$2500,A65)/R65</f>
        <v>53.344999999999999</v>
      </c>
      <c r="AA65" s="29">
        <f>SUMIFS('Recipe Ingredients'!$O$2:$O$2500,'Recipe Ingredients'!$A$2:$A$2500,A65)/R65</f>
        <v>701.78500000000008</v>
      </c>
      <c r="AB65" s="30">
        <f>SUMIFS('Recipe Ingredients'!$P$2:$P$2500,'Recipe Ingredients'!$A$2:$A$2500,A65)/R65</f>
        <v>0.71595000000000009</v>
      </c>
      <c r="AC65" s="30">
        <f>SUMIFS('Recipe Ingredients'!$Q$2:$Q$2500,'Recipe Ingredients'!$A$2:$A$2500,A65)/R65</f>
        <v>0.39673999999999998</v>
      </c>
      <c r="AD65" s="29">
        <f>SUMIFS('Recipe Ingredients'!$R$2:$R$2500,'Recipe Ingredients'!$A$2:$A$2500,A65)/R65</f>
        <v>58.115000000000002</v>
      </c>
      <c r="AE65" s="30">
        <f>SUMIFS('Recipe Ingredients'!$S$2:$S$2500,'Recipe Ingredients'!$A$2:$A$2500,A65)/R65</f>
        <v>2.6558000000000002</v>
      </c>
      <c r="AF65" s="31">
        <f>IFERROR(V65/'Start Here'!$C$10,0)</f>
        <v>0.23039999999999999</v>
      </c>
      <c r="AG65" s="31">
        <f>IFERROR(W65/'Start Here'!$C$11,0)</f>
        <v>0.47918125</v>
      </c>
      <c r="AH65" s="31">
        <f>IFERROR(X65/'Start Here'!$C$12,0)</f>
        <v>1.3018437500000002</v>
      </c>
      <c r="AI65" s="31">
        <f>IFERROR(Y65/'Start Here'!$C$13,0)</f>
        <v>4.1527666666666665</v>
      </c>
      <c r="AJ65" s="31">
        <f>IFERROR(Z65/'Start Here'!$C$14,0)</f>
        <v>0.26672499999999999</v>
      </c>
      <c r="AK65" s="31">
        <f>IFERROR(AA65/'Start Here'!$C$15,0)</f>
        <v>0.35089250000000005</v>
      </c>
      <c r="AL65" s="31">
        <f>IFERROR(AB65/'Start Here'!$C$16,0)</f>
        <v>5.9662500000000007E-2</v>
      </c>
      <c r="AM65" s="31">
        <f>IFERROR(AC65/'Start Here'!$C$17,0)</f>
        <v>0.2833857142857143</v>
      </c>
      <c r="AN65" s="31">
        <f>IFERROR(AD65/'Start Here'!$C$18,0)</f>
        <v>0.15497333333333335</v>
      </c>
      <c r="AO65" s="31">
        <f>IFERROR(AE65/'Start Here'!$C$19,0)</f>
        <v>0.18970000000000001</v>
      </c>
      <c r="AP65" s="22" t="str">
        <f t="shared" si="8"/>
        <v>Vitamin K</v>
      </c>
      <c r="AQ65" s="7" t="str">
        <f t="shared" si="9"/>
        <v>Best for better vitamin K intake: one serving gives about 415% of your daily vitamin K from the produce alone.</v>
      </c>
      <c r="AR65" s="7" t="str">
        <f t="shared" si="10"/>
        <v>Vitamin C (48%), Vitamin A (130%), Folate (27%), Potassium (35%), Vitamin B6 (28%)</v>
      </c>
      <c r="AS65" s="7" t="s">
        <v>1699</v>
      </c>
      <c r="AT65" s="7" t="s">
        <v>1700</v>
      </c>
      <c r="AU65" s="28">
        <f>COUNTIFS('Recipe Ingredients'!$A$2:$A$2500,A65,'Recipe Ingredients'!$G$2:$G$2500,"Basket")</f>
        <v>6</v>
      </c>
      <c r="AV65" s="28">
        <f>COUNTIFS('Recipe Ingredients'!$A$2:$A$2500,A65,'Recipe Ingredients'!$G$2:$G$2500,"Protein")+COUNTIFS('Recipe Ingredients'!$A$2:$A$2500,A65,'Recipe Ingredients'!$G$2:$G$2500,"Pantry")</f>
        <v>2</v>
      </c>
      <c r="AW65" s="31">
        <f t="shared" si="11"/>
        <v>0.75</v>
      </c>
      <c r="AX65" s="28" t="str">
        <f>IF(AW65&gt;='Start Here'!$C$6,"Yes","No")</f>
        <v>No</v>
      </c>
      <c r="AY65" s="7" t="s">
        <v>115</v>
      </c>
      <c r="AZ65" s="7" t="s">
        <v>1701</v>
      </c>
      <c r="BA65" s="7" t="s">
        <v>1702</v>
      </c>
      <c r="BB65" s="32" t="s">
        <v>964</v>
      </c>
    </row>
    <row r="66" spans="1:54" ht="96" customHeight="1" x14ac:dyDescent="0.25">
      <c r="A66" s="22" t="s">
        <v>1703</v>
      </c>
      <c r="B66" s="23" t="s">
        <v>1704</v>
      </c>
      <c r="C66" s="22" t="s">
        <v>1566</v>
      </c>
      <c r="D66" s="22" t="s">
        <v>1645</v>
      </c>
      <c r="E66" s="22" t="s">
        <v>1145</v>
      </c>
      <c r="F66" s="7" t="s">
        <v>1705</v>
      </c>
      <c r="G66" s="22" t="s">
        <v>1706</v>
      </c>
      <c r="H66" s="27" t="s">
        <v>1707</v>
      </c>
      <c r="I66" s="27" t="s">
        <v>1708</v>
      </c>
      <c r="J66" s="7" t="s">
        <v>1709</v>
      </c>
      <c r="K66" s="7" t="s">
        <v>1710</v>
      </c>
      <c r="L66" s="7" t="s">
        <v>434</v>
      </c>
      <c r="M66" s="22" t="s">
        <v>958</v>
      </c>
      <c r="N66" s="28">
        <v>15</v>
      </c>
      <c r="O66" s="28">
        <v>12</v>
      </c>
      <c r="P66" s="28">
        <f t="shared" ref="P66:P97" si="12">N66+O66</f>
        <v>27</v>
      </c>
      <c r="Q66" s="22" t="str">
        <f t="shared" ref="Q66:Q97" si="13">IF(O66=0,"No-cook",IF(P66&lt;=25,"Quick","Standard"))</f>
        <v>Standard</v>
      </c>
      <c r="R66" s="28">
        <v>2</v>
      </c>
      <c r="S66" s="22">
        <v>580</v>
      </c>
      <c r="T66" s="22">
        <v>20</v>
      </c>
      <c r="U66" s="29">
        <f>SUMIFS('Recipe Ingredients'!$I$2:$I$2500,'Recipe Ingredients'!$A$2:$A$2500,A66)/R66</f>
        <v>175.5</v>
      </c>
      <c r="V66" s="29">
        <f>SUMIFS('Recipe Ingredients'!$J$2:$J$2500,'Recipe Ingredients'!$A$2:$A$2500,A66)/R66</f>
        <v>5.4995000000000003</v>
      </c>
      <c r="W66" s="29">
        <f>SUMIFS('Recipe Ingredients'!$K$2:$K$2500,'Recipe Ingredients'!$A$2:$A$2500,A66)/R66</f>
        <v>48.569999999999993</v>
      </c>
      <c r="X66" s="29">
        <f>SUMIFS('Recipe Ingredients'!$L$2:$L$2500,'Recipe Ingredients'!$A$2:$A$2500,A66)/R66</f>
        <v>155.18</v>
      </c>
      <c r="Y66" s="29">
        <f>SUMIFS('Recipe Ingredients'!$M$2:$M$2500,'Recipe Ingredients'!$A$2:$A$2500,A66)/R66</f>
        <v>68.156499999999994</v>
      </c>
      <c r="Z66" s="29">
        <f>SUMIFS('Recipe Ingredients'!$N$2:$N$2500,'Recipe Ingredients'!$A$2:$A$2500,A66)/R66</f>
        <v>107.75500000000001</v>
      </c>
      <c r="AA66" s="29">
        <f>SUMIFS('Recipe Ingredients'!$O$2:$O$2500,'Recipe Ingredients'!$A$2:$A$2500,A66)/R66</f>
        <v>633.34999999999991</v>
      </c>
      <c r="AB66" s="30">
        <f>SUMIFS('Recipe Ingredients'!$P$2:$P$2500,'Recipe Ingredients'!$A$2:$A$2500,A66)/R66</f>
        <v>2.5674000000000001</v>
      </c>
      <c r="AC66" s="30">
        <f>SUMIFS('Recipe Ingredients'!$Q$2:$Q$2500,'Recipe Ingredients'!$A$2:$A$2500,A66)/R66</f>
        <v>0.22661999999999999</v>
      </c>
      <c r="AD66" s="29">
        <f>SUMIFS('Recipe Ingredients'!$R$2:$R$2500,'Recipe Ingredients'!$A$2:$A$2500,A66)/R66</f>
        <v>75.44</v>
      </c>
      <c r="AE66" s="30">
        <f>SUMIFS('Recipe Ingredients'!$S$2:$S$2500,'Recipe Ingredients'!$A$2:$A$2500,A66)/R66</f>
        <v>2.7777000000000003</v>
      </c>
      <c r="AF66" s="31">
        <f>IFERROR(V66/'Start Here'!$C$10,0)</f>
        <v>0.21998000000000001</v>
      </c>
      <c r="AG66" s="31">
        <f>IFERROR(W66/'Start Here'!$C$11,0)</f>
        <v>0.60712499999999991</v>
      </c>
      <c r="AH66" s="31">
        <f>IFERROR(X66/'Start Here'!$C$12,0)</f>
        <v>0.19397500000000001</v>
      </c>
      <c r="AI66" s="31">
        <f>IFERROR(Y66/'Start Here'!$C$13,0)</f>
        <v>0.9087533333333333</v>
      </c>
      <c r="AJ66" s="31">
        <f>IFERROR(Z66/'Start Here'!$C$14,0)</f>
        <v>0.538775</v>
      </c>
      <c r="AK66" s="31">
        <f>IFERROR(AA66/'Start Here'!$C$15,0)</f>
        <v>0.31667499999999993</v>
      </c>
      <c r="AL66" s="31">
        <f>IFERROR(AB66/'Start Here'!$C$16,0)</f>
        <v>0.21395</v>
      </c>
      <c r="AM66" s="31">
        <f>IFERROR(AC66/'Start Here'!$C$17,0)</f>
        <v>0.16187142857142858</v>
      </c>
      <c r="AN66" s="31">
        <f>IFERROR(AD66/'Start Here'!$C$18,0)</f>
        <v>0.20117333333333332</v>
      </c>
      <c r="AO66" s="31">
        <f>IFERROR(AE66/'Start Here'!$C$19,0)</f>
        <v>0.19840714285714287</v>
      </c>
      <c r="AP66" s="22" t="str">
        <f t="shared" ref="AP66:AP97" si="14">IFERROR(SUBSTITUTE(INDEX($AF$1:$AO$1,MATCH(MAX(AF66:AO66),AF66:AO66,0))," % daily",""),"")</f>
        <v>Vitamin K</v>
      </c>
      <c r="AQ66" s="7" t="str">
        <f t="shared" ref="AQ66:AQ97" si="15">IF(MAX(AF66:AO66)&gt;=0.15,"Best for better "&amp;IF(LEFT(AP66,7)="Vitamin","vitamin "&amp;MID(AP66,9,3),LOWER(AP66))&amp;" intake: one serving gives about "&amp;TEXT(MAX(AF66:AO66),"0%")&amp;" of your daily "&amp;IF(LEFT(AP66,7)="Vitamin","vitamin "&amp;MID(AP66,9,3),LOWER(AP66))&amp;" from the produce alone.","A lighter plate: top nutrient is "&amp;IF(LEFT(AP66,7)="Vitamin","vitamin "&amp;MID(AP66,9,3),LOWER(AP66))&amp;" at about "&amp;TEXT(MAX(AF66:AO66),"0%")&amp;" of a day.")</f>
        <v>Best for better vitamin K intake: one serving gives about 91% of your daily vitamin K from the produce alone.</v>
      </c>
      <c r="AR66" s="7" t="str">
        <f t="shared" ref="AR66:AR97" si="16">IF(LEN(IF(AND(AF66&gt;=0.25,"Fibre"&lt;&gt;AP66),"Fibre ("&amp;TEXT(AF66,"0%")&amp;")|","")&amp;IF(AND(AG66&gt;=0.25,"Vitamin C"&lt;&gt;AP66),"Vitamin C ("&amp;TEXT(AG66,"0%")&amp;")|","")&amp;IF(AND(AH66&gt;=0.25,"Vitamin A"&lt;&gt;AP66),"Vitamin A ("&amp;TEXT(AH66,"0%")&amp;")|","")&amp;IF(AND(AI66&gt;=0.25,"Vitamin K"&lt;&gt;AP66),"Vitamin K ("&amp;TEXT(AI66,"0%")&amp;")|","")&amp;IF(AND(AJ66&gt;=0.25,"Folate"&lt;&gt;AP66),"Folate ("&amp;TEXT(AJ66,"0%")&amp;")|","")&amp;IF(AND(AK66&gt;=0.25,"Potassium"&lt;&gt;AP66),"Potassium ("&amp;TEXT(AK66,"0%")&amp;")|","")&amp;IF(AND(AL66&gt;=0.25,"Vitamin E"&lt;&gt;AP66),"Vitamin E ("&amp;TEXT(AL66,"0%")&amp;")|","")&amp;IF(AND(AM66&gt;=0.25,"Vitamin B6"&lt;&gt;AP66),"Vitamin B6 ("&amp;TEXT(AM66,"0%")&amp;")|","")&amp;IF(AND(AN66&gt;=0.25,"Magnesium"&lt;&gt;AP66),"Magnesium ("&amp;TEXT(AN66,"0%")&amp;")|","")&amp;IF(AND(AO66&gt;=0.25,"Iron"&lt;&gt;AP66),"Iron ("&amp;TEXT(AO66,"0%")&amp;")|",""))=0,"",SUBSTITUTE(LEFT(IF(AND(AF66&gt;=0.25,"Fibre"&lt;&gt;AP66),"Fibre ("&amp;TEXT(AF66,"0%")&amp;")|","")&amp;IF(AND(AG66&gt;=0.25,"Vitamin C"&lt;&gt;AP66),"Vitamin C ("&amp;TEXT(AG66,"0%")&amp;")|","")&amp;IF(AND(AH66&gt;=0.25,"Vitamin A"&lt;&gt;AP66),"Vitamin A ("&amp;TEXT(AH66,"0%")&amp;")|","")&amp;IF(AND(AI66&gt;=0.25,"Vitamin K"&lt;&gt;AP66),"Vitamin K ("&amp;TEXT(AI66,"0%")&amp;")|","")&amp;IF(AND(AJ66&gt;=0.25,"Folate"&lt;&gt;AP66),"Folate ("&amp;TEXT(AJ66,"0%")&amp;")|","")&amp;IF(AND(AK66&gt;=0.25,"Potassium"&lt;&gt;AP66),"Potassium ("&amp;TEXT(AK66,"0%")&amp;")|","")&amp;IF(AND(AL66&gt;=0.25,"Vitamin E"&lt;&gt;AP66),"Vitamin E ("&amp;TEXT(AL66,"0%")&amp;")|","")&amp;IF(AND(AM66&gt;=0.25,"Vitamin B6"&lt;&gt;AP66),"Vitamin B6 ("&amp;TEXT(AM66,"0%")&amp;")|","")&amp;IF(AND(AN66&gt;=0.25,"Magnesium"&lt;&gt;AP66),"Magnesium ("&amp;TEXT(AN66,"0%")&amp;")|","")&amp;IF(AND(AO66&gt;=0.25,"Iron"&lt;&gt;AP66),"Iron ("&amp;TEXT(AO66,"0%")&amp;")|",""),LEN(IF(AND(AF66&gt;=0.25,"Fibre"&lt;&gt;AP66),"Fibre ("&amp;TEXT(AF66,"0%")&amp;")|","")&amp;IF(AND(AG66&gt;=0.25,"Vitamin C"&lt;&gt;AP66),"Vitamin C ("&amp;TEXT(AG66,"0%")&amp;")|","")&amp;IF(AND(AH66&gt;=0.25,"Vitamin A"&lt;&gt;AP66),"Vitamin A ("&amp;TEXT(AH66,"0%")&amp;")|","")&amp;IF(AND(AI66&gt;=0.25,"Vitamin K"&lt;&gt;AP66),"Vitamin K ("&amp;TEXT(AI66,"0%")&amp;")|","")&amp;IF(AND(AJ66&gt;=0.25,"Folate"&lt;&gt;AP66),"Folate ("&amp;TEXT(AJ66,"0%")&amp;")|","")&amp;IF(AND(AK66&gt;=0.25,"Potassium"&lt;&gt;AP66),"Potassium ("&amp;TEXT(AK66,"0%")&amp;")|","")&amp;IF(AND(AL66&gt;=0.25,"Vitamin E"&lt;&gt;AP66),"Vitamin E ("&amp;TEXT(AL66,"0%")&amp;")|","")&amp;IF(AND(AM66&gt;=0.25,"Vitamin B6"&lt;&gt;AP66),"Vitamin B6 ("&amp;TEXT(AM66,"0%")&amp;")|","")&amp;IF(AND(AN66&gt;=0.25,"Magnesium"&lt;&gt;AP66),"Magnesium ("&amp;TEXT(AN66,"0%")&amp;")|","")&amp;IF(AND(AO66&gt;=0.25,"Iron"&lt;&gt;AP66),"Iron ("&amp;TEXT(AO66,"0%")&amp;")|",""))-1),"|",", "))</f>
        <v>Vitamin C (61%), Folate (54%), Potassium (32%)</v>
      </c>
      <c r="AS66" s="7" t="s">
        <v>1711</v>
      </c>
      <c r="AT66" s="7" t="s">
        <v>1712</v>
      </c>
      <c r="AU66" s="28">
        <f>COUNTIFS('Recipe Ingredients'!$A$2:$A$2500,A66,'Recipe Ingredients'!$G$2:$G$2500,"Basket")</f>
        <v>6</v>
      </c>
      <c r="AV66" s="28">
        <f>COUNTIFS('Recipe Ingredients'!$A$2:$A$2500,A66,'Recipe Ingredients'!$G$2:$G$2500,"Protein")+COUNTIFS('Recipe Ingredients'!$A$2:$A$2500,A66,'Recipe Ingredients'!$G$2:$G$2500,"Pantry")</f>
        <v>2</v>
      </c>
      <c r="AW66" s="31">
        <f t="shared" ref="AW66:AW97" si="17">IFERROR(AU66/(AU66+AV66),0)</f>
        <v>0.75</v>
      </c>
      <c r="AX66" s="28" t="str">
        <f>IF(AW66&gt;='Start Here'!$C$6,"Yes","No")</f>
        <v>No</v>
      </c>
      <c r="AY66" s="7" t="s">
        <v>115</v>
      </c>
      <c r="AZ66" s="7" t="s">
        <v>1713</v>
      </c>
      <c r="BA66" s="7" t="s">
        <v>1714</v>
      </c>
      <c r="BB66" s="32" t="s">
        <v>964</v>
      </c>
    </row>
    <row r="67" spans="1:54" ht="96" customHeight="1" x14ac:dyDescent="0.25">
      <c r="A67" s="22" t="s">
        <v>1715</v>
      </c>
      <c r="B67" s="23" t="s">
        <v>1716</v>
      </c>
      <c r="C67" s="22" t="s">
        <v>949</v>
      </c>
      <c r="D67" s="22" t="s">
        <v>991</v>
      </c>
      <c r="E67" s="22" t="s">
        <v>951</v>
      </c>
      <c r="F67" s="7" t="s">
        <v>1717</v>
      </c>
      <c r="G67" s="22" t="s">
        <v>1718</v>
      </c>
      <c r="H67" s="27" t="s">
        <v>1719</v>
      </c>
      <c r="I67" s="27" t="s">
        <v>1720</v>
      </c>
      <c r="J67" s="7" t="s">
        <v>1721</v>
      </c>
      <c r="K67" s="7" t="s">
        <v>1722</v>
      </c>
      <c r="L67" s="7" t="s">
        <v>1010</v>
      </c>
      <c r="M67" s="22" t="s">
        <v>958</v>
      </c>
      <c r="N67" s="28">
        <v>10</v>
      </c>
      <c r="O67" s="28">
        <v>15</v>
      </c>
      <c r="P67" s="28">
        <f t="shared" si="12"/>
        <v>25</v>
      </c>
      <c r="Q67" s="22" t="str">
        <f t="shared" si="13"/>
        <v>Quick</v>
      </c>
      <c r="R67" s="28">
        <v>4</v>
      </c>
      <c r="S67" s="22">
        <v>230</v>
      </c>
      <c r="T67" s="22">
        <v>11</v>
      </c>
      <c r="U67" s="29">
        <f>SUMIFS('Recipe Ingredients'!$I$2:$I$2500,'Recipe Ingredients'!$A$2:$A$2500,A67)/R67</f>
        <v>100.75</v>
      </c>
      <c r="V67" s="29">
        <f>SUMIFS('Recipe Ingredients'!$J$2:$J$2500,'Recipe Ingredients'!$A$2:$A$2500,A67)/R67</f>
        <v>1.6647500000000002</v>
      </c>
      <c r="W67" s="29">
        <f>SUMIFS('Recipe Ingredients'!$K$2:$K$2500,'Recipe Ingredients'!$A$2:$A$2500,A67)/R67</f>
        <v>51.305250000000008</v>
      </c>
      <c r="X67" s="29">
        <f>SUMIFS('Recipe Ingredients'!$L$2:$L$2500,'Recipe Ingredients'!$A$2:$A$2500,A67)/R67</f>
        <v>88.437500000000014</v>
      </c>
      <c r="Y67" s="29">
        <f>SUMIFS('Recipe Ingredients'!$M$2:$M$2500,'Recipe Ingredients'!$A$2:$A$2500,A67)/R67</f>
        <v>5.5489999999999995</v>
      </c>
      <c r="Z67" s="29">
        <f>SUMIFS('Recipe Ingredients'!$N$2:$N$2500,'Recipe Ingredients'!$A$2:$A$2500,A67)/R67</f>
        <v>30.245000000000001</v>
      </c>
      <c r="AA67" s="29">
        <f>SUMIFS('Recipe Ingredients'!$O$2:$O$2500,'Recipe Ingredients'!$A$2:$A$2500,A67)/R67</f>
        <v>237.85999999999999</v>
      </c>
      <c r="AB67" s="30">
        <f>SUMIFS('Recipe Ingredients'!$P$2:$P$2500,'Recipe Ingredients'!$A$2:$A$2500,A67)/R67</f>
        <v>0.74175000000000013</v>
      </c>
      <c r="AC67" s="30">
        <f>SUMIFS('Recipe Ingredients'!$Q$2:$Q$2500,'Recipe Ingredients'!$A$2:$A$2500,A67)/R67</f>
        <v>0.16218500000000002</v>
      </c>
      <c r="AD67" s="29">
        <f>SUMIFS('Recipe Ingredients'!$R$2:$R$2500,'Recipe Ingredients'!$A$2:$A$2500,A67)/R67</f>
        <v>14.5725</v>
      </c>
      <c r="AE67" s="30">
        <f>SUMIFS('Recipe Ingredients'!$S$2:$S$2500,'Recipe Ingredients'!$A$2:$A$2500,A67)/R67</f>
        <v>0.50834999999999997</v>
      </c>
      <c r="AF67" s="31">
        <f>IFERROR(V67/'Start Here'!$C$10,0)</f>
        <v>6.659000000000001E-2</v>
      </c>
      <c r="AG67" s="31">
        <f>IFERROR(W67/'Start Here'!$C$11,0)</f>
        <v>0.64131562500000006</v>
      </c>
      <c r="AH67" s="31">
        <f>IFERROR(X67/'Start Here'!$C$12,0)</f>
        <v>0.11054687500000002</v>
      </c>
      <c r="AI67" s="31">
        <f>IFERROR(Y67/'Start Here'!$C$13,0)</f>
        <v>7.3986666666666659E-2</v>
      </c>
      <c r="AJ67" s="31">
        <f>IFERROR(Z67/'Start Here'!$C$14,0)</f>
        <v>0.151225</v>
      </c>
      <c r="AK67" s="31">
        <f>IFERROR(AA67/'Start Here'!$C$15,0)</f>
        <v>0.11892999999999999</v>
      </c>
      <c r="AL67" s="31">
        <f>IFERROR(AB67/'Start Here'!$C$16,0)</f>
        <v>6.1812500000000013E-2</v>
      </c>
      <c r="AM67" s="31">
        <f>IFERROR(AC67/'Start Here'!$C$17,0)</f>
        <v>0.1158464285714286</v>
      </c>
      <c r="AN67" s="31">
        <f>IFERROR(AD67/'Start Here'!$C$18,0)</f>
        <v>3.8859999999999999E-2</v>
      </c>
      <c r="AO67" s="31">
        <f>IFERROR(AE67/'Start Here'!$C$19,0)</f>
        <v>3.6310714285714286E-2</v>
      </c>
      <c r="AP67" s="22" t="str">
        <f t="shared" si="14"/>
        <v>Vitamin C</v>
      </c>
      <c r="AQ67" s="7" t="str">
        <f t="shared" si="15"/>
        <v>Best for better vitamin C intake: one serving gives about 64% of your daily vitamin C from the produce alone.</v>
      </c>
      <c r="AR67" s="7" t="str">
        <f t="shared" si="16"/>
        <v/>
      </c>
      <c r="AS67" s="7" t="s">
        <v>1723</v>
      </c>
      <c r="AT67" s="7" t="s">
        <v>1724</v>
      </c>
      <c r="AU67" s="28">
        <f>COUNTIFS('Recipe Ingredients'!$A$2:$A$2500,A67,'Recipe Ingredients'!$G$2:$G$2500,"Basket")</f>
        <v>6</v>
      </c>
      <c r="AV67" s="28">
        <f>COUNTIFS('Recipe Ingredients'!$A$2:$A$2500,A67,'Recipe Ingredients'!$G$2:$G$2500,"Protein")+COUNTIFS('Recipe Ingredients'!$A$2:$A$2500,A67,'Recipe Ingredients'!$G$2:$G$2500,"Pantry")</f>
        <v>2</v>
      </c>
      <c r="AW67" s="31">
        <f t="shared" si="17"/>
        <v>0.75</v>
      </c>
      <c r="AX67" s="28" t="str">
        <f>IF(AW67&gt;='Start Here'!$C$6,"Yes","No")</f>
        <v>No</v>
      </c>
      <c r="AY67" s="7" t="s">
        <v>115</v>
      </c>
      <c r="AZ67" s="7" t="s">
        <v>1725</v>
      </c>
      <c r="BA67" s="7" t="s">
        <v>1726</v>
      </c>
      <c r="BB67" s="32" t="s">
        <v>964</v>
      </c>
    </row>
    <row r="68" spans="1:54" ht="96" customHeight="1" x14ac:dyDescent="0.25">
      <c r="A68" s="22" t="s">
        <v>1727</v>
      </c>
      <c r="B68" s="23" t="s">
        <v>1728</v>
      </c>
      <c r="C68" s="22" t="s">
        <v>949</v>
      </c>
      <c r="D68" s="22" t="s">
        <v>991</v>
      </c>
      <c r="E68" s="22" t="s">
        <v>1729</v>
      </c>
      <c r="F68" s="7" t="s">
        <v>1730</v>
      </c>
      <c r="G68" s="22" t="s">
        <v>1731</v>
      </c>
      <c r="H68" s="27" t="s">
        <v>1732</v>
      </c>
      <c r="I68" s="27" t="s">
        <v>1733</v>
      </c>
      <c r="J68" s="7" t="s">
        <v>1734</v>
      </c>
      <c r="K68" s="7" t="s">
        <v>1735</v>
      </c>
      <c r="L68" s="7" t="s">
        <v>1736</v>
      </c>
      <c r="M68" s="22" t="s">
        <v>958</v>
      </c>
      <c r="N68" s="28">
        <v>15</v>
      </c>
      <c r="O68" s="28">
        <v>25</v>
      </c>
      <c r="P68" s="28">
        <f t="shared" si="12"/>
        <v>40</v>
      </c>
      <c r="Q68" s="22" t="str">
        <f t="shared" si="13"/>
        <v>Standard</v>
      </c>
      <c r="R68" s="28">
        <v>4</v>
      </c>
      <c r="S68" s="22">
        <v>390</v>
      </c>
      <c r="T68" s="22">
        <v>11</v>
      </c>
      <c r="U68" s="29">
        <f>SUMIFS('Recipe Ingredients'!$I$2:$I$2500,'Recipe Ingredients'!$A$2:$A$2500,A68)/R68</f>
        <v>310</v>
      </c>
      <c r="V68" s="29">
        <f>SUMIFS('Recipe Ingredients'!$J$2:$J$2500,'Recipe Ingredients'!$A$2:$A$2500,A68)/R68</f>
        <v>9.962749999999998</v>
      </c>
      <c r="W68" s="29">
        <f>SUMIFS('Recipe Ingredients'!$K$2:$K$2500,'Recipe Ingredients'!$A$2:$A$2500,A68)/R68</f>
        <v>84.376249999999999</v>
      </c>
      <c r="X68" s="29">
        <f>SUMIFS('Recipe Ingredients'!$L$2:$L$2500,'Recipe Ingredients'!$A$2:$A$2500,A68)/R68</f>
        <v>81.437500000000014</v>
      </c>
      <c r="Y68" s="29">
        <f>SUMIFS('Recipe Ingredients'!$M$2:$M$2500,'Recipe Ingredients'!$A$2:$A$2500,A68)/R68</f>
        <v>10.195</v>
      </c>
      <c r="Z68" s="29">
        <f>SUMIFS('Recipe Ingredients'!$N$2:$N$2500,'Recipe Ingredients'!$A$2:$A$2500,A68)/R68</f>
        <v>72.872499999999988</v>
      </c>
      <c r="AA68" s="29">
        <f>SUMIFS('Recipe Ingredients'!$O$2:$O$2500,'Recipe Ingredients'!$A$2:$A$2500,A68)/R68</f>
        <v>1868.74</v>
      </c>
      <c r="AB68" s="30">
        <f>SUMIFS('Recipe Ingredients'!$P$2:$P$2500,'Recipe Ingredients'!$A$2:$A$2500,A68)/R68</f>
        <v>1.4536500000000001</v>
      </c>
      <c r="AC68" s="30">
        <f>SUMIFS('Recipe Ingredients'!$Q$2:$Q$2500,'Recipe Ingredients'!$A$2:$A$2500,A68)/R68</f>
        <v>0.7614225</v>
      </c>
      <c r="AD68" s="29">
        <f>SUMIFS('Recipe Ingredients'!$R$2:$R$2500,'Recipe Ingredients'!$A$2:$A$2500,A68)/R68</f>
        <v>55.622500000000002</v>
      </c>
      <c r="AE68" s="30">
        <f>SUMIFS('Recipe Ingredients'!$S$2:$S$2500,'Recipe Ingredients'!$A$2:$A$2500,A68)/R68</f>
        <v>1.4394750000000001</v>
      </c>
      <c r="AF68" s="31">
        <f>IFERROR(V68/'Start Here'!$C$10,0)</f>
        <v>0.39850999999999992</v>
      </c>
      <c r="AG68" s="31">
        <f>IFERROR(W68/'Start Here'!$C$11,0)</f>
        <v>1.0547031250000001</v>
      </c>
      <c r="AH68" s="31">
        <f>IFERROR(X68/'Start Here'!$C$12,0)</f>
        <v>0.10179687500000002</v>
      </c>
      <c r="AI68" s="31">
        <f>IFERROR(Y68/'Start Here'!$C$13,0)</f>
        <v>0.13593333333333335</v>
      </c>
      <c r="AJ68" s="31">
        <f>IFERROR(Z68/'Start Here'!$C$14,0)</f>
        <v>0.36436249999999992</v>
      </c>
      <c r="AK68" s="31">
        <f>IFERROR(AA68/'Start Here'!$C$15,0)</f>
        <v>0.93437000000000003</v>
      </c>
      <c r="AL68" s="31">
        <f>IFERROR(AB68/'Start Here'!$C$16,0)</f>
        <v>0.12113750000000001</v>
      </c>
      <c r="AM68" s="31">
        <f>IFERROR(AC68/'Start Here'!$C$17,0)</f>
        <v>0.54387321428571433</v>
      </c>
      <c r="AN68" s="31">
        <f>IFERROR(AD68/'Start Here'!$C$18,0)</f>
        <v>0.14832666666666666</v>
      </c>
      <c r="AO68" s="31">
        <f>IFERROR(AE68/'Start Here'!$C$19,0)</f>
        <v>0.10281964285714286</v>
      </c>
      <c r="AP68" s="22" t="str">
        <f t="shared" si="14"/>
        <v>Vitamin C</v>
      </c>
      <c r="AQ68" s="7" t="str">
        <f t="shared" si="15"/>
        <v>Best for better vitamin C intake: one serving gives about 105% of your daily vitamin C from the produce alone.</v>
      </c>
      <c r="AR68" s="7" t="str">
        <f t="shared" si="16"/>
        <v>Fibre (40%), Folate (36%), Potassium (93%), Vitamin B6 (54%)</v>
      </c>
      <c r="AS68" s="7" t="s">
        <v>1737</v>
      </c>
      <c r="AT68" s="7" t="s">
        <v>1738</v>
      </c>
      <c r="AU68" s="28">
        <f>COUNTIFS('Recipe Ingredients'!$A$2:$A$2500,A68,'Recipe Ingredients'!$G$2:$G$2500,"Basket")</f>
        <v>6</v>
      </c>
      <c r="AV68" s="28">
        <f>COUNTIFS('Recipe Ingredients'!$A$2:$A$2500,A68,'Recipe Ingredients'!$G$2:$G$2500,"Protein")+COUNTIFS('Recipe Ingredients'!$A$2:$A$2500,A68,'Recipe Ingredients'!$G$2:$G$2500,"Pantry")</f>
        <v>3</v>
      </c>
      <c r="AW68" s="31">
        <f t="shared" si="17"/>
        <v>0.66666666666666663</v>
      </c>
      <c r="AX68" s="28" t="str">
        <f>IF(AW68&gt;='Start Here'!$C$6,"Yes","No")</f>
        <v>No</v>
      </c>
      <c r="AY68" s="7" t="s">
        <v>115</v>
      </c>
      <c r="AZ68" s="7" t="s">
        <v>1739</v>
      </c>
      <c r="BA68" s="7" t="s">
        <v>1740</v>
      </c>
      <c r="BB68" s="32" t="s">
        <v>964</v>
      </c>
    </row>
    <row r="69" spans="1:54" ht="96" customHeight="1" x14ac:dyDescent="0.25">
      <c r="A69" s="22" t="s">
        <v>1741</v>
      </c>
      <c r="B69" s="23" t="s">
        <v>1742</v>
      </c>
      <c r="C69" s="22" t="s">
        <v>949</v>
      </c>
      <c r="D69" s="22" t="s">
        <v>991</v>
      </c>
      <c r="E69" s="22" t="s">
        <v>1729</v>
      </c>
      <c r="F69" s="7" t="s">
        <v>1743</v>
      </c>
      <c r="G69" s="22" t="s">
        <v>1744</v>
      </c>
      <c r="H69" s="27" t="s">
        <v>1745</v>
      </c>
      <c r="I69" s="27" t="s">
        <v>1746</v>
      </c>
      <c r="J69" s="7" t="s">
        <v>1747</v>
      </c>
      <c r="K69" s="7" t="s">
        <v>1748</v>
      </c>
      <c r="L69" s="7" t="s">
        <v>203</v>
      </c>
      <c r="M69" s="22" t="s">
        <v>958</v>
      </c>
      <c r="N69" s="28">
        <v>10</v>
      </c>
      <c r="O69" s="28">
        <v>10</v>
      </c>
      <c r="P69" s="28">
        <f t="shared" si="12"/>
        <v>20</v>
      </c>
      <c r="Q69" s="22" t="str">
        <f t="shared" si="13"/>
        <v>Quick</v>
      </c>
      <c r="R69" s="28">
        <v>4</v>
      </c>
      <c r="S69" s="22">
        <v>260</v>
      </c>
      <c r="T69" s="22">
        <v>15</v>
      </c>
      <c r="U69" s="29">
        <f>SUMIFS('Recipe Ingredients'!$I$2:$I$2500,'Recipe Ingredients'!$A$2:$A$2500,A69)/R69</f>
        <v>104.25</v>
      </c>
      <c r="V69" s="29">
        <f>SUMIFS('Recipe Ingredients'!$J$2:$J$2500,'Recipe Ingredients'!$A$2:$A$2500,A69)/R69</f>
        <v>1.5609999999999997</v>
      </c>
      <c r="W69" s="29">
        <f>SUMIFS('Recipe Ingredients'!$K$2:$K$2500,'Recipe Ingredients'!$A$2:$A$2500,A69)/R69</f>
        <v>36.324249999999999</v>
      </c>
      <c r="X69" s="29">
        <f>SUMIFS('Recipe Ingredients'!$L$2:$L$2500,'Recipe Ingredients'!$A$2:$A$2500,A69)/R69</f>
        <v>37.619999999999997</v>
      </c>
      <c r="Y69" s="29">
        <f>SUMIFS('Recipe Ingredients'!$M$2:$M$2500,'Recipe Ingredients'!$A$2:$A$2500,A69)/R69</f>
        <v>30.562000000000001</v>
      </c>
      <c r="Z69" s="29">
        <f>SUMIFS('Recipe Ingredients'!$N$2:$N$2500,'Recipe Ingredients'!$A$2:$A$2500,A69)/R69</f>
        <v>19.762500000000003</v>
      </c>
      <c r="AA69" s="29">
        <f>SUMIFS('Recipe Ingredients'!$O$2:$O$2500,'Recipe Ingredients'!$A$2:$A$2500,A69)/R69</f>
        <v>234.07750000000001</v>
      </c>
      <c r="AB69" s="30">
        <f>SUMIFS('Recipe Ingredients'!$P$2:$P$2500,'Recipe Ingredients'!$A$2:$A$2500,A69)/R69</f>
        <v>0.51537500000000003</v>
      </c>
      <c r="AC69" s="30">
        <f>SUMIFS('Recipe Ingredients'!$Q$2:$Q$2500,'Recipe Ingredients'!$A$2:$A$2500,A69)/R69</f>
        <v>0.12942749999999997</v>
      </c>
      <c r="AD69" s="29">
        <f>SUMIFS('Recipe Ingredients'!$R$2:$R$2500,'Recipe Ingredients'!$A$2:$A$2500,A69)/R69</f>
        <v>12.3325</v>
      </c>
      <c r="AE69" s="30">
        <f>SUMIFS('Recipe Ingredients'!$S$2:$S$2500,'Recipe Ingredients'!$A$2:$A$2500,A69)/R69</f>
        <v>0.44792500000000002</v>
      </c>
      <c r="AF69" s="31">
        <f>IFERROR(V69/'Start Here'!$C$10,0)</f>
        <v>6.2439999999999989E-2</v>
      </c>
      <c r="AG69" s="31">
        <f>IFERROR(W69/'Start Here'!$C$11,0)</f>
        <v>0.454053125</v>
      </c>
      <c r="AH69" s="31">
        <f>IFERROR(X69/'Start Here'!$C$12,0)</f>
        <v>4.7024999999999997E-2</v>
      </c>
      <c r="AI69" s="31">
        <f>IFERROR(Y69/'Start Here'!$C$13,0)</f>
        <v>0.40749333333333337</v>
      </c>
      <c r="AJ69" s="31">
        <f>IFERROR(Z69/'Start Here'!$C$14,0)</f>
        <v>9.8812500000000011E-2</v>
      </c>
      <c r="AK69" s="31">
        <f>IFERROR(AA69/'Start Here'!$C$15,0)</f>
        <v>0.11703875000000001</v>
      </c>
      <c r="AL69" s="31">
        <f>IFERROR(AB69/'Start Here'!$C$16,0)</f>
        <v>4.2947916666666669E-2</v>
      </c>
      <c r="AM69" s="31">
        <f>IFERROR(AC69/'Start Here'!$C$17,0)</f>
        <v>9.2448214285714272E-2</v>
      </c>
      <c r="AN69" s="31">
        <f>IFERROR(AD69/'Start Here'!$C$18,0)</f>
        <v>3.2886666666666668E-2</v>
      </c>
      <c r="AO69" s="31">
        <f>IFERROR(AE69/'Start Here'!$C$19,0)</f>
        <v>3.199464285714286E-2</v>
      </c>
      <c r="AP69" s="22" t="str">
        <f t="shared" si="14"/>
        <v>Vitamin C</v>
      </c>
      <c r="AQ69" s="7" t="str">
        <f t="shared" si="15"/>
        <v>Best for better vitamin C intake: one serving gives about 45% of your daily vitamin C from the produce alone.</v>
      </c>
      <c r="AR69" s="7" t="str">
        <f t="shared" si="16"/>
        <v>Vitamin K (41%)</v>
      </c>
      <c r="AS69" s="7" t="s">
        <v>1749</v>
      </c>
      <c r="AT69" s="7" t="s">
        <v>1750</v>
      </c>
      <c r="AU69" s="28">
        <f>COUNTIFS('Recipe Ingredients'!$A$2:$A$2500,A69,'Recipe Ingredients'!$G$2:$G$2500,"Basket")</f>
        <v>4</v>
      </c>
      <c r="AV69" s="28">
        <f>COUNTIFS('Recipe Ingredients'!$A$2:$A$2500,A69,'Recipe Ingredients'!$G$2:$G$2500,"Protein")+COUNTIFS('Recipe Ingredients'!$A$2:$A$2500,A69,'Recipe Ingredients'!$G$2:$G$2500,"Pantry")</f>
        <v>3</v>
      </c>
      <c r="AW69" s="31">
        <f t="shared" si="17"/>
        <v>0.5714285714285714</v>
      </c>
      <c r="AX69" s="28" t="str">
        <f>IF(AW69&gt;='Start Here'!$C$6,"Yes","No")</f>
        <v>No</v>
      </c>
      <c r="AY69" s="7" t="s">
        <v>115</v>
      </c>
      <c r="AZ69" s="7" t="s">
        <v>1751</v>
      </c>
      <c r="BA69" s="7" t="s">
        <v>1752</v>
      </c>
      <c r="BB69" s="32" t="s">
        <v>964</v>
      </c>
    </row>
    <row r="70" spans="1:54" ht="96" customHeight="1" x14ac:dyDescent="0.25">
      <c r="A70" s="22" t="s">
        <v>1753</v>
      </c>
      <c r="B70" s="23" t="s">
        <v>1754</v>
      </c>
      <c r="C70" s="22" t="s">
        <v>949</v>
      </c>
      <c r="D70" s="22" t="s">
        <v>1003</v>
      </c>
      <c r="E70" s="22" t="s">
        <v>1029</v>
      </c>
      <c r="F70" s="7" t="s">
        <v>1755</v>
      </c>
      <c r="G70" s="22" t="s">
        <v>1457</v>
      </c>
      <c r="H70" s="27" t="s">
        <v>1756</v>
      </c>
      <c r="I70" s="7"/>
      <c r="J70" s="7" t="s">
        <v>1757</v>
      </c>
      <c r="K70" s="7" t="s">
        <v>1758</v>
      </c>
      <c r="L70" s="7" t="s">
        <v>974</v>
      </c>
      <c r="M70" s="22" t="s">
        <v>1051</v>
      </c>
      <c r="N70" s="28">
        <v>5</v>
      </c>
      <c r="O70" s="28">
        <v>5</v>
      </c>
      <c r="P70" s="28">
        <f t="shared" si="12"/>
        <v>10</v>
      </c>
      <c r="Q70" s="22" t="str">
        <f t="shared" si="13"/>
        <v>Quick</v>
      </c>
      <c r="R70" s="28">
        <v>2</v>
      </c>
      <c r="S70" s="22">
        <v>210</v>
      </c>
      <c r="T70" s="22">
        <v>5</v>
      </c>
      <c r="U70" s="29">
        <f>SUMIFS('Recipe Ingredients'!$I$2:$I$2500,'Recipe Ingredients'!$A$2:$A$2500,A70)/R70</f>
        <v>113.5</v>
      </c>
      <c r="V70" s="29">
        <f>SUMIFS('Recipe Ingredients'!$J$2:$J$2500,'Recipe Ingredients'!$A$2:$A$2500,A70)/R70</f>
        <v>1.6555</v>
      </c>
      <c r="W70" s="29">
        <f>SUMIFS('Recipe Ingredients'!$K$2:$K$2500,'Recipe Ingredients'!$A$2:$A$2500,A70)/R70</f>
        <v>18.635999999999999</v>
      </c>
      <c r="X70" s="29">
        <f>SUMIFS('Recipe Ingredients'!$L$2:$L$2500,'Recipe Ingredients'!$A$2:$A$2500,A70)/R70</f>
        <v>44.680000000000007</v>
      </c>
      <c r="Y70" s="29">
        <f>SUMIFS('Recipe Ingredients'!$M$2:$M$2500,'Recipe Ingredients'!$A$2:$A$2500,A70)/R70</f>
        <v>15.7705</v>
      </c>
      <c r="Z70" s="29">
        <f>SUMIFS('Recipe Ingredients'!$N$2:$N$2500,'Recipe Ingredients'!$A$2:$A$2500,A70)/R70</f>
        <v>16.715</v>
      </c>
      <c r="AA70" s="29">
        <f>SUMIFS('Recipe Ingredients'!$O$2:$O$2500,'Recipe Ingredients'!$A$2:$A$2500,A70)/R70</f>
        <v>254.88499999999999</v>
      </c>
      <c r="AB70" s="30">
        <f>SUMIFS('Recipe Ingredients'!$P$2:$P$2500,'Recipe Ingredients'!$A$2:$A$2500,A70)/R70</f>
        <v>0.55680000000000007</v>
      </c>
      <c r="AC70" s="30">
        <f>SUMIFS('Recipe Ingredients'!$Q$2:$Q$2500,'Recipe Ingredients'!$A$2:$A$2500,A70)/R70</f>
        <v>0.10333500000000001</v>
      </c>
      <c r="AD70" s="29">
        <f>SUMIFS('Recipe Ingredients'!$R$2:$R$2500,'Recipe Ingredients'!$A$2:$A$2500,A70)/R70</f>
        <v>12.904999999999999</v>
      </c>
      <c r="AE70" s="30">
        <f>SUMIFS('Recipe Ingredients'!$S$2:$S$2500,'Recipe Ingredients'!$A$2:$A$2500,A70)/R70</f>
        <v>0.44260000000000005</v>
      </c>
      <c r="AF70" s="31">
        <f>IFERROR(V70/'Start Here'!$C$10,0)</f>
        <v>6.6220000000000001E-2</v>
      </c>
      <c r="AG70" s="31">
        <f>IFERROR(W70/'Start Here'!$C$11,0)</f>
        <v>0.23294999999999999</v>
      </c>
      <c r="AH70" s="31">
        <f>IFERROR(X70/'Start Here'!$C$12,0)</f>
        <v>5.5850000000000011E-2</v>
      </c>
      <c r="AI70" s="31">
        <f>IFERROR(Y70/'Start Here'!$C$13,0)</f>
        <v>0.21027333333333334</v>
      </c>
      <c r="AJ70" s="31">
        <f>IFERROR(Z70/'Start Here'!$C$14,0)</f>
        <v>8.3574999999999997E-2</v>
      </c>
      <c r="AK70" s="31">
        <f>IFERROR(AA70/'Start Here'!$C$15,0)</f>
        <v>0.12744249999999999</v>
      </c>
      <c r="AL70" s="31">
        <f>IFERROR(AB70/'Start Here'!$C$16,0)</f>
        <v>4.6400000000000004E-2</v>
      </c>
      <c r="AM70" s="31">
        <f>IFERROR(AC70/'Start Here'!$C$17,0)</f>
        <v>7.3810714285714299E-2</v>
      </c>
      <c r="AN70" s="31">
        <f>IFERROR(AD70/'Start Here'!$C$18,0)</f>
        <v>3.441333333333333E-2</v>
      </c>
      <c r="AO70" s="31">
        <f>IFERROR(AE70/'Start Here'!$C$19,0)</f>
        <v>3.161428571428572E-2</v>
      </c>
      <c r="AP70" s="22" t="str">
        <f t="shared" si="14"/>
        <v>Vitamin C</v>
      </c>
      <c r="AQ70" s="7" t="str">
        <f t="shared" si="15"/>
        <v>Best for better vitamin C intake: one serving gives about 23% of your daily vitamin C from the produce alone.</v>
      </c>
      <c r="AR70" s="7" t="str">
        <f t="shared" si="16"/>
        <v/>
      </c>
      <c r="AS70" s="7" t="s">
        <v>1759</v>
      </c>
      <c r="AT70" s="7" t="s">
        <v>1760</v>
      </c>
      <c r="AU70" s="28">
        <f>COUNTIFS('Recipe Ingredients'!$A$2:$A$2500,A70,'Recipe Ingredients'!$G$2:$G$2500,"Basket")</f>
        <v>4</v>
      </c>
      <c r="AV70" s="28">
        <f>COUNTIFS('Recipe Ingredients'!$A$2:$A$2500,A70,'Recipe Ingredients'!$G$2:$G$2500,"Protein")+COUNTIFS('Recipe Ingredients'!$A$2:$A$2500,A70,'Recipe Ingredients'!$G$2:$G$2500,"Pantry")</f>
        <v>1</v>
      </c>
      <c r="AW70" s="31">
        <f t="shared" si="17"/>
        <v>0.8</v>
      </c>
      <c r="AX70" s="28" t="str">
        <f>IF(AW70&gt;='Start Here'!$C$6,"Yes","No")</f>
        <v>Yes</v>
      </c>
      <c r="AY70" s="7" t="s">
        <v>115</v>
      </c>
      <c r="AZ70" s="7" t="s">
        <v>1761</v>
      </c>
      <c r="BA70" s="7" t="s">
        <v>1762</v>
      </c>
      <c r="BB70" s="32" t="s">
        <v>964</v>
      </c>
    </row>
    <row r="71" spans="1:54" ht="96" customHeight="1" x14ac:dyDescent="0.25">
      <c r="A71" s="22" t="s">
        <v>1763</v>
      </c>
      <c r="B71" s="23" t="s">
        <v>1764</v>
      </c>
      <c r="C71" s="22" t="s">
        <v>949</v>
      </c>
      <c r="D71" s="22" t="s">
        <v>1003</v>
      </c>
      <c r="E71" s="22" t="s">
        <v>1029</v>
      </c>
      <c r="F71" s="7" t="s">
        <v>1765</v>
      </c>
      <c r="G71" s="22" t="s">
        <v>1005</v>
      </c>
      <c r="H71" s="27" t="s">
        <v>1766</v>
      </c>
      <c r="I71" s="27" t="s">
        <v>1767</v>
      </c>
      <c r="J71" s="7" t="s">
        <v>1768</v>
      </c>
      <c r="K71" s="7" t="s">
        <v>1769</v>
      </c>
      <c r="L71" s="7" t="s">
        <v>974</v>
      </c>
      <c r="M71" s="22" t="s">
        <v>1051</v>
      </c>
      <c r="N71" s="28">
        <v>15</v>
      </c>
      <c r="O71" s="28">
        <v>5</v>
      </c>
      <c r="P71" s="28">
        <f t="shared" si="12"/>
        <v>20</v>
      </c>
      <c r="Q71" s="22" t="str">
        <f t="shared" si="13"/>
        <v>Quick</v>
      </c>
      <c r="R71" s="28">
        <v>4</v>
      </c>
      <c r="S71" s="22">
        <v>190</v>
      </c>
      <c r="T71" s="22">
        <v>5</v>
      </c>
      <c r="U71" s="29">
        <f>SUMIFS('Recipe Ingredients'!$I$2:$I$2500,'Recipe Ingredients'!$A$2:$A$2500,A71)/R71</f>
        <v>120.5</v>
      </c>
      <c r="V71" s="29">
        <f>SUMIFS('Recipe Ingredients'!$J$2:$J$2500,'Recipe Ingredients'!$A$2:$A$2500,A71)/R71</f>
        <v>2.0747500000000003</v>
      </c>
      <c r="W71" s="29">
        <f>SUMIFS('Recipe Ingredients'!$K$2:$K$2500,'Recipe Ingredients'!$A$2:$A$2500,A71)/R71</f>
        <v>24.508249999999997</v>
      </c>
      <c r="X71" s="29">
        <f>SUMIFS('Recipe Ingredients'!$L$2:$L$2500,'Recipe Ingredients'!$A$2:$A$2500,A71)/R71</f>
        <v>49.940000000000005</v>
      </c>
      <c r="Y71" s="29">
        <f>SUMIFS('Recipe Ingredients'!$M$2:$M$2500,'Recipe Ingredients'!$A$2:$A$2500,A71)/R71</f>
        <v>20.410750000000004</v>
      </c>
      <c r="Z71" s="29">
        <f>SUMIFS('Recipe Ingredients'!$N$2:$N$2500,'Recipe Ingredients'!$A$2:$A$2500,A71)/R71</f>
        <v>18.312500000000004</v>
      </c>
      <c r="AA71" s="29">
        <f>SUMIFS('Recipe Ingredients'!$O$2:$O$2500,'Recipe Ingredients'!$A$2:$A$2500,A71)/R71</f>
        <v>275.73999999999995</v>
      </c>
      <c r="AB71" s="30">
        <f>SUMIFS('Recipe Ingredients'!$P$2:$P$2500,'Recipe Ingredients'!$A$2:$A$2500,A71)/R71</f>
        <v>0.59800000000000009</v>
      </c>
      <c r="AC71" s="30">
        <f>SUMIFS('Recipe Ingredients'!$Q$2:$Q$2500,'Recipe Ingredients'!$A$2:$A$2500,A71)/R71</f>
        <v>0.1097775</v>
      </c>
      <c r="AD71" s="29">
        <f>SUMIFS('Recipe Ingredients'!$R$2:$R$2500,'Recipe Ingredients'!$A$2:$A$2500,A71)/R71</f>
        <v>13.844999999999999</v>
      </c>
      <c r="AE71" s="30">
        <f>SUMIFS('Recipe Ingredients'!$S$2:$S$2500,'Recipe Ingredients'!$A$2:$A$2500,A71)/R71</f>
        <v>0.50025000000000008</v>
      </c>
      <c r="AF71" s="31">
        <f>IFERROR(V71/'Start Here'!$C$10,0)</f>
        <v>8.2990000000000008E-2</v>
      </c>
      <c r="AG71" s="31">
        <f>IFERROR(W71/'Start Here'!$C$11,0)</f>
        <v>0.30635312499999995</v>
      </c>
      <c r="AH71" s="31">
        <f>IFERROR(X71/'Start Here'!$C$12,0)</f>
        <v>6.2425000000000008E-2</v>
      </c>
      <c r="AI71" s="31">
        <f>IFERROR(Y71/'Start Here'!$C$13,0)</f>
        <v>0.2721433333333334</v>
      </c>
      <c r="AJ71" s="31">
        <f>IFERROR(Z71/'Start Here'!$C$14,0)</f>
        <v>9.1562500000000019E-2</v>
      </c>
      <c r="AK71" s="31">
        <f>IFERROR(AA71/'Start Here'!$C$15,0)</f>
        <v>0.13786999999999996</v>
      </c>
      <c r="AL71" s="31">
        <f>IFERROR(AB71/'Start Here'!$C$16,0)</f>
        <v>4.9833333333333341E-2</v>
      </c>
      <c r="AM71" s="31">
        <f>IFERROR(AC71/'Start Here'!$C$17,0)</f>
        <v>7.841250000000001E-2</v>
      </c>
      <c r="AN71" s="31">
        <f>IFERROR(AD71/'Start Here'!$C$18,0)</f>
        <v>3.6919999999999994E-2</v>
      </c>
      <c r="AO71" s="31">
        <f>IFERROR(AE71/'Start Here'!$C$19,0)</f>
        <v>3.5732142857142865E-2</v>
      </c>
      <c r="AP71" s="22" t="str">
        <f t="shared" si="14"/>
        <v>Vitamin C</v>
      </c>
      <c r="AQ71" s="7" t="str">
        <f t="shared" si="15"/>
        <v>Best for better vitamin C intake: one serving gives about 31% of your daily vitamin C from the produce alone.</v>
      </c>
      <c r="AR71" s="7" t="str">
        <f t="shared" si="16"/>
        <v>Vitamin K (27%)</v>
      </c>
      <c r="AS71" s="7" t="s">
        <v>1770</v>
      </c>
      <c r="AT71" s="7" t="s">
        <v>1771</v>
      </c>
      <c r="AU71" s="28">
        <f>COUNTIFS('Recipe Ingredients'!$A$2:$A$2500,A71,'Recipe Ingredients'!$G$2:$G$2500,"Basket")</f>
        <v>5</v>
      </c>
      <c r="AV71" s="28">
        <f>COUNTIFS('Recipe Ingredients'!$A$2:$A$2500,A71,'Recipe Ingredients'!$G$2:$G$2500,"Protein")+COUNTIFS('Recipe Ingredients'!$A$2:$A$2500,A71,'Recipe Ingredients'!$G$2:$G$2500,"Pantry")</f>
        <v>1</v>
      </c>
      <c r="AW71" s="31">
        <f t="shared" si="17"/>
        <v>0.83333333333333337</v>
      </c>
      <c r="AX71" s="28" t="str">
        <f>IF(AW71&gt;='Start Here'!$C$6,"Yes","No")</f>
        <v>Yes</v>
      </c>
      <c r="AY71" s="7" t="s">
        <v>115</v>
      </c>
      <c r="AZ71" s="7" t="s">
        <v>1772</v>
      </c>
      <c r="BA71" s="7" t="s">
        <v>1773</v>
      </c>
      <c r="BB71" s="32" t="s">
        <v>964</v>
      </c>
    </row>
    <row r="72" spans="1:54" ht="96" customHeight="1" x14ac:dyDescent="0.25">
      <c r="A72" s="22" t="s">
        <v>1774</v>
      </c>
      <c r="B72" s="23" t="s">
        <v>1775</v>
      </c>
      <c r="C72" s="22" t="s">
        <v>949</v>
      </c>
      <c r="D72" s="22" t="s">
        <v>1003</v>
      </c>
      <c r="E72" s="22" t="s">
        <v>1729</v>
      </c>
      <c r="F72" s="7" t="s">
        <v>1776</v>
      </c>
      <c r="G72" s="22" t="s">
        <v>953</v>
      </c>
      <c r="H72" s="27" t="s">
        <v>1777</v>
      </c>
      <c r="I72" s="27" t="s">
        <v>1778</v>
      </c>
      <c r="J72" s="7" t="s">
        <v>1779</v>
      </c>
      <c r="K72" s="7" t="s">
        <v>1780</v>
      </c>
      <c r="L72" s="7" t="s">
        <v>974</v>
      </c>
      <c r="M72" s="22" t="s">
        <v>958</v>
      </c>
      <c r="N72" s="28">
        <v>10</v>
      </c>
      <c r="O72" s="28">
        <v>10</v>
      </c>
      <c r="P72" s="28">
        <f t="shared" si="12"/>
        <v>20</v>
      </c>
      <c r="Q72" s="22" t="str">
        <f t="shared" si="13"/>
        <v>Quick</v>
      </c>
      <c r="R72" s="28">
        <v>2</v>
      </c>
      <c r="S72" s="22">
        <v>240</v>
      </c>
      <c r="T72" s="22">
        <v>9</v>
      </c>
      <c r="U72" s="29">
        <f>SUMIFS('Recipe Ingredients'!$I$2:$I$2500,'Recipe Ingredients'!$A$2:$A$2500,A72)/R72</f>
        <v>164.5</v>
      </c>
      <c r="V72" s="29">
        <f>SUMIFS('Recipe Ingredients'!$J$2:$J$2500,'Recipe Ingredients'!$A$2:$A$2500,A72)/R72</f>
        <v>3.8400000000000003</v>
      </c>
      <c r="W72" s="29">
        <f>SUMIFS('Recipe Ingredients'!$K$2:$K$2500,'Recipe Ingredients'!$A$2:$A$2500,A72)/R72</f>
        <v>7.6660000000000004</v>
      </c>
      <c r="X72" s="29">
        <f>SUMIFS('Recipe Ingredients'!$L$2:$L$2500,'Recipe Ingredients'!$A$2:$A$2500,A72)/R72</f>
        <v>20.59</v>
      </c>
      <c r="Y72" s="29">
        <f>SUMIFS('Recipe Ingredients'!$M$2:$M$2500,'Recipe Ingredients'!$A$2:$A$2500,A72)/R72</f>
        <v>81.176000000000002</v>
      </c>
      <c r="Z72" s="29">
        <f>SUMIFS('Recipe Ingredients'!$N$2:$N$2500,'Recipe Ingredients'!$A$2:$A$2500,A72)/R72</f>
        <v>67.97</v>
      </c>
      <c r="AA72" s="29">
        <f>SUMIFS('Recipe Ingredients'!$O$2:$O$2500,'Recipe Ingredients'!$A$2:$A$2500,A72)/R72</f>
        <v>684.89</v>
      </c>
      <c r="AB72" s="30">
        <f>SUMIFS('Recipe Ingredients'!$P$2:$P$2500,'Recipe Ingredients'!$A$2:$A$2500,A72)/R72</f>
        <v>7.3649999999999993E-2</v>
      </c>
      <c r="AC72" s="30">
        <f>SUMIFS('Recipe Ingredients'!$Q$2:$Q$2500,'Recipe Ingredients'!$A$2:$A$2500,A72)/R72</f>
        <v>0.210225</v>
      </c>
      <c r="AD72" s="29">
        <f>SUMIFS('Recipe Ingredients'!$R$2:$R$2500,'Recipe Ingredients'!$A$2:$A$2500,A72)/R72</f>
        <v>31.25</v>
      </c>
      <c r="AE72" s="30">
        <f>SUMIFS('Recipe Ingredients'!$S$2:$S$2500,'Recipe Ingredients'!$A$2:$A$2500,A72)/R72</f>
        <v>2.4050000000000007</v>
      </c>
      <c r="AF72" s="31">
        <f>IFERROR(V72/'Start Here'!$C$10,0)</f>
        <v>0.15360000000000001</v>
      </c>
      <c r="AG72" s="31">
        <f>IFERROR(W72/'Start Here'!$C$11,0)</f>
        <v>9.5825000000000007E-2</v>
      </c>
      <c r="AH72" s="31">
        <f>IFERROR(X72/'Start Here'!$C$12,0)</f>
        <v>2.57375E-2</v>
      </c>
      <c r="AI72" s="31">
        <f>IFERROR(Y72/'Start Here'!$C$13,0)</f>
        <v>1.0823466666666668</v>
      </c>
      <c r="AJ72" s="31">
        <f>IFERROR(Z72/'Start Here'!$C$14,0)</f>
        <v>0.33984999999999999</v>
      </c>
      <c r="AK72" s="31">
        <f>IFERROR(AA72/'Start Here'!$C$15,0)</f>
        <v>0.342445</v>
      </c>
      <c r="AL72" s="31">
        <f>IFERROR(AB72/'Start Here'!$C$16,0)</f>
        <v>6.1374999999999997E-3</v>
      </c>
      <c r="AM72" s="31">
        <f>IFERROR(AC72/'Start Here'!$C$17,0)</f>
        <v>0.15016071428571429</v>
      </c>
      <c r="AN72" s="31">
        <f>IFERROR(AD72/'Start Here'!$C$18,0)</f>
        <v>8.3333333333333329E-2</v>
      </c>
      <c r="AO72" s="31">
        <f>IFERROR(AE72/'Start Here'!$C$19,0)</f>
        <v>0.17178571428571435</v>
      </c>
      <c r="AP72" s="22" t="str">
        <f t="shared" si="14"/>
        <v>Vitamin K</v>
      </c>
      <c r="AQ72" s="7" t="str">
        <f t="shared" si="15"/>
        <v>Best for better vitamin K intake: one serving gives about 108% of your daily vitamin K from the produce alone.</v>
      </c>
      <c r="AR72" s="7" t="str">
        <f t="shared" si="16"/>
        <v>Folate (34%), Potassium (34%)</v>
      </c>
      <c r="AS72" s="7" t="s">
        <v>1781</v>
      </c>
      <c r="AT72" s="7" t="s">
        <v>1782</v>
      </c>
      <c r="AU72" s="28">
        <f>COUNTIFS('Recipe Ingredients'!$A$2:$A$2500,A72,'Recipe Ingredients'!$G$2:$G$2500,"Basket")</f>
        <v>4</v>
      </c>
      <c r="AV72" s="28">
        <f>COUNTIFS('Recipe Ingredients'!$A$2:$A$2500,A72,'Recipe Ingredients'!$G$2:$G$2500,"Protein")+COUNTIFS('Recipe Ingredients'!$A$2:$A$2500,A72,'Recipe Ingredients'!$G$2:$G$2500,"Pantry")</f>
        <v>2</v>
      </c>
      <c r="AW72" s="31">
        <f t="shared" si="17"/>
        <v>0.66666666666666663</v>
      </c>
      <c r="AX72" s="28" t="str">
        <f>IF(AW72&gt;='Start Here'!$C$6,"Yes","No")</f>
        <v>No</v>
      </c>
      <c r="AY72" s="7" t="s">
        <v>115</v>
      </c>
      <c r="AZ72" s="7" t="s">
        <v>1783</v>
      </c>
      <c r="BA72" s="7" t="s">
        <v>1784</v>
      </c>
      <c r="BB72" s="32" t="s">
        <v>964</v>
      </c>
    </row>
    <row r="73" spans="1:54" ht="96" customHeight="1" x14ac:dyDescent="0.25">
      <c r="A73" s="22" t="s">
        <v>1785</v>
      </c>
      <c r="B73" s="23" t="s">
        <v>1786</v>
      </c>
      <c r="C73" s="22" t="s">
        <v>949</v>
      </c>
      <c r="D73" s="22" t="s">
        <v>991</v>
      </c>
      <c r="E73" s="22" t="s">
        <v>1787</v>
      </c>
      <c r="F73" s="7" t="s">
        <v>1788</v>
      </c>
      <c r="G73" s="22" t="s">
        <v>1789</v>
      </c>
      <c r="H73" s="27" t="s">
        <v>1790</v>
      </c>
      <c r="I73" s="27" t="s">
        <v>1791</v>
      </c>
      <c r="J73" s="7" t="s">
        <v>1792</v>
      </c>
      <c r="K73" s="7" t="s">
        <v>1793</v>
      </c>
      <c r="L73" s="7" t="s">
        <v>1794</v>
      </c>
      <c r="M73" s="22" t="s">
        <v>958</v>
      </c>
      <c r="N73" s="28">
        <v>5</v>
      </c>
      <c r="O73" s="28">
        <v>8</v>
      </c>
      <c r="P73" s="28">
        <f t="shared" si="12"/>
        <v>13</v>
      </c>
      <c r="Q73" s="22" t="str">
        <f t="shared" si="13"/>
        <v>Quick</v>
      </c>
      <c r="R73" s="28">
        <v>2</v>
      </c>
      <c r="S73" s="22">
        <v>280</v>
      </c>
      <c r="T73" s="22">
        <v>14</v>
      </c>
      <c r="U73" s="29">
        <f>SUMIFS('Recipe Ingredients'!$I$2:$I$2500,'Recipe Ingredients'!$A$2:$A$2500,A73)/R73</f>
        <v>139</v>
      </c>
      <c r="V73" s="29">
        <f>SUMIFS('Recipe Ingredients'!$J$2:$J$2500,'Recipe Ingredients'!$A$2:$A$2500,A73)/R73</f>
        <v>1.8779999999999997</v>
      </c>
      <c r="W73" s="29">
        <f>SUMIFS('Recipe Ingredients'!$K$2:$K$2500,'Recipe Ingredients'!$A$2:$A$2500,A73)/R73</f>
        <v>19.808</v>
      </c>
      <c r="X73" s="29">
        <f>SUMIFS('Recipe Ingredients'!$L$2:$L$2500,'Recipe Ingredients'!$A$2:$A$2500,A73)/R73</f>
        <v>59.58</v>
      </c>
      <c r="Y73" s="29">
        <f>SUMIFS('Recipe Ingredients'!$M$2:$M$2500,'Recipe Ingredients'!$A$2:$A$2500,A73)/R73</f>
        <v>40.846000000000004</v>
      </c>
      <c r="Z73" s="29">
        <f>SUMIFS('Recipe Ingredients'!$N$2:$N$2500,'Recipe Ingredients'!$A$2:$A$2500,A73)/R73</f>
        <v>28.200000000000003</v>
      </c>
      <c r="AA73" s="29">
        <f>SUMIFS('Recipe Ingredients'!$O$2:$O$2500,'Recipe Ingredients'!$A$2:$A$2500,A73)/R73</f>
        <v>335.28</v>
      </c>
      <c r="AB73" s="30">
        <f>SUMIFS('Recipe Ingredients'!$P$2:$P$2500,'Recipe Ingredients'!$A$2:$A$2500,A73)/R73</f>
        <v>0.7521000000000001</v>
      </c>
      <c r="AC73" s="30">
        <f>SUMIFS('Recipe Ingredients'!$Q$2:$Q$2500,'Recipe Ingredients'!$A$2:$A$2500,A73)/R73</f>
        <v>0.10835</v>
      </c>
      <c r="AD73" s="29">
        <f>SUMIFS('Recipe Ingredients'!$R$2:$R$2500,'Recipe Ingredients'!$A$2:$A$2500,A73)/R73</f>
        <v>16.64</v>
      </c>
      <c r="AE73" s="30">
        <f>SUMIFS('Recipe Ingredients'!$S$2:$S$2500,'Recipe Ingredients'!$A$2:$A$2500,A73)/R73</f>
        <v>0.55680000000000007</v>
      </c>
      <c r="AF73" s="31">
        <f>IFERROR(V73/'Start Here'!$C$10,0)</f>
        <v>7.5119999999999992E-2</v>
      </c>
      <c r="AG73" s="31">
        <f>IFERROR(W73/'Start Here'!$C$11,0)</f>
        <v>0.24759999999999999</v>
      </c>
      <c r="AH73" s="31">
        <f>IFERROR(X73/'Start Here'!$C$12,0)</f>
        <v>7.4475E-2</v>
      </c>
      <c r="AI73" s="31">
        <f>IFERROR(Y73/'Start Here'!$C$13,0)</f>
        <v>0.54461333333333339</v>
      </c>
      <c r="AJ73" s="31">
        <f>IFERROR(Z73/'Start Here'!$C$14,0)</f>
        <v>0.14100000000000001</v>
      </c>
      <c r="AK73" s="31">
        <f>IFERROR(AA73/'Start Here'!$C$15,0)</f>
        <v>0.16763999999999998</v>
      </c>
      <c r="AL73" s="31">
        <f>IFERROR(AB73/'Start Here'!$C$16,0)</f>
        <v>6.2675000000000008E-2</v>
      </c>
      <c r="AM73" s="31">
        <f>IFERROR(AC73/'Start Here'!$C$17,0)</f>
        <v>7.7392857142857152E-2</v>
      </c>
      <c r="AN73" s="31">
        <f>IFERROR(AD73/'Start Here'!$C$18,0)</f>
        <v>4.4373333333333334E-2</v>
      </c>
      <c r="AO73" s="31">
        <f>IFERROR(AE73/'Start Here'!$C$19,0)</f>
        <v>3.9771428571428576E-2</v>
      </c>
      <c r="AP73" s="22" t="str">
        <f t="shared" si="14"/>
        <v>Vitamin K</v>
      </c>
      <c r="AQ73" s="7" t="str">
        <f t="shared" si="15"/>
        <v>Best for better vitamin K intake: one serving gives about 54% of your daily vitamin K from the produce alone.</v>
      </c>
      <c r="AR73" s="7" t="str">
        <f t="shared" si="16"/>
        <v/>
      </c>
      <c r="AS73" s="7" t="s">
        <v>1795</v>
      </c>
      <c r="AT73" s="7" t="s">
        <v>1796</v>
      </c>
      <c r="AU73" s="28">
        <f>COUNTIFS('Recipe Ingredients'!$A$2:$A$2500,A73,'Recipe Ingredients'!$G$2:$G$2500,"Basket")</f>
        <v>2</v>
      </c>
      <c r="AV73" s="28">
        <f>COUNTIFS('Recipe Ingredients'!$A$2:$A$2500,A73,'Recipe Ingredients'!$G$2:$G$2500,"Protein")+COUNTIFS('Recipe Ingredients'!$A$2:$A$2500,A73,'Recipe Ingredients'!$G$2:$G$2500,"Pantry")</f>
        <v>2</v>
      </c>
      <c r="AW73" s="31">
        <f t="shared" si="17"/>
        <v>0.5</v>
      </c>
      <c r="AX73" s="28" t="str">
        <f>IF(AW73&gt;='Start Here'!$C$6,"Yes","No")</f>
        <v>No</v>
      </c>
      <c r="AY73" s="7" t="s">
        <v>115</v>
      </c>
      <c r="AZ73" s="7" t="s">
        <v>1797</v>
      </c>
      <c r="BA73" s="7" t="s">
        <v>1798</v>
      </c>
      <c r="BB73" s="32" t="s">
        <v>964</v>
      </c>
    </row>
    <row r="74" spans="1:54" ht="96" customHeight="1" x14ac:dyDescent="0.25">
      <c r="A74" s="22" t="s">
        <v>1799</v>
      </c>
      <c r="B74" s="23" t="s">
        <v>1800</v>
      </c>
      <c r="C74" s="22" t="s">
        <v>949</v>
      </c>
      <c r="D74" s="22" t="s">
        <v>1801</v>
      </c>
      <c r="E74" s="22" t="s">
        <v>951</v>
      </c>
      <c r="F74" s="7" t="s">
        <v>1802</v>
      </c>
      <c r="G74" s="22" t="s">
        <v>1181</v>
      </c>
      <c r="H74" s="27" t="s">
        <v>1803</v>
      </c>
      <c r="I74" s="7"/>
      <c r="J74" s="7" t="s">
        <v>1804</v>
      </c>
      <c r="K74" s="7" t="s">
        <v>1805</v>
      </c>
      <c r="L74" s="7" t="s">
        <v>180</v>
      </c>
      <c r="M74" s="22" t="s">
        <v>958</v>
      </c>
      <c r="N74" s="28">
        <v>5</v>
      </c>
      <c r="O74" s="28">
        <v>6</v>
      </c>
      <c r="P74" s="28">
        <f t="shared" si="12"/>
        <v>11</v>
      </c>
      <c r="Q74" s="22" t="str">
        <f t="shared" si="13"/>
        <v>Quick</v>
      </c>
      <c r="R74" s="28">
        <v>2</v>
      </c>
      <c r="S74" s="22">
        <v>220</v>
      </c>
      <c r="T74" s="22">
        <v>13</v>
      </c>
      <c r="U74" s="29">
        <f>SUMIFS('Recipe Ingredients'!$I$2:$I$2500,'Recipe Ingredients'!$A$2:$A$2500,A74)/R74</f>
        <v>59</v>
      </c>
      <c r="V74" s="29">
        <f>SUMIFS('Recipe Ingredients'!$J$2:$J$2500,'Recipe Ingredients'!$A$2:$A$2500,A74)/R74</f>
        <v>0.872</v>
      </c>
      <c r="W74" s="29">
        <f>SUMIFS('Recipe Ingredients'!$K$2:$K$2500,'Recipe Ingredients'!$A$2:$A$2500,A74)/R74</f>
        <v>20.732999999999997</v>
      </c>
      <c r="X74" s="29">
        <f>SUMIFS('Recipe Ingredients'!$L$2:$L$2500,'Recipe Ingredients'!$A$2:$A$2500,A74)/R74</f>
        <v>31.3</v>
      </c>
      <c r="Y74" s="29">
        <f>SUMIFS('Recipe Ingredients'!$M$2:$M$2500,'Recipe Ingredients'!$A$2:$A$2500,A74)/R74</f>
        <v>16.305</v>
      </c>
      <c r="Z74" s="29">
        <f>SUMIFS('Recipe Ingredients'!$N$2:$N$2500,'Recipe Ingredients'!$A$2:$A$2500,A74)/R74</f>
        <v>12.09</v>
      </c>
      <c r="AA74" s="29">
        <f>SUMIFS('Recipe Ingredients'!$O$2:$O$2500,'Recipe Ingredients'!$A$2:$A$2500,A74)/R74</f>
        <v>146.94999999999999</v>
      </c>
      <c r="AB74" s="30">
        <f>SUMIFS('Recipe Ingredients'!$P$2:$P$2500,'Recipe Ingredients'!$A$2:$A$2500,A74)/R74</f>
        <v>0.3392</v>
      </c>
      <c r="AC74" s="30">
        <f>SUMIFS('Recipe Ingredients'!$Q$2:$Q$2500,'Recipe Ingredients'!$A$2:$A$2500,A74)/R74</f>
        <v>9.8159999999999997E-2</v>
      </c>
      <c r="AD74" s="29">
        <f>SUMIFS('Recipe Ingredients'!$R$2:$R$2500,'Recipe Ingredients'!$A$2:$A$2500,A74)/R74</f>
        <v>8.15</v>
      </c>
      <c r="AE74" s="30">
        <f>SUMIFS('Recipe Ingredients'!$S$2:$S$2500,'Recipe Ingredients'!$A$2:$A$2500,A74)/R74</f>
        <v>0.28690000000000004</v>
      </c>
      <c r="AF74" s="31">
        <f>IFERROR(V74/'Start Here'!$C$10,0)</f>
        <v>3.4880000000000001E-2</v>
      </c>
      <c r="AG74" s="31">
        <f>IFERROR(W74/'Start Here'!$C$11,0)</f>
        <v>0.25916249999999996</v>
      </c>
      <c r="AH74" s="31">
        <f>IFERROR(X74/'Start Here'!$C$12,0)</f>
        <v>3.9125E-2</v>
      </c>
      <c r="AI74" s="31">
        <f>IFERROR(Y74/'Start Here'!$C$13,0)</f>
        <v>0.21740000000000001</v>
      </c>
      <c r="AJ74" s="31">
        <f>IFERROR(Z74/'Start Here'!$C$14,0)</f>
        <v>6.0449999999999997E-2</v>
      </c>
      <c r="AK74" s="31">
        <f>IFERROR(AA74/'Start Here'!$C$15,0)</f>
        <v>7.3474999999999999E-2</v>
      </c>
      <c r="AL74" s="31">
        <f>IFERROR(AB74/'Start Here'!$C$16,0)</f>
        <v>2.8266666666666666E-2</v>
      </c>
      <c r="AM74" s="31">
        <f>IFERROR(AC74/'Start Here'!$C$17,0)</f>
        <v>7.0114285714285712E-2</v>
      </c>
      <c r="AN74" s="31">
        <f>IFERROR(AD74/'Start Here'!$C$18,0)</f>
        <v>2.1733333333333334E-2</v>
      </c>
      <c r="AO74" s="31">
        <f>IFERROR(AE74/'Start Here'!$C$19,0)</f>
        <v>2.0492857142857146E-2</v>
      </c>
      <c r="AP74" s="22" t="str">
        <f t="shared" si="14"/>
        <v>Vitamin C</v>
      </c>
      <c r="AQ74" s="7" t="str">
        <f t="shared" si="15"/>
        <v>Best for better vitamin C intake: one serving gives about 26% of your daily vitamin C from the produce alone.</v>
      </c>
      <c r="AR74" s="7" t="str">
        <f t="shared" si="16"/>
        <v/>
      </c>
      <c r="AS74" s="7" t="s">
        <v>1806</v>
      </c>
      <c r="AT74" s="7" t="s">
        <v>1807</v>
      </c>
      <c r="AU74" s="28">
        <f>COUNTIFS('Recipe Ingredients'!$A$2:$A$2500,A74,'Recipe Ingredients'!$G$2:$G$2500,"Basket")</f>
        <v>4</v>
      </c>
      <c r="AV74" s="28">
        <f>COUNTIFS('Recipe Ingredients'!$A$2:$A$2500,A74,'Recipe Ingredients'!$G$2:$G$2500,"Protein")+COUNTIFS('Recipe Ingredients'!$A$2:$A$2500,A74,'Recipe Ingredients'!$G$2:$G$2500,"Pantry")</f>
        <v>2</v>
      </c>
      <c r="AW74" s="31">
        <f t="shared" si="17"/>
        <v>0.66666666666666663</v>
      </c>
      <c r="AX74" s="28" t="str">
        <f>IF(AW74&gt;='Start Here'!$C$6,"Yes","No")</f>
        <v>No</v>
      </c>
      <c r="AY74" s="7" t="s">
        <v>115</v>
      </c>
      <c r="AZ74" s="7" t="s">
        <v>1808</v>
      </c>
      <c r="BA74" s="7" t="s">
        <v>1809</v>
      </c>
      <c r="BB74" s="32" t="s">
        <v>964</v>
      </c>
    </row>
    <row r="75" spans="1:54" ht="96" customHeight="1" x14ac:dyDescent="0.25">
      <c r="A75" s="22" t="s">
        <v>1810</v>
      </c>
      <c r="B75" s="23" t="s">
        <v>1811</v>
      </c>
      <c r="C75" s="22" t="s">
        <v>949</v>
      </c>
      <c r="D75" s="22" t="s">
        <v>991</v>
      </c>
      <c r="E75" s="22" t="s">
        <v>951</v>
      </c>
      <c r="F75" s="7" t="s">
        <v>1812</v>
      </c>
      <c r="G75" s="22" t="s">
        <v>1469</v>
      </c>
      <c r="H75" s="27" t="s">
        <v>1813</v>
      </c>
      <c r="I75" s="27" t="s">
        <v>1814</v>
      </c>
      <c r="J75" s="7" t="s">
        <v>1815</v>
      </c>
      <c r="K75" s="7" t="s">
        <v>1816</v>
      </c>
      <c r="L75" s="7" t="s">
        <v>1010</v>
      </c>
      <c r="M75" s="22" t="s">
        <v>958</v>
      </c>
      <c r="N75" s="28">
        <v>8</v>
      </c>
      <c r="O75" s="28">
        <v>7</v>
      </c>
      <c r="P75" s="28">
        <f t="shared" si="12"/>
        <v>15</v>
      </c>
      <c r="Q75" s="22" t="str">
        <f t="shared" si="13"/>
        <v>Quick</v>
      </c>
      <c r="R75" s="28">
        <v>2</v>
      </c>
      <c r="S75" s="22">
        <v>290</v>
      </c>
      <c r="T75" s="22">
        <v>14</v>
      </c>
      <c r="U75" s="29">
        <f>SUMIFS('Recipe Ingredients'!$I$2:$I$2500,'Recipe Ingredients'!$A$2:$A$2500,A75)/R75</f>
        <v>195.5</v>
      </c>
      <c r="V75" s="29">
        <f>SUMIFS('Recipe Ingredients'!$J$2:$J$2500,'Recipe Ingredients'!$A$2:$A$2500,A75)/R75</f>
        <v>8.0775000000000006</v>
      </c>
      <c r="W75" s="29">
        <f>SUMIFS('Recipe Ingredients'!$K$2:$K$2500,'Recipe Ingredients'!$A$2:$A$2500,A75)/R75</f>
        <v>25.177500000000002</v>
      </c>
      <c r="X75" s="29">
        <f>SUMIFS('Recipe Ingredients'!$L$2:$L$2500,'Recipe Ingredients'!$A$2:$A$2500,A75)/R75</f>
        <v>47.754999999999995</v>
      </c>
      <c r="Y75" s="29">
        <f>SUMIFS('Recipe Ingredients'!$M$2:$M$2500,'Recipe Ingredients'!$A$2:$A$2500,A75)/R75</f>
        <v>38.859000000000002</v>
      </c>
      <c r="Z75" s="29">
        <f>SUMIFS('Recipe Ingredients'!$N$2:$N$2500,'Recipe Ingredients'!$A$2:$A$2500,A75)/R75</f>
        <v>98.795000000000002</v>
      </c>
      <c r="AA75" s="29">
        <f>SUMIFS('Recipe Ingredients'!$O$2:$O$2500,'Recipe Ingredients'!$A$2:$A$2500,A75)/R75</f>
        <v>701.94500000000005</v>
      </c>
      <c r="AB75" s="30">
        <f>SUMIFS('Recipe Ingredients'!$P$2:$P$2500,'Recipe Ingredients'!$A$2:$A$2500,A75)/R75</f>
        <v>2.5377000000000005</v>
      </c>
      <c r="AC75" s="30">
        <f>SUMIFS('Recipe Ingredients'!$Q$2:$Q$2500,'Recipe Ingredients'!$A$2:$A$2500,A75)/R75</f>
        <v>0.35829500000000009</v>
      </c>
      <c r="AD75" s="29">
        <f>SUMIFS('Recipe Ingredients'!$R$2:$R$2500,'Recipe Ingredients'!$A$2:$A$2500,A75)/R75</f>
        <v>40.229999999999997</v>
      </c>
      <c r="AE75" s="30">
        <f>SUMIFS('Recipe Ingredients'!$S$2:$S$2500,'Recipe Ingredients'!$A$2:$A$2500,A75)/R75</f>
        <v>0.87235000000000007</v>
      </c>
      <c r="AF75" s="31">
        <f>IFERROR(V75/'Start Here'!$C$10,0)</f>
        <v>0.3231</v>
      </c>
      <c r="AG75" s="31">
        <f>IFERROR(W75/'Start Here'!$C$11,0)</f>
        <v>0.31471875000000005</v>
      </c>
      <c r="AH75" s="31">
        <f>IFERROR(X75/'Start Here'!$C$12,0)</f>
        <v>5.9693749999999997E-2</v>
      </c>
      <c r="AI75" s="31">
        <f>IFERROR(Y75/'Start Here'!$C$13,0)</f>
        <v>0.51812000000000002</v>
      </c>
      <c r="AJ75" s="31">
        <f>IFERROR(Z75/'Start Here'!$C$14,0)</f>
        <v>0.493975</v>
      </c>
      <c r="AK75" s="31">
        <f>IFERROR(AA75/'Start Here'!$C$15,0)</f>
        <v>0.35097250000000002</v>
      </c>
      <c r="AL75" s="31">
        <f>IFERROR(AB75/'Start Here'!$C$16,0)</f>
        <v>0.21147500000000005</v>
      </c>
      <c r="AM75" s="31">
        <f>IFERROR(AC75/'Start Here'!$C$17,0)</f>
        <v>0.25592500000000007</v>
      </c>
      <c r="AN75" s="31">
        <f>IFERROR(AD75/'Start Here'!$C$18,0)</f>
        <v>0.10727999999999999</v>
      </c>
      <c r="AO75" s="31">
        <f>IFERROR(AE75/'Start Here'!$C$19,0)</f>
        <v>6.2310714285714289E-2</v>
      </c>
      <c r="AP75" s="22" t="str">
        <f t="shared" si="14"/>
        <v>Vitamin K</v>
      </c>
      <c r="AQ75" s="7" t="str">
        <f t="shared" si="15"/>
        <v>Best for better vitamin K intake: one serving gives about 52% of your daily vitamin K from the produce alone.</v>
      </c>
      <c r="AR75" s="7" t="str">
        <f t="shared" si="16"/>
        <v>Fibre (32%), Vitamin C (31%), Folate (49%), Potassium (35%), Vitamin B6 (26%)</v>
      </c>
      <c r="AS75" s="7" t="s">
        <v>1817</v>
      </c>
      <c r="AT75" s="7" t="s">
        <v>1818</v>
      </c>
      <c r="AU75" s="28">
        <f>COUNTIFS('Recipe Ingredients'!$A$2:$A$2500,A75,'Recipe Ingredients'!$G$2:$G$2500,"Basket")</f>
        <v>5</v>
      </c>
      <c r="AV75" s="28">
        <f>COUNTIFS('Recipe Ingredients'!$A$2:$A$2500,A75,'Recipe Ingredients'!$G$2:$G$2500,"Protein")+COUNTIFS('Recipe Ingredients'!$A$2:$A$2500,A75,'Recipe Ingredients'!$G$2:$G$2500,"Pantry")</f>
        <v>1</v>
      </c>
      <c r="AW75" s="31">
        <f t="shared" si="17"/>
        <v>0.83333333333333337</v>
      </c>
      <c r="AX75" s="28" t="str">
        <f>IF(AW75&gt;='Start Here'!$C$6,"Yes","No")</f>
        <v>Yes</v>
      </c>
      <c r="AY75" s="7" t="s">
        <v>115</v>
      </c>
      <c r="AZ75" s="7" t="s">
        <v>1819</v>
      </c>
      <c r="BA75" s="7" t="s">
        <v>1820</v>
      </c>
      <c r="BB75" s="32" t="s">
        <v>964</v>
      </c>
    </row>
    <row r="76" spans="1:54" ht="96" customHeight="1" x14ac:dyDescent="0.25">
      <c r="A76" s="22" t="s">
        <v>1821</v>
      </c>
      <c r="B76" s="23" t="s">
        <v>1822</v>
      </c>
      <c r="C76" s="22" t="s">
        <v>949</v>
      </c>
      <c r="D76" s="22" t="s">
        <v>991</v>
      </c>
      <c r="E76" s="22" t="s">
        <v>1729</v>
      </c>
      <c r="F76" s="7" t="s">
        <v>1823</v>
      </c>
      <c r="G76" s="22" t="s">
        <v>1457</v>
      </c>
      <c r="H76" s="27" t="s">
        <v>1824</v>
      </c>
      <c r="I76" s="7"/>
      <c r="J76" s="7" t="s">
        <v>1825</v>
      </c>
      <c r="K76" s="7" t="s">
        <v>1826</v>
      </c>
      <c r="L76" s="7" t="s">
        <v>203</v>
      </c>
      <c r="M76" s="22" t="s">
        <v>958</v>
      </c>
      <c r="N76" s="28">
        <v>5</v>
      </c>
      <c r="O76" s="28">
        <v>10</v>
      </c>
      <c r="P76" s="28">
        <f t="shared" si="12"/>
        <v>15</v>
      </c>
      <c r="Q76" s="22" t="str">
        <f t="shared" si="13"/>
        <v>Quick</v>
      </c>
      <c r="R76" s="28">
        <v>2</v>
      </c>
      <c r="S76" s="22">
        <v>330</v>
      </c>
      <c r="T76" s="22">
        <v>19</v>
      </c>
      <c r="U76" s="29">
        <f>SUMIFS('Recipe Ingredients'!$I$2:$I$2500,'Recipe Ingredients'!$A$2:$A$2500,A76)/R76</f>
        <v>109</v>
      </c>
      <c r="V76" s="29">
        <f>SUMIFS('Recipe Ingredients'!$J$2:$J$2500,'Recipe Ingredients'!$A$2:$A$2500,A76)/R76</f>
        <v>2</v>
      </c>
      <c r="W76" s="29">
        <f>SUMIFS('Recipe Ingredients'!$K$2:$K$2500,'Recipe Ingredients'!$A$2:$A$2500,A76)/R76</f>
        <v>25.459</v>
      </c>
      <c r="X76" s="29">
        <f>SUMIFS('Recipe Ingredients'!$L$2:$L$2500,'Recipe Ingredients'!$A$2:$A$2500,A76)/R76</f>
        <v>49.59</v>
      </c>
      <c r="Y76" s="29">
        <f>SUMIFS('Recipe Ingredients'!$M$2:$M$2500,'Recipe Ingredients'!$A$2:$A$2500,A76)/R76</f>
        <v>16.655999999999999</v>
      </c>
      <c r="Z76" s="29">
        <f>SUMIFS('Recipe Ingredients'!$N$2:$N$2500,'Recipe Ingredients'!$A$2:$A$2500,A76)/R76</f>
        <v>17.23</v>
      </c>
      <c r="AA76" s="29">
        <f>SUMIFS('Recipe Ingredients'!$O$2:$O$2500,'Recipe Ingredients'!$A$2:$A$2500,A76)/R76</f>
        <v>284.30499999999995</v>
      </c>
      <c r="AB76" s="30">
        <f>SUMIFS('Recipe Ingredients'!$P$2:$P$2500,'Recipe Ingredients'!$A$2:$A$2500,A76)/R76</f>
        <v>0.58690000000000009</v>
      </c>
      <c r="AC76" s="30">
        <f>SUMIFS('Recipe Ingredients'!$Q$2:$Q$2500,'Recipe Ingredients'!$A$2:$A$2500,A76)/R76</f>
        <v>0.10602500000000001</v>
      </c>
      <c r="AD76" s="29">
        <f>SUMIFS('Recipe Ingredients'!$R$2:$R$2500,'Recipe Ingredients'!$A$2:$A$2500,A76)/R76</f>
        <v>12.514999999999999</v>
      </c>
      <c r="AE76" s="30">
        <f>SUMIFS('Recipe Ingredients'!$S$2:$S$2500,'Recipe Ingredients'!$A$2:$A$2500,A76)/R76</f>
        <v>0.3967</v>
      </c>
      <c r="AF76" s="31">
        <f>IFERROR(V76/'Start Here'!$C$10,0)</f>
        <v>0.08</v>
      </c>
      <c r="AG76" s="31">
        <f>IFERROR(W76/'Start Here'!$C$11,0)</f>
        <v>0.31823750000000001</v>
      </c>
      <c r="AH76" s="31">
        <f>IFERROR(X76/'Start Here'!$C$12,0)</f>
        <v>6.1987500000000001E-2</v>
      </c>
      <c r="AI76" s="31">
        <f>IFERROR(Y76/'Start Here'!$C$13,0)</f>
        <v>0.22207999999999997</v>
      </c>
      <c r="AJ76" s="31">
        <f>IFERROR(Z76/'Start Here'!$C$14,0)</f>
        <v>8.6150000000000004E-2</v>
      </c>
      <c r="AK76" s="31">
        <f>IFERROR(AA76/'Start Here'!$C$15,0)</f>
        <v>0.14215249999999999</v>
      </c>
      <c r="AL76" s="31">
        <f>IFERROR(AB76/'Start Here'!$C$16,0)</f>
        <v>4.8908333333333338E-2</v>
      </c>
      <c r="AM76" s="31">
        <f>IFERROR(AC76/'Start Here'!$C$17,0)</f>
        <v>7.5732142857142873E-2</v>
      </c>
      <c r="AN76" s="31">
        <f>IFERROR(AD76/'Start Here'!$C$18,0)</f>
        <v>3.3373333333333331E-2</v>
      </c>
      <c r="AO76" s="31">
        <f>IFERROR(AE76/'Start Here'!$C$19,0)</f>
        <v>2.8335714285714287E-2</v>
      </c>
      <c r="AP76" s="22" t="str">
        <f t="shared" si="14"/>
        <v>Vitamin C</v>
      </c>
      <c r="AQ76" s="7" t="str">
        <f t="shared" si="15"/>
        <v>Best for better vitamin C intake: one serving gives about 32% of your daily vitamin C from the produce alone.</v>
      </c>
      <c r="AR76" s="7" t="str">
        <f t="shared" si="16"/>
        <v/>
      </c>
      <c r="AS76" s="7" t="s">
        <v>1827</v>
      </c>
      <c r="AT76" s="7" t="s">
        <v>1828</v>
      </c>
      <c r="AU76" s="28">
        <f>COUNTIFS('Recipe Ingredients'!$A$2:$A$2500,A76,'Recipe Ingredients'!$G$2:$G$2500,"Basket")</f>
        <v>4</v>
      </c>
      <c r="AV76" s="28">
        <f>COUNTIFS('Recipe Ingredients'!$A$2:$A$2500,A76,'Recipe Ingredients'!$G$2:$G$2500,"Protein")+COUNTIFS('Recipe Ingredients'!$A$2:$A$2500,A76,'Recipe Ingredients'!$G$2:$G$2500,"Pantry")</f>
        <v>2</v>
      </c>
      <c r="AW76" s="31">
        <f t="shared" si="17"/>
        <v>0.66666666666666663</v>
      </c>
      <c r="AX76" s="28" t="str">
        <f>IF(AW76&gt;='Start Here'!$C$6,"Yes","No")</f>
        <v>No</v>
      </c>
      <c r="AY76" s="7" t="s">
        <v>115</v>
      </c>
      <c r="AZ76" s="7" t="s">
        <v>1829</v>
      </c>
      <c r="BA76" s="7" t="s">
        <v>1830</v>
      </c>
      <c r="BB76" s="32" t="s">
        <v>964</v>
      </c>
    </row>
    <row r="77" spans="1:54" ht="96" customHeight="1" x14ac:dyDescent="0.25">
      <c r="A77" s="22" t="s">
        <v>1831</v>
      </c>
      <c r="B77" s="23" t="s">
        <v>1832</v>
      </c>
      <c r="C77" s="22" t="s">
        <v>949</v>
      </c>
      <c r="D77" s="22" t="s">
        <v>991</v>
      </c>
      <c r="E77" s="22" t="s">
        <v>1729</v>
      </c>
      <c r="F77" s="7" t="s">
        <v>1833</v>
      </c>
      <c r="G77" s="22" t="s">
        <v>1834</v>
      </c>
      <c r="H77" s="27" t="s">
        <v>1835</v>
      </c>
      <c r="I77" s="27" t="s">
        <v>1836</v>
      </c>
      <c r="J77" s="7" t="s">
        <v>1837</v>
      </c>
      <c r="K77" s="7" t="s">
        <v>1838</v>
      </c>
      <c r="L77" s="7" t="s">
        <v>203</v>
      </c>
      <c r="M77" s="22" t="s">
        <v>958</v>
      </c>
      <c r="N77" s="28">
        <v>10</v>
      </c>
      <c r="O77" s="28">
        <v>25</v>
      </c>
      <c r="P77" s="28">
        <f t="shared" si="12"/>
        <v>35</v>
      </c>
      <c r="Q77" s="22" t="str">
        <f t="shared" si="13"/>
        <v>Standard</v>
      </c>
      <c r="R77" s="28">
        <v>4</v>
      </c>
      <c r="S77" s="22">
        <v>240</v>
      </c>
      <c r="T77" s="22">
        <v>11</v>
      </c>
      <c r="U77" s="29">
        <f>SUMIFS('Recipe Ingredients'!$I$2:$I$2500,'Recipe Ingredients'!$A$2:$A$2500,A77)/R77</f>
        <v>127</v>
      </c>
      <c r="V77" s="29">
        <f>SUMIFS('Recipe Ingredients'!$J$2:$J$2500,'Recipe Ingredients'!$A$2:$A$2500,A77)/R77</f>
        <v>1.7950000000000002</v>
      </c>
      <c r="W77" s="29">
        <f>SUMIFS('Recipe Ingredients'!$K$2:$K$2500,'Recipe Ingredients'!$A$2:$A$2500,A77)/R77</f>
        <v>18.9115</v>
      </c>
      <c r="X77" s="29">
        <f>SUMIFS('Recipe Ingredients'!$L$2:$L$2500,'Recipe Ingredients'!$A$2:$A$2500,A77)/R77</f>
        <v>40.260000000000005</v>
      </c>
      <c r="Y77" s="29">
        <f>SUMIFS('Recipe Ingredients'!$M$2:$M$2500,'Recipe Ingredients'!$A$2:$A$2500,A77)/R77</f>
        <v>7.9175000000000004</v>
      </c>
      <c r="Z77" s="29">
        <f>SUMIFS('Recipe Ingredients'!$N$2:$N$2500,'Recipe Ingredients'!$A$2:$A$2500,A77)/R77</f>
        <v>19.919999999999998</v>
      </c>
      <c r="AA77" s="29">
        <f>SUMIFS('Recipe Ingredients'!$O$2:$O$2500,'Recipe Ingredients'!$A$2:$A$2500,A77)/R77</f>
        <v>287.625</v>
      </c>
      <c r="AB77" s="30">
        <f>SUMIFS('Recipe Ingredients'!$P$2:$P$2500,'Recipe Ingredients'!$A$2:$A$2500,A77)/R77</f>
        <v>0.55364999999999998</v>
      </c>
      <c r="AC77" s="30">
        <f>SUMIFS('Recipe Ingredients'!$Q$2:$Q$2500,'Recipe Ingredients'!$A$2:$A$2500,A77)/R77</f>
        <v>0.139325</v>
      </c>
      <c r="AD77" s="29">
        <f>SUMIFS('Recipe Ingredients'!$R$2:$R$2500,'Recipe Ingredients'!$A$2:$A$2500,A77)/R77</f>
        <v>15.23</v>
      </c>
      <c r="AE77" s="30">
        <f>SUMIFS('Recipe Ingredients'!$S$2:$S$2500,'Recipe Ingredients'!$A$2:$A$2500,A77)/R77</f>
        <v>0.70510000000000017</v>
      </c>
      <c r="AF77" s="31">
        <f>IFERROR(V77/'Start Here'!$C$10,0)</f>
        <v>7.1800000000000003E-2</v>
      </c>
      <c r="AG77" s="31">
        <f>IFERROR(W77/'Start Here'!$C$11,0)</f>
        <v>0.23639375000000001</v>
      </c>
      <c r="AH77" s="31">
        <f>IFERROR(X77/'Start Here'!$C$12,0)</f>
        <v>5.0325000000000009E-2</v>
      </c>
      <c r="AI77" s="31">
        <f>IFERROR(Y77/'Start Here'!$C$13,0)</f>
        <v>0.10556666666666667</v>
      </c>
      <c r="AJ77" s="31">
        <f>IFERROR(Z77/'Start Here'!$C$14,0)</f>
        <v>9.9599999999999994E-2</v>
      </c>
      <c r="AK77" s="31">
        <f>IFERROR(AA77/'Start Here'!$C$15,0)</f>
        <v>0.14381250000000001</v>
      </c>
      <c r="AL77" s="31">
        <f>IFERROR(AB77/'Start Here'!$C$16,0)</f>
        <v>4.6137499999999998E-2</v>
      </c>
      <c r="AM77" s="31">
        <f>IFERROR(AC77/'Start Here'!$C$17,0)</f>
        <v>9.9517857142857158E-2</v>
      </c>
      <c r="AN77" s="31">
        <f>IFERROR(AD77/'Start Here'!$C$18,0)</f>
        <v>4.0613333333333335E-2</v>
      </c>
      <c r="AO77" s="31">
        <f>IFERROR(AE77/'Start Here'!$C$19,0)</f>
        <v>5.0364285714285729E-2</v>
      </c>
      <c r="AP77" s="22" t="str">
        <f t="shared" si="14"/>
        <v>Vitamin C</v>
      </c>
      <c r="AQ77" s="7" t="str">
        <f t="shared" si="15"/>
        <v>Best for better vitamin C intake: one serving gives about 24% of your daily vitamin C from the produce alone.</v>
      </c>
      <c r="AR77" s="7" t="str">
        <f t="shared" si="16"/>
        <v/>
      </c>
      <c r="AS77" s="7" t="s">
        <v>1839</v>
      </c>
      <c r="AT77" s="7" t="s">
        <v>1840</v>
      </c>
      <c r="AU77" s="28">
        <f>COUNTIFS('Recipe Ingredients'!$A$2:$A$2500,A77,'Recipe Ingredients'!$G$2:$G$2500,"Basket")</f>
        <v>5</v>
      </c>
      <c r="AV77" s="28">
        <f>COUNTIFS('Recipe Ingredients'!$A$2:$A$2500,A77,'Recipe Ingredients'!$G$2:$G$2500,"Protein")+COUNTIFS('Recipe Ingredients'!$A$2:$A$2500,A77,'Recipe Ingredients'!$G$2:$G$2500,"Pantry")</f>
        <v>1</v>
      </c>
      <c r="AW77" s="31">
        <f t="shared" si="17"/>
        <v>0.83333333333333337</v>
      </c>
      <c r="AX77" s="28" t="str">
        <f>IF(AW77&gt;='Start Here'!$C$6,"Yes","No")</f>
        <v>Yes</v>
      </c>
      <c r="AY77" s="7" t="s">
        <v>115</v>
      </c>
      <c r="AZ77" s="7" t="s">
        <v>1841</v>
      </c>
      <c r="BA77" s="7" t="s">
        <v>1842</v>
      </c>
      <c r="BB77" s="32" t="s">
        <v>964</v>
      </c>
    </row>
    <row r="78" spans="1:54" ht="96" customHeight="1" x14ac:dyDescent="0.25">
      <c r="A78" s="22" t="s">
        <v>1843</v>
      </c>
      <c r="B78" s="23" t="s">
        <v>1844</v>
      </c>
      <c r="C78" s="22" t="s">
        <v>949</v>
      </c>
      <c r="D78" s="22" t="s">
        <v>1845</v>
      </c>
      <c r="E78" s="22" t="s">
        <v>1787</v>
      </c>
      <c r="F78" s="7" t="s">
        <v>1846</v>
      </c>
      <c r="G78" s="22" t="s">
        <v>1005</v>
      </c>
      <c r="H78" s="27" t="s">
        <v>1847</v>
      </c>
      <c r="I78" s="27" t="s">
        <v>1848</v>
      </c>
      <c r="J78" s="7" t="s">
        <v>1849</v>
      </c>
      <c r="K78" s="7" t="s">
        <v>1850</v>
      </c>
      <c r="L78" s="7" t="s">
        <v>234</v>
      </c>
      <c r="M78" s="22" t="s">
        <v>958</v>
      </c>
      <c r="N78" s="28">
        <v>5</v>
      </c>
      <c r="O78" s="28">
        <v>25</v>
      </c>
      <c r="P78" s="28">
        <f t="shared" si="12"/>
        <v>30</v>
      </c>
      <c r="Q78" s="22" t="str">
        <f t="shared" si="13"/>
        <v>Standard</v>
      </c>
      <c r="R78" s="28">
        <v>4</v>
      </c>
      <c r="S78" s="22">
        <v>210</v>
      </c>
      <c r="T78" s="22">
        <v>14</v>
      </c>
      <c r="U78" s="29">
        <f>SUMIFS('Recipe Ingredients'!$I$2:$I$2500,'Recipe Ingredients'!$A$2:$A$2500,A78)/R78</f>
        <v>69.5</v>
      </c>
      <c r="V78" s="29">
        <f>SUMIFS('Recipe Ingredients'!$J$2:$J$2500,'Recipe Ingredients'!$A$2:$A$2500,A78)/R78</f>
        <v>1.7995000000000001</v>
      </c>
      <c r="W78" s="29">
        <f>SUMIFS('Recipe Ingredients'!$K$2:$K$2500,'Recipe Ingredients'!$A$2:$A$2500,A78)/R78</f>
        <v>45.284000000000006</v>
      </c>
      <c r="X78" s="29">
        <f>SUMIFS('Recipe Ingredients'!$L$2:$L$2500,'Recipe Ingredients'!$A$2:$A$2500,A78)/R78</f>
        <v>25.355</v>
      </c>
      <c r="Y78" s="29">
        <f>SUMIFS('Recipe Ingredients'!$M$2:$M$2500,'Recipe Ingredients'!$A$2:$A$2500,A78)/R78</f>
        <v>92.828499999999991</v>
      </c>
      <c r="Z78" s="29">
        <f>SUMIFS('Recipe Ingredients'!$N$2:$N$2500,'Recipe Ingredients'!$A$2:$A$2500,A78)/R78</f>
        <v>43.11</v>
      </c>
      <c r="AA78" s="29">
        <f>SUMIFS('Recipe Ingredients'!$O$2:$O$2500,'Recipe Ingredients'!$A$2:$A$2500,A78)/R78</f>
        <v>211.89499999999998</v>
      </c>
      <c r="AB78" s="30">
        <f>SUMIFS('Recipe Ingredients'!$P$2:$P$2500,'Recipe Ingredients'!$A$2:$A$2500,A78)/R78</f>
        <v>0.47985</v>
      </c>
      <c r="AC78" s="30">
        <f>SUMIFS('Recipe Ingredients'!$Q$2:$Q$2500,'Recipe Ingredients'!$A$2:$A$2500,A78)/R78</f>
        <v>0.111875</v>
      </c>
      <c r="AD78" s="29">
        <f>SUMIFS('Recipe Ingredients'!$R$2:$R$2500,'Recipe Ingredients'!$A$2:$A$2500,A78)/R78</f>
        <v>14.43</v>
      </c>
      <c r="AE78" s="30">
        <f>SUMIFS('Recipe Ingredients'!$S$2:$S$2500,'Recipe Ingredients'!$A$2:$A$2500,A78)/R78</f>
        <v>0.69064999999999988</v>
      </c>
      <c r="AF78" s="31">
        <f>IFERROR(V78/'Start Here'!$C$10,0)</f>
        <v>7.1980000000000002E-2</v>
      </c>
      <c r="AG78" s="31">
        <f>IFERROR(W78/'Start Here'!$C$11,0)</f>
        <v>0.56605000000000005</v>
      </c>
      <c r="AH78" s="31">
        <f>IFERROR(X78/'Start Here'!$C$12,0)</f>
        <v>3.169375E-2</v>
      </c>
      <c r="AI78" s="31">
        <f>IFERROR(Y78/'Start Here'!$C$13,0)</f>
        <v>1.2377133333333332</v>
      </c>
      <c r="AJ78" s="31">
        <f>IFERROR(Z78/'Start Here'!$C$14,0)</f>
        <v>0.21554999999999999</v>
      </c>
      <c r="AK78" s="31">
        <f>IFERROR(AA78/'Start Here'!$C$15,0)</f>
        <v>0.10594749999999999</v>
      </c>
      <c r="AL78" s="31">
        <f>IFERROR(AB78/'Start Here'!$C$16,0)</f>
        <v>3.9987500000000002E-2</v>
      </c>
      <c r="AM78" s="31">
        <f>IFERROR(AC78/'Start Here'!$C$17,0)</f>
        <v>7.9910714285714293E-2</v>
      </c>
      <c r="AN78" s="31">
        <f>IFERROR(AD78/'Start Here'!$C$18,0)</f>
        <v>3.848E-2</v>
      </c>
      <c r="AO78" s="31">
        <f>IFERROR(AE78/'Start Here'!$C$19,0)</f>
        <v>4.9332142857142845E-2</v>
      </c>
      <c r="AP78" s="22" t="str">
        <f t="shared" si="14"/>
        <v>Vitamin K</v>
      </c>
      <c r="AQ78" s="7" t="str">
        <f t="shared" si="15"/>
        <v>Best for better vitamin K intake: one serving gives about 124% of your daily vitamin K from the produce alone.</v>
      </c>
      <c r="AR78" s="7" t="str">
        <f t="shared" si="16"/>
        <v>Vitamin C (57%)</v>
      </c>
      <c r="AS78" s="7" t="s">
        <v>1851</v>
      </c>
      <c r="AT78" s="7" t="s">
        <v>1852</v>
      </c>
      <c r="AU78" s="28">
        <f>COUNTIFS('Recipe Ingredients'!$A$2:$A$2500,A78,'Recipe Ingredients'!$G$2:$G$2500,"Basket")</f>
        <v>3</v>
      </c>
      <c r="AV78" s="28">
        <f>COUNTIFS('Recipe Ingredients'!$A$2:$A$2500,A78,'Recipe Ingredients'!$G$2:$G$2500,"Protein")+COUNTIFS('Recipe Ingredients'!$A$2:$A$2500,A78,'Recipe Ingredients'!$G$2:$G$2500,"Pantry")</f>
        <v>4</v>
      </c>
      <c r="AW78" s="31">
        <f t="shared" si="17"/>
        <v>0.42857142857142855</v>
      </c>
      <c r="AX78" s="28" t="str">
        <f>IF(AW78&gt;='Start Here'!$C$6,"Yes","No")</f>
        <v>No</v>
      </c>
      <c r="AY78" s="7" t="s">
        <v>115</v>
      </c>
      <c r="AZ78" s="7" t="s">
        <v>1853</v>
      </c>
      <c r="BA78" s="7" t="s">
        <v>1854</v>
      </c>
      <c r="BB78" s="32" t="s">
        <v>964</v>
      </c>
    </row>
    <row r="79" spans="1:54" ht="96" customHeight="1" x14ac:dyDescent="0.25">
      <c r="A79" s="22" t="s">
        <v>1855</v>
      </c>
      <c r="B79" s="23" t="s">
        <v>1856</v>
      </c>
      <c r="C79" s="22" t="s">
        <v>949</v>
      </c>
      <c r="D79" s="22" t="s">
        <v>1801</v>
      </c>
      <c r="E79" s="22" t="s">
        <v>951</v>
      </c>
      <c r="F79" s="7" t="s">
        <v>1857</v>
      </c>
      <c r="G79" s="22" t="s">
        <v>1858</v>
      </c>
      <c r="H79" s="27" t="s">
        <v>1859</v>
      </c>
      <c r="I79" s="27" t="s">
        <v>1860</v>
      </c>
      <c r="J79" s="7" t="s">
        <v>1861</v>
      </c>
      <c r="K79" s="7" t="s">
        <v>1862</v>
      </c>
      <c r="L79" s="7" t="s">
        <v>974</v>
      </c>
      <c r="M79" s="22" t="s">
        <v>958</v>
      </c>
      <c r="N79" s="28">
        <v>5</v>
      </c>
      <c r="O79" s="28">
        <v>8</v>
      </c>
      <c r="P79" s="28">
        <f t="shared" si="12"/>
        <v>13</v>
      </c>
      <c r="Q79" s="22" t="str">
        <f t="shared" si="13"/>
        <v>Quick</v>
      </c>
      <c r="R79" s="28">
        <v>1</v>
      </c>
      <c r="S79" s="22">
        <v>300</v>
      </c>
      <c r="T79" s="22">
        <v>20</v>
      </c>
      <c r="U79" s="29">
        <f>SUMIFS('Recipe Ingredients'!$I$2:$I$2500,'Recipe Ingredients'!$A$2:$A$2500,A79)/R79</f>
        <v>110</v>
      </c>
      <c r="V79" s="29">
        <f>SUMIFS('Recipe Ingredients'!$J$2:$J$2500,'Recipe Ingredients'!$A$2:$A$2500,A79)/R79</f>
        <v>1.8569999999999998</v>
      </c>
      <c r="W79" s="29">
        <f>SUMIFS('Recipe Ingredients'!$K$2:$K$2500,'Recipe Ingredients'!$A$2:$A$2500,A79)/R79</f>
        <v>20.68</v>
      </c>
      <c r="X79" s="29">
        <f>SUMIFS('Recipe Ingredients'!$L$2:$L$2500,'Recipe Ingredients'!$A$2:$A$2500,A79)/R79</f>
        <v>174.23999999999998</v>
      </c>
      <c r="Y79" s="29">
        <f>SUMIFS('Recipe Ingredients'!$M$2:$M$2500,'Recipe Ingredients'!$A$2:$A$2500,A79)/R79</f>
        <v>180.869</v>
      </c>
      <c r="Z79" s="29">
        <f>SUMIFS('Recipe Ingredients'!$N$2:$N$2500,'Recipe Ingredients'!$A$2:$A$2500,A79)/R79</f>
        <v>77.19</v>
      </c>
      <c r="AA79" s="29">
        <f>SUMIFS('Recipe Ingredients'!$O$2:$O$2500,'Recipe Ingredients'!$A$2:$A$2500,A79)/R79</f>
        <v>367.77</v>
      </c>
      <c r="AB79" s="30">
        <f>SUMIFS('Recipe Ingredients'!$P$2:$P$2500,'Recipe Ingredients'!$A$2:$A$2500,A79)/R79</f>
        <v>1.0286999999999999</v>
      </c>
      <c r="AC79" s="30">
        <f>SUMIFS('Recipe Ingredients'!$Q$2:$Q$2500,'Recipe Ingredients'!$A$2:$A$2500,A79)/R79</f>
        <v>0.15429999999999999</v>
      </c>
      <c r="AD79" s="29">
        <f>SUMIFS('Recipe Ingredients'!$R$2:$R$2500,'Recipe Ingredients'!$A$2:$A$2500,A79)/R79</f>
        <v>34.269999999999996</v>
      </c>
      <c r="AE79" s="30">
        <f>SUMIFS('Recipe Ingredients'!$S$2:$S$2500,'Recipe Ingredients'!$A$2:$A$2500,A79)/R79</f>
        <v>1.2533999999999998</v>
      </c>
      <c r="AF79" s="31">
        <f>IFERROR(V79/'Start Here'!$C$10,0)</f>
        <v>7.4279999999999985E-2</v>
      </c>
      <c r="AG79" s="31">
        <f>IFERROR(W79/'Start Here'!$C$11,0)</f>
        <v>0.25850000000000001</v>
      </c>
      <c r="AH79" s="31">
        <f>IFERROR(X79/'Start Here'!$C$12,0)</f>
        <v>0.21779999999999997</v>
      </c>
      <c r="AI79" s="31">
        <f>IFERROR(Y79/'Start Here'!$C$13,0)</f>
        <v>2.4115866666666665</v>
      </c>
      <c r="AJ79" s="31">
        <f>IFERROR(Z79/'Start Here'!$C$14,0)</f>
        <v>0.38595000000000002</v>
      </c>
      <c r="AK79" s="31">
        <f>IFERROR(AA79/'Start Here'!$C$15,0)</f>
        <v>0.18388499999999999</v>
      </c>
      <c r="AL79" s="31">
        <f>IFERROR(AB79/'Start Here'!$C$16,0)</f>
        <v>8.5724999999999996E-2</v>
      </c>
      <c r="AM79" s="31">
        <f>IFERROR(AC79/'Start Here'!$C$17,0)</f>
        <v>0.11021428571428572</v>
      </c>
      <c r="AN79" s="31">
        <f>IFERROR(AD79/'Start Here'!$C$18,0)</f>
        <v>9.1386666666666658E-2</v>
      </c>
      <c r="AO79" s="31">
        <f>IFERROR(AE79/'Start Here'!$C$19,0)</f>
        <v>8.9528571428571416E-2</v>
      </c>
      <c r="AP79" s="22" t="str">
        <f t="shared" si="14"/>
        <v>Vitamin K</v>
      </c>
      <c r="AQ79" s="7" t="str">
        <f t="shared" si="15"/>
        <v>Best for better vitamin K intake: one serving gives about 241% of your daily vitamin K from the produce alone.</v>
      </c>
      <c r="AR79" s="7" t="str">
        <f t="shared" si="16"/>
        <v>Vitamin C (26%), Folate (39%)</v>
      </c>
      <c r="AS79" s="7" t="s">
        <v>1863</v>
      </c>
      <c r="AT79" s="7" t="s">
        <v>1864</v>
      </c>
      <c r="AU79" s="28">
        <f>COUNTIFS('Recipe Ingredients'!$A$2:$A$2500,A79,'Recipe Ingredients'!$G$2:$G$2500,"Basket")</f>
        <v>4</v>
      </c>
      <c r="AV79" s="28">
        <f>COUNTIFS('Recipe Ingredients'!$A$2:$A$2500,A79,'Recipe Ingredients'!$G$2:$G$2500,"Protein")+COUNTIFS('Recipe Ingredients'!$A$2:$A$2500,A79,'Recipe Ingredients'!$G$2:$G$2500,"Pantry")</f>
        <v>2</v>
      </c>
      <c r="AW79" s="31">
        <f t="shared" si="17"/>
        <v>0.66666666666666663</v>
      </c>
      <c r="AX79" s="28" t="str">
        <f>IF(AW79&gt;='Start Here'!$C$6,"Yes","No")</f>
        <v>No</v>
      </c>
      <c r="AY79" s="7" t="s">
        <v>115</v>
      </c>
      <c r="AZ79" s="7" t="s">
        <v>1865</v>
      </c>
      <c r="BA79" s="7" t="s">
        <v>1866</v>
      </c>
      <c r="BB79" s="32" t="s">
        <v>964</v>
      </c>
    </row>
    <row r="80" spans="1:54" ht="96" customHeight="1" x14ac:dyDescent="0.25">
      <c r="A80" s="22" t="s">
        <v>1867</v>
      </c>
      <c r="B80" s="23" t="s">
        <v>1868</v>
      </c>
      <c r="C80" s="22" t="s">
        <v>949</v>
      </c>
      <c r="D80" s="22" t="s">
        <v>1869</v>
      </c>
      <c r="E80" s="22" t="s">
        <v>1729</v>
      </c>
      <c r="F80" s="7" t="s">
        <v>1870</v>
      </c>
      <c r="G80" s="22" t="s">
        <v>1871</v>
      </c>
      <c r="H80" s="27" t="s">
        <v>1872</v>
      </c>
      <c r="I80" s="7"/>
      <c r="J80" s="7" t="s">
        <v>1873</v>
      </c>
      <c r="K80" s="7" t="s">
        <v>1874</v>
      </c>
      <c r="L80" s="7" t="s">
        <v>1010</v>
      </c>
      <c r="M80" s="22" t="s">
        <v>958</v>
      </c>
      <c r="N80" s="28">
        <v>20</v>
      </c>
      <c r="O80" s="28">
        <v>5</v>
      </c>
      <c r="P80" s="28">
        <f t="shared" si="12"/>
        <v>25</v>
      </c>
      <c r="Q80" s="22" t="str">
        <f t="shared" si="13"/>
        <v>Quick</v>
      </c>
      <c r="R80" s="28">
        <v>2</v>
      </c>
      <c r="S80" s="22">
        <v>380</v>
      </c>
      <c r="T80" s="22">
        <v>18</v>
      </c>
      <c r="U80" s="29">
        <f>SUMIFS('Recipe Ingredients'!$I$2:$I$2500,'Recipe Ingredients'!$A$2:$A$2500,A80)/R80</f>
        <v>547.5</v>
      </c>
      <c r="V80" s="29">
        <f>SUMIFS('Recipe Ingredients'!$J$2:$J$2500,'Recipe Ingredients'!$A$2:$A$2500,A80)/R80</f>
        <v>11.022</v>
      </c>
      <c r="W80" s="29">
        <f>SUMIFS('Recipe Ingredients'!$K$2:$K$2500,'Recipe Ingredients'!$A$2:$A$2500,A80)/R80</f>
        <v>47.975500000000004</v>
      </c>
      <c r="X80" s="29">
        <f>SUMIFS('Recipe Ingredients'!$L$2:$L$2500,'Recipe Ingredients'!$A$2:$A$2500,A80)/R80</f>
        <v>86.615000000000009</v>
      </c>
      <c r="Y80" s="29">
        <f>SUMIFS('Recipe Ingredients'!$M$2:$M$2500,'Recipe Ingredients'!$A$2:$A$2500,A80)/R80</f>
        <v>184.72799999999998</v>
      </c>
      <c r="Z80" s="29">
        <f>SUMIFS('Recipe Ingredients'!$N$2:$N$2500,'Recipe Ingredients'!$A$2:$A$2500,A80)/R80</f>
        <v>137.84</v>
      </c>
      <c r="AA80" s="29">
        <f>SUMIFS('Recipe Ingredients'!$O$2:$O$2500,'Recipe Ingredients'!$A$2:$A$2500,A80)/R80</f>
        <v>1235.5550000000001</v>
      </c>
      <c r="AB80" s="30">
        <f>SUMIFS('Recipe Ingredients'!$P$2:$P$2500,'Recipe Ingredients'!$A$2:$A$2500,A80)/R80</f>
        <v>2.7971500000000002</v>
      </c>
      <c r="AC80" s="30">
        <f>SUMIFS('Recipe Ingredients'!$Q$2:$Q$2500,'Recipe Ingredients'!$A$2:$A$2500,A80)/R80</f>
        <v>0.49440000000000006</v>
      </c>
      <c r="AD80" s="29">
        <f>SUMIFS('Recipe Ingredients'!$R$2:$R$2500,'Recipe Ingredients'!$A$2:$A$2500,A80)/R80</f>
        <v>85.89500000000001</v>
      </c>
      <c r="AE80" s="30">
        <f>SUMIFS('Recipe Ingredients'!$S$2:$S$2500,'Recipe Ingredients'!$A$2:$A$2500,A80)/R80</f>
        <v>2.3625000000000003</v>
      </c>
      <c r="AF80" s="31">
        <f>IFERROR(V80/'Start Here'!$C$10,0)</f>
        <v>0.44087999999999999</v>
      </c>
      <c r="AG80" s="31">
        <f>IFERROR(W80/'Start Here'!$C$11,0)</f>
        <v>0.59969375000000003</v>
      </c>
      <c r="AH80" s="31">
        <f>IFERROR(X80/'Start Here'!$C$12,0)</f>
        <v>0.10826875000000001</v>
      </c>
      <c r="AI80" s="31">
        <f>IFERROR(Y80/'Start Here'!$C$13,0)</f>
        <v>2.4630399999999999</v>
      </c>
      <c r="AJ80" s="31">
        <f>IFERROR(Z80/'Start Here'!$C$14,0)</f>
        <v>0.68920000000000003</v>
      </c>
      <c r="AK80" s="31">
        <f>IFERROR(AA80/'Start Here'!$C$15,0)</f>
        <v>0.61777749999999998</v>
      </c>
      <c r="AL80" s="31">
        <f>IFERROR(AB80/'Start Here'!$C$16,0)</f>
        <v>0.23309583333333336</v>
      </c>
      <c r="AM80" s="31">
        <f>IFERROR(AC80/'Start Here'!$C$17,0)</f>
        <v>0.3531428571428572</v>
      </c>
      <c r="AN80" s="31">
        <f>IFERROR(AD80/'Start Here'!$C$18,0)</f>
        <v>0.22905333333333336</v>
      </c>
      <c r="AO80" s="31">
        <f>IFERROR(AE80/'Start Here'!$C$19,0)</f>
        <v>0.16875000000000001</v>
      </c>
      <c r="AP80" s="22" t="str">
        <f t="shared" si="14"/>
        <v>Vitamin K</v>
      </c>
      <c r="AQ80" s="7" t="str">
        <f t="shared" si="15"/>
        <v>Best for better vitamin K intake: one serving gives about 246% of your daily vitamin K from the produce alone.</v>
      </c>
      <c r="AR80" s="7" t="str">
        <f t="shared" si="16"/>
        <v>Fibre (44%), Vitamin C (60%), Folate (69%), Potassium (62%), Vitamin B6 (35%)</v>
      </c>
      <c r="AS80" s="7" t="s">
        <v>1875</v>
      </c>
      <c r="AT80" s="7" t="s">
        <v>1876</v>
      </c>
      <c r="AU80" s="28">
        <f>COUNTIFS('Recipe Ingredients'!$A$2:$A$2500,A80,'Recipe Ingredients'!$G$2:$G$2500,"Basket")</f>
        <v>8</v>
      </c>
      <c r="AV80" s="28">
        <f>COUNTIFS('Recipe Ingredients'!$A$2:$A$2500,A80,'Recipe Ingredients'!$G$2:$G$2500,"Protein")+COUNTIFS('Recipe Ingredients'!$A$2:$A$2500,A80,'Recipe Ingredients'!$G$2:$G$2500,"Pantry")</f>
        <v>2</v>
      </c>
      <c r="AW80" s="31">
        <f t="shared" si="17"/>
        <v>0.8</v>
      </c>
      <c r="AX80" s="28" t="str">
        <f>IF(AW80&gt;='Start Here'!$C$6,"Yes","No")</f>
        <v>Yes</v>
      </c>
      <c r="AY80" s="7" t="s">
        <v>115</v>
      </c>
      <c r="AZ80" s="7" t="s">
        <v>1877</v>
      </c>
      <c r="BA80" s="7" t="s">
        <v>1878</v>
      </c>
      <c r="BB80" s="32" t="s">
        <v>964</v>
      </c>
    </row>
    <row r="81" spans="1:54" ht="96" customHeight="1" x14ac:dyDescent="0.25">
      <c r="A81" s="22" t="s">
        <v>1879</v>
      </c>
      <c r="B81" s="23" t="s">
        <v>1880</v>
      </c>
      <c r="C81" s="22" t="s">
        <v>949</v>
      </c>
      <c r="D81" s="22" t="s">
        <v>1869</v>
      </c>
      <c r="E81" s="22" t="s">
        <v>951</v>
      </c>
      <c r="F81" s="7" t="s">
        <v>1881</v>
      </c>
      <c r="G81" s="22" t="s">
        <v>1882</v>
      </c>
      <c r="H81" s="27" t="s">
        <v>1883</v>
      </c>
      <c r="I81" s="27" t="s">
        <v>1884</v>
      </c>
      <c r="J81" s="7" t="s">
        <v>1885</v>
      </c>
      <c r="K81" s="7" t="s">
        <v>1886</v>
      </c>
      <c r="L81" s="7" t="s">
        <v>974</v>
      </c>
      <c r="M81" s="22" t="s">
        <v>958</v>
      </c>
      <c r="N81" s="28">
        <v>10</v>
      </c>
      <c r="O81" s="28">
        <v>10</v>
      </c>
      <c r="P81" s="28">
        <f t="shared" si="12"/>
        <v>20</v>
      </c>
      <c r="Q81" s="22" t="str">
        <f t="shared" si="13"/>
        <v>Quick</v>
      </c>
      <c r="R81" s="28">
        <v>2</v>
      </c>
      <c r="S81" s="22">
        <v>200</v>
      </c>
      <c r="T81" s="22">
        <v>13</v>
      </c>
      <c r="U81" s="29">
        <f>SUMIFS('Recipe Ingredients'!$I$2:$I$2500,'Recipe Ingredients'!$A$2:$A$2500,A81)/R81</f>
        <v>113</v>
      </c>
      <c r="V81" s="29">
        <f>SUMIFS('Recipe Ingredients'!$J$2:$J$2500,'Recipe Ingredients'!$A$2:$A$2500,A81)/R81</f>
        <v>1.9529999999999998</v>
      </c>
      <c r="W81" s="29">
        <f>SUMIFS('Recipe Ingredients'!$K$2:$K$2500,'Recipe Ingredients'!$A$2:$A$2500,A81)/R81</f>
        <v>25.711999999999996</v>
      </c>
      <c r="X81" s="29">
        <f>SUMIFS('Recipe Ingredients'!$L$2:$L$2500,'Recipe Ingredients'!$A$2:$A$2500,A81)/R81</f>
        <v>79.330000000000013</v>
      </c>
      <c r="Y81" s="29">
        <f>SUMIFS('Recipe Ingredients'!$M$2:$M$2500,'Recipe Ingredients'!$A$2:$A$2500,A81)/R81</f>
        <v>52.256</v>
      </c>
      <c r="Z81" s="29">
        <f>SUMIFS('Recipe Ingredients'!$N$2:$N$2500,'Recipe Ingredients'!$A$2:$A$2500,A81)/R81</f>
        <v>23.77</v>
      </c>
      <c r="AA81" s="29">
        <f>SUMIFS('Recipe Ingredients'!$O$2:$O$2500,'Recipe Ingredients'!$A$2:$A$2500,A81)/R81</f>
        <v>278.96999999999997</v>
      </c>
      <c r="AB81" s="30">
        <f>SUMIFS('Recipe Ingredients'!$P$2:$P$2500,'Recipe Ingredients'!$A$2:$A$2500,A81)/R81</f>
        <v>0.78450000000000009</v>
      </c>
      <c r="AC81" s="30">
        <f>SUMIFS('Recipe Ingredients'!$Q$2:$Q$2500,'Recipe Ingredients'!$A$2:$A$2500,A81)/R81</f>
        <v>0.12136</v>
      </c>
      <c r="AD81" s="29">
        <f>SUMIFS('Recipe Ingredients'!$R$2:$R$2500,'Recipe Ingredients'!$A$2:$A$2500,A81)/R81</f>
        <v>14.290000000000001</v>
      </c>
      <c r="AE81" s="30">
        <f>SUMIFS('Recipe Ingredients'!$S$2:$S$2500,'Recipe Ingredients'!$A$2:$A$2500,A81)/R81</f>
        <v>0.61580000000000001</v>
      </c>
      <c r="AF81" s="31">
        <f>IFERROR(V81/'Start Here'!$C$10,0)</f>
        <v>7.8119999999999995E-2</v>
      </c>
      <c r="AG81" s="31">
        <f>IFERROR(W81/'Start Here'!$C$11,0)</f>
        <v>0.32139999999999996</v>
      </c>
      <c r="AH81" s="31">
        <f>IFERROR(X81/'Start Here'!$C$12,0)</f>
        <v>9.9162500000000015E-2</v>
      </c>
      <c r="AI81" s="31">
        <f>IFERROR(Y81/'Start Here'!$C$13,0)</f>
        <v>0.69674666666666663</v>
      </c>
      <c r="AJ81" s="31">
        <f>IFERROR(Z81/'Start Here'!$C$14,0)</f>
        <v>0.11885</v>
      </c>
      <c r="AK81" s="31">
        <f>IFERROR(AA81/'Start Here'!$C$15,0)</f>
        <v>0.139485</v>
      </c>
      <c r="AL81" s="31">
        <f>IFERROR(AB81/'Start Here'!$C$16,0)</f>
        <v>6.5375000000000003E-2</v>
      </c>
      <c r="AM81" s="31">
        <f>IFERROR(AC81/'Start Here'!$C$17,0)</f>
        <v>8.6685714285714283E-2</v>
      </c>
      <c r="AN81" s="31">
        <f>IFERROR(AD81/'Start Here'!$C$18,0)</f>
        <v>3.8106666666666671E-2</v>
      </c>
      <c r="AO81" s="31">
        <f>IFERROR(AE81/'Start Here'!$C$19,0)</f>
        <v>4.3985714285714288E-2</v>
      </c>
      <c r="AP81" s="22" t="str">
        <f t="shared" si="14"/>
        <v>Vitamin K</v>
      </c>
      <c r="AQ81" s="7" t="str">
        <f t="shared" si="15"/>
        <v>Best for better vitamin K intake: one serving gives about 70% of your daily vitamin K from the produce alone.</v>
      </c>
      <c r="AR81" s="7" t="str">
        <f t="shared" si="16"/>
        <v>Vitamin C (32%)</v>
      </c>
      <c r="AS81" s="7" t="s">
        <v>1817</v>
      </c>
      <c r="AT81" s="7" t="s">
        <v>1887</v>
      </c>
      <c r="AU81" s="28">
        <f>COUNTIFS('Recipe Ingredients'!$A$2:$A$2500,A81,'Recipe Ingredients'!$G$2:$G$2500,"Basket")</f>
        <v>5</v>
      </c>
      <c r="AV81" s="28">
        <f>COUNTIFS('Recipe Ingredients'!$A$2:$A$2500,A81,'Recipe Ingredients'!$G$2:$G$2500,"Protein")+COUNTIFS('Recipe Ingredients'!$A$2:$A$2500,A81,'Recipe Ingredients'!$G$2:$G$2500,"Pantry")</f>
        <v>1</v>
      </c>
      <c r="AW81" s="31">
        <f t="shared" si="17"/>
        <v>0.83333333333333337</v>
      </c>
      <c r="AX81" s="28" t="str">
        <f>IF(AW81&gt;='Start Here'!$C$6,"Yes","No")</f>
        <v>Yes</v>
      </c>
      <c r="AY81" s="7" t="s">
        <v>115</v>
      </c>
      <c r="AZ81" s="7" t="s">
        <v>1888</v>
      </c>
      <c r="BA81" s="7" t="s">
        <v>1889</v>
      </c>
      <c r="BB81" s="32" t="s">
        <v>964</v>
      </c>
    </row>
    <row r="82" spans="1:54" ht="96" customHeight="1" x14ac:dyDescent="0.25">
      <c r="A82" s="22" t="s">
        <v>1890</v>
      </c>
      <c r="B82" s="23" t="s">
        <v>1891</v>
      </c>
      <c r="C82" s="22" t="s">
        <v>1566</v>
      </c>
      <c r="D82" s="22" t="s">
        <v>1679</v>
      </c>
      <c r="E82" s="22" t="s">
        <v>1145</v>
      </c>
      <c r="F82" s="7" t="s">
        <v>1892</v>
      </c>
      <c r="G82" s="22" t="s">
        <v>1893</v>
      </c>
      <c r="H82" s="27" t="s">
        <v>1894</v>
      </c>
      <c r="I82" s="27" t="s">
        <v>1895</v>
      </c>
      <c r="J82" s="7" t="s">
        <v>1896</v>
      </c>
      <c r="K82" s="7" t="s">
        <v>1897</v>
      </c>
      <c r="L82" s="7" t="s">
        <v>1794</v>
      </c>
      <c r="M82" s="22" t="s">
        <v>1051</v>
      </c>
      <c r="N82" s="28">
        <v>15</v>
      </c>
      <c r="O82" s="28">
        <v>25</v>
      </c>
      <c r="P82" s="28">
        <f t="shared" si="12"/>
        <v>40</v>
      </c>
      <c r="Q82" s="22" t="str">
        <f t="shared" si="13"/>
        <v>Standard</v>
      </c>
      <c r="R82" s="28">
        <v>6</v>
      </c>
      <c r="S82" s="22">
        <v>150</v>
      </c>
      <c r="T82" s="22">
        <v>3</v>
      </c>
      <c r="U82" s="29">
        <f>SUMIFS('Recipe Ingredients'!$I$2:$I$2500,'Recipe Ingredients'!$A$2:$A$2500,A82)/R82</f>
        <v>154.83333333333334</v>
      </c>
      <c r="V82" s="29">
        <f>SUMIFS('Recipe Ingredients'!$J$2:$J$2500,'Recipe Ingredients'!$A$2:$A$2500,A82)/R82</f>
        <v>2.8033333333333332</v>
      </c>
      <c r="W82" s="29">
        <f>SUMIFS('Recipe Ingredients'!$K$2:$K$2500,'Recipe Ingredients'!$A$2:$A$2500,A82)/R82</f>
        <v>113.80800000000001</v>
      </c>
      <c r="X82" s="29">
        <f>SUMIFS('Recipe Ingredients'!$L$2:$L$2500,'Recipe Ingredients'!$A$2:$A$2500,A82)/R82</f>
        <v>139.17333333333335</v>
      </c>
      <c r="Y82" s="29">
        <f>SUMIFS('Recipe Ingredients'!$M$2:$M$2500,'Recipe Ingredients'!$A$2:$A$2500,A82)/R82</f>
        <v>6.9861666666666666</v>
      </c>
      <c r="Z82" s="29">
        <f>SUMIFS('Recipe Ingredients'!$N$2:$N$2500,'Recipe Ingredients'!$A$2:$A$2500,A82)/R82</f>
        <v>49.211666666666666</v>
      </c>
      <c r="AA82" s="29">
        <f>SUMIFS('Recipe Ingredients'!$O$2:$O$2500,'Recipe Ingredients'!$A$2:$A$2500,A82)/R82</f>
        <v>323.52500000000003</v>
      </c>
      <c r="AB82" s="30">
        <f>SUMIFS('Recipe Ingredients'!$P$2:$P$2500,'Recipe Ingredients'!$A$2:$A$2500,A82)/R82</f>
        <v>1.4593</v>
      </c>
      <c r="AC82" s="30">
        <f>SUMIFS('Recipe Ingredients'!$Q$2:$Q$2500,'Recipe Ingredients'!$A$2:$A$2500,A82)/R82</f>
        <v>0.34522666666666663</v>
      </c>
      <c r="AD82" s="29">
        <f>SUMIFS('Recipe Ingredients'!$R$2:$R$2500,'Recipe Ingredients'!$A$2:$A$2500,A82)/R82</f>
        <v>18.938333333333333</v>
      </c>
      <c r="AE82" s="30">
        <f>SUMIFS('Recipe Ingredients'!$S$2:$S$2500,'Recipe Ingredients'!$A$2:$A$2500,A82)/R82</f>
        <v>0.58516666666666672</v>
      </c>
      <c r="AF82" s="31">
        <f>IFERROR(V82/'Start Here'!$C$10,0)</f>
        <v>0.11213333333333333</v>
      </c>
      <c r="AG82" s="31">
        <f>IFERROR(W82/'Start Here'!$C$11,0)</f>
        <v>1.4226000000000001</v>
      </c>
      <c r="AH82" s="31">
        <f>IFERROR(X82/'Start Here'!$C$12,0)</f>
        <v>0.17396666666666669</v>
      </c>
      <c r="AI82" s="31">
        <f>IFERROR(Y82/'Start Here'!$C$13,0)</f>
        <v>9.3148888888888892E-2</v>
      </c>
      <c r="AJ82" s="31">
        <f>IFERROR(Z82/'Start Here'!$C$14,0)</f>
        <v>0.24605833333333332</v>
      </c>
      <c r="AK82" s="31">
        <f>IFERROR(AA82/'Start Here'!$C$15,0)</f>
        <v>0.1617625</v>
      </c>
      <c r="AL82" s="31">
        <f>IFERROR(AB82/'Start Here'!$C$16,0)</f>
        <v>0.12160833333333333</v>
      </c>
      <c r="AM82" s="31">
        <f>IFERROR(AC82/'Start Here'!$C$17,0)</f>
        <v>0.24659047619047617</v>
      </c>
      <c r="AN82" s="31">
        <f>IFERROR(AD82/'Start Here'!$C$18,0)</f>
        <v>5.0502222222222219E-2</v>
      </c>
      <c r="AO82" s="31">
        <f>IFERROR(AE82/'Start Here'!$C$19,0)</f>
        <v>4.1797619047619049E-2</v>
      </c>
      <c r="AP82" s="22" t="str">
        <f t="shared" si="14"/>
        <v>Vitamin C</v>
      </c>
      <c r="AQ82" s="7" t="str">
        <f t="shared" si="15"/>
        <v>Best for better vitamin C intake: one serving gives about 142% of your daily vitamin C from the produce alone.</v>
      </c>
      <c r="AR82" s="7" t="str">
        <f t="shared" si="16"/>
        <v/>
      </c>
      <c r="AS82" s="7" t="s">
        <v>1898</v>
      </c>
      <c r="AT82" s="7" t="s">
        <v>1899</v>
      </c>
      <c r="AU82" s="28">
        <f>COUNTIFS('Recipe Ingredients'!$A$2:$A$2500,A82,'Recipe Ingredients'!$G$2:$G$2500,"Basket")</f>
        <v>6</v>
      </c>
      <c r="AV82" s="28">
        <f>COUNTIFS('Recipe Ingredients'!$A$2:$A$2500,A82,'Recipe Ingredients'!$G$2:$G$2500,"Protein")+COUNTIFS('Recipe Ingredients'!$A$2:$A$2500,A82,'Recipe Ingredients'!$G$2:$G$2500,"Pantry")</f>
        <v>2</v>
      </c>
      <c r="AW82" s="31">
        <f t="shared" si="17"/>
        <v>0.75</v>
      </c>
      <c r="AX82" s="28" t="str">
        <f>IF(AW82&gt;='Start Here'!$C$6,"Yes","No")</f>
        <v>No</v>
      </c>
      <c r="AY82" s="7" t="s">
        <v>115</v>
      </c>
      <c r="AZ82" s="7" t="s">
        <v>1900</v>
      </c>
      <c r="BA82" s="7" t="s">
        <v>1901</v>
      </c>
      <c r="BB82" s="32" t="s">
        <v>964</v>
      </c>
    </row>
    <row r="83" spans="1:54" ht="96" customHeight="1" x14ac:dyDescent="0.25">
      <c r="A83" s="22" t="s">
        <v>1902</v>
      </c>
      <c r="B83" s="23" t="s">
        <v>1903</v>
      </c>
      <c r="C83" s="22" t="s">
        <v>1566</v>
      </c>
      <c r="D83" s="22" t="s">
        <v>1679</v>
      </c>
      <c r="E83" s="22" t="s">
        <v>1145</v>
      </c>
      <c r="F83" s="7" t="s">
        <v>1904</v>
      </c>
      <c r="G83" s="22" t="s">
        <v>1905</v>
      </c>
      <c r="H83" s="27" t="s">
        <v>1906</v>
      </c>
      <c r="I83" s="27" t="s">
        <v>1907</v>
      </c>
      <c r="J83" s="7" t="s">
        <v>1908</v>
      </c>
      <c r="K83" s="7" t="s">
        <v>1909</v>
      </c>
      <c r="L83" s="7" t="s">
        <v>974</v>
      </c>
      <c r="M83" s="22" t="s">
        <v>1051</v>
      </c>
      <c r="N83" s="28">
        <v>15</v>
      </c>
      <c r="O83" s="28">
        <v>30</v>
      </c>
      <c r="P83" s="28">
        <f t="shared" si="12"/>
        <v>45</v>
      </c>
      <c r="Q83" s="22" t="str">
        <f t="shared" si="13"/>
        <v>Standard</v>
      </c>
      <c r="R83" s="28">
        <v>4</v>
      </c>
      <c r="S83" s="22">
        <v>180</v>
      </c>
      <c r="T83" s="22">
        <v>4</v>
      </c>
      <c r="U83" s="29">
        <f>SUMIFS('Recipe Ingredients'!$I$2:$I$2500,'Recipe Ingredients'!$A$2:$A$2500,A83)/R83</f>
        <v>482.25</v>
      </c>
      <c r="V83" s="29">
        <f>SUMIFS('Recipe Ingredients'!$J$2:$J$2500,'Recipe Ingredients'!$A$2:$A$2500,A83)/R83</f>
        <v>10.389999999999999</v>
      </c>
      <c r="W83" s="29">
        <f>SUMIFS('Recipe Ingredients'!$K$2:$K$2500,'Recipe Ingredients'!$A$2:$A$2500,A83)/R83</f>
        <v>114.81374999999998</v>
      </c>
      <c r="X83" s="29">
        <f>SUMIFS('Recipe Ingredients'!$L$2:$L$2500,'Recipe Ingredients'!$A$2:$A$2500,A83)/R83</f>
        <v>557.04499999999996</v>
      </c>
      <c r="Y83" s="29">
        <f>SUMIFS('Recipe Ingredients'!$M$2:$M$2500,'Recipe Ingredients'!$A$2:$A$2500,A83)/R83</f>
        <v>123.229</v>
      </c>
      <c r="Z83" s="29">
        <f>SUMIFS('Recipe Ingredients'!$N$2:$N$2500,'Recipe Ingredients'!$A$2:$A$2500,A83)/R83</f>
        <v>112.50749999999999</v>
      </c>
      <c r="AA83" s="29">
        <f>SUMIFS('Recipe Ingredients'!$O$2:$O$2500,'Recipe Ingredients'!$A$2:$A$2500,A83)/R83</f>
        <v>1369.34</v>
      </c>
      <c r="AB83" s="30">
        <f>SUMIFS('Recipe Ingredients'!$P$2:$P$2500,'Recipe Ingredients'!$A$2:$A$2500,A83)/R83</f>
        <v>1.1623250000000001</v>
      </c>
      <c r="AC83" s="30">
        <f>SUMIFS('Recipe Ingredients'!$Q$2:$Q$2500,'Recipe Ingredients'!$A$2:$A$2500,A83)/R83</f>
        <v>0.88775250000000006</v>
      </c>
      <c r="AD83" s="29">
        <f>SUMIFS('Recipe Ingredients'!$R$2:$R$2500,'Recipe Ingredients'!$A$2:$A$2500,A83)/R83</f>
        <v>77.227499999999992</v>
      </c>
      <c r="AE83" s="30">
        <f>SUMIFS('Recipe Ingredients'!$S$2:$S$2500,'Recipe Ingredients'!$A$2:$A$2500,A83)/R83</f>
        <v>2.6497250000000001</v>
      </c>
      <c r="AF83" s="31">
        <f>IFERROR(V83/'Start Here'!$C$10,0)</f>
        <v>0.41559999999999997</v>
      </c>
      <c r="AG83" s="31">
        <f>IFERROR(W83/'Start Here'!$C$11,0)</f>
        <v>1.4351718749999998</v>
      </c>
      <c r="AH83" s="31">
        <f>IFERROR(X83/'Start Here'!$C$12,0)</f>
        <v>0.6963062499999999</v>
      </c>
      <c r="AI83" s="31">
        <f>IFERROR(Y83/'Start Here'!$C$13,0)</f>
        <v>1.6430533333333333</v>
      </c>
      <c r="AJ83" s="31">
        <f>IFERROR(Z83/'Start Here'!$C$14,0)</f>
        <v>0.56253749999999991</v>
      </c>
      <c r="AK83" s="31">
        <f>IFERROR(AA83/'Start Here'!$C$15,0)</f>
        <v>0.68467</v>
      </c>
      <c r="AL83" s="31">
        <f>IFERROR(AB83/'Start Here'!$C$16,0)</f>
        <v>9.6860416666666671E-2</v>
      </c>
      <c r="AM83" s="31">
        <f>IFERROR(AC83/'Start Here'!$C$17,0)</f>
        <v>0.63410892857142864</v>
      </c>
      <c r="AN83" s="31">
        <f>IFERROR(AD83/'Start Here'!$C$18,0)</f>
        <v>0.20593999999999998</v>
      </c>
      <c r="AO83" s="31">
        <f>IFERROR(AE83/'Start Here'!$C$19,0)</f>
        <v>0.18926607142857144</v>
      </c>
      <c r="AP83" s="22" t="str">
        <f t="shared" si="14"/>
        <v>Vitamin K</v>
      </c>
      <c r="AQ83" s="7" t="str">
        <f t="shared" si="15"/>
        <v>Best for better vitamin K intake: one serving gives about 164% of your daily vitamin K from the produce alone.</v>
      </c>
      <c r="AR83" s="7" t="str">
        <f t="shared" si="16"/>
        <v>Fibre (42%), Vitamin C (144%), Vitamin A (70%), Folate (56%), Potassium (68%), Vitamin B6 (63%)</v>
      </c>
      <c r="AS83" s="7" t="s">
        <v>1910</v>
      </c>
      <c r="AT83" s="7" t="s">
        <v>1911</v>
      </c>
      <c r="AU83" s="28">
        <f>COUNTIFS('Recipe Ingredients'!$A$2:$A$2500,A83,'Recipe Ingredients'!$G$2:$G$2500,"Basket")</f>
        <v>8</v>
      </c>
      <c r="AV83" s="28">
        <f>COUNTIFS('Recipe Ingredients'!$A$2:$A$2500,A83,'Recipe Ingredients'!$G$2:$G$2500,"Protein")+COUNTIFS('Recipe Ingredients'!$A$2:$A$2500,A83,'Recipe Ingredients'!$G$2:$G$2500,"Pantry")</f>
        <v>2</v>
      </c>
      <c r="AW83" s="31">
        <f t="shared" si="17"/>
        <v>0.8</v>
      </c>
      <c r="AX83" s="28" t="str">
        <f>IF(AW83&gt;='Start Here'!$C$6,"Yes","No")</f>
        <v>Yes</v>
      </c>
      <c r="AY83" s="7" t="s">
        <v>115</v>
      </c>
      <c r="AZ83" s="7" t="s">
        <v>1912</v>
      </c>
      <c r="BA83" s="7" t="s">
        <v>1913</v>
      </c>
      <c r="BB83" s="32" t="s">
        <v>964</v>
      </c>
    </row>
    <row r="84" spans="1:54" ht="96" customHeight="1" x14ac:dyDescent="0.25">
      <c r="A84" s="22" t="s">
        <v>1914</v>
      </c>
      <c r="B84" s="23" t="s">
        <v>1915</v>
      </c>
      <c r="C84" s="22" t="s">
        <v>1566</v>
      </c>
      <c r="D84" s="22" t="s">
        <v>1916</v>
      </c>
      <c r="E84" s="22" t="s">
        <v>1145</v>
      </c>
      <c r="F84" s="7" t="s">
        <v>1917</v>
      </c>
      <c r="G84" s="22" t="s">
        <v>1359</v>
      </c>
      <c r="H84" s="27" t="s">
        <v>1918</v>
      </c>
      <c r="I84" s="27" t="s">
        <v>1919</v>
      </c>
      <c r="J84" s="7" t="s">
        <v>1920</v>
      </c>
      <c r="K84" s="7" t="s">
        <v>1921</v>
      </c>
      <c r="L84" s="7" t="s">
        <v>1922</v>
      </c>
      <c r="M84" s="22" t="s">
        <v>1051</v>
      </c>
      <c r="N84" s="28">
        <v>20</v>
      </c>
      <c r="O84" s="28">
        <v>25</v>
      </c>
      <c r="P84" s="28">
        <f t="shared" si="12"/>
        <v>45</v>
      </c>
      <c r="Q84" s="22" t="str">
        <f t="shared" si="13"/>
        <v>Standard</v>
      </c>
      <c r="R84" s="28">
        <v>6</v>
      </c>
      <c r="S84" s="22">
        <v>140</v>
      </c>
      <c r="T84" s="22">
        <v>5</v>
      </c>
      <c r="U84" s="29">
        <f>SUMIFS('Recipe Ingredients'!$I$2:$I$2500,'Recipe Ingredients'!$A$2:$A$2500,A84)/R84</f>
        <v>159.5</v>
      </c>
      <c r="V84" s="29">
        <f>SUMIFS('Recipe Ingredients'!$J$2:$J$2500,'Recipe Ingredients'!$A$2:$A$2500,A84)/R84</f>
        <v>3.0091666666666668</v>
      </c>
      <c r="W84" s="29">
        <f>SUMIFS('Recipe Ingredients'!$K$2:$K$2500,'Recipe Ingredients'!$A$2:$A$2500,A84)/R84</f>
        <v>98.014833333333343</v>
      </c>
      <c r="X84" s="29">
        <f>SUMIFS('Recipe Ingredients'!$L$2:$L$2500,'Recipe Ingredients'!$A$2:$A$2500,A84)/R84</f>
        <v>209.57500000000002</v>
      </c>
      <c r="Y84" s="29">
        <f>SUMIFS('Recipe Ingredients'!$M$2:$M$2500,'Recipe Ingredients'!$A$2:$A$2500,A84)/R84</f>
        <v>27.494833333333332</v>
      </c>
      <c r="Z84" s="29">
        <f>SUMIFS('Recipe Ingredients'!$N$2:$N$2500,'Recipe Ingredients'!$A$2:$A$2500,A84)/R84</f>
        <v>66.78</v>
      </c>
      <c r="AA84" s="29">
        <f>SUMIFS('Recipe Ingredients'!$O$2:$O$2500,'Recipe Ingredients'!$A$2:$A$2500,A84)/R84</f>
        <v>431.82499999999999</v>
      </c>
      <c r="AB84" s="30">
        <f>SUMIFS('Recipe Ingredients'!$P$2:$P$2500,'Recipe Ingredients'!$A$2:$A$2500,A84)/R84</f>
        <v>1.2315666666666669</v>
      </c>
      <c r="AC84" s="30">
        <f>SUMIFS('Recipe Ingredients'!$Q$2:$Q$2500,'Recipe Ingredients'!$A$2:$A$2500,A84)/R84</f>
        <v>0.27752833333333332</v>
      </c>
      <c r="AD84" s="29">
        <f>SUMIFS('Recipe Ingredients'!$R$2:$R$2500,'Recipe Ingredients'!$A$2:$A$2500,A84)/R84</f>
        <v>32.986666666666665</v>
      </c>
      <c r="AE84" s="30">
        <f>SUMIFS('Recipe Ingredients'!$S$2:$S$2500,'Recipe Ingredients'!$A$2:$A$2500,A84)/R84</f>
        <v>1.3842833333333333</v>
      </c>
      <c r="AF84" s="31">
        <f>IFERROR(V84/'Start Here'!$C$10,0)</f>
        <v>0.12036666666666668</v>
      </c>
      <c r="AG84" s="31">
        <f>IFERROR(W84/'Start Here'!$C$11,0)</f>
        <v>1.2251854166666667</v>
      </c>
      <c r="AH84" s="31">
        <f>IFERROR(X84/'Start Here'!$C$12,0)</f>
        <v>0.26196875000000003</v>
      </c>
      <c r="AI84" s="31">
        <f>IFERROR(Y84/'Start Here'!$C$13,0)</f>
        <v>0.36659777777777774</v>
      </c>
      <c r="AJ84" s="31">
        <f>IFERROR(Z84/'Start Here'!$C$14,0)</f>
        <v>0.33390000000000003</v>
      </c>
      <c r="AK84" s="31">
        <f>IFERROR(AA84/'Start Here'!$C$15,0)</f>
        <v>0.21591250000000001</v>
      </c>
      <c r="AL84" s="31">
        <f>IFERROR(AB84/'Start Here'!$C$16,0)</f>
        <v>0.10263055555555557</v>
      </c>
      <c r="AM84" s="31">
        <f>IFERROR(AC84/'Start Here'!$C$17,0)</f>
        <v>0.1982345238095238</v>
      </c>
      <c r="AN84" s="31">
        <f>IFERROR(AD84/'Start Here'!$C$18,0)</f>
        <v>8.7964444444444442E-2</v>
      </c>
      <c r="AO84" s="31">
        <f>IFERROR(AE84/'Start Here'!$C$19,0)</f>
        <v>9.8877380952380953E-2</v>
      </c>
      <c r="AP84" s="22" t="str">
        <f t="shared" si="14"/>
        <v>Vitamin C</v>
      </c>
      <c r="AQ84" s="7" t="str">
        <f t="shared" si="15"/>
        <v>Best for better vitamin C intake: one serving gives about 123% of your daily vitamin C from the produce alone.</v>
      </c>
      <c r="AR84" s="7" t="str">
        <f t="shared" si="16"/>
        <v>Vitamin A (26%), Vitamin K (37%), Folate (33%)</v>
      </c>
      <c r="AS84" s="7" t="s">
        <v>1923</v>
      </c>
      <c r="AT84" s="7" t="s">
        <v>1924</v>
      </c>
      <c r="AU84" s="28">
        <f>COUNTIFS('Recipe Ingredients'!$A$2:$A$2500,A84,'Recipe Ingredients'!$G$2:$G$2500,"Basket")</f>
        <v>7</v>
      </c>
      <c r="AV84" s="28">
        <f>COUNTIFS('Recipe Ingredients'!$A$2:$A$2500,A84,'Recipe Ingredients'!$G$2:$G$2500,"Protein")+COUNTIFS('Recipe Ingredients'!$A$2:$A$2500,A84,'Recipe Ingredients'!$G$2:$G$2500,"Pantry")</f>
        <v>3</v>
      </c>
      <c r="AW84" s="31">
        <f t="shared" si="17"/>
        <v>0.7</v>
      </c>
      <c r="AX84" s="28" t="str">
        <f>IF(AW84&gt;='Start Here'!$C$6,"Yes","No")</f>
        <v>No</v>
      </c>
      <c r="AY84" s="7" t="s">
        <v>115</v>
      </c>
      <c r="AZ84" s="7" t="s">
        <v>1925</v>
      </c>
      <c r="BA84" s="7" t="s">
        <v>1926</v>
      </c>
      <c r="BB84" s="32" t="s">
        <v>964</v>
      </c>
    </row>
    <row r="85" spans="1:54" ht="96" customHeight="1" x14ac:dyDescent="0.25">
      <c r="A85" s="22" t="s">
        <v>1927</v>
      </c>
      <c r="B85" s="23" t="s">
        <v>1928</v>
      </c>
      <c r="C85" s="22" t="s">
        <v>1566</v>
      </c>
      <c r="D85" s="22" t="s">
        <v>1679</v>
      </c>
      <c r="E85" s="22" t="s">
        <v>1145</v>
      </c>
      <c r="F85" s="7" t="s">
        <v>1929</v>
      </c>
      <c r="G85" s="22" t="s">
        <v>1930</v>
      </c>
      <c r="H85" s="27" t="s">
        <v>1931</v>
      </c>
      <c r="I85" s="27" t="s">
        <v>1932</v>
      </c>
      <c r="J85" s="7" t="s">
        <v>1933</v>
      </c>
      <c r="K85" s="7" t="s">
        <v>1934</v>
      </c>
      <c r="L85" s="7" t="s">
        <v>974</v>
      </c>
      <c r="M85" s="22" t="s">
        <v>1051</v>
      </c>
      <c r="N85" s="28">
        <v>5</v>
      </c>
      <c r="O85" s="28">
        <v>25</v>
      </c>
      <c r="P85" s="28">
        <f t="shared" si="12"/>
        <v>30</v>
      </c>
      <c r="Q85" s="22" t="str">
        <f t="shared" si="13"/>
        <v>Standard</v>
      </c>
      <c r="R85" s="28">
        <v>4</v>
      </c>
      <c r="S85" s="22">
        <v>110</v>
      </c>
      <c r="T85" s="22">
        <v>4</v>
      </c>
      <c r="U85" s="29">
        <f>SUMIFS('Recipe Ingredients'!$I$2:$I$2500,'Recipe Ingredients'!$A$2:$A$2500,A85)/R85</f>
        <v>212</v>
      </c>
      <c r="V85" s="29">
        <f>SUMIFS('Recipe Ingredients'!$J$2:$J$2500,'Recipe Ingredients'!$A$2:$A$2500,A85)/R85</f>
        <v>5.2175000000000002</v>
      </c>
      <c r="W85" s="29">
        <f>SUMIFS('Recipe Ingredients'!$K$2:$K$2500,'Recipe Ingredients'!$A$2:$A$2500,A85)/R85</f>
        <v>46.263750000000002</v>
      </c>
      <c r="X85" s="29">
        <f>SUMIFS('Recipe Ingredients'!$L$2:$L$2500,'Recipe Ingredients'!$A$2:$A$2500,A85)/R85</f>
        <v>80.575000000000003</v>
      </c>
      <c r="Y85" s="29">
        <f>SUMIFS('Recipe Ingredients'!$M$2:$M$2500,'Recipe Ingredients'!$A$2:$A$2500,A85)/R85</f>
        <v>70.319249999999982</v>
      </c>
      <c r="Z85" s="29">
        <f>SUMIFS('Recipe Ingredients'!$N$2:$N$2500,'Recipe Ingredients'!$A$2:$A$2500,A85)/R85</f>
        <v>86.749999999999972</v>
      </c>
      <c r="AA85" s="29">
        <f>SUMIFS('Recipe Ingredients'!$O$2:$O$2500,'Recipe Ingredients'!$A$2:$A$2500,A85)/R85</f>
        <v>561.48749999999995</v>
      </c>
      <c r="AB85" s="30">
        <f>SUMIFS('Recipe Ingredients'!$P$2:$P$2500,'Recipe Ingredients'!$A$2:$A$2500,A85)/R85</f>
        <v>0.65252500000000002</v>
      </c>
      <c r="AC85" s="30">
        <f>SUMIFS('Recipe Ingredients'!$Q$2:$Q$2500,'Recipe Ingredients'!$A$2:$A$2500,A85)/R85</f>
        <v>0.36941250000000003</v>
      </c>
      <c r="AD85" s="29">
        <f>SUMIFS('Recipe Ingredients'!$R$2:$R$2500,'Recipe Ingredients'!$A$2:$A$2500,A85)/R85</f>
        <v>78.799999999999983</v>
      </c>
      <c r="AE85" s="30">
        <f>SUMIFS('Recipe Ingredients'!$S$2:$S$2500,'Recipe Ingredients'!$A$2:$A$2500,A85)/R85</f>
        <v>1.2589250000000001</v>
      </c>
      <c r="AF85" s="31">
        <f>IFERROR(V85/'Start Here'!$C$10,0)</f>
        <v>0.2087</v>
      </c>
      <c r="AG85" s="31">
        <f>IFERROR(W85/'Start Here'!$C$11,0)</f>
        <v>0.57829687500000004</v>
      </c>
      <c r="AH85" s="31">
        <f>IFERROR(X85/'Start Here'!$C$12,0)</f>
        <v>0.10071875000000001</v>
      </c>
      <c r="AI85" s="31">
        <f>IFERROR(Y85/'Start Here'!$C$13,0)</f>
        <v>0.93758999999999981</v>
      </c>
      <c r="AJ85" s="31">
        <f>IFERROR(Z85/'Start Here'!$C$14,0)</f>
        <v>0.43374999999999986</v>
      </c>
      <c r="AK85" s="31">
        <f>IFERROR(AA85/'Start Here'!$C$15,0)</f>
        <v>0.28074374999999996</v>
      </c>
      <c r="AL85" s="31">
        <f>IFERROR(AB85/'Start Here'!$C$16,0)</f>
        <v>5.4377083333333333E-2</v>
      </c>
      <c r="AM85" s="31">
        <f>IFERROR(AC85/'Start Here'!$C$17,0)</f>
        <v>0.26386607142857149</v>
      </c>
      <c r="AN85" s="31">
        <f>IFERROR(AD85/'Start Here'!$C$18,0)</f>
        <v>0.21013333333333328</v>
      </c>
      <c r="AO85" s="31">
        <f>IFERROR(AE85/'Start Here'!$C$19,0)</f>
        <v>8.9923214285714287E-2</v>
      </c>
      <c r="AP85" s="22" t="str">
        <f t="shared" si="14"/>
        <v>Vitamin K</v>
      </c>
      <c r="AQ85" s="7" t="str">
        <f t="shared" si="15"/>
        <v>Best for better vitamin K intake: one serving gives about 94% of your daily vitamin K from the produce alone.</v>
      </c>
      <c r="AR85" s="7" t="str">
        <f t="shared" si="16"/>
        <v>Vitamin C (58%), Folate (43%), Potassium (28%), Vitamin B6 (26%)</v>
      </c>
      <c r="AS85" s="7" t="s">
        <v>1935</v>
      </c>
      <c r="AT85" s="7" t="s">
        <v>1936</v>
      </c>
      <c r="AU85" s="28">
        <f>COUNTIFS('Recipe Ingredients'!$A$2:$A$2500,A85,'Recipe Ingredients'!$G$2:$G$2500,"Basket")</f>
        <v>7</v>
      </c>
      <c r="AV85" s="28">
        <f>COUNTIFS('Recipe Ingredients'!$A$2:$A$2500,A85,'Recipe Ingredients'!$G$2:$G$2500,"Protein")+COUNTIFS('Recipe Ingredients'!$A$2:$A$2500,A85,'Recipe Ingredients'!$G$2:$G$2500,"Pantry")</f>
        <v>1</v>
      </c>
      <c r="AW85" s="31">
        <f t="shared" si="17"/>
        <v>0.875</v>
      </c>
      <c r="AX85" s="28" t="str">
        <f>IF(AW85&gt;='Start Here'!$C$6,"Yes","No")</f>
        <v>Yes</v>
      </c>
      <c r="AY85" s="7" t="s">
        <v>115</v>
      </c>
      <c r="AZ85" s="7" t="s">
        <v>1937</v>
      </c>
      <c r="BA85" s="7" t="s">
        <v>1938</v>
      </c>
      <c r="BB85" s="32" t="s">
        <v>964</v>
      </c>
    </row>
    <row r="86" spans="1:54" ht="96" customHeight="1" x14ac:dyDescent="0.25">
      <c r="A86" s="22" t="s">
        <v>1939</v>
      </c>
      <c r="B86" s="23" t="s">
        <v>1940</v>
      </c>
      <c r="C86" s="22" t="s">
        <v>1566</v>
      </c>
      <c r="D86" s="22" t="s">
        <v>1679</v>
      </c>
      <c r="E86" s="22" t="s">
        <v>1145</v>
      </c>
      <c r="F86" s="7" t="s">
        <v>1941</v>
      </c>
      <c r="G86" s="22" t="s">
        <v>1942</v>
      </c>
      <c r="H86" s="27" t="s">
        <v>1943</v>
      </c>
      <c r="I86" s="27" t="s">
        <v>1944</v>
      </c>
      <c r="J86" s="7" t="s">
        <v>1945</v>
      </c>
      <c r="K86" s="7" t="s">
        <v>1946</v>
      </c>
      <c r="L86" s="7" t="s">
        <v>1010</v>
      </c>
      <c r="M86" s="22" t="s">
        <v>1051</v>
      </c>
      <c r="N86" s="28">
        <v>10</v>
      </c>
      <c r="O86" s="28">
        <v>40</v>
      </c>
      <c r="P86" s="28">
        <f t="shared" si="12"/>
        <v>50</v>
      </c>
      <c r="Q86" s="22" t="str">
        <f t="shared" si="13"/>
        <v>Standard</v>
      </c>
      <c r="R86" s="28">
        <v>4</v>
      </c>
      <c r="S86" s="22">
        <v>140</v>
      </c>
      <c r="T86" s="22">
        <v>3</v>
      </c>
      <c r="U86" s="29">
        <f>SUMIFS('Recipe Ingredients'!$I$2:$I$2500,'Recipe Ingredients'!$A$2:$A$2500,A86)/R86</f>
        <v>185.25</v>
      </c>
      <c r="V86" s="29">
        <f>SUMIFS('Recipe Ingredients'!$J$2:$J$2500,'Recipe Ingredients'!$A$2:$A$2500,A86)/R86</f>
        <v>2.9542499999999996</v>
      </c>
      <c r="W86" s="29">
        <f>SUMIFS('Recipe Ingredients'!$K$2:$K$2500,'Recipe Ingredients'!$A$2:$A$2500,A86)/R86</f>
        <v>104.01075000000002</v>
      </c>
      <c r="X86" s="29">
        <f>SUMIFS('Recipe Ingredients'!$L$2:$L$2500,'Recipe Ingredients'!$A$2:$A$2500,A86)/R86</f>
        <v>85.857500000000016</v>
      </c>
      <c r="Y86" s="29">
        <f>SUMIFS('Recipe Ingredients'!$M$2:$M$2500,'Recipe Ingredients'!$A$2:$A$2500,A86)/R86</f>
        <v>11.594249999999999</v>
      </c>
      <c r="Z86" s="29">
        <f>SUMIFS('Recipe Ingredients'!$N$2:$N$2500,'Recipe Ingredients'!$A$2:$A$2500,A86)/R86</f>
        <v>35.355000000000004</v>
      </c>
      <c r="AA86" s="29">
        <f>SUMIFS('Recipe Ingredients'!$O$2:$O$2500,'Recipe Ingredients'!$A$2:$A$2500,A86)/R86</f>
        <v>376.10249999999996</v>
      </c>
      <c r="AB86" s="30">
        <f>SUMIFS('Recipe Ingredients'!$P$2:$P$2500,'Recipe Ingredients'!$A$2:$A$2500,A86)/R86</f>
        <v>1.0662000000000003</v>
      </c>
      <c r="AC86" s="30">
        <f>SUMIFS('Recipe Ingredients'!$Q$2:$Q$2500,'Recipe Ingredients'!$A$2:$A$2500,A86)/R86</f>
        <v>0.34627750000000002</v>
      </c>
      <c r="AD86" s="29">
        <f>SUMIFS('Recipe Ingredients'!$R$2:$R$2500,'Recipe Ingredients'!$A$2:$A$2500,A86)/R86</f>
        <v>20.614999999999998</v>
      </c>
      <c r="AE86" s="30">
        <f>SUMIFS('Recipe Ingredients'!$S$2:$S$2500,'Recipe Ingredients'!$A$2:$A$2500,A86)/R86</f>
        <v>0.63237500000000002</v>
      </c>
      <c r="AF86" s="31">
        <f>IFERROR(V86/'Start Here'!$C$10,0)</f>
        <v>0.11816999999999998</v>
      </c>
      <c r="AG86" s="31">
        <f>IFERROR(W86/'Start Here'!$C$11,0)</f>
        <v>1.3001343750000003</v>
      </c>
      <c r="AH86" s="31">
        <f>IFERROR(X86/'Start Here'!$C$12,0)</f>
        <v>0.10732187500000002</v>
      </c>
      <c r="AI86" s="31">
        <f>IFERROR(Y86/'Start Here'!$C$13,0)</f>
        <v>0.15458999999999998</v>
      </c>
      <c r="AJ86" s="31">
        <f>IFERROR(Z86/'Start Here'!$C$14,0)</f>
        <v>0.17677500000000002</v>
      </c>
      <c r="AK86" s="31">
        <f>IFERROR(AA86/'Start Here'!$C$15,0)</f>
        <v>0.18805124999999998</v>
      </c>
      <c r="AL86" s="31">
        <f>IFERROR(AB86/'Start Here'!$C$16,0)</f>
        <v>8.8850000000000026E-2</v>
      </c>
      <c r="AM86" s="31">
        <f>IFERROR(AC86/'Start Here'!$C$17,0)</f>
        <v>0.24734107142857145</v>
      </c>
      <c r="AN86" s="31">
        <f>IFERROR(AD86/'Start Here'!$C$18,0)</f>
        <v>5.4973333333333332E-2</v>
      </c>
      <c r="AO86" s="31">
        <f>IFERROR(AE86/'Start Here'!$C$19,0)</f>
        <v>4.516964285714286E-2</v>
      </c>
      <c r="AP86" s="22" t="str">
        <f t="shared" si="14"/>
        <v>Vitamin C</v>
      </c>
      <c r="AQ86" s="7" t="str">
        <f t="shared" si="15"/>
        <v>Best for better vitamin C intake: one serving gives about 130% of your daily vitamin C from the produce alone.</v>
      </c>
      <c r="AR86" s="7" t="str">
        <f t="shared" si="16"/>
        <v/>
      </c>
      <c r="AS86" s="7" t="s">
        <v>1947</v>
      </c>
      <c r="AT86" s="7" t="s">
        <v>1948</v>
      </c>
      <c r="AU86" s="28">
        <f>COUNTIFS('Recipe Ingredients'!$A$2:$A$2500,A86,'Recipe Ingredients'!$G$2:$G$2500,"Basket")</f>
        <v>6</v>
      </c>
      <c r="AV86" s="28">
        <f>COUNTIFS('Recipe Ingredients'!$A$2:$A$2500,A86,'Recipe Ingredients'!$G$2:$G$2500,"Protein")+COUNTIFS('Recipe Ingredients'!$A$2:$A$2500,A86,'Recipe Ingredients'!$G$2:$G$2500,"Pantry")</f>
        <v>1</v>
      </c>
      <c r="AW86" s="31">
        <f t="shared" si="17"/>
        <v>0.8571428571428571</v>
      </c>
      <c r="AX86" s="28" t="str">
        <f>IF(AW86&gt;='Start Here'!$C$6,"Yes","No")</f>
        <v>Yes</v>
      </c>
      <c r="AY86" s="7" t="s">
        <v>115</v>
      </c>
      <c r="AZ86" s="7" t="s">
        <v>1949</v>
      </c>
      <c r="BA86" s="7" t="s">
        <v>1950</v>
      </c>
      <c r="BB86" s="32" t="s">
        <v>964</v>
      </c>
    </row>
    <row r="87" spans="1:54" ht="96" customHeight="1" x14ac:dyDescent="0.25">
      <c r="A87" s="22" t="s">
        <v>1951</v>
      </c>
      <c r="B87" s="23" t="s">
        <v>1952</v>
      </c>
      <c r="C87" s="22" t="s">
        <v>1566</v>
      </c>
      <c r="D87" s="22" t="s">
        <v>1679</v>
      </c>
      <c r="E87" s="22" t="s">
        <v>1953</v>
      </c>
      <c r="F87" s="7" t="s">
        <v>1954</v>
      </c>
      <c r="G87" s="22" t="s">
        <v>1955</v>
      </c>
      <c r="H87" s="27" t="s">
        <v>1956</v>
      </c>
      <c r="I87" s="27" t="s">
        <v>1957</v>
      </c>
      <c r="J87" s="7" t="s">
        <v>1958</v>
      </c>
      <c r="K87" s="7" t="s">
        <v>1959</v>
      </c>
      <c r="L87" s="7" t="s">
        <v>1010</v>
      </c>
      <c r="M87" s="22" t="s">
        <v>1051</v>
      </c>
      <c r="N87" s="28">
        <v>10</v>
      </c>
      <c r="O87" s="28">
        <v>30</v>
      </c>
      <c r="P87" s="28">
        <f t="shared" si="12"/>
        <v>40</v>
      </c>
      <c r="Q87" s="22" t="str">
        <f t="shared" si="13"/>
        <v>Standard</v>
      </c>
      <c r="R87" s="28">
        <v>4</v>
      </c>
      <c r="S87" s="22">
        <v>150</v>
      </c>
      <c r="T87" s="22">
        <v>3</v>
      </c>
      <c r="U87" s="29">
        <f>SUMIFS('Recipe Ingredients'!$I$2:$I$2500,'Recipe Ingredients'!$A$2:$A$2500,A87)/R87</f>
        <v>314</v>
      </c>
      <c r="V87" s="29">
        <f>SUMIFS('Recipe Ingredients'!$J$2:$J$2500,'Recipe Ingredients'!$A$2:$A$2500,A87)/R87</f>
        <v>5.431</v>
      </c>
      <c r="W87" s="29">
        <f>SUMIFS('Recipe Ingredients'!$K$2:$K$2500,'Recipe Ingredients'!$A$2:$A$2500,A87)/R87</f>
        <v>215.22650000000002</v>
      </c>
      <c r="X87" s="29">
        <f>SUMIFS('Recipe Ingredients'!$L$2:$L$2500,'Recipe Ingredients'!$A$2:$A$2500,A87)/R87</f>
        <v>234.05000000000004</v>
      </c>
      <c r="Y87" s="29">
        <f>SUMIFS('Recipe Ingredients'!$M$2:$M$2500,'Recipe Ingredients'!$A$2:$A$2500,A87)/R87</f>
        <v>22.824000000000002</v>
      </c>
      <c r="Z87" s="29">
        <f>SUMIFS('Recipe Ingredients'!$N$2:$N$2500,'Recipe Ingredients'!$A$2:$A$2500,A87)/R87</f>
        <v>83.83</v>
      </c>
      <c r="AA87" s="29">
        <f>SUMIFS('Recipe Ingredients'!$O$2:$O$2500,'Recipe Ingredients'!$A$2:$A$2500,A87)/R87</f>
        <v>629.63</v>
      </c>
      <c r="AB87" s="30">
        <f>SUMIFS('Recipe Ingredients'!$P$2:$P$2500,'Recipe Ingredients'!$A$2:$A$2500,A87)/R87</f>
        <v>2.54305</v>
      </c>
      <c r="AC87" s="30">
        <f>SUMIFS('Recipe Ingredients'!$Q$2:$Q$2500,'Recipe Ingredients'!$A$2:$A$2500,A87)/R87</f>
        <v>0.62841999999999987</v>
      </c>
      <c r="AD87" s="29">
        <f>SUMIFS('Recipe Ingredients'!$R$2:$R$2500,'Recipe Ingredients'!$A$2:$A$2500,A87)/R87</f>
        <v>35.590000000000003</v>
      </c>
      <c r="AE87" s="30">
        <f>SUMIFS('Recipe Ingredients'!$S$2:$S$2500,'Recipe Ingredients'!$A$2:$A$2500,A87)/R87</f>
        <v>1.1118000000000001</v>
      </c>
      <c r="AF87" s="31">
        <f>IFERROR(V87/'Start Here'!$C$10,0)</f>
        <v>0.21723999999999999</v>
      </c>
      <c r="AG87" s="31">
        <f>IFERROR(W87/'Start Here'!$C$11,0)</f>
        <v>2.6903312500000003</v>
      </c>
      <c r="AH87" s="31">
        <f>IFERROR(X87/'Start Here'!$C$12,0)</f>
        <v>0.29256250000000006</v>
      </c>
      <c r="AI87" s="31">
        <f>IFERROR(Y87/'Start Here'!$C$13,0)</f>
        <v>0.30432000000000003</v>
      </c>
      <c r="AJ87" s="31">
        <f>IFERROR(Z87/'Start Here'!$C$14,0)</f>
        <v>0.41914999999999997</v>
      </c>
      <c r="AK87" s="31">
        <f>IFERROR(AA87/'Start Here'!$C$15,0)</f>
        <v>0.31481500000000001</v>
      </c>
      <c r="AL87" s="31">
        <f>IFERROR(AB87/'Start Here'!$C$16,0)</f>
        <v>0.21192083333333334</v>
      </c>
      <c r="AM87" s="31">
        <f>IFERROR(AC87/'Start Here'!$C$17,0)</f>
        <v>0.44887142857142853</v>
      </c>
      <c r="AN87" s="31">
        <f>IFERROR(AD87/'Start Here'!$C$18,0)</f>
        <v>9.4906666666666681E-2</v>
      </c>
      <c r="AO87" s="31">
        <f>IFERROR(AE87/'Start Here'!$C$19,0)</f>
        <v>7.9414285714285729E-2</v>
      </c>
      <c r="AP87" s="22" t="str">
        <f t="shared" si="14"/>
        <v>Vitamin C</v>
      </c>
      <c r="AQ87" s="7" t="str">
        <f t="shared" si="15"/>
        <v>Best for better vitamin C intake: one serving gives about 269% of your daily vitamin C from the produce alone.</v>
      </c>
      <c r="AR87" s="7" t="str">
        <f t="shared" si="16"/>
        <v>Vitamin A (29%), Vitamin K (30%), Folate (42%), Potassium (31%), Vitamin B6 (45%)</v>
      </c>
      <c r="AS87" s="7" t="s">
        <v>1594</v>
      </c>
      <c r="AT87" s="7" t="s">
        <v>1960</v>
      </c>
      <c r="AU87" s="28">
        <f>COUNTIFS('Recipe Ingredients'!$A$2:$A$2500,A87,'Recipe Ingredients'!$G$2:$G$2500,"Basket")</f>
        <v>6</v>
      </c>
      <c r="AV87" s="28">
        <f>COUNTIFS('Recipe Ingredients'!$A$2:$A$2500,A87,'Recipe Ingredients'!$G$2:$G$2500,"Protein")+COUNTIFS('Recipe Ingredients'!$A$2:$A$2500,A87,'Recipe Ingredients'!$G$2:$G$2500,"Pantry")</f>
        <v>1</v>
      </c>
      <c r="AW87" s="31">
        <f t="shared" si="17"/>
        <v>0.8571428571428571</v>
      </c>
      <c r="AX87" s="28" t="str">
        <f>IF(AW87&gt;='Start Here'!$C$6,"Yes","No")</f>
        <v>Yes</v>
      </c>
      <c r="AY87" s="7" t="s">
        <v>115</v>
      </c>
      <c r="AZ87" s="7" t="s">
        <v>1961</v>
      </c>
      <c r="BA87" s="7" t="s">
        <v>1962</v>
      </c>
      <c r="BB87" s="32" t="s">
        <v>964</v>
      </c>
    </row>
    <row r="88" spans="1:54" ht="96" customHeight="1" x14ac:dyDescent="0.25">
      <c r="A88" s="22" t="s">
        <v>1963</v>
      </c>
      <c r="B88" s="23" t="s">
        <v>1964</v>
      </c>
      <c r="C88" s="22" t="s">
        <v>1566</v>
      </c>
      <c r="D88" s="22" t="s">
        <v>1965</v>
      </c>
      <c r="E88" s="22" t="s">
        <v>1145</v>
      </c>
      <c r="F88" s="7" t="s">
        <v>1966</v>
      </c>
      <c r="G88" s="22" t="s">
        <v>1967</v>
      </c>
      <c r="H88" s="27" t="s">
        <v>1968</v>
      </c>
      <c r="I88" s="27" t="s">
        <v>1969</v>
      </c>
      <c r="J88" s="7" t="s">
        <v>1970</v>
      </c>
      <c r="K88" s="7" t="s">
        <v>1971</v>
      </c>
      <c r="L88" s="7" t="s">
        <v>203</v>
      </c>
      <c r="M88" s="22" t="s">
        <v>958</v>
      </c>
      <c r="N88" s="28">
        <v>10</v>
      </c>
      <c r="O88" s="28">
        <v>30</v>
      </c>
      <c r="P88" s="28">
        <f t="shared" si="12"/>
        <v>40</v>
      </c>
      <c r="Q88" s="22" t="str">
        <f t="shared" si="13"/>
        <v>Standard</v>
      </c>
      <c r="R88" s="28">
        <v>4</v>
      </c>
      <c r="S88" s="22">
        <v>220</v>
      </c>
      <c r="T88" s="22">
        <v>10</v>
      </c>
      <c r="U88" s="29">
        <f>SUMIFS('Recipe Ingredients'!$I$2:$I$2500,'Recipe Ingredients'!$A$2:$A$2500,A88)/R88</f>
        <v>161</v>
      </c>
      <c r="V88" s="29">
        <f>SUMIFS('Recipe Ingredients'!$J$2:$J$2500,'Recipe Ingredients'!$A$2:$A$2500,A88)/R88</f>
        <v>2.484</v>
      </c>
      <c r="W88" s="29">
        <f>SUMIFS('Recipe Ingredients'!$K$2:$K$2500,'Recipe Ingredients'!$A$2:$A$2500,A88)/R88</f>
        <v>77.547500000000014</v>
      </c>
      <c r="X88" s="29">
        <f>SUMIFS('Recipe Ingredients'!$L$2:$L$2500,'Recipe Ingredients'!$A$2:$A$2500,A88)/R88</f>
        <v>92.062499999999986</v>
      </c>
      <c r="Y88" s="29">
        <f>SUMIFS('Recipe Ingredients'!$M$2:$M$2500,'Recipe Ingredients'!$A$2:$A$2500,A88)/R88</f>
        <v>30.597499999999997</v>
      </c>
      <c r="Z88" s="29">
        <f>SUMIFS('Recipe Ingredients'!$N$2:$N$2500,'Recipe Ingredients'!$A$2:$A$2500,A88)/R88</f>
        <v>34.595000000000006</v>
      </c>
      <c r="AA88" s="29">
        <f>SUMIFS('Recipe Ingredients'!$O$2:$O$2500,'Recipe Ingredients'!$A$2:$A$2500,A88)/R88</f>
        <v>343.23249999999996</v>
      </c>
      <c r="AB88" s="30">
        <f>SUMIFS('Recipe Ingredients'!$P$2:$P$2500,'Recipe Ingredients'!$A$2:$A$2500,A88)/R88</f>
        <v>1.0273500000000002</v>
      </c>
      <c r="AC88" s="30">
        <f>SUMIFS('Recipe Ingredients'!$Q$2:$Q$2500,'Recipe Ingredients'!$A$2:$A$2500,A88)/R88</f>
        <v>0.25724999999999998</v>
      </c>
      <c r="AD88" s="29">
        <f>SUMIFS('Recipe Ingredients'!$R$2:$R$2500,'Recipe Ingredients'!$A$2:$A$2500,A88)/R88</f>
        <v>18.685000000000002</v>
      </c>
      <c r="AE88" s="30">
        <f>SUMIFS('Recipe Ingredients'!$S$2:$S$2500,'Recipe Ingredients'!$A$2:$A$2500,A88)/R88</f>
        <v>0.59965000000000002</v>
      </c>
      <c r="AF88" s="31">
        <f>IFERROR(V88/'Start Here'!$C$10,0)</f>
        <v>9.9360000000000004E-2</v>
      </c>
      <c r="AG88" s="31">
        <f>IFERROR(W88/'Start Here'!$C$11,0)</f>
        <v>0.96934375000000017</v>
      </c>
      <c r="AH88" s="31">
        <f>IFERROR(X88/'Start Here'!$C$12,0)</f>
        <v>0.11507812499999998</v>
      </c>
      <c r="AI88" s="31">
        <f>IFERROR(Y88/'Start Here'!$C$13,0)</f>
        <v>0.40796666666666664</v>
      </c>
      <c r="AJ88" s="31">
        <f>IFERROR(Z88/'Start Here'!$C$14,0)</f>
        <v>0.17297500000000002</v>
      </c>
      <c r="AK88" s="31">
        <f>IFERROR(AA88/'Start Here'!$C$15,0)</f>
        <v>0.17161624999999997</v>
      </c>
      <c r="AL88" s="31">
        <f>IFERROR(AB88/'Start Here'!$C$16,0)</f>
        <v>8.5612500000000022E-2</v>
      </c>
      <c r="AM88" s="31">
        <f>IFERROR(AC88/'Start Here'!$C$17,0)</f>
        <v>0.18375</v>
      </c>
      <c r="AN88" s="31">
        <f>IFERROR(AD88/'Start Here'!$C$18,0)</f>
        <v>4.9826666666666672E-2</v>
      </c>
      <c r="AO88" s="31">
        <f>IFERROR(AE88/'Start Here'!$C$19,0)</f>
        <v>4.283214285714286E-2</v>
      </c>
      <c r="AP88" s="22" t="str">
        <f t="shared" si="14"/>
        <v>Vitamin C</v>
      </c>
      <c r="AQ88" s="7" t="str">
        <f t="shared" si="15"/>
        <v>Best for better vitamin C intake: one serving gives about 97% of your daily vitamin C from the produce alone.</v>
      </c>
      <c r="AR88" s="7" t="str">
        <f t="shared" si="16"/>
        <v>Vitamin K (41%)</v>
      </c>
      <c r="AS88" s="7" t="s">
        <v>1972</v>
      </c>
      <c r="AT88" s="7" t="s">
        <v>1973</v>
      </c>
      <c r="AU88" s="28">
        <f>COUNTIFS('Recipe Ingredients'!$A$2:$A$2500,A88,'Recipe Ingredients'!$G$2:$G$2500,"Basket")</f>
        <v>8</v>
      </c>
      <c r="AV88" s="28">
        <f>COUNTIFS('Recipe Ingredients'!$A$2:$A$2500,A88,'Recipe Ingredients'!$G$2:$G$2500,"Protein")+COUNTIFS('Recipe Ingredients'!$A$2:$A$2500,A88,'Recipe Ingredients'!$G$2:$G$2500,"Pantry")</f>
        <v>1</v>
      </c>
      <c r="AW88" s="31">
        <f t="shared" si="17"/>
        <v>0.88888888888888884</v>
      </c>
      <c r="AX88" s="28" t="str">
        <f>IF(AW88&gt;='Start Here'!$C$6,"Yes","No")</f>
        <v>Yes</v>
      </c>
      <c r="AY88" s="7" t="s">
        <v>115</v>
      </c>
      <c r="AZ88" s="7" t="s">
        <v>1974</v>
      </c>
      <c r="BA88" s="7" t="s">
        <v>1975</v>
      </c>
      <c r="BB88" s="32" t="s">
        <v>964</v>
      </c>
    </row>
    <row r="89" spans="1:54" ht="96" customHeight="1" x14ac:dyDescent="0.25">
      <c r="A89" s="22" t="s">
        <v>1976</v>
      </c>
      <c r="B89" s="23" t="s">
        <v>1977</v>
      </c>
      <c r="C89" s="22" t="s">
        <v>1566</v>
      </c>
      <c r="D89" s="22" t="s">
        <v>1978</v>
      </c>
      <c r="E89" s="22" t="s">
        <v>1979</v>
      </c>
      <c r="F89" s="7" t="s">
        <v>1980</v>
      </c>
      <c r="G89" s="22" t="s">
        <v>1981</v>
      </c>
      <c r="H89" s="27" t="s">
        <v>1982</v>
      </c>
      <c r="I89" s="27" t="s">
        <v>1983</v>
      </c>
      <c r="J89" s="7" t="s">
        <v>1984</v>
      </c>
      <c r="K89" s="7" t="s">
        <v>1985</v>
      </c>
      <c r="L89" s="7" t="s">
        <v>1010</v>
      </c>
      <c r="M89" s="22" t="s">
        <v>1051</v>
      </c>
      <c r="N89" s="28">
        <v>30</v>
      </c>
      <c r="O89" s="28">
        <v>120</v>
      </c>
      <c r="P89" s="28">
        <f t="shared" si="12"/>
        <v>150</v>
      </c>
      <c r="Q89" s="22" t="str">
        <f t="shared" si="13"/>
        <v>Standard</v>
      </c>
      <c r="R89" s="28">
        <v>8</v>
      </c>
      <c r="S89" s="22">
        <v>90</v>
      </c>
      <c r="T89" s="22">
        <v>2</v>
      </c>
      <c r="U89" s="29">
        <f>SUMIFS('Recipe Ingredients'!$I$2:$I$2500,'Recipe Ingredients'!$A$2:$A$2500,A89)/R89</f>
        <v>208.75</v>
      </c>
      <c r="V89" s="29">
        <f>SUMIFS('Recipe Ingredients'!$J$2:$J$2500,'Recipe Ingredients'!$A$2:$A$2500,A89)/R89</f>
        <v>2.7937500000000002</v>
      </c>
      <c r="W89" s="29">
        <f>SUMIFS('Recipe Ingredients'!$K$2:$K$2500,'Recipe Ingredients'!$A$2:$A$2500,A89)/R89</f>
        <v>66.026250000000005</v>
      </c>
      <c r="X89" s="29">
        <f>SUMIFS('Recipe Ingredients'!$L$2:$L$2500,'Recipe Ingredients'!$A$2:$A$2500,A89)/R89</f>
        <v>121.40750000000001</v>
      </c>
      <c r="Y89" s="29">
        <f>SUMIFS('Recipe Ingredients'!$M$2:$M$2500,'Recipe Ingredients'!$A$2:$A$2500,A89)/R89</f>
        <v>15.658249999999999</v>
      </c>
      <c r="Z89" s="29">
        <f>SUMIFS('Recipe Ingredients'!$N$2:$N$2500,'Recipe Ingredients'!$A$2:$A$2500,A89)/R89</f>
        <v>40.555000000000007</v>
      </c>
      <c r="AA89" s="29">
        <f>SUMIFS('Recipe Ingredients'!$O$2:$O$2500,'Recipe Ingredients'!$A$2:$A$2500,A89)/R89</f>
        <v>491.58749999999998</v>
      </c>
      <c r="AB89" s="30">
        <f>SUMIFS('Recipe Ingredients'!$P$2:$P$2500,'Recipe Ingredients'!$A$2:$A$2500,A89)/R89</f>
        <v>1.4335</v>
      </c>
      <c r="AC89" s="30">
        <f>SUMIFS('Recipe Ingredients'!$Q$2:$Q$2500,'Recipe Ingredients'!$A$2:$A$2500,A89)/R89</f>
        <v>0.25774750000000002</v>
      </c>
      <c r="AD89" s="29">
        <f>SUMIFS('Recipe Ingredients'!$R$2:$R$2500,'Recipe Ingredients'!$A$2:$A$2500,A89)/R89</f>
        <v>23.77</v>
      </c>
      <c r="AE89" s="30">
        <f>SUMIFS('Recipe Ingredients'!$S$2:$S$2500,'Recipe Ingredients'!$A$2:$A$2500,A89)/R89</f>
        <v>0.651675</v>
      </c>
      <c r="AF89" s="31">
        <f>IFERROR(V89/'Start Here'!$C$10,0)</f>
        <v>0.11175</v>
      </c>
      <c r="AG89" s="31">
        <f>IFERROR(W89/'Start Here'!$C$11,0)</f>
        <v>0.82532812500000008</v>
      </c>
      <c r="AH89" s="31">
        <f>IFERROR(X89/'Start Here'!$C$12,0)</f>
        <v>0.15175937500000003</v>
      </c>
      <c r="AI89" s="31">
        <f>IFERROR(Y89/'Start Here'!$C$13,0)</f>
        <v>0.20877666666666664</v>
      </c>
      <c r="AJ89" s="31">
        <f>IFERROR(Z89/'Start Here'!$C$14,0)</f>
        <v>0.20277500000000004</v>
      </c>
      <c r="AK89" s="31">
        <f>IFERROR(AA89/'Start Here'!$C$15,0)</f>
        <v>0.24579374999999998</v>
      </c>
      <c r="AL89" s="31">
        <f>IFERROR(AB89/'Start Here'!$C$16,0)</f>
        <v>0.11945833333333333</v>
      </c>
      <c r="AM89" s="31">
        <f>IFERROR(AC89/'Start Here'!$C$17,0)</f>
        <v>0.18410535714285717</v>
      </c>
      <c r="AN89" s="31">
        <f>IFERROR(AD89/'Start Here'!$C$18,0)</f>
        <v>6.3386666666666661E-2</v>
      </c>
      <c r="AO89" s="31">
        <f>IFERROR(AE89/'Start Here'!$C$19,0)</f>
        <v>4.6548214285714283E-2</v>
      </c>
      <c r="AP89" s="22" t="str">
        <f t="shared" si="14"/>
        <v>Vitamin C</v>
      </c>
      <c r="AQ89" s="7" t="str">
        <f t="shared" si="15"/>
        <v>Best for better vitamin C intake: one serving gives about 83% of your daily vitamin C from the produce alone.</v>
      </c>
      <c r="AR89" s="7" t="str">
        <f t="shared" si="16"/>
        <v/>
      </c>
      <c r="AS89" s="7" t="s">
        <v>1972</v>
      </c>
      <c r="AT89" s="7" t="s">
        <v>1986</v>
      </c>
      <c r="AU89" s="28">
        <f>COUNTIFS('Recipe Ingredients'!$A$2:$A$2500,A89,'Recipe Ingredients'!$G$2:$G$2500,"Basket")</f>
        <v>4</v>
      </c>
      <c r="AV89" s="28">
        <f>COUNTIFS('Recipe Ingredients'!$A$2:$A$2500,A89,'Recipe Ingredients'!$G$2:$G$2500,"Protein")+COUNTIFS('Recipe Ingredients'!$A$2:$A$2500,A89,'Recipe Ingredients'!$G$2:$G$2500,"Pantry")</f>
        <v>1</v>
      </c>
      <c r="AW89" s="31">
        <f t="shared" si="17"/>
        <v>0.8</v>
      </c>
      <c r="AX89" s="28" t="str">
        <f>IF(AW89&gt;='Start Here'!$C$6,"Yes","No")</f>
        <v>Yes</v>
      </c>
      <c r="AY89" s="7" t="s">
        <v>115</v>
      </c>
      <c r="AZ89" s="7" t="s">
        <v>1987</v>
      </c>
      <c r="BA89" s="7" t="s">
        <v>1988</v>
      </c>
      <c r="BB89" s="32" t="s">
        <v>964</v>
      </c>
    </row>
    <row r="90" spans="1:54" ht="96" customHeight="1" x14ac:dyDescent="0.25">
      <c r="A90" s="22" t="s">
        <v>1989</v>
      </c>
      <c r="B90" s="23" t="s">
        <v>1990</v>
      </c>
      <c r="C90" s="22" t="s">
        <v>1566</v>
      </c>
      <c r="D90" s="22" t="s">
        <v>1978</v>
      </c>
      <c r="E90" s="22" t="s">
        <v>1322</v>
      </c>
      <c r="F90" s="7" t="s">
        <v>1991</v>
      </c>
      <c r="G90" s="22" t="s">
        <v>1744</v>
      </c>
      <c r="H90" s="27" t="s">
        <v>1992</v>
      </c>
      <c r="I90" s="27" t="s">
        <v>1993</v>
      </c>
      <c r="J90" s="7" t="s">
        <v>1994</v>
      </c>
      <c r="K90" s="7" t="s">
        <v>1995</v>
      </c>
      <c r="L90" s="7" t="s">
        <v>974</v>
      </c>
      <c r="M90" s="22" t="s">
        <v>1051</v>
      </c>
      <c r="N90" s="28">
        <v>20</v>
      </c>
      <c r="O90" s="28">
        <v>0</v>
      </c>
      <c r="P90" s="28">
        <f t="shared" si="12"/>
        <v>20</v>
      </c>
      <c r="Q90" s="22" t="str">
        <f t="shared" si="13"/>
        <v>No-cook</v>
      </c>
      <c r="R90" s="28">
        <v>4</v>
      </c>
      <c r="S90" s="22">
        <v>90</v>
      </c>
      <c r="T90" s="22">
        <v>2</v>
      </c>
      <c r="U90" s="29">
        <f>SUMIFS('Recipe Ingredients'!$I$2:$I$2500,'Recipe Ingredients'!$A$2:$A$2500,A90)/R90</f>
        <v>146.5</v>
      </c>
      <c r="V90" s="29">
        <f>SUMIFS('Recipe Ingredients'!$J$2:$J$2500,'Recipe Ingredients'!$A$2:$A$2500,A90)/R90</f>
        <v>2.7527499999999994</v>
      </c>
      <c r="W90" s="29">
        <f>SUMIFS('Recipe Ingredients'!$K$2:$K$2500,'Recipe Ingredients'!$A$2:$A$2500,A90)/R90</f>
        <v>56.448000000000008</v>
      </c>
      <c r="X90" s="29">
        <f>SUMIFS('Recipe Ingredients'!$L$2:$L$2500,'Recipe Ingredients'!$A$2:$A$2500,A90)/R90</f>
        <v>80.667500000000004</v>
      </c>
      <c r="Y90" s="29">
        <f>SUMIFS('Recipe Ingredients'!$M$2:$M$2500,'Recipe Ingredients'!$A$2:$A$2500,A90)/R90</f>
        <v>130.90950000000001</v>
      </c>
      <c r="Z90" s="29">
        <f>SUMIFS('Recipe Ingredients'!$N$2:$N$2500,'Recipe Ingredients'!$A$2:$A$2500,A90)/R90</f>
        <v>38.722499999999997</v>
      </c>
      <c r="AA90" s="29">
        <f>SUMIFS('Recipe Ingredients'!$O$2:$O$2500,'Recipe Ingredients'!$A$2:$A$2500,A90)/R90</f>
        <v>341.15750000000003</v>
      </c>
      <c r="AB90" s="30">
        <f>SUMIFS('Recipe Ingredients'!$P$2:$P$2500,'Recipe Ingredients'!$A$2:$A$2500,A90)/R90</f>
        <v>0.55200000000000005</v>
      </c>
      <c r="AC90" s="30">
        <f>SUMIFS('Recipe Ingredients'!$Q$2:$Q$2500,'Recipe Ingredients'!$A$2:$A$2500,A90)/R90</f>
        <v>0.19893999999999998</v>
      </c>
      <c r="AD90" s="29">
        <f>SUMIFS('Recipe Ingredients'!$R$2:$R$2500,'Recipe Ingredients'!$A$2:$A$2500,A90)/R90</f>
        <v>22.75</v>
      </c>
      <c r="AE90" s="30">
        <f>SUMIFS('Recipe Ingredients'!$S$2:$S$2500,'Recipe Ingredients'!$A$2:$A$2500,A90)/R90</f>
        <v>1.7765500000000001</v>
      </c>
      <c r="AF90" s="31">
        <f>IFERROR(V90/'Start Here'!$C$10,0)</f>
        <v>0.11010999999999997</v>
      </c>
      <c r="AG90" s="31">
        <f>IFERROR(W90/'Start Here'!$C$11,0)</f>
        <v>0.70560000000000012</v>
      </c>
      <c r="AH90" s="31">
        <f>IFERROR(X90/'Start Here'!$C$12,0)</f>
        <v>0.100834375</v>
      </c>
      <c r="AI90" s="31">
        <f>IFERROR(Y90/'Start Here'!$C$13,0)</f>
        <v>1.74546</v>
      </c>
      <c r="AJ90" s="31">
        <f>IFERROR(Z90/'Start Here'!$C$14,0)</f>
        <v>0.19361249999999999</v>
      </c>
      <c r="AK90" s="31">
        <f>IFERROR(AA90/'Start Here'!$C$15,0)</f>
        <v>0.17057875</v>
      </c>
      <c r="AL90" s="31">
        <f>IFERROR(AB90/'Start Here'!$C$16,0)</f>
        <v>4.6000000000000006E-2</v>
      </c>
      <c r="AM90" s="31">
        <f>IFERROR(AC90/'Start Here'!$C$17,0)</f>
        <v>0.1421</v>
      </c>
      <c r="AN90" s="31">
        <f>IFERROR(AD90/'Start Here'!$C$18,0)</f>
        <v>6.0666666666666667E-2</v>
      </c>
      <c r="AO90" s="31">
        <f>IFERROR(AE90/'Start Here'!$C$19,0)</f>
        <v>0.12689642857142858</v>
      </c>
      <c r="AP90" s="22" t="str">
        <f t="shared" si="14"/>
        <v>Vitamin K</v>
      </c>
      <c r="AQ90" s="7" t="str">
        <f t="shared" si="15"/>
        <v>Best for better vitamin K intake: one serving gives about 175% of your daily vitamin K from the produce alone.</v>
      </c>
      <c r="AR90" s="7" t="str">
        <f t="shared" si="16"/>
        <v>Vitamin C (71%)</v>
      </c>
      <c r="AS90" s="7" t="s">
        <v>1817</v>
      </c>
      <c r="AT90" s="7" t="s">
        <v>1996</v>
      </c>
      <c r="AU90" s="28">
        <f>COUNTIFS('Recipe Ingredients'!$A$2:$A$2500,A90,'Recipe Ingredients'!$G$2:$G$2500,"Basket")</f>
        <v>7</v>
      </c>
      <c r="AV90" s="28">
        <f>COUNTIFS('Recipe Ingredients'!$A$2:$A$2500,A90,'Recipe Ingredients'!$G$2:$G$2500,"Protein")+COUNTIFS('Recipe Ingredients'!$A$2:$A$2500,A90,'Recipe Ingredients'!$G$2:$G$2500,"Pantry")</f>
        <v>1</v>
      </c>
      <c r="AW90" s="31">
        <f t="shared" si="17"/>
        <v>0.875</v>
      </c>
      <c r="AX90" s="28" t="str">
        <f>IF(AW90&gt;='Start Here'!$C$6,"Yes","No")</f>
        <v>Yes</v>
      </c>
      <c r="AY90" s="7" t="s">
        <v>115</v>
      </c>
      <c r="AZ90" s="7" t="s">
        <v>1997</v>
      </c>
      <c r="BA90" s="7" t="s">
        <v>1998</v>
      </c>
      <c r="BB90" s="32" t="s">
        <v>964</v>
      </c>
    </row>
    <row r="91" spans="1:54" ht="96" customHeight="1" x14ac:dyDescent="0.25">
      <c r="A91" s="22" t="s">
        <v>1999</v>
      </c>
      <c r="B91" s="23" t="s">
        <v>2000</v>
      </c>
      <c r="C91" s="22" t="s">
        <v>1566</v>
      </c>
      <c r="D91" s="22" t="s">
        <v>1609</v>
      </c>
      <c r="E91" s="22" t="s">
        <v>1322</v>
      </c>
      <c r="F91" s="7" t="s">
        <v>2001</v>
      </c>
      <c r="G91" s="22" t="s">
        <v>1005</v>
      </c>
      <c r="H91" s="27" t="s">
        <v>2002</v>
      </c>
      <c r="I91" s="27" t="s">
        <v>2003</v>
      </c>
      <c r="J91" s="7" t="s">
        <v>2004</v>
      </c>
      <c r="K91" s="7" t="s">
        <v>2005</v>
      </c>
      <c r="L91" s="7" t="s">
        <v>974</v>
      </c>
      <c r="M91" s="22" t="s">
        <v>1051</v>
      </c>
      <c r="N91" s="28">
        <v>15</v>
      </c>
      <c r="O91" s="28">
        <v>0</v>
      </c>
      <c r="P91" s="28">
        <f t="shared" si="12"/>
        <v>15</v>
      </c>
      <c r="Q91" s="22" t="str">
        <f t="shared" si="13"/>
        <v>No-cook</v>
      </c>
      <c r="R91" s="28">
        <v>6</v>
      </c>
      <c r="S91" s="22">
        <v>25</v>
      </c>
      <c r="T91" s="22">
        <v>1</v>
      </c>
      <c r="U91" s="29">
        <f>SUMIFS('Recipe Ingredients'!$I$2:$I$2500,'Recipe Ingredients'!$A$2:$A$2500,A91)/R91</f>
        <v>105.5</v>
      </c>
      <c r="V91" s="29">
        <f>SUMIFS('Recipe Ingredients'!$J$2:$J$2500,'Recipe Ingredients'!$A$2:$A$2500,A91)/R91</f>
        <v>1.7561666666666664</v>
      </c>
      <c r="W91" s="29">
        <f>SUMIFS('Recipe Ingredients'!$K$2:$K$2500,'Recipe Ingredients'!$A$2:$A$2500,A91)/R91</f>
        <v>18.0685</v>
      </c>
      <c r="X91" s="29">
        <f>SUMIFS('Recipe Ingredients'!$L$2:$L$2500,'Recipe Ingredients'!$A$2:$A$2500,A91)/R91</f>
        <v>30.540000000000003</v>
      </c>
      <c r="Y91" s="29">
        <f>SUMIFS('Recipe Ingredients'!$M$2:$M$2500,'Recipe Ingredients'!$A$2:$A$2500,A91)/R91</f>
        <v>9.2210000000000001</v>
      </c>
      <c r="Z91" s="29">
        <f>SUMIFS('Recipe Ingredients'!$N$2:$N$2500,'Recipe Ingredients'!$A$2:$A$2500,A91)/R91</f>
        <v>15.635</v>
      </c>
      <c r="AA91" s="29">
        <f>SUMIFS('Recipe Ingredients'!$O$2:$O$2500,'Recipe Ingredients'!$A$2:$A$2500,A91)/R91</f>
        <v>207.82000000000002</v>
      </c>
      <c r="AB91" s="30">
        <f>SUMIFS('Recipe Ingredients'!$P$2:$P$2500,'Recipe Ingredients'!$A$2:$A$2500,A91)/R91</f>
        <v>0.41701666666666665</v>
      </c>
      <c r="AC91" s="30">
        <f>SUMIFS('Recipe Ingredients'!$Q$2:$Q$2500,'Recipe Ingredients'!$A$2:$A$2500,A91)/R91</f>
        <v>0.10015666666666666</v>
      </c>
      <c r="AD91" s="29">
        <f>SUMIFS('Recipe Ingredients'!$R$2:$R$2500,'Recipe Ingredients'!$A$2:$A$2500,A91)/R91</f>
        <v>10.728333333333333</v>
      </c>
      <c r="AE91" s="30">
        <f>SUMIFS('Recipe Ingredients'!$S$2:$S$2500,'Recipe Ingredients'!$A$2:$A$2500,A91)/R91</f>
        <v>0.38718333333333327</v>
      </c>
      <c r="AF91" s="31">
        <f>IFERROR(V91/'Start Here'!$C$10,0)</f>
        <v>7.0246666666666652E-2</v>
      </c>
      <c r="AG91" s="31">
        <f>IFERROR(W91/'Start Here'!$C$11,0)</f>
        <v>0.22585625000000001</v>
      </c>
      <c r="AH91" s="31">
        <f>IFERROR(X91/'Start Here'!$C$12,0)</f>
        <v>3.8175000000000001E-2</v>
      </c>
      <c r="AI91" s="31">
        <f>IFERROR(Y91/'Start Here'!$C$13,0)</f>
        <v>0.12294666666666666</v>
      </c>
      <c r="AJ91" s="31">
        <f>IFERROR(Z91/'Start Here'!$C$14,0)</f>
        <v>7.8174999999999994E-2</v>
      </c>
      <c r="AK91" s="31">
        <f>IFERROR(AA91/'Start Here'!$C$15,0)</f>
        <v>0.10391000000000002</v>
      </c>
      <c r="AL91" s="31">
        <f>IFERROR(AB91/'Start Here'!$C$16,0)</f>
        <v>3.4751388888888887E-2</v>
      </c>
      <c r="AM91" s="31">
        <f>IFERROR(AC91/'Start Here'!$C$17,0)</f>
        <v>7.1540476190476182E-2</v>
      </c>
      <c r="AN91" s="31">
        <f>IFERROR(AD91/'Start Here'!$C$18,0)</f>
        <v>2.8608888888888889E-2</v>
      </c>
      <c r="AO91" s="31">
        <f>IFERROR(AE91/'Start Here'!$C$19,0)</f>
        <v>2.7655952380952375E-2</v>
      </c>
      <c r="AP91" s="22" t="str">
        <f t="shared" si="14"/>
        <v>Vitamin C</v>
      </c>
      <c r="AQ91" s="7" t="str">
        <f t="shared" si="15"/>
        <v>Best for better vitamin C intake: one serving gives about 23% of your daily vitamin C from the produce alone.</v>
      </c>
      <c r="AR91" s="7" t="str">
        <f t="shared" si="16"/>
        <v/>
      </c>
      <c r="AS91" s="7" t="s">
        <v>1817</v>
      </c>
      <c r="AT91" s="7" t="s">
        <v>1887</v>
      </c>
      <c r="AU91" s="28">
        <f>COUNTIFS('Recipe Ingredients'!$A$2:$A$2500,A91,'Recipe Ingredients'!$G$2:$G$2500,"Basket")</f>
        <v>6</v>
      </c>
      <c r="AV91" s="28">
        <f>COUNTIFS('Recipe Ingredients'!$A$2:$A$2500,A91,'Recipe Ingredients'!$G$2:$G$2500,"Protein")+COUNTIFS('Recipe Ingredients'!$A$2:$A$2500,A91,'Recipe Ingredients'!$G$2:$G$2500,"Pantry")</f>
        <v>0</v>
      </c>
      <c r="AW91" s="31">
        <f t="shared" si="17"/>
        <v>1</v>
      </c>
      <c r="AX91" s="28" t="str">
        <f>IF(AW91&gt;='Start Here'!$C$6,"Yes","No")</f>
        <v>Yes</v>
      </c>
      <c r="AY91" s="7" t="s">
        <v>115</v>
      </c>
      <c r="AZ91" s="7" t="s">
        <v>2006</v>
      </c>
      <c r="BA91" s="7" t="s">
        <v>2007</v>
      </c>
      <c r="BB91" s="32" t="s">
        <v>964</v>
      </c>
    </row>
    <row r="92" spans="1:54" ht="96" customHeight="1" x14ac:dyDescent="0.25">
      <c r="A92" s="22" t="s">
        <v>2008</v>
      </c>
      <c r="B92" s="23" t="s">
        <v>2009</v>
      </c>
      <c r="C92" s="22" t="s">
        <v>1566</v>
      </c>
      <c r="D92" s="22" t="s">
        <v>1609</v>
      </c>
      <c r="E92" s="22" t="s">
        <v>1322</v>
      </c>
      <c r="F92" s="7" t="s">
        <v>2010</v>
      </c>
      <c r="G92" s="22" t="s">
        <v>2011</v>
      </c>
      <c r="H92" s="27" t="s">
        <v>2012</v>
      </c>
      <c r="I92" s="27" t="s">
        <v>2013</v>
      </c>
      <c r="J92" s="7" t="s">
        <v>2014</v>
      </c>
      <c r="K92" s="7" t="s">
        <v>2015</v>
      </c>
      <c r="L92" s="7" t="s">
        <v>974</v>
      </c>
      <c r="M92" s="22" t="s">
        <v>1051</v>
      </c>
      <c r="N92" s="28">
        <v>10</v>
      </c>
      <c r="O92" s="28">
        <v>20</v>
      </c>
      <c r="P92" s="28">
        <f t="shared" si="12"/>
        <v>30</v>
      </c>
      <c r="Q92" s="22" t="str">
        <f t="shared" si="13"/>
        <v>Standard</v>
      </c>
      <c r="R92" s="28">
        <v>8</v>
      </c>
      <c r="S92" s="22">
        <v>45</v>
      </c>
      <c r="T92" s="22">
        <v>1</v>
      </c>
      <c r="U92" s="29">
        <f>SUMIFS('Recipe Ingredients'!$I$2:$I$2500,'Recipe Ingredients'!$A$2:$A$2500,A92)/R92</f>
        <v>84.875</v>
      </c>
      <c r="V92" s="29">
        <f>SUMIFS('Recipe Ingredients'!$J$2:$J$2500,'Recipe Ingredients'!$A$2:$A$2500,A92)/R92</f>
        <v>1.2359999999999998</v>
      </c>
      <c r="W92" s="29">
        <f>SUMIFS('Recipe Ingredients'!$K$2:$K$2500,'Recipe Ingredients'!$A$2:$A$2500,A92)/R92</f>
        <v>19.380874999999996</v>
      </c>
      <c r="X92" s="29">
        <f>SUMIFS('Recipe Ingredients'!$L$2:$L$2500,'Recipe Ingredients'!$A$2:$A$2500,A92)/R92</f>
        <v>33.662499999999994</v>
      </c>
      <c r="Y92" s="29">
        <f>SUMIFS('Recipe Ingredients'!$M$2:$M$2500,'Recipe Ingredients'!$A$2:$A$2500,A92)/R92</f>
        <v>10.344875</v>
      </c>
      <c r="Z92" s="29">
        <f>SUMIFS('Recipe Ingredients'!$N$2:$N$2500,'Recipe Ingredients'!$A$2:$A$2500,A92)/R92</f>
        <v>13.39</v>
      </c>
      <c r="AA92" s="29">
        <f>SUMIFS('Recipe Ingredients'!$O$2:$O$2500,'Recipe Ingredients'!$A$2:$A$2500,A92)/R92</f>
        <v>193.94624999999996</v>
      </c>
      <c r="AB92" s="30">
        <f>SUMIFS('Recipe Ingredients'!$P$2:$P$2500,'Recipe Ingredients'!$A$2:$A$2500,A92)/R92</f>
        <v>0.42750000000000005</v>
      </c>
      <c r="AC92" s="30">
        <f>SUMIFS('Recipe Ingredients'!$Q$2:$Q$2500,'Recipe Ingredients'!$A$2:$A$2500,A92)/R92</f>
        <v>0.10288</v>
      </c>
      <c r="AD92" s="29">
        <f>SUMIFS('Recipe Ingredients'!$R$2:$R$2500,'Recipe Ingredients'!$A$2:$A$2500,A92)/R92</f>
        <v>9.8312500000000007</v>
      </c>
      <c r="AE92" s="30">
        <f>SUMIFS('Recipe Ingredients'!$S$2:$S$2500,'Recipe Ingredients'!$A$2:$A$2500,A92)/R92</f>
        <v>0.32926250000000007</v>
      </c>
      <c r="AF92" s="31">
        <f>IFERROR(V92/'Start Here'!$C$10,0)</f>
        <v>4.9439999999999991E-2</v>
      </c>
      <c r="AG92" s="31">
        <f>IFERROR(W92/'Start Here'!$C$11,0)</f>
        <v>0.24226093749999994</v>
      </c>
      <c r="AH92" s="31">
        <f>IFERROR(X92/'Start Here'!$C$12,0)</f>
        <v>4.2078124999999994E-2</v>
      </c>
      <c r="AI92" s="31">
        <f>IFERROR(Y92/'Start Here'!$C$13,0)</f>
        <v>0.13793166666666667</v>
      </c>
      <c r="AJ92" s="31">
        <f>IFERROR(Z92/'Start Here'!$C$14,0)</f>
        <v>6.695000000000001E-2</v>
      </c>
      <c r="AK92" s="31">
        <f>IFERROR(AA92/'Start Here'!$C$15,0)</f>
        <v>9.6973124999999979E-2</v>
      </c>
      <c r="AL92" s="31">
        <f>IFERROR(AB92/'Start Here'!$C$16,0)</f>
        <v>3.5625000000000004E-2</v>
      </c>
      <c r="AM92" s="31">
        <f>IFERROR(AC92/'Start Here'!$C$17,0)</f>
        <v>7.3485714285714293E-2</v>
      </c>
      <c r="AN92" s="31">
        <f>IFERROR(AD92/'Start Here'!$C$18,0)</f>
        <v>2.6216666666666669E-2</v>
      </c>
      <c r="AO92" s="31">
        <f>IFERROR(AE92/'Start Here'!$C$19,0)</f>
        <v>2.3518750000000005E-2</v>
      </c>
      <c r="AP92" s="22" t="str">
        <f t="shared" si="14"/>
        <v>Vitamin C</v>
      </c>
      <c r="AQ92" s="7" t="str">
        <f t="shared" si="15"/>
        <v>Best for better vitamin C intake: one serving gives about 24% of your daily vitamin C from the produce alone.</v>
      </c>
      <c r="AR92" s="7" t="str">
        <f t="shared" si="16"/>
        <v/>
      </c>
      <c r="AS92" s="7" t="s">
        <v>1817</v>
      </c>
      <c r="AT92" s="7" t="s">
        <v>2016</v>
      </c>
      <c r="AU92" s="28">
        <f>COUNTIFS('Recipe Ingredients'!$A$2:$A$2500,A92,'Recipe Ingredients'!$G$2:$G$2500,"Basket")</f>
        <v>6</v>
      </c>
      <c r="AV92" s="28">
        <f>COUNTIFS('Recipe Ingredients'!$A$2:$A$2500,A92,'Recipe Ingredients'!$G$2:$G$2500,"Protein")+COUNTIFS('Recipe Ingredients'!$A$2:$A$2500,A92,'Recipe Ingredients'!$G$2:$G$2500,"Pantry")</f>
        <v>0</v>
      </c>
      <c r="AW92" s="31">
        <f t="shared" si="17"/>
        <v>1</v>
      </c>
      <c r="AX92" s="28" t="str">
        <f>IF(AW92&gt;='Start Here'!$C$6,"Yes","No")</f>
        <v>Yes</v>
      </c>
      <c r="AY92" s="7" t="s">
        <v>115</v>
      </c>
      <c r="AZ92" s="7" t="s">
        <v>2017</v>
      </c>
      <c r="BA92" s="7" t="s">
        <v>2018</v>
      </c>
      <c r="BB92" s="32" t="s">
        <v>964</v>
      </c>
    </row>
    <row r="93" spans="1:54" ht="96" customHeight="1" x14ac:dyDescent="0.25">
      <c r="A93" s="22" t="s">
        <v>2019</v>
      </c>
      <c r="B93" s="23" t="s">
        <v>2020</v>
      </c>
      <c r="C93" s="22" t="s">
        <v>1566</v>
      </c>
      <c r="D93" s="22" t="s">
        <v>1645</v>
      </c>
      <c r="E93" s="22" t="s">
        <v>1380</v>
      </c>
      <c r="F93" s="7" t="s">
        <v>2021</v>
      </c>
      <c r="G93" s="22" t="s">
        <v>1005</v>
      </c>
      <c r="H93" s="27" t="s">
        <v>2022</v>
      </c>
      <c r="I93" s="27" t="s">
        <v>2023</v>
      </c>
      <c r="J93" s="7" t="s">
        <v>2024</v>
      </c>
      <c r="K93" s="7" t="s">
        <v>2025</v>
      </c>
      <c r="L93" s="7" t="s">
        <v>203</v>
      </c>
      <c r="M93" s="22" t="s">
        <v>1051</v>
      </c>
      <c r="N93" s="28">
        <v>10</v>
      </c>
      <c r="O93" s="28">
        <v>25</v>
      </c>
      <c r="P93" s="28">
        <f t="shared" si="12"/>
        <v>35</v>
      </c>
      <c r="Q93" s="22" t="str">
        <f t="shared" si="13"/>
        <v>Standard</v>
      </c>
      <c r="R93" s="28">
        <v>4</v>
      </c>
      <c r="S93" s="22">
        <v>120</v>
      </c>
      <c r="T93" s="22">
        <v>3</v>
      </c>
      <c r="U93" s="29">
        <f>SUMIFS('Recipe Ingredients'!$I$2:$I$2500,'Recipe Ingredients'!$A$2:$A$2500,A93)/R93</f>
        <v>269.25</v>
      </c>
      <c r="V93" s="29">
        <f>SUMIFS('Recipe Ingredients'!$J$2:$J$2500,'Recipe Ingredients'!$A$2:$A$2500,A93)/R93</f>
        <v>3.3237500000000004</v>
      </c>
      <c r="W93" s="29">
        <f>SUMIFS('Recipe Ingredients'!$K$2:$K$2500,'Recipe Ingredients'!$A$2:$A$2500,A93)/R93</f>
        <v>40.412500000000001</v>
      </c>
      <c r="X93" s="29">
        <f>SUMIFS('Recipe Ingredients'!$L$2:$L$2500,'Recipe Ingredients'!$A$2:$A$2500,A93)/R93</f>
        <v>126</v>
      </c>
      <c r="Y93" s="29">
        <f>SUMIFS('Recipe Ingredients'!$M$2:$M$2500,'Recipe Ingredients'!$A$2:$A$2500,A93)/R93</f>
        <v>51.276250000000005</v>
      </c>
      <c r="Z93" s="29">
        <f>SUMIFS('Recipe Ingredients'!$N$2:$N$2500,'Recipe Ingredients'!$A$2:$A$2500,A93)/R93</f>
        <v>44.572500000000005</v>
      </c>
      <c r="AA93" s="29">
        <f>SUMIFS('Recipe Ingredients'!$O$2:$O$2500,'Recipe Ingredients'!$A$2:$A$2500,A93)/R93</f>
        <v>641.91750000000002</v>
      </c>
      <c r="AB93" s="30">
        <f>SUMIFS('Recipe Ingredients'!$P$2:$P$2500,'Recipe Ingredients'!$A$2:$A$2500,A93)/R93</f>
        <v>1.4304500000000002</v>
      </c>
      <c r="AC93" s="30">
        <f>SUMIFS('Recipe Ingredients'!$Q$2:$Q$2500,'Recipe Ingredients'!$A$2:$A$2500,A93)/R93</f>
        <v>0.26046249999999999</v>
      </c>
      <c r="AD93" s="29">
        <f>SUMIFS('Recipe Ingredients'!$R$2:$R$2500,'Recipe Ingredients'!$A$2:$A$2500,A93)/R93</f>
        <v>34.137499999999996</v>
      </c>
      <c r="AE93" s="30">
        <f>SUMIFS('Recipe Ingredients'!$S$2:$S$2500,'Recipe Ingredients'!$A$2:$A$2500,A93)/R93</f>
        <v>0.99145000000000016</v>
      </c>
      <c r="AF93" s="31">
        <f>IFERROR(V93/'Start Here'!$C$10,0)</f>
        <v>0.13295000000000001</v>
      </c>
      <c r="AG93" s="31">
        <f>IFERROR(W93/'Start Here'!$C$11,0)</f>
        <v>0.50515624999999997</v>
      </c>
      <c r="AH93" s="31">
        <f>IFERROR(X93/'Start Here'!$C$12,0)</f>
        <v>0.1575</v>
      </c>
      <c r="AI93" s="31">
        <f>IFERROR(Y93/'Start Here'!$C$13,0)</f>
        <v>0.68368333333333342</v>
      </c>
      <c r="AJ93" s="31">
        <f>IFERROR(Z93/'Start Here'!$C$14,0)</f>
        <v>0.22286250000000002</v>
      </c>
      <c r="AK93" s="31">
        <f>IFERROR(AA93/'Start Here'!$C$15,0)</f>
        <v>0.32095875000000001</v>
      </c>
      <c r="AL93" s="31">
        <f>IFERROR(AB93/'Start Here'!$C$16,0)</f>
        <v>0.11920416666666668</v>
      </c>
      <c r="AM93" s="31">
        <f>IFERROR(AC93/'Start Here'!$C$17,0)</f>
        <v>0.18604464285714287</v>
      </c>
      <c r="AN93" s="31">
        <f>IFERROR(AD93/'Start Here'!$C$18,0)</f>
        <v>9.1033333333333327E-2</v>
      </c>
      <c r="AO93" s="31">
        <f>IFERROR(AE93/'Start Here'!$C$19,0)</f>
        <v>7.0817857142857155E-2</v>
      </c>
      <c r="AP93" s="22" t="str">
        <f t="shared" si="14"/>
        <v>Vitamin K</v>
      </c>
      <c r="AQ93" s="7" t="str">
        <f t="shared" si="15"/>
        <v>Best for better vitamin K intake: one serving gives about 68% of your daily vitamin K from the produce alone.</v>
      </c>
      <c r="AR93" s="7" t="str">
        <f t="shared" si="16"/>
        <v>Vitamin C (51%), Potassium (32%)</v>
      </c>
      <c r="AS93" s="7" t="s">
        <v>1759</v>
      </c>
      <c r="AT93" s="7" t="s">
        <v>2026</v>
      </c>
      <c r="AU93" s="28">
        <f>COUNTIFS('Recipe Ingredients'!$A$2:$A$2500,A93,'Recipe Ingredients'!$G$2:$G$2500,"Basket")</f>
        <v>5</v>
      </c>
      <c r="AV93" s="28">
        <f>COUNTIFS('Recipe Ingredients'!$A$2:$A$2500,A93,'Recipe Ingredients'!$G$2:$G$2500,"Protein")+COUNTIFS('Recipe Ingredients'!$A$2:$A$2500,A93,'Recipe Ingredients'!$G$2:$G$2500,"Pantry")</f>
        <v>1</v>
      </c>
      <c r="AW93" s="31">
        <f t="shared" si="17"/>
        <v>0.83333333333333337</v>
      </c>
      <c r="AX93" s="28" t="str">
        <f>IF(AW93&gt;='Start Here'!$C$6,"Yes","No")</f>
        <v>Yes</v>
      </c>
      <c r="AY93" s="7" t="s">
        <v>115</v>
      </c>
      <c r="AZ93" s="7" t="s">
        <v>2027</v>
      </c>
      <c r="BA93" s="7" t="s">
        <v>2028</v>
      </c>
      <c r="BB93" s="32" t="s">
        <v>964</v>
      </c>
    </row>
    <row r="94" spans="1:54" ht="96" customHeight="1" x14ac:dyDescent="0.25">
      <c r="A94" s="22" t="s">
        <v>2029</v>
      </c>
      <c r="B94" s="23" t="s">
        <v>2030</v>
      </c>
      <c r="C94" s="22" t="s">
        <v>1566</v>
      </c>
      <c r="D94" s="22" t="s">
        <v>1645</v>
      </c>
      <c r="E94" s="22" t="s">
        <v>1380</v>
      </c>
      <c r="F94" s="7" t="s">
        <v>2031</v>
      </c>
      <c r="G94" s="22" t="s">
        <v>1005</v>
      </c>
      <c r="H94" s="27" t="s">
        <v>2032</v>
      </c>
      <c r="I94" s="27" t="s">
        <v>2033</v>
      </c>
      <c r="J94" s="7" t="s">
        <v>2034</v>
      </c>
      <c r="K94" s="7" t="s">
        <v>2035</v>
      </c>
      <c r="L94" s="7" t="s">
        <v>203</v>
      </c>
      <c r="M94" s="22" t="s">
        <v>1051</v>
      </c>
      <c r="N94" s="28">
        <v>10</v>
      </c>
      <c r="O94" s="28">
        <v>20</v>
      </c>
      <c r="P94" s="28">
        <f t="shared" si="12"/>
        <v>30</v>
      </c>
      <c r="Q94" s="22" t="str">
        <f t="shared" si="13"/>
        <v>Standard</v>
      </c>
      <c r="R94" s="28">
        <v>4</v>
      </c>
      <c r="S94" s="22">
        <v>180</v>
      </c>
      <c r="T94" s="22">
        <v>3</v>
      </c>
      <c r="U94" s="29">
        <f>SUMIFS('Recipe Ingredients'!$I$2:$I$2500,'Recipe Ingredients'!$A$2:$A$2500,A94)/R94</f>
        <v>277</v>
      </c>
      <c r="V94" s="29">
        <f>SUMIFS('Recipe Ingredients'!$J$2:$J$2500,'Recipe Ingredients'!$A$2:$A$2500,A94)/R94</f>
        <v>3.7927499999999994</v>
      </c>
      <c r="W94" s="29">
        <f>SUMIFS('Recipe Ingredients'!$K$2:$K$2500,'Recipe Ingredients'!$A$2:$A$2500,A94)/R94</f>
        <v>46.578249999999997</v>
      </c>
      <c r="X94" s="29">
        <f>SUMIFS('Recipe Ingredients'!$L$2:$L$2500,'Recipe Ingredients'!$A$2:$A$2500,A94)/R94</f>
        <v>121.46</v>
      </c>
      <c r="Y94" s="29">
        <f>SUMIFS('Recipe Ingredients'!$M$2:$M$2500,'Recipe Ingredients'!$A$2:$A$2500,A94)/R94</f>
        <v>81.563249999999996</v>
      </c>
      <c r="Z94" s="29">
        <f>SUMIFS('Recipe Ingredients'!$N$2:$N$2500,'Recipe Ingredients'!$A$2:$A$2500,A94)/R94</f>
        <v>48.602500000000006</v>
      </c>
      <c r="AA94" s="29">
        <f>SUMIFS('Recipe Ingredients'!$O$2:$O$2500,'Recipe Ingredients'!$A$2:$A$2500,A94)/R94</f>
        <v>678.07749999999999</v>
      </c>
      <c r="AB94" s="30">
        <f>SUMIFS('Recipe Ingredients'!$P$2:$P$2500,'Recipe Ingredients'!$A$2:$A$2500,A94)/R94</f>
        <v>1.404425</v>
      </c>
      <c r="AC94" s="30">
        <f>SUMIFS('Recipe Ingredients'!$Q$2:$Q$2500,'Recipe Ingredients'!$A$2:$A$2500,A94)/R94</f>
        <v>0.28641250000000007</v>
      </c>
      <c r="AD94" s="29">
        <f>SUMIFS('Recipe Ingredients'!$R$2:$R$2500,'Recipe Ingredients'!$A$2:$A$2500,A94)/R94</f>
        <v>33.43</v>
      </c>
      <c r="AE94" s="30">
        <f>SUMIFS('Recipe Ingredients'!$S$2:$S$2500,'Recipe Ingredients'!$A$2:$A$2500,A94)/R94</f>
        <v>1.1521250000000001</v>
      </c>
      <c r="AF94" s="31">
        <f>IFERROR(V94/'Start Here'!$C$10,0)</f>
        <v>0.15170999999999998</v>
      </c>
      <c r="AG94" s="31">
        <f>IFERROR(W94/'Start Here'!$C$11,0)</f>
        <v>0.58222812499999999</v>
      </c>
      <c r="AH94" s="31">
        <f>IFERROR(X94/'Start Here'!$C$12,0)</f>
        <v>0.15182499999999999</v>
      </c>
      <c r="AI94" s="31">
        <f>IFERROR(Y94/'Start Here'!$C$13,0)</f>
        <v>1.08751</v>
      </c>
      <c r="AJ94" s="31">
        <f>IFERROR(Z94/'Start Here'!$C$14,0)</f>
        <v>0.24301250000000002</v>
      </c>
      <c r="AK94" s="31">
        <f>IFERROR(AA94/'Start Here'!$C$15,0)</f>
        <v>0.33903875</v>
      </c>
      <c r="AL94" s="31">
        <f>IFERROR(AB94/'Start Here'!$C$16,0)</f>
        <v>0.11703541666666667</v>
      </c>
      <c r="AM94" s="31">
        <f>IFERROR(AC94/'Start Here'!$C$17,0)</f>
        <v>0.20458035714285722</v>
      </c>
      <c r="AN94" s="31">
        <f>IFERROR(AD94/'Start Here'!$C$18,0)</f>
        <v>8.9146666666666666E-2</v>
      </c>
      <c r="AO94" s="31">
        <f>IFERROR(AE94/'Start Here'!$C$19,0)</f>
        <v>8.2294642857142858E-2</v>
      </c>
      <c r="AP94" s="22" t="str">
        <f t="shared" si="14"/>
        <v>Vitamin K</v>
      </c>
      <c r="AQ94" s="7" t="str">
        <f t="shared" si="15"/>
        <v>Best for better vitamin K intake: one serving gives about 109% of your daily vitamin K from the produce alone.</v>
      </c>
      <c r="AR94" s="7" t="str">
        <f t="shared" si="16"/>
        <v>Vitamin C (58%), Potassium (34%)</v>
      </c>
      <c r="AS94" s="7" t="s">
        <v>1759</v>
      </c>
      <c r="AT94" s="7" t="s">
        <v>2036</v>
      </c>
      <c r="AU94" s="28">
        <f>COUNTIFS('Recipe Ingredients'!$A$2:$A$2500,A94,'Recipe Ingredients'!$G$2:$G$2500,"Basket")</f>
        <v>6</v>
      </c>
      <c r="AV94" s="28">
        <f>COUNTIFS('Recipe Ingredients'!$A$2:$A$2500,A94,'Recipe Ingredients'!$G$2:$G$2500,"Protein")+COUNTIFS('Recipe Ingredients'!$A$2:$A$2500,A94,'Recipe Ingredients'!$G$2:$G$2500,"Pantry")</f>
        <v>1</v>
      </c>
      <c r="AW94" s="31">
        <f t="shared" si="17"/>
        <v>0.8571428571428571</v>
      </c>
      <c r="AX94" s="28" t="str">
        <f>IF(AW94&gt;='Start Here'!$C$6,"Yes","No")</f>
        <v>Yes</v>
      </c>
      <c r="AY94" s="7" t="s">
        <v>115</v>
      </c>
      <c r="AZ94" s="7" t="s">
        <v>2037</v>
      </c>
      <c r="BA94" s="7" t="s">
        <v>2038</v>
      </c>
      <c r="BB94" s="32" t="s">
        <v>964</v>
      </c>
    </row>
    <row r="95" spans="1:54" ht="96" customHeight="1" x14ac:dyDescent="0.25">
      <c r="A95" s="22" t="s">
        <v>2039</v>
      </c>
      <c r="B95" s="23" t="s">
        <v>2040</v>
      </c>
      <c r="C95" s="22" t="s">
        <v>1566</v>
      </c>
      <c r="D95" s="22" t="s">
        <v>2041</v>
      </c>
      <c r="E95" s="22" t="s">
        <v>1380</v>
      </c>
      <c r="F95" s="7" t="s">
        <v>2042</v>
      </c>
      <c r="G95" s="22" t="s">
        <v>2043</v>
      </c>
      <c r="H95" s="27" t="s">
        <v>2044</v>
      </c>
      <c r="I95" s="27" t="s">
        <v>2045</v>
      </c>
      <c r="J95" s="7" t="s">
        <v>2046</v>
      </c>
      <c r="K95" s="7" t="s">
        <v>2047</v>
      </c>
      <c r="L95" s="7" t="s">
        <v>203</v>
      </c>
      <c r="M95" s="22" t="s">
        <v>1051</v>
      </c>
      <c r="N95" s="28">
        <v>15</v>
      </c>
      <c r="O95" s="28">
        <v>75</v>
      </c>
      <c r="P95" s="28">
        <f t="shared" si="12"/>
        <v>90</v>
      </c>
      <c r="Q95" s="22" t="str">
        <f t="shared" si="13"/>
        <v>Standard</v>
      </c>
      <c r="R95" s="28">
        <v>6</v>
      </c>
      <c r="S95" s="22">
        <v>190</v>
      </c>
      <c r="T95" s="22">
        <v>4</v>
      </c>
      <c r="U95" s="29">
        <f>SUMIFS('Recipe Ingredients'!$I$2:$I$2500,'Recipe Ingredients'!$A$2:$A$2500,A95)/R95</f>
        <v>367.16666666666669</v>
      </c>
      <c r="V95" s="29">
        <f>SUMIFS('Recipe Ingredients'!$J$2:$J$2500,'Recipe Ingredients'!$A$2:$A$2500,A95)/R95</f>
        <v>5.9098333333333342</v>
      </c>
      <c r="W95" s="29">
        <f>SUMIFS('Recipe Ingredients'!$K$2:$K$2500,'Recipe Ingredients'!$A$2:$A$2500,A95)/R95</f>
        <v>81.462499999999991</v>
      </c>
      <c r="X95" s="29">
        <f>SUMIFS('Recipe Ingredients'!$L$2:$L$2500,'Recipe Ingredients'!$A$2:$A$2500,A95)/R95</f>
        <v>101.61833333333333</v>
      </c>
      <c r="Y95" s="29">
        <f>SUMIFS('Recipe Ingredients'!$M$2:$M$2500,'Recipe Ingredients'!$A$2:$A$2500,A95)/R95</f>
        <v>39.645499999999998</v>
      </c>
      <c r="Z95" s="29">
        <f>SUMIFS('Recipe Ingredients'!$N$2:$N$2500,'Recipe Ingredients'!$A$2:$A$2500,A95)/R95</f>
        <v>73.03</v>
      </c>
      <c r="AA95" s="29">
        <f>SUMIFS('Recipe Ingredients'!$O$2:$O$2500,'Recipe Ingredients'!$A$2:$A$2500,A95)/R95</f>
        <v>1031.6783333333335</v>
      </c>
      <c r="AB95" s="30">
        <f>SUMIFS('Recipe Ingredients'!$P$2:$P$2500,'Recipe Ingredients'!$A$2:$A$2500,A95)/R95</f>
        <v>1.2361666666666669</v>
      </c>
      <c r="AC95" s="30">
        <f>SUMIFS('Recipe Ingredients'!$Q$2:$Q$2500,'Recipe Ingredients'!$A$2:$A$2500,A95)/R95</f>
        <v>0.6054316666666667</v>
      </c>
      <c r="AD95" s="29">
        <f>SUMIFS('Recipe Ingredients'!$R$2:$R$2500,'Recipe Ingredients'!$A$2:$A$2500,A95)/R95</f>
        <v>57.963333333333331</v>
      </c>
      <c r="AE95" s="30">
        <f>SUMIFS('Recipe Ingredients'!$S$2:$S$2500,'Recipe Ingredients'!$A$2:$A$2500,A95)/R95</f>
        <v>1.7001166666666665</v>
      </c>
      <c r="AF95" s="31">
        <f>IFERROR(V95/'Start Here'!$C$10,0)</f>
        <v>0.23639333333333337</v>
      </c>
      <c r="AG95" s="31">
        <f>IFERROR(W95/'Start Here'!$C$11,0)</f>
        <v>1.0182812499999998</v>
      </c>
      <c r="AH95" s="31">
        <f>IFERROR(X95/'Start Here'!$C$12,0)</f>
        <v>0.12702291666666665</v>
      </c>
      <c r="AI95" s="31">
        <f>IFERROR(Y95/'Start Here'!$C$13,0)</f>
        <v>0.52860666666666667</v>
      </c>
      <c r="AJ95" s="31">
        <f>IFERROR(Z95/'Start Here'!$C$14,0)</f>
        <v>0.36515000000000003</v>
      </c>
      <c r="AK95" s="31">
        <f>IFERROR(AA95/'Start Here'!$C$15,0)</f>
        <v>0.51583916666666674</v>
      </c>
      <c r="AL95" s="31">
        <f>IFERROR(AB95/'Start Here'!$C$16,0)</f>
        <v>0.1030138888888889</v>
      </c>
      <c r="AM95" s="31">
        <f>IFERROR(AC95/'Start Here'!$C$17,0)</f>
        <v>0.43245119047619052</v>
      </c>
      <c r="AN95" s="31">
        <f>IFERROR(AD95/'Start Here'!$C$18,0)</f>
        <v>0.15456888888888889</v>
      </c>
      <c r="AO95" s="31">
        <f>IFERROR(AE95/'Start Here'!$C$19,0)</f>
        <v>0.12143690476190475</v>
      </c>
      <c r="AP95" s="22" t="str">
        <f t="shared" si="14"/>
        <v>Vitamin C</v>
      </c>
      <c r="AQ95" s="7" t="str">
        <f t="shared" si="15"/>
        <v>Best for better vitamin C intake: one serving gives about 102% of your daily vitamin C from the produce alone.</v>
      </c>
      <c r="AR95" s="7" t="str">
        <f t="shared" si="16"/>
        <v>Vitamin K (53%), Folate (37%), Potassium (52%), Vitamin B6 (43%)</v>
      </c>
      <c r="AS95" s="7" t="s">
        <v>2048</v>
      </c>
      <c r="AT95" s="7" t="s">
        <v>2049</v>
      </c>
      <c r="AU95" s="28">
        <f>COUNTIFS('Recipe Ingredients'!$A$2:$A$2500,A95,'Recipe Ingredients'!$G$2:$G$2500,"Basket")</f>
        <v>8</v>
      </c>
      <c r="AV95" s="28">
        <f>COUNTIFS('Recipe Ingredients'!$A$2:$A$2500,A95,'Recipe Ingredients'!$G$2:$G$2500,"Protein")+COUNTIFS('Recipe Ingredients'!$A$2:$A$2500,A95,'Recipe Ingredients'!$G$2:$G$2500,"Pantry")</f>
        <v>0</v>
      </c>
      <c r="AW95" s="31">
        <f t="shared" si="17"/>
        <v>1</v>
      </c>
      <c r="AX95" s="28" t="str">
        <f>IF(AW95&gt;='Start Here'!$C$6,"Yes","No")</f>
        <v>Yes</v>
      </c>
      <c r="AY95" s="7" t="s">
        <v>115</v>
      </c>
      <c r="AZ95" s="7" t="s">
        <v>2050</v>
      </c>
      <c r="BA95" s="7" t="s">
        <v>2051</v>
      </c>
      <c r="BB95" s="32" t="s">
        <v>964</v>
      </c>
    </row>
    <row r="96" spans="1:54" ht="96" customHeight="1" x14ac:dyDescent="0.25">
      <c r="A96" s="22" t="s">
        <v>2052</v>
      </c>
      <c r="B96" s="23" t="s">
        <v>2053</v>
      </c>
      <c r="C96" s="22" t="s">
        <v>1566</v>
      </c>
      <c r="D96" s="22" t="s">
        <v>1679</v>
      </c>
      <c r="E96" s="22" t="s">
        <v>1145</v>
      </c>
      <c r="F96" s="7" t="s">
        <v>2054</v>
      </c>
      <c r="G96" s="22" t="s">
        <v>2055</v>
      </c>
      <c r="H96" s="27" t="s">
        <v>2056</v>
      </c>
      <c r="I96" s="27" t="s">
        <v>2057</v>
      </c>
      <c r="J96" s="7" t="s">
        <v>2058</v>
      </c>
      <c r="K96" s="7" t="s">
        <v>2059</v>
      </c>
      <c r="L96" s="7" t="s">
        <v>974</v>
      </c>
      <c r="M96" s="22" t="s">
        <v>1051</v>
      </c>
      <c r="N96" s="28">
        <v>10</v>
      </c>
      <c r="O96" s="28">
        <v>40</v>
      </c>
      <c r="P96" s="28">
        <f t="shared" si="12"/>
        <v>50</v>
      </c>
      <c r="Q96" s="22" t="str">
        <f t="shared" si="13"/>
        <v>Standard</v>
      </c>
      <c r="R96" s="28">
        <v>6</v>
      </c>
      <c r="S96" s="22">
        <v>140</v>
      </c>
      <c r="T96" s="22">
        <v>3</v>
      </c>
      <c r="U96" s="29">
        <f>SUMIFS('Recipe Ingredients'!$I$2:$I$2500,'Recipe Ingredients'!$A$2:$A$2500,A96)/R96</f>
        <v>278.33333333333331</v>
      </c>
      <c r="V96" s="29">
        <f>SUMIFS('Recipe Ingredients'!$J$2:$J$2500,'Recipe Ingredients'!$A$2:$A$2500,A96)/R96</f>
        <v>6.4926666666666657</v>
      </c>
      <c r="W96" s="29">
        <f>SUMIFS('Recipe Ingredients'!$K$2:$K$2500,'Recipe Ingredients'!$A$2:$A$2500,A96)/R96</f>
        <v>70.18183333333333</v>
      </c>
      <c r="X96" s="29">
        <f>SUMIFS('Recipe Ingredients'!$L$2:$L$2500,'Recipe Ingredients'!$A$2:$A$2500,A96)/R96</f>
        <v>262.14166666666665</v>
      </c>
      <c r="Y96" s="29">
        <f>SUMIFS('Recipe Ingredients'!$M$2:$M$2500,'Recipe Ingredients'!$A$2:$A$2500,A96)/R96</f>
        <v>107.23549999999999</v>
      </c>
      <c r="Z96" s="29">
        <f>SUMIFS('Recipe Ingredients'!$N$2:$N$2500,'Recipe Ingredients'!$A$2:$A$2500,A96)/R96</f>
        <v>81.516666666666666</v>
      </c>
      <c r="AA96" s="29">
        <f>SUMIFS('Recipe Ingredients'!$O$2:$O$2500,'Recipe Ingredients'!$A$2:$A$2500,A96)/R96</f>
        <v>707.96833333333325</v>
      </c>
      <c r="AB96" s="30">
        <f>SUMIFS('Recipe Ingredients'!$P$2:$P$2500,'Recipe Ingredients'!$A$2:$A$2500,A96)/R96</f>
        <v>0.4528666666666667</v>
      </c>
      <c r="AC96" s="30">
        <f>SUMIFS('Recipe Ingredients'!$Q$2:$Q$2500,'Recipe Ingredients'!$A$2:$A$2500,A96)/R96</f>
        <v>0.4882866666666667</v>
      </c>
      <c r="AD96" s="29">
        <f>SUMIFS('Recipe Ingredients'!$R$2:$R$2500,'Recipe Ingredients'!$A$2:$A$2500,A96)/R96</f>
        <v>42.231666666666662</v>
      </c>
      <c r="AE96" s="30">
        <f>SUMIFS('Recipe Ingredients'!$S$2:$S$2500,'Recipe Ingredients'!$A$2:$A$2500,A96)/R96</f>
        <v>1.6494333333333329</v>
      </c>
      <c r="AF96" s="31">
        <f>IFERROR(V96/'Start Here'!$C$10,0)</f>
        <v>0.25970666666666664</v>
      </c>
      <c r="AG96" s="31">
        <f>IFERROR(W96/'Start Here'!$C$11,0)</f>
        <v>0.87727291666666662</v>
      </c>
      <c r="AH96" s="31">
        <f>IFERROR(X96/'Start Here'!$C$12,0)</f>
        <v>0.32767708333333334</v>
      </c>
      <c r="AI96" s="31">
        <f>IFERROR(Y96/'Start Here'!$C$13,0)</f>
        <v>1.4298066666666664</v>
      </c>
      <c r="AJ96" s="31">
        <f>IFERROR(Z96/'Start Here'!$C$14,0)</f>
        <v>0.40758333333333335</v>
      </c>
      <c r="AK96" s="31">
        <f>IFERROR(AA96/'Start Here'!$C$15,0)</f>
        <v>0.3539841666666666</v>
      </c>
      <c r="AL96" s="31">
        <f>IFERROR(AB96/'Start Here'!$C$16,0)</f>
        <v>3.7738888888888891E-2</v>
      </c>
      <c r="AM96" s="31">
        <f>IFERROR(AC96/'Start Here'!$C$17,0)</f>
        <v>0.34877619047619052</v>
      </c>
      <c r="AN96" s="31">
        <f>IFERROR(AD96/'Start Here'!$C$18,0)</f>
        <v>0.11261777777777776</v>
      </c>
      <c r="AO96" s="31">
        <f>IFERROR(AE96/'Start Here'!$C$19,0)</f>
        <v>0.11781666666666664</v>
      </c>
      <c r="AP96" s="22" t="str">
        <f t="shared" si="14"/>
        <v>Vitamin K</v>
      </c>
      <c r="AQ96" s="7" t="str">
        <f t="shared" si="15"/>
        <v>Best for better vitamin K intake: one serving gives about 143% of your daily vitamin K from the produce alone.</v>
      </c>
      <c r="AR96" s="7" t="str">
        <f t="shared" si="16"/>
        <v>Fibre (26%), Vitamin C (88%), Vitamin A (33%), Folate (41%), Potassium (35%), Vitamin B6 (35%)</v>
      </c>
      <c r="AS96" s="7" t="s">
        <v>2060</v>
      </c>
      <c r="AT96" s="7" t="s">
        <v>2061</v>
      </c>
      <c r="AU96" s="28">
        <f>COUNTIFS('Recipe Ingredients'!$A$2:$A$2500,A96,'Recipe Ingredients'!$G$2:$G$2500,"Basket")</f>
        <v>8</v>
      </c>
      <c r="AV96" s="28">
        <f>COUNTIFS('Recipe Ingredients'!$A$2:$A$2500,A96,'Recipe Ingredients'!$G$2:$G$2500,"Protein")+COUNTIFS('Recipe Ingredients'!$A$2:$A$2500,A96,'Recipe Ingredients'!$G$2:$G$2500,"Pantry")</f>
        <v>0</v>
      </c>
      <c r="AW96" s="31">
        <f t="shared" si="17"/>
        <v>1</v>
      </c>
      <c r="AX96" s="28" t="str">
        <f>IF(AW96&gt;='Start Here'!$C$6,"Yes","No")</f>
        <v>Yes</v>
      </c>
      <c r="AY96" s="7" t="s">
        <v>115</v>
      </c>
      <c r="AZ96" s="7" t="s">
        <v>2062</v>
      </c>
      <c r="BA96" s="7" t="s">
        <v>2063</v>
      </c>
      <c r="BB96" s="32" t="s">
        <v>964</v>
      </c>
    </row>
    <row r="97" spans="1:54" ht="96" customHeight="1" x14ac:dyDescent="0.25">
      <c r="A97" s="22" t="s">
        <v>2064</v>
      </c>
      <c r="B97" s="23" t="s">
        <v>2065</v>
      </c>
      <c r="C97" s="22" t="s">
        <v>1566</v>
      </c>
      <c r="D97" s="22" t="s">
        <v>2066</v>
      </c>
      <c r="E97" s="22" t="s">
        <v>1380</v>
      </c>
      <c r="F97" s="7" t="s">
        <v>2067</v>
      </c>
      <c r="G97" s="22" t="s">
        <v>2068</v>
      </c>
      <c r="H97" s="27" t="s">
        <v>2069</v>
      </c>
      <c r="I97" s="27" t="s">
        <v>2070</v>
      </c>
      <c r="J97" s="7" t="s">
        <v>2071</v>
      </c>
      <c r="K97" s="7" t="s">
        <v>2072</v>
      </c>
      <c r="L97" s="7" t="s">
        <v>203</v>
      </c>
      <c r="M97" s="22" t="s">
        <v>1051</v>
      </c>
      <c r="N97" s="28">
        <v>10</v>
      </c>
      <c r="O97" s="28">
        <v>40</v>
      </c>
      <c r="P97" s="28">
        <f t="shared" si="12"/>
        <v>50</v>
      </c>
      <c r="Q97" s="22" t="str">
        <f t="shared" si="13"/>
        <v>Standard</v>
      </c>
      <c r="R97" s="28">
        <v>4</v>
      </c>
      <c r="S97" s="22">
        <v>110</v>
      </c>
      <c r="T97" s="22">
        <v>2</v>
      </c>
      <c r="U97" s="29">
        <f>SUMIFS('Recipe Ingredients'!$I$2:$I$2500,'Recipe Ingredients'!$A$2:$A$2500,A97)/R97</f>
        <v>101.5</v>
      </c>
      <c r="V97" s="29">
        <f>SUMIFS('Recipe Ingredients'!$J$2:$J$2500,'Recipe Ingredients'!$A$2:$A$2500,A97)/R97</f>
        <v>1.802</v>
      </c>
      <c r="W97" s="29">
        <f>SUMIFS('Recipe Ingredients'!$K$2:$K$2500,'Recipe Ingredients'!$A$2:$A$2500,A97)/R97</f>
        <v>35.909500000000008</v>
      </c>
      <c r="X97" s="29">
        <f>SUMIFS('Recipe Ingredients'!$L$2:$L$2500,'Recipe Ingredients'!$A$2:$A$2500,A97)/R97</f>
        <v>32.244999999999997</v>
      </c>
      <c r="Y97" s="29">
        <f>SUMIFS('Recipe Ingredients'!$M$2:$M$2500,'Recipe Ingredients'!$A$2:$A$2500,A97)/R97</f>
        <v>53.193749999999994</v>
      </c>
      <c r="Z97" s="29">
        <f>SUMIFS('Recipe Ingredients'!$N$2:$N$2500,'Recipe Ingredients'!$A$2:$A$2500,A97)/R97</f>
        <v>21.962499999999999</v>
      </c>
      <c r="AA97" s="29">
        <f>SUMIFS('Recipe Ingredients'!$O$2:$O$2500,'Recipe Ingredients'!$A$2:$A$2500,A97)/R97</f>
        <v>214.77500000000003</v>
      </c>
      <c r="AB97" s="30">
        <f>SUMIFS('Recipe Ingredients'!$P$2:$P$2500,'Recipe Ingredients'!$A$2:$A$2500,A97)/R97</f>
        <v>0.34447500000000009</v>
      </c>
      <c r="AC97" s="30">
        <f>SUMIFS('Recipe Ingredients'!$Q$2:$Q$2500,'Recipe Ingredients'!$A$2:$A$2500,A97)/R97</f>
        <v>0.16449249999999999</v>
      </c>
      <c r="AD97" s="29">
        <f>SUMIFS('Recipe Ingredients'!$R$2:$R$2500,'Recipe Ingredients'!$A$2:$A$2500,A97)/R97</f>
        <v>13.2225</v>
      </c>
      <c r="AE97" s="30">
        <f>SUMIFS('Recipe Ingredients'!$S$2:$S$2500,'Recipe Ingredients'!$A$2:$A$2500,A97)/R97</f>
        <v>0.58749999999999991</v>
      </c>
      <c r="AF97" s="31">
        <f>IFERROR(V97/'Start Here'!$C$10,0)</f>
        <v>7.2080000000000005E-2</v>
      </c>
      <c r="AG97" s="31">
        <f>IFERROR(W97/'Start Here'!$C$11,0)</f>
        <v>0.44886875000000009</v>
      </c>
      <c r="AH97" s="31">
        <f>IFERROR(X97/'Start Here'!$C$12,0)</f>
        <v>4.0306249999999995E-2</v>
      </c>
      <c r="AI97" s="31">
        <f>IFERROR(Y97/'Start Here'!$C$13,0)</f>
        <v>0.70924999999999994</v>
      </c>
      <c r="AJ97" s="31">
        <f>IFERROR(Z97/'Start Here'!$C$14,0)</f>
        <v>0.10981249999999999</v>
      </c>
      <c r="AK97" s="31">
        <f>IFERROR(AA97/'Start Here'!$C$15,0)</f>
        <v>0.10738750000000001</v>
      </c>
      <c r="AL97" s="31">
        <f>IFERROR(AB97/'Start Here'!$C$16,0)</f>
        <v>2.8706250000000006E-2</v>
      </c>
      <c r="AM97" s="31">
        <f>IFERROR(AC97/'Start Here'!$C$17,0)</f>
        <v>0.11749464285714285</v>
      </c>
      <c r="AN97" s="31">
        <f>IFERROR(AD97/'Start Here'!$C$18,0)</f>
        <v>3.526E-2</v>
      </c>
      <c r="AO97" s="31">
        <f>IFERROR(AE97/'Start Here'!$C$19,0)</f>
        <v>4.1964285714285711E-2</v>
      </c>
      <c r="AP97" s="22" t="str">
        <f t="shared" si="14"/>
        <v>Vitamin K</v>
      </c>
      <c r="AQ97" s="7" t="str">
        <f t="shared" si="15"/>
        <v>Best for better vitamin K intake: one serving gives about 71% of your daily vitamin K from the produce alone.</v>
      </c>
      <c r="AR97" s="7" t="str">
        <f t="shared" si="16"/>
        <v>Vitamin C (45%)</v>
      </c>
      <c r="AS97" s="7" t="s">
        <v>2073</v>
      </c>
      <c r="AT97" s="7" t="s">
        <v>2074</v>
      </c>
      <c r="AU97" s="28">
        <f>COUNTIFS('Recipe Ingredients'!$A$2:$A$2500,A97,'Recipe Ingredients'!$G$2:$G$2500,"Basket")</f>
        <v>8</v>
      </c>
      <c r="AV97" s="28">
        <f>COUNTIFS('Recipe Ingredients'!$A$2:$A$2500,A97,'Recipe Ingredients'!$G$2:$G$2500,"Protein")+COUNTIFS('Recipe Ingredients'!$A$2:$A$2500,A97,'Recipe Ingredients'!$G$2:$G$2500,"Pantry")</f>
        <v>3</v>
      </c>
      <c r="AW97" s="31">
        <f t="shared" si="17"/>
        <v>0.72727272727272729</v>
      </c>
      <c r="AX97" s="28" t="str">
        <f>IF(AW97&gt;='Start Here'!$C$6,"Yes","No")</f>
        <v>No</v>
      </c>
      <c r="AY97" s="7" t="s">
        <v>115</v>
      </c>
      <c r="AZ97" s="7" t="s">
        <v>2075</v>
      </c>
      <c r="BA97" s="7" t="s">
        <v>2076</v>
      </c>
      <c r="BB97" s="32" t="s">
        <v>964</v>
      </c>
    </row>
    <row r="98" spans="1:54" ht="96" customHeight="1" x14ac:dyDescent="0.25">
      <c r="A98" s="22" t="s">
        <v>2077</v>
      </c>
      <c r="B98" s="23" t="s">
        <v>2078</v>
      </c>
      <c r="C98" s="22" t="s">
        <v>1566</v>
      </c>
      <c r="D98" s="22" t="s">
        <v>2079</v>
      </c>
      <c r="E98" s="22" t="s">
        <v>1380</v>
      </c>
      <c r="F98" s="7" t="s">
        <v>2080</v>
      </c>
      <c r="G98" s="22" t="s">
        <v>2081</v>
      </c>
      <c r="H98" s="27" t="s">
        <v>2082</v>
      </c>
      <c r="I98" s="27" t="s">
        <v>2083</v>
      </c>
      <c r="J98" s="7" t="s">
        <v>2084</v>
      </c>
      <c r="K98" s="7" t="s">
        <v>2085</v>
      </c>
      <c r="L98" s="7" t="s">
        <v>203</v>
      </c>
      <c r="M98" s="22" t="s">
        <v>1051</v>
      </c>
      <c r="N98" s="28">
        <v>10</v>
      </c>
      <c r="O98" s="28">
        <v>90</v>
      </c>
      <c r="P98" s="28">
        <f t="shared" ref="P98:P129" si="18">N98+O98</f>
        <v>100</v>
      </c>
      <c r="Q98" s="22" t="str">
        <f t="shared" ref="Q98:Q129" si="19">IF(O98=0,"No-cook",IF(P98&lt;=25,"Quick","Standard"))</f>
        <v>Standard</v>
      </c>
      <c r="R98" s="28">
        <v>12</v>
      </c>
      <c r="S98" s="22">
        <v>130</v>
      </c>
      <c r="T98" s="22">
        <v>3</v>
      </c>
      <c r="U98" s="29">
        <f>SUMIFS('Recipe Ingredients'!$I$2:$I$2500,'Recipe Ingredients'!$A$2:$A$2500,A98)/R98</f>
        <v>161.41666666666666</v>
      </c>
      <c r="V98" s="29">
        <f>SUMIFS('Recipe Ingredients'!$J$2:$J$2500,'Recipe Ingredients'!$A$2:$A$2500,A98)/R98</f>
        <v>2.6821666666666668</v>
      </c>
      <c r="W98" s="29">
        <f>SUMIFS('Recipe Ingredients'!$K$2:$K$2500,'Recipe Ingredients'!$A$2:$A$2500,A98)/R98</f>
        <v>23.062666666666669</v>
      </c>
      <c r="X98" s="29">
        <f>SUMIFS('Recipe Ingredients'!$L$2:$L$2500,'Recipe Ingredients'!$A$2:$A$2500,A98)/R98</f>
        <v>28.650000000000002</v>
      </c>
      <c r="Y98" s="29">
        <f>SUMIFS('Recipe Ingredients'!$M$2:$M$2500,'Recipe Ingredients'!$A$2:$A$2500,A98)/R98</f>
        <v>6.0539166666666668</v>
      </c>
      <c r="Z98" s="29">
        <f>SUMIFS('Recipe Ingredients'!$N$2:$N$2500,'Recipe Ingredients'!$A$2:$A$2500,A98)/R98</f>
        <v>34.102499999999999</v>
      </c>
      <c r="AA98" s="29">
        <f>SUMIFS('Recipe Ingredients'!$O$2:$O$2500,'Recipe Ingredients'!$A$2:$A$2500,A98)/R98</f>
        <v>338.96750000000003</v>
      </c>
      <c r="AB98" s="30">
        <f>SUMIFS('Recipe Ingredients'!$P$2:$P$2500,'Recipe Ingredients'!$A$2:$A$2500,A98)/R98</f>
        <v>0.65988333333333338</v>
      </c>
      <c r="AC98" s="30">
        <f>SUMIFS('Recipe Ingredients'!$Q$2:$Q$2500,'Recipe Ingredients'!$A$2:$A$2500,A98)/R98</f>
        <v>0.22903999999999999</v>
      </c>
      <c r="AD98" s="29">
        <f>SUMIFS('Recipe Ingredients'!$R$2:$R$2500,'Recipe Ingredients'!$A$2:$A$2500,A98)/R98</f>
        <v>24.194166666666664</v>
      </c>
      <c r="AE98" s="30">
        <f>SUMIFS('Recipe Ingredients'!$S$2:$S$2500,'Recipe Ingredients'!$A$2:$A$2500,A98)/R98</f>
        <v>0.72115000000000007</v>
      </c>
      <c r="AF98" s="31">
        <f>IFERROR(V98/'Start Here'!$C$10,0)</f>
        <v>0.10728666666666667</v>
      </c>
      <c r="AG98" s="31">
        <f>IFERROR(W98/'Start Here'!$C$11,0)</f>
        <v>0.28828333333333334</v>
      </c>
      <c r="AH98" s="31">
        <f>IFERROR(X98/'Start Here'!$C$12,0)</f>
        <v>3.5812500000000004E-2</v>
      </c>
      <c r="AI98" s="31">
        <f>IFERROR(Y98/'Start Here'!$C$13,0)</f>
        <v>8.0718888888888896E-2</v>
      </c>
      <c r="AJ98" s="31">
        <f>IFERROR(Z98/'Start Here'!$C$14,0)</f>
        <v>0.17051249999999998</v>
      </c>
      <c r="AK98" s="31">
        <f>IFERROR(AA98/'Start Here'!$C$15,0)</f>
        <v>0.16948375000000002</v>
      </c>
      <c r="AL98" s="31">
        <f>IFERROR(AB98/'Start Here'!$C$16,0)</f>
        <v>5.4990277777777784E-2</v>
      </c>
      <c r="AM98" s="31">
        <f>IFERROR(AC98/'Start Here'!$C$17,0)</f>
        <v>0.1636</v>
      </c>
      <c r="AN98" s="31">
        <f>IFERROR(AD98/'Start Here'!$C$18,0)</f>
        <v>6.4517777777777771E-2</v>
      </c>
      <c r="AO98" s="31">
        <f>IFERROR(AE98/'Start Here'!$C$19,0)</f>
        <v>5.1510714285714292E-2</v>
      </c>
      <c r="AP98" s="22" t="str">
        <f t="shared" ref="AP98:AP129" si="20">IFERROR(SUBSTITUTE(INDEX($AF$1:$AO$1,MATCH(MAX(AF98:AO98),AF98:AO98,0))," % daily",""),"")</f>
        <v>Vitamin C</v>
      </c>
      <c r="AQ98" s="7" t="str">
        <f t="shared" ref="AQ98:AQ129" si="21">IF(MAX(AF98:AO98)&gt;=0.15,"Best for better "&amp;IF(LEFT(AP98,7)="Vitamin","vitamin "&amp;MID(AP98,9,3),LOWER(AP98))&amp;" intake: one serving gives about "&amp;TEXT(MAX(AF98:AO98),"0%")&amp;" of your daily "&amp;IF(LEFT(AP98,7)="Vitamin","vitamin "&amp;MID(AP98,9,3),LOWER(AP98))&amp;" from the produce alone.","A lighter plate: top nutrient is "&amp;IF(LEFT(AP98,7)="Vitamin","vitamin "&amp;MID(AP98,9,3),LOWER(AP98))&amp;" at about "&amp;TEXT(MAX(AF98:AO98),"0%")&amp;" of a day.")</f>
        <v>Best for better vitamin C intake: one serving gives about 29% of your daily vitamin C from the produce alone.</v>
      </c>
      <c r="AR98" s="7" t="str">
        <f t="shared" ref="AR98:AR129" si="22">IF(LEN(IF(AND(AF98&gt;=0.25,"Fibre"&lt;&gt;AP98),"Fibre ("&amp;TEXT(AF98,"0%")&amp;")|","")&amp;IF(AND(AG98&gt;=0.25,"Vitamin C"&lt;&gt;AP98),"Vitamin C ("&amp;TEXT(AG98,"0%")&amp;")|","")&amp;IF(AND(AH98&gt;=0.25,"Vitamin A"&lt;&gt;AP98),"Vitamin A ("&amp;TEXT(AH98,"0%")&amp;")|","")&amp;IF(AND(AI98&gt;=0.25,"Vitamin K"&lt;&gt;AP98),"Vitamin K ("&amp;TEXT(AI98,"0%")&amp;")|","")&amp;IF(AND(AJ98&gt;=0.25,"Folate"&lt;&gt;AP98),"Folate ("&amp;TEXT(AJ98,"0%")&amp;")|","")&amp;IF(AND(AK98&gt;=0.25,"Potassium"&lt;&gt;AP98),"Potassium ("&amp;TEXT(AK98,"0%")&amp;")|","")&amp;IF(AND(AL98&gt;=0.25,"Vitamin E"&lt;&gt;AP98),"Vitamin E ("&amp;TEXT(AL98,"0%")&amp;")|","")&amp;IF(AND(AM98&gt;=0.25,"Vitamin B6"&lt;&gt;AP98),"Vitamin B6 ("&amp;TEXT(AM98,"0%")&amp;")|","")&amp;IF(AND(AN98&gt;=0.25,"Magnesium"&lt;&gt;AP98),"Magnesium ("&amp;TEXT(AN98,"0%")&amp;")|","")&amp;IF(AND(AO98&gt;=0.25,"Iron"&lt;&gt;AP98),"Iron ("&amp;TEXT(AO98,"0%")&amp;")|",""))=0,"",SUBSTITUTE(LEFT(IF(AND(AF98&gt;=0.25,"Fibre"&lt;&gt;AP98),"Fibre ("&amp;TEXT(AF98,"0%")&amp;")|","")&amp;IF(AND(AG98&gt;=0.25,"Vitamin C"&lt;&gt;AP98),"Vitamin C ("&amp;TEXT(AG98,"0%")&amp;")|","")&amp;IF(AND(AH98&gt;=0.25,"Vitamin A"&lt;&gt;AP98),"Vitamin A ("&amp;TEXT(AH98,"0%")&amp;")|","")&amp;IF(AND(AI98&gt;=0.25,"Vitamin K"&lt;&gt;AP98),"Vitamin K ("&amp;TEXT(AI98,"0%")&amp;")|","")&amp;IF(AND(AJ98&gt;=0.25,"Folate"&lt;&gt;AP98),"Folate ("&amp;TEXT(AJ98,"0%")&amp;")|","")&amp;IF(AND(AK98&gt;=0.25,"Potassium"&lt;&gt;AP98),"Potassium ("&amp;TEXT(AK98,"0%")&amp;")|","")&amp;IF(AND(AL98&gt;=0.25,"Vitamin E"&lt;&gt;AP98),"Vitamin E ("&amp;TEXT(AL98,"0%")&amp;")|","")&amp;IF(AND(AM98&gt;=0.25,"Vitamin B6"&lt;&gt;AP98),"Vitamin B6 ("&amp;TEXT(AM98,"0%")&amp;")|","")&amp;IF(AND(AN98&gt;=0.25,"Magnesium"&lt;&gt;AP98),"Magnesium ("&amp;TEXT(AN98,"0%")&amp;")|","")&amp;IF(AND(AO98&gt;=0.25,"Iron"&lt;&gt;AP98),"Iron ("&amp;TEXT(AO98,"0%")&amp;")|",""),LEN(IF(AND(AF98&gt;=0.25,"Fibre"&lt;&gt;AP98),"Fibre ("&amp;TEXT(AF98,"0%")&amp;")|","")&amp;IF(AND(AG98&gt;=0.25,"Vitamin C"&lt;&gt;AP98),"Vitamin C ("&amp;TEXT(AG98,"0%")&amp;")|","")&amp;IF(AND(AH98&gt;=0.25,"Vitamin A"&lt;&gt;AP98),"Vitamin A ("&amp;TEXT(AH98,"0%")&amp;")|","")&amp;IF(AND(AI98&gt;=0.25,"Vitamin K"&lt;&gt;AP98),"Vitamin K ("&amp;TEXT(AI98,"0%")&amp;")|","")&amp;IF(AND(AJ98&gt;=0.25,"Folate"&lt;&gt;AP98),"Folate ("&amp;TEXT(AJ98,"0%")&amp;")|","")&amp;IF(AND(AK98&gt;=0.25,"Potassium"&lt;&gt;AP98),"Potassium ("&amp;TEXT(AK98,"0%")&amp;")|","")&amp;IF(AND(AL98&gt;=0.25,"Vitamin E"&lt;&gt;AP98),"Vitamin E ("&amp;TEXT(AL98,"0%")&amp;")|","")&amp;IF(AND(AM98&gt;=0.25,"Vitamin B6"&lt;&gt;AP98),"Vitamin B6 ("&amp;TEXT(AM98,"0%")&amp;")|","")&amp;IF(AND(AN98&gt;=0.25,"Magnesium"&lt;&gt;AP98),"Magnesium ("&amp;TEXT(AN98,"0%")&amp;")|","")&amp;IF(AND(AO98&gt;=0.25,"Iron"&lt;&gt;AP98),"Iron ("&amp;TEXT(AO98,"0%")&amp;")|",""))-1),"|",", "))</f>
        <v/>
      </c>
      <c r="AS98" s="7" t="s">
        <v>1806</v>
      </c>
      <c r="AT98" s="7" t="s">
        <v>2086</v>
      </c>
      <c r="AU98" s="28">
        <f>COUNTIFS('Recipe Ingredients'!$A$2:$A$2500,A98,'Recipe Ingredients'!$G$2:$G$2500,"Basket")</f>
        <v>7</v>
      </c>
      <c r="AV98" s="28">
        <f>COUNTIFS('Recipe Ingredients'!$A$2:$A$2500,A98,'Recipe Ingredients'!$G$2:$G$2500,"Protein")+COUNTIFS('Recipe Ingredients'!$A$2:$A$2500,A98,'Recipe Ingredients'!$G$2:$G$2500,"Pantry")</f>
        <v>3</v>
      </c>
      <c r="AW98" s="31">
        <f t="shared" ref="AW98:AW129" si="23">IFERROR(AU98/(AU98+AV98),0)</f>
        <v>0.7</v>
      </c>
      <c r="AX98" s="28" t="str">
        <f>IF(AW98&gt;='Start Here'!$C$6,"Yes","No")</f>
        <v>No</v>
      </c>
      <c r="AY98" s="7" t="s">
        <v>115</v>
      </c>
      <c r="AZ98" s="7" t="s">
        <v>2087</v>
      </c>
      <c r="BA98" s="7" t="s">
        <v>2088</v>
      </c>
      <c r="BB98" s="32" t="s">
        <v>964</v>
      </c>
    </row>
    <row r="99" spans="1:54" ht="96" customHeight="1" x14ac:dyDescent="0.25">
      <c r="A99" s="22" t="s">
        <v>2089</v>
      </c>
      <c r="B99" s="23" t="s">
        <v>2090</v>
      </c>
      <c r="C99" s="22" t="s">
        <v>1566</v>
      </c>
      <c r="D99" s="22" t="s">
        <v>1978</v>
      </c>
      <c r="E99" s="22" t="s">
        <v>1979</v>
      </c>
      <c r="F99" s="7" t="s">
        <v>2091</v>
      </c>
      <c r="G99" s="22" t="s">
        <v>1005</v>
      </c>
      <c r="H99" s="27" t="s">
        <v>2092</v>
      </c>
      <c r="I99" s="27" t="s">
        <v>2093</v>
      </c>
      <c r="J99" s="7" t="s">
        <v>2094</v>
      </c>
      <c r="K99" s="7" t="s">
        <v>2095</v>
      </c>
      <c r="L99" s="7" t="s">
        <v>636</v>
      </c>
      <c r="M99" s="22" t="s">
        <v>1051</v>
      </c>
      <c r="N99" s="28">
        <v>5</v>
      </c>
      <c r="O99" s="28">
        <v>20</v>
      </c>
      <c r="P99" s="28">
        <f t="shared" si="18"/>
        <v>25</v>
      </c>
      <c r="Q99" s="22" t="str">
        <f t="shared" si="19"/>
        <v>Quick</v>
      </c>
      <c r="R99" s="28">
        <v>6</v>
      </c>
      <c r="S99" s="22">
        <v>140</v>
      </c>
      <c r="T99" s="22">
        <v>3</v>
      </c>
      <c r="U99" s="29">
        <f>SUMIFS('Recipe Ingredients'!$I$2:$I$2500,'Recipe Ingredients'!$A$2:$A$2500,A99)/R99</f>
        <v>60.666666666666664</v>
      </c>
      <c r="V99" s="29">
        <f>SUMIFS('Recipe Ingredients'!$J$2:$J$2500,'Recipe Ingredients'!$A$2:$A$2500,A99)/R99</f>
        <v>1.8591666666666662</v>
      </c>
      <c r="W99" s="29">
        <f>SUMIFS('Recipe Ingredients'!$K$2:$K$2500,'Recipe Ingredients'!$A$2:$A$2500,A99)/R99</f>
        <v>55.413333333333348</v>
      </c>
      <c r="X99" s="29">
        <f>SUMIFS('Recipe Ingredients'!$L$2:$L$2500,'Recipe Ingredients'!$A$2:$A$2500,A99)/R99</f>
        <v>62.9</v>
      </c>
      <c r="Y99" s="29">
        <f>SUMIFS('Recipe Ingredients'!$M$2:$M$2500,'Recipe Ingredients'!$A$2:$A$2500,A99)/R99</f>
        <v>2.1443333333333334</v>
      </c>
      <c r="Z99" s="29">
        <f>SUMIFS('Recipe Ingredients'!$N$2:$N$2500,'Recipe Ingredients'!$A$2:$A$2500,A99)/R99</f>
        <v>38.561666666666675</v>
      </c>
      <c r="AA99" s="29">
        <f>SUMIFS('Recipe Ingredients'!$O$2:$O$2500,'Recipe Ingredients'!$A$2:$A$2500,A99)/R99</f>
        <v>158.17999999999998</v>
      </c>
      <c r="AB99" s="30">
        <f>SUMIFS('Recipe Ingredients'!$P$2:$P$2500,'Recipe Ingredients'!$A$2:$A$2500,A99)/R99</f>
        <v>1.3242500000000004</v>
      </c>
      <c r="AC99" s="30">
        <f>SUMIFS('Recipe Ingredients'!$Q$2:$Q$2500,'Recipe Ingredients'!$A$2:$A$2500,A99)/R99</f>
        <v>0.1646383333333333</v>
      </c>
      <c r="AD99" s="29">
        <f>SUMIFS('Recipe Ingredients'!$R$2:$R$2500,'Recipe Ingredients'!$A$2:$A$2500,A99)/R99</f>
        <v>19.311666666666667</v>
      </c>
      <c r="AE99" s="30">
        <f>SUMIFS('Recipe Ingredients'!$S$2:$S$2500,'Recipe Ingredients'!$A$2:$A$2500,A99)/R99</f>
        <v>0.62954999999999994</v>
      </c>
      <c r="AF99" s="31">
        <f>IFERROR(V99/'Start Here'!$C$10,0)</f>
        <v>7.436666666666665E-2</v>
      </c>
      <c r="AG99" s="31">
        <f>IFERROR(W99/'Start Here'!$C$11,0)</f>
        <v>0.69266666666666687</v>
      </c>
      <c r="AH99" s="31">
        <f>IFERROR(X99/'Start Here'!$C$12,0)</f>
        <v>7.8625E-2</v>
      </c>
      <c r="AI99" s="31">
        <f>IFERROR(Y99/'Start Here'!$C$13,0)</f>
        <v>2.8591111111111112E-2</v>
      </c>
      <c r="AJ99" s="31">
        <f>IFERROR(Z99/'Start Here'!$C$14,0)</f>
        <v>0.19280833333333336</v>
      </c>
      <c r="AK99" s="31">
        <f>IFERROR(AA99/'Start Here'!$C$15,0)</f>
        <v>7.9089999999999994E-2</v>
      </c>
      <c r="AL99" s="31">
        <f>IFERROR(AB99/'Start Here'!$C$16,0)</f>
        <v>0.1103541666666667</v>
      </c>
      <c r="AM99" s="31">
        <f>IFERROR(AC99/'Start Here'!$C$17,0)</f>
        <v>0.11759880952380951</v>
      </c>
      <c r="AN99" s="31">
        <f>IFERROR(AD99/'Start Here'!$C$18,0)</f>
        <v>5.1497777777777781E-2</v>
      </c>
      <c r="AO99" s="31">
        <f>IFERROR(AE99/'Start Here'!$C$19,0)</f>
        <v>4.4967857142857136E-2</v>
      </c>
      <c r="AP99" s="22" t="str">
        <f t="shared" si="20"/>
        <v>Vitamin C</v>
      </c>
      <c r="AQ99" s="7" t="str">
        <f t="shared" si="21"/>
        <v>Best for better vitamin C intake: one serving gives about 69% of your daily vitamin C from the produce alone.</v>
      </c>
      <c r="AR99" s="7" t="str">
        <f t="shared" si="22"/>
        <v/>
      </c>
      <c r="AS99" s="7" t="s">
        <v>2096</v>
      </c>
      <c r="AT99" s="7" t="s">
        <v>2097</v>
      </c>
      <c r="AU99" s="28">
        <f>COUNTIFS('Recipe Ingredients'!$A$2:$A$2500,A99,'Recipe Ingredients'!$G$2:$G$2500,"Basket")</f>
        <v>5</v>
      </c>
      <c r="AV99" s="28">
        <f>COUNTIFS('Recipe Ingredients'!$A$2:$A$2500,A99,'Recipe Ingredients'!$G$2:$G$2500,"Protein")+COUNTIFS('Recipe Ingredients'!$A$2:$A$2500,A99,'Recipe Ingredients'!$G$2:$G$2500,"Pantry")</f>
        <v>3</v>
      </c>
      <c r="AW99" s="31">
        <f t="shared" si="23"/>
        <v>0.625</v>
      </c>
      <c r="AX99" s="28" t="str">
        <f>IF(AW99&gt;='Start Here'!$C$6,"Yes","No")</f>
        <v>No</v>
      </c>
      <c r="AY99" s="7" t="s">
        <v>115</v>
      </c>
      <c r="AZ99" s="7" t="s">
        <v>2098</v>
      </c>
      <c r="BA99" s="7" t="s">
        <v>2099</v>
      </c>
      <c r="BB99" s="32" t="s">
        <v>964</v>
      </c>
    </row>
    <row r="100" spans="1:54" ht="96" customHeight="1" x14ac:dyDescent="0.25">
      <c r="A100" s="22" t="s">
        <v>2100</v>
      </c>
      <c r="B100" s="23" t="s">
        <v>2101</v>
      </c>
      <c r="C100" s="22" t="s">
        <v>1566</v>
      </c>
      <c r="D100" s="22" t="s">
        <v>2102</v>
      </c>
      <c r="E100" s="22" t="s">
        <v>1380</v>
      </c>
      <c r="F100" s="7" t="s">
        <v>2103</v>
      </c>
      <c r="G100" s="22" t="s">
        <v>1147</v>
      </c>
      <c r="H100" s="27" t="s">
        <v>2104</v>
      </c>
      <c r="I100" s="27" t="s">
        <v>2105</v>
      </c>
      <c r="J100" s="7" t="s">
        <v>2106</v>
      </c>
      <c r="K100" s="7" t="s">
        <v>2107</v>
      </c>
      <c r="L100" s="7" t="s">
        <v>2108</v>
      </c>
      <c r="M100" s="22" t="s">
        <v>958</v>
      </c>
      <c r="N100" s="28">
        <v>8</v>
      </c>
      <c r="O100" s="28">
        <v>12</v>
      </c>
      <c r="P100" s="28">
        <f t="shared" si="18"/>
        <v>20</v>
      </c>
      <c r="Q100" s="22" t="str">
        <f t="shared" si="19"/>
        <v>Quick</v>
      </c>
      <c r="R100" s="28">
        <v>4</v>
      </c>
      <c r="S100" s="22">
        <v>220</v>
      </c>
      <c r="T100" s="22">
        <v>4</v>
      </c>
      <c r="U100" s="29">
        <f>SUMIFS('Recipe Ingredients'!$I$2:$I$2500,'Recipe Ingredients'!$A$2:$A$2500,A100)/R100</f>
        <v>84.25</v>
      </c>
      <c r="V100" s="29">
        <f>SUMIFS('Recipe Ingredients'!$J$2:$J$2500,'Recipe Ingredients'!$A$2:$A$2500,A100)/R100</f>
        <v>2.0300000000000002</v>
      </c>
      <c r="W100" s="29">
        <f>SUMIFS('Recipe Ingredients'!$K$2:$K$2500,'Recipe Ingredients'!$A$2:$A$2500,A100)/R100</f>
        <v>4.4194999999999993</v>
      </c>
      <c r="X100" s="29">
        <f>SUMIFS('Recipe Ingredients'!$L$2:$L$2500,'Recipe Ingredients'!$A$2:$A$2500,A100)/R100</f>
        <v>0.80249999999999999</v>
      </c>
      <c r="Y100" s="29">
        <f>SUMIFS('Recipe Ingredients'!$M$2:$M$2500,'Recipe Ingredients'!$A$2:$A$2500,A100)/R100</f>
        <v>2.5499999999999998E-2</v>
      </c>
      <c r="Z100" s="29">
        <f>SUMIFS('Recipe Ingredients'!$N$2:$N$2500,'Recipe Ingredients'!$A$2:$A$2500,A100)/R100</f>
        <v>29.887500000000003</v>
      </c>
      <c r="AA100" s="29">
        <f>SUMIFS('Recipe Ingredients'!$O$2:$O$2500,'Recipe Ingredients'!$A$2:$A$2500,A100)/R100</f>
        <v>334.35999999999996</v>
      </c>
      <c r="AB100" s="30">
        <f>SUMIFS('Recipe Ingredients'!$P$2:$P$2500,'Recipe Ingredients'!$A$2:$A$2500,A100)/R100</f>
        <v>1.2074999999999999E-2</v>
      </c>
      <c r="AC100" s="30">
        <f>SUMIFS('Recipe Ingredients'!$Q$2:$Q$2500,'Recipe Ingredients'!$A$2:$A$2500,A100)/R100</f>
        <v>0.108505</v>
      </c>
      <c r="AD100" s="29">
        <f>SUMIFS('Recipe Ingredients'!$R$2:$R$2500,'Recipe Ingredients'!$A$2:$A$2500,A100)/R100</f>
        <v>14.91</v>
      </c>
      <c r="AE100" s="30">
        <f>SUMIFS('Recipe Ingredients'!$S$2:$S$2500,'Recipe Ingredients'!$A$2:$A$2500,A100)/R100</f>
        <v>1.0997500000000002</v>
      </c>
      <c r="AF100" s="31">
        <f>IFERROR(V100/'Start Here'!$C$10,0)</f>
        <v>8.1200000000000008E-2</v>
      </c>
      <c r="AG100" s="31">
        <f>IFERROR(W100/'Start Here'!$C$11,0)</f>
        <v>5.5243749999999994E-2</v>
      </c>
      <c r="AH100" s="31">
        <f>IFERROR(X100/'Start Here'!$C$12,0)</f>
        <v>1.0031249999999999E-3</v>
      </c>
      <c r="AI100" s="31">
        <f>IFERROR(Y100/'Start Here'!$C$13,0)</f>
        <v>3.3999999999999997E-4</v>
      </c>
      <c r="AJ100" s="31">
        <f>IFERROR(Z100/'Start Here'!$C$14,0)</f>
        <v>0.1494375</v>
      </c>
      <c r="AK100" s="31">
        <f>IFERROR(AA100/'Start Here'!$C$15,0)</f>
        <v>0.16717999999999997</v>
      </c>
      <c r="AL100" s="31">
        <f>IFERROR(AB100/'Start Here'!$C$16,0)</f>
        <v>1.00625E-3</v>
      </c>
      <c r="AM100" s="31">
        <f>IFERROR(AC100/'Start Here'!$C$17,0)</f>
        <v>7.7503571428571436E-2</v>
      </c>
      <c r="AN100" s="31">
        <f>IFERROR(AD100/'Start Here'!$C$18,0)</f>
        <v>3.9760000000000004E-2</v>
      </c>
      <c r="AO100" s="31">
        <f>IFERROR(AE100/'Start Here'!$C$19,0)</f>
        <v>7.8553571428571445E-2</v>
      </c>
      <c r="AP100" s="22" t="str">
        <f t="shared" si="20"/>
        <v>Potassium</v>
      </c>
      <c r="AQ100" s="7" t="str">
        <f t="shared" si="21"/>
        <v>Best for better potassium intake: one serving gives about 17% of your daily potassium from the produce alone.</v>
      </c>
      <c r="AR100" s="7" t="str">
        <f t="shared" si="22"/>
        <v/>
      </c>
      <c r="AS100" s="7" t="s">
        <v>1781</v>
      </c>
      <c r="AT100" s="7" t="s">
        <v>2109</v>
      </c>
      <c r="AU100" s="28">
        <f>COUNTIFS('Recipe Ingredients'!$A$2:$A$2500,A100,'Recipe Ingredients'!$G$2:$G$2500,"Basket")</f>
        <v>4</v>
      </c>
      <c r="AV100" s="28">
        <f>COUNTIFS('Recipe Ingredients'!$A$2:$A$2500,A100,'Recipe Ingredients'!$G$2:$G$2500,"Protein")+COUNTIFS('Recipe Ingredients'!$A$2:$A$2500,A100,'Recipe Ingredients'!$G$2:$G$2500,"Pantry")</f>
        <v>3</v>
      </c>
      <c r="AW100" s="31">
        <f t="shared" si="23"/>
        <v>0.5714285714285714</v>
      </c>
      <c r="AX100" s="28" t="str">
        <f>IF(AW100&gt;='Start Here'!$C$6,"Yes","No")</f>
        <v>No</v>
      </c>
      <c r="AY100" s="7" t="s">
        <v>115</v>
      </c>
      <c r="AZ100" s="7" t="s">
        <v>2110</v>
      </c>
      <c r="BA100" s="7" t="s">
        <v>2111</v>
      </c>
      <c r="BB100" s="32" t="s">
        <v>964</v>
      </c>
    </row>
    <row r="101" spans="1:54" ht="96" customHeight="1" x14ac:dyDescent="0.25">
      <c r="A101" s="22" t="s">
        <v>2112</v>
      </c>
      <c r="B101" s="23" t="s">
        <v>2113</v>
      </c>
      <c r="C101" s="22" t="s">
        <v>1129</v>
      </c>
      <c r="D101" s="22" t="s">
        <v>1191</v>
      </c>
      <c r="E101" s="22" t="s">
        <v>1275</v>
      </c>
      <c r="F101" s="7" t="s">
        <v>2114</v>
      </c>
      <c r="G101" s="22" t="s">
        <v>1147</v>
      </c>
      <c r="H101" s="27" t="s">
        <v>2115</v>
      </c>
      <c r="I101" s="27" t="s">
        <v>2116</v>
      </c>
      <c r="J101" s="7" t="s">
        <v>2117</v>
      </c>
      <c r="K101" s="7" t="s">
        <v>2118</v>
      </c>
      <c r="L101" s="7" t="s">
        <v>203</v>
      </c>
      <c r="M101" s="22" t="s">
        <v>958</v>
      </c>
      <c r="N101" s="28">
        <v>10</v>
      </c>
      <c r="O101" s="28">
        <v>0</v>
      </c>
      <c r="P101" s="28">
        <f t="shared" si="18"/>
        <v>10</v>
      </c>
      <c r="Q101" s="22" t="str">
        <f t="shared" si="19"/>
        <v>No-cook</v>
      </c>
      <c r="R101" s="28">
        <v>8</v>
      </c>
      <c r="S101" s="22">
        <v>120</v>
      </c>
      <c r="T101" s="22">
        <v>2</v>
      </c>
      <c r="U101" s="29">
        <f>SUMIFS('Recipe Ingredients'!$I$2:$I$2500,'Recipe Ingredients'!$A$2:$A$2500,A101)/R101</f>
        <v>89.75</v>
      </c>
      <c r="V101" s="29">
        <f>SUMIFS('Recipe Ingredients'!$J$2:$J$2500,'Recipe Ingredients'!$A$2:$A$2500,A101)/R101</f>
        <v>2.2793749999999995</v>
      </c>
      <c r="W101" s="29">
        <f>SUMIFS('Recipe Ingredients'!$K$2:$K$2500,'Recipe Ingredients'!$A$2:$A$2500,A101)/R101</f>
        <v>30.188874999999999</v>
      </c>
      <c r="X101" s="29">
        <f>SUMIFS('Recipe Ingredients'!$L$2:$L$2500,'Recipe Ingredients'!$A$2:$A$2500,A101)/R101</f>
        <v>67.647499999999994</v>
      </c>
      <c r="Y101" s="29">
        <f>SUMIFS('Recipe Ingredients'!$M$2:$M$2500,'Recipe Ingredients'!$A$2:$A$2500,A101)/R101</f>
        <v>60.217000000000006</v>
      </c>
      <c r="Z101" s="29">
        <f>SUMIFS('Recipe Ingredients'!$N$2:$N$2500,'Recipe Ingredients'!$A$2:$A$2500,A101)/R101</f>
        <v>35.274999999999999</v>
      </c>
      <c r="AA101" s="29">
        <f>SUMIFS('Recipe Ingredients'!$O$2:$O$2500,'Recipe Ingredients'!$A$2:$A$2500,A101)/R101</f>
        <v>161.1225</v>
      </c>
      <c r="AB101" s="30">
        <f>SUMIFS('Recipe Ingredients'!$P$2:$P$2500,'Recipe Ingredients'!$A$2:$A$2500,A101)/R101</f>
        <v>0.17648749999999999</v>
      </c>
      <c r="AC101" s="30">
        <f>SUMIFS('Recipe Ingredients'!$Q$2:$Q$2500,'Recipe Ingredients'!$A$2:$A$2500,A101)/R101</f>
        <v>0.108915</v>
      </c>
      <c r="AD101" s="29">
        <f>SUMIFS('Recipe Ingredients'!$R$2:$R$2500,'Recipe Ingredients'!$A$2:$A$2500,A101)/R101</f>
        <v>10.515000000000002</v>
      </c>
      <c r="AE101" s="30">
        <f>SUMIFS('Recipe Ingredients'!$S$2:$S$2500,'Recipe Ingredients'!$A$2:$A$2500,A101)/R101</f>
        <v>0.41438750000000002</v>
      </c>
      <c r="AF101" s="31">
        <f>IFERROR(V101/'Start Here'!$C$10,0)</f>
        <v>9.1174999999999978E-2</v>
      </c>
      <c r="AG101" s="31">
        <f>IFERROR(W101/'Start Here'!$C$11,0)</f>
        <v>0.37736093749999999</v>
      </c>
      <c r="AH101" s="31">
        <f>IFERROR(X101/'Start Here'!$C$12,0)</f>
        <v>8.4559374999999992E-2</v>
      </c>
      <c r="AI101" s="31">
        <f>IFERROR(Y101/'Start Here'!$C$13,0)</f>
        <v>0.80289333333333346</v>
      </c>
      <c r="AJ101" s="31">
        <f>IFERROR(Z101/'Start Here'!$C$14,0)</f>
        <v>0.176375</v>
      </c>
      <c r="AK101" s="31">
        <f>IFERROR(AA101/'Start Here'!$C$15,0)</f>
        <v>8.0561250000000001E-2</v>
      </c>
      <c r="AL101" s="31">
        <f>IFERROR(AB101/'Start Here'!$C$16,0)</f>
        <v>1.4707291666666665E-2</v>
      </c>
      <c r="AM101" s="31">
        <f>IFERROR(AC101/'Start Here'!$C$17,0)</f>
        <v>7.7796428571428572E-2</v>
      </c>
      <c r="AN101" s="31">
        <f>IFERROR(AD101/'Start Here'!$C$18,0)</f>
        <v>2.8040000000000006E-2</v>
      </c>
      <c r="AO101" s="31">
        <f>IFERROR(AE101/'Start Here'!$C$19,0)</f>
        <v>2.9599107142857146E-2</v>
      </c>
      <c r="AP101" s="22" t="str">
        <f t="shared" si="20"/>
        <v>Vitamin K</v>
      </c>
      <c r="AQ101" s="7" t="str">
        <f t="shared" si="21"/>
        <v>Best for better vitamin K intake: one serving gives about 80% of your daily vitamin K from the produce alone.</v>
      </c>
      <c r="AR101" s="7" t="str">
        <f t="shared" si="22"/>
        <v>Vitamin C (38%)</v>
      </c>
      <c r="AS101" s="7" t="s">
        <v>2060</v>
      </c>
      <c r="AT101" s="7" t="s">
        <v>2119</v>
      </c>
      <c r="AU101" s="28">
        <f>COUNTIFS('Recipe Ingredients'!$A$2:$A$2500,A101,'Recipe Ingredients'!$G$2:$G$2500,"Basket")</f>
        <v>3</v>
      </c>
      <c r="AV101" s="28">
        <f>COUNTIFS('Recipe Ingredients'!$A$2:$A$2500,A101,'Recipe Ingredients'!$G$2:$G$2500,"Protein")+COUNTIFS('Recipe Ingredients'!$A$2:$A$2500,A101,'Recipe Ingredients'!$G$2:$G$2500,"Pantry")</f>
        <v>4</v>
      </c>
      <c r="AW101" s="31">
        <f t="shared" si="23"/>
        <v>0.42857142857142855</v>
      </c>
      <c r="AX101" s="28" t="str">
        <f>IF(AW101&gt;='Start Here'!$C$6,"Yes","No")</f>
        <v>No</v>
      </c>
      <c r="AY101" s="7" t="s">
        <v>115</v>
      </c>
      <c r="AZ101" s="7" t="s">
        <v>2120</v>
      </c>
      <c r="BA101" s="7" t="s">
        <v>2121</v>
      </c>
      <c r="BB101" s="32" t="s">
        <v>964</v>
      </c>
    </row>
    <row r="102" spans="1:54" ht="96" customHeight="1" x14ac:dyDescent="0.25">
      <c r="A102" s="22" t="s">
        <v>2122</v>
      </c>
      <c r="B102" s="23" t="s">
        <v>2123</v>
      </c>
      <c r="C102" s="22" t="s">
        <v>1129</v>
      </c>
      <c r="D102" s="22" t="s">
        <v>1191</v>
      </c>
      <c r="E102" s="22" t="s">
        <v>1275</v>
      </c>
      <c r="F102" s="7" t="s">
        <v>2124</v>
      </c>
      <c r="G102" s="22" t="s">
        <v>2125</v>
      </c>
      <c r="H102" s="27" t="s">
        <v>2126</v>
      </c>
      <c r="I102" s="27" t="s">
        <v>2127</v>
      </c>
      <c r="J102" s="7" t="s">
        <v>2128</v>
      </c>
      <c r="K102" s="7" t="s">
        <v>2129</v>
      </c>
      <c r="L102" s="7" t="s">
        <v>974</v>
      </c>
      <c r="M102" s="22" t="s">
        <v>1051</v>
      </c>
      <c r="N102" s="28">
        <v>20</v>
      </c>
      <c r="O102" s="28">
        <v>0</v>
      </c>
      <c r="P102" s="28">
        <f t="shared" si="18"/>
        <v>20</v>
      </c>
      <c r="Q102" s="22" t="str">
        <f t="shared" si="19"/>
        <v>No-cook</v>
      </c>
      <c r="R102" s="28">
        <v>4</v>
      </c>
      <c r="S102" s="22">
        <v>100</v>
      </c>
      <c r="T102" s="22">
        <v>2</v>
      </c>
      <c r="U102" s="29">
        <f>SUMIFS('Recipe Ingredients'!$I$2:$I$2500,'Recipe Ingredients'!$A$2:$A$2500,A102)/R102</f>
        <v>186.5</v>
      </c>
      <c r="V102" s="29">
        <f>SUMIFS('Recipe Ingredients'!$J$2:$J$2500,'Recipe Ingredients'!$A$2:$A$2500,A102)/R102</f>
        <v>4.1982499999999998</v>
      </c>
      <c r="W102" s="29">
        <f>SUMIFS('Recipe Ingredients'!$K$2:$K$2500,'Recipe Ingredients'!$A$2:$A$2500,A102)/R102</f>
        <v>79.129500000000007</v>
      </c>
      <c r="X102" s="29">
        <f>SUMIFS('Recipe Ingredients'!$L$2:$L$2500,'Recipe Ingredients'!$A$2:$A$2500,A102)/R102</f>
        <v>205.08749999999998</v>
      </c>
      <c r="Y102" s="29">
        <f>SUMIFS('Recipe Ingredients'!$M$2:$M$2500,'Recipe Ingredients'!$A$2:$A$2500,A102)/R102</f>
        <v>57.843999999999994</v>
      </c>
      <c r="Z102" s="29">
        <f>SUMIFS('Recipe Ingredients'!$N$2:$N$2500,'Recipe Ingredients'!$A$2:$A$2500,A102)/R102</f>
        <v>32.395000000000003</v>
      </c>
      <c r="AA102" s="29">
        <f>SUMIFS('Recipe Ingredients'!$O$2:$O$2500,'Recipe Ingredients'!$A$2:$A$2500,A102)/R102</f>
        <v>410.40999999999997</v>
      </c>
      <c r="AB102" s="30">
        <f>SUMIFS('Recipe Ingredients'!$P$2:$P$2500,'Recipe Ingredients'!$A$2:$A$2500,A102)/R102</f>
        <v>0.41072500000000001</v>
      </c>
      <c r="AC102" s="30">
        <f>SUMIFS('Recipe Ingredients'!$Q$2:$Q$2500,'Recipe Ingredients'!$A$2:$A$2500,A102)/R102</f>
        <v>0.30686000000000002</v>
      </c>
      <c r="AD102" s="29">
        <f>SUMIFS('Recipe Ingredients'!$R$2:$R$2500,'Recipe Ingredients'!$A$2:$A$2500,A102)/R102</f>
        <v>25.167499999999997</v>
      </c>
      <c r="AE102" s="30">
        <f>SUMIFS('Recipe Ingredients'!$S$2:$S$2500,'Recipe Ingredients'!$A$2:$A$2500,A102)/R102</f>
        <v>1.2724250000000001</v>
      </c>
      <c r="AF102" s="31">
        <f>IFERROR(V102/'Start Here'!$C$10,0)</f>
        <v>0.16793</v>
      </c>
      <c r="AG102" s="31">
        <f>IFERROR(W102/'Start Here'!$C$11,0)</f>
        <v>0.98911875000000005</v>
      </c>
      <c r="AH102" s="31">
        <f>IFERROR(X102/'Start Here'!$C$12,0)</f>
        <v>0.25635937499999994</v>
      </c>
      <c r="AI102" s="31">
        <f>IFERROR(Y102/'Start Here'!$C$13,0)</f>
        <v>0.77125333333333324</v>
      </c>
      <c r="AJ102" s="31">
        <f>IFERROR(Z102/'Start Here'!$C$14,0)</f>
        <v>0.16197500000000001</v>
      </c>
      <c r="AK102" s="31">
        <f>IFERROR(AA102/'Start Here'!$C$15,0)</f>
        <v>0.20520499999999997</v>
      </c>
      <c r="AL102" s="31">
        <f>IFERROR(AB102/'Start Here'!$C$16,0)</f>
        <v>3.4227083333333332E-2</v>
      </c>
      <c r="AM102" s="31">
        <f>IFERROR(AC102/'Start Here'!$C$17,0)</f>
        <v>0.21918571428571432</v>
      </c>
      <c r="AN102" s="31">
        <f>IFERROR(AD102/'Start Here'!$C$18,0)</f>
        <v>6.711333333333333E-2</v>
      </c>
      <c r="AO102" s="31">
        <f>IFERROR(AE102/'Start Here'!$C$19,0)</f>
        <v>9.088750000000001E-2</v>
      </c>
      <c r="AP102" s="22" t="str">
        <f t="shared" si="20"/>
        <v>Vitamin C</v>
      </c>
      <c r="AQ102" s="7" t="str">
        <f t="shared" si="21"/>
        <v>Best for better vitamin C intake: one serving gives about 99% of your daily vitamin C from the produce alone.</v>
      </c>
      <c r="AR102" s="7" t="str">
        <f t="shared" si="22"/>
        <v>Vitamin A (26%), Vitamin K (77%)</v>
      </c>
      <c r="AS102" s="7" t="s">
        <v>2130</v>
      </c>
      <c r="AT102" s="7" t="s">
        <v>2131</v>
      </c>
      <c r="AU102" s="28">
        <f>COUNTIFS('Recipe Ingredients'!$A$2:$A$2500,A102,'Recipe Ingredients'!$G$2:$G$2500,"Basket")</f>
        <v>6</v>
      </c>
      <c r="AV102" s="28">
        <f>COUNTIFS('Recipe Ingredients'!$A$2:$A$2500,A102,'Recipe Ingredients'!$G$2:$G$2500,"Protein")+COUNTIFS('Recipe Ingredients'!$A$2:$A$2500,A102,'Recipe Ingredients'!$G$2:$G$2500,"Pantry")</f>
        <v>1</v>
      </c>
      <c r="AW102" s="31">
        <f t="shared" si="23"/>
        <v>0.8571428571428571</v>
      </c>
      <c r="AX102" s="28" t="str">
        <f>IF(AW102&gt;='Start Here'!$C$6,"Yes","No")</f>
        <v>Yes</v>
      </c>
      <c r="AY102" s="7" t="s">
        <v>115</v>
      </c>
      <c r="AZ102" s="7" t="s">
        <v>2132</v>
      </c>
      <c r="BA102" s="7" t="s">
        <v>2133</v>
      </c>
      <c r="BB102" s="32" t="s">
        <v>964</v>
      </c>
    </row>
    <row r="103" spans="1:54" ht="96" customHeight="1" x14ac:dyDescent="0.25">
      <c r="A103" s="22" t="s">
        <v>2134</v>
      </c>
      <c r="B103" s="23" t="s">
        <v>2135</v>
      </c>
      <c r="C103" s="22" t="s">
        <v>1129</v>
      </c>
      <c r="D103" s="22" t="s">
        <v>1191</v>
      </c>
      <c r="E103" s="22" t="s">
        <v>1275</v>
      </c>
      <c r="F103" s="7" t="s">
        <v>2136</v>
      </c>
      <c r="G103" s="22" t="s">
        <v>2137</v>
      </c>
      <c r="H103" s="27" t="s">
        <v>2138</v>
      </c>
      <c r="I103" s="27" t="s">
        <v>2139</v>
      </c>
      <c r="J103" s="7" t="s">
        <v>2140</v>
      </c>
      <c r="K103" s="7" t="s">
        <v>2141</v>
      </c>
      <c r="L103" s="7" t="s">
        <v>203</v>
      </c>
      <c r="M103" s="22" t="s">
        <v>958</v>
      </c>
      <c r="N103" s="28">
        <v>15</v>
      </c>
      <c r="O103" s="28">
        <v>5</v>
      </c>
      <c r="P103" s="28">
        <f t="shared" si="18"/>
        <v>20</v>
      </c>
      <c r="Q103" s="22" t="str">
        <f t="shared" si="19"/>
        <v>Quick</v>
      </c>
      <c r="R103" s="28">
        <v>6</v>
      </c>
      <c r="S103" s="22">
        <v>160</v>
      </c>
      <c r="T103" s="22">
        <v>3</v>
      </c>
      <c r="U103" s="29">
        <f>SUMIFS('Recipe Ingredients'!$I$2:$I$2500,'Recipe Ingredients'!$A$2:$A$2500,A103)/R103</f>
        <v>173.5</v>
      </c>
      <c r="V103" s="29">
        <f>SUMIFS('Recipe Ingredients'!$J$2:$J$2500,'Recipe Ingredients'!$A$2:$A$2500,A103)/R103</f>
        <v>4.1231666666666671</v>
      </c>
      <c r="W103" s="29">
        <f>SUMIFS('Recipe Ingredients'!$K$2:$K$2500,'Recipe Ingredients'!$A$2:$A$2500,A103)/R103</f>
        <v>56.12233333333333</v>
      </c>
      <c r="X103" s="29">
        <f>SUMIFS('Recipe Ingredients'!$L$2:$L$2500,'Recipe Ingredients'!$A$2:$A$2500,A103)/R103</f>
        <v>179.70333333333335</v>
      </c>
      <c r="Y103" s="29">
        <f>SUMIFS('Recipe Ingredients'!$M$2:$M$2500,'Recipe Ingredients'!$A$2:$A$2500,A103)/R103</f>
        <v>80.27</v>
      </c>
      <c r="Z103" s="29">
        <f>SUMIFS('Recipe Ingredients'!$N$2:$N$2500,'Recipe Ingredients'!$A$2:$A$2500,A103)/R103</f>
        <v>58.629999999999995</v>
      </c>
      <c r="AA103" s="29">
        <f>SUMIFS('Recipe Ingredients'!$O$2:$O$2500,'Recipe Ingredients'!$A$2:$A$2500,A103)/R103</f>
        <v>337.04166666666669</v>
      </c>
      <c r="AB103" s="30">
        <f>SUMIFS('Recipe Ingredients'!$P$2:$P$2500,'Recipe Ingredients'!$A$2:$A$2500,A103)/R103</f>
        <v>0.37175000000000002</v>
      </c>
      <c r="AC103" s="30">
        <f>SUMIFS('Recipe Ingredients'!$Q$2:$Q$2500,'Recipe Ingredients'!$A$2:$A$2500,A103)/R103</f>
        <v>0.23243666666666662</v>
      </c>
      <c r="AD103" s="29">
        <f>SUMIFS('Recipe Ingredients'!$R$2:$R$2500,'Recipe Ingredients'!$A$2:$A$2500,A103)/R103</f>
        <v>23.806666666666668</v>
      </c>
      <c r="AE103" s="30">
        <f>SUMIFS('Recipe Ingredients'!$S$2:$S$2500,'Recipe Ingredients'!$A$2:$A$2500,A103)/R103</f>
        <v>0.71493333333333331</v>
      </c>
      <c r="AF103" s="31">
        <f>IFERROR(V103/'Start Here'!$C$10,0)</f>
        <v>0.16492666666666669</v>
      </c>
      <c r="AG103" s="31">
        <f>IFERROR(W103/'Start Here'!$C$11,0)</f>
        <v>0.70152916666666665</v>
      </c>
      <c r="AH103" s="31">
        <f>IFERROR(X103/'Start Here'!$C$12,0)</f>
        <v>0.22462916666666669</v>
      </c>
      <c r="AI103" s="31">
        <f>IFERROR(Y103/'Start Here'!$C$13,0)</f>
        <v>1.0702666666666667</v>
      </c>
      <c r="AJ103" s="31">
        <f>IFERROR(Z103/'Start Here'!$C$14,0)</f>
        <v>0.29314999999999997</v>
      </c>
      <c r="AK103" s="31">
        <f>IFERROR(AA103/'Start Here'!$C$15,0)</f>
        <v>0.16852083333333334</v>
      </c>
      <c r="AL103" s="31">
        <f>IFERROR(AB103/'Start Here'!$C$16,0)</f>
        <v>3.0979166666666669E-2</v>
      </c>
      <c r="AM103" s="31">
        <f>IFERROR(AC103/'Start Here'!$C$17,0)</f>
        <v>0.16602619047619047</v>
      </c>
      <c r="AN103" s="31">
        <f>IFERROR(AD103/'Start Here'!$C$18,0)</f>
        <v>6.3484444444444454E-2</v>
      </c>
      <c r="AO103" s="31">
        <f>IFERROR(AE103/'Start Here'!$C$19,0)</f>
        <v>5.1066666666666663E-2</v>
      </c>
      <c r="AP103" s="22" t="str">
        <f t="shared" si="20"/>
        <v>Vitamin K</v>
      </c>
      <c r="AQ103" s="7" t="str">
        <f t="shared" si="21"/>
        <v>Best for better vitamin K intake: one serving gives about 107% of your daily vitamin K from the produce alone.</v>
      </c>
      <c r="AR103" s="7" t="str">
        <f t="shared" si="22"/>
        <v>Vitamin C (70%), Folate (29%)</v>
      </c>
      <c r="AS103" s="7" t="s">
        <v>2060</v>
      </c>
      <c r="AT103" s="7" t="s">
        <v>2142</v>
      </c>
      <c r="AU103" s="28">
        <f>COUNTIFS('Recipe Ingredients'!$A$2:$A$2500,A103,'Recipe Ingredients'!$G$2:$G$2500,"Basket")</f>
        <v>5</v>
      </c>
      <c r="AV103" s="28">
        <f>COUNTIFS('Recipe Ingredients'!$A$2:$A$2500,A103,'Recipe Ingredients'!$G$2:$G$2500,"Protein")+COUNTIFS('Recipe Ingredients'!$A$2:$A$2500,A103,'Recipe Ingredients'!$G$2:$G$2500,"Pantry")</f>
        <v>3</v>
      </c>
      <c r="AW103" s="31">
        <f t="shared" si="23"/>
        <v>0.625</v>
      </c>
      <c r="AX103" s="28" t="str">
        <f>IF(AW103&gt;='Start Here'!$C$6,"Yes","No")</f>
        <v>No</v>
      </c>
      <c r="AY103" s="7" t="s">
        <v>115</v>
      </c>
      <c r="AZ103" s="7" t="s">
        <v>2143</v>
      </c>
      <c r="BA103" s="7" t="s">
        <v>2144</v>
      </c>
      <c r="BB103" s="32" t="s">
        <v>964</v>
      </c>
    </row>
    <row r="104" spans="1:54" ht="96" customHeight="1" x14ac:dyDescent="0.25">
      <c r="A104" s="22" t="s">
        <v>2145</v>
      </c>
      <c r="B104" s="23" t="s">
        <v>2146</v>
      </c>
      <c r="C104" s="22" t="s">
        <v>1129</v>
      </c>
      <c r="D104" s="22" t="s">
        <v>1130</v>
      </c>
      <c r="E104" s="22" t="s">
        <v>1192</v>
      </c>
      <c r="F104" s="7" t="s">
        <v>2147</v>
      </c>
      <c r="G104" s="22" t="s">
        <v>1533</v>
      </c>
      <c r="H104" s="27" t="s">
        <v>2148</v>
      </c>
      <c r="I104" s="7"/>
      <c r="J104" s="7" t="s">
        <v>2149</v>
      </c>
      <c r="K104" s="7" t="s">
        <v>2150</v>
      </c>
      <c r="L104" s="7" t="s">
        <v>974</v>
      </c>
      <c r="M104" s="22" t="s">
        <v>1051</v>
      </c>
      <c r="N104" s="28">
        <v>20</v>
      </c>
      <c r="O104" s="28">
        <v>0</v>
      </c>
      <c r="P104" s="28">
        <f t="shared" si="18"/>
        <v>20</v>
      </c>
      <c r="Q104" s="22" t="str">
        <f t="shared" si="19"/>
        <v>No-cook</v>
      </c>
      <c r="R104" s="28">
        <v>6</v>
      </c>
      <c r="S104" s="22">
        <v>110</v>
      </c>
      <c r="T104" s="22">
        <v>2</v>
      </c>
      <c r="U104" s="29">
        <f>SUMIFS('Recipe Ingredients'!$I$2:$I$2500,'Recipe Ingredients'!$A$2:$A$2500,A104)/R104</f>
        <v>89.333333333333329</v>
      </c>
      <c r="V104" s="29">
        <f>SUMIFS('Recipe Ingredients'!$J$2:$J$2500,'Recipe Ingredients'!$A$2:$A$2500,A104)/R104</f>
        <v>1.7865</v>
      </c>
      <c r="W104" s="29">
        <f>SUMIFS('Recipe Ingredients'!$K$2:$K$2500,'Recipe Ingredients'!$A$2:$A$2500,A104)/R104</f>
        <v>44.335999999999991</v>
      </c>
      <c r="X104" s="29">
        <f>SUMIFS('Recipe Ingredients'!$L$2:$L$2500,'Recipe Ingredients'!$A$2:$A$2500,A104)/R104</f>
        <v>124.27000000000002</v>
      </c>
      <c r="Y104" s="29">
        <f>SUMIFS('Recipe Ingredients'!$M$2:$M$2500,'Recipe Ingredients'!$A$2:$A$2500,A104)/R104</f>
        <v>426.60616666666664</v>
      </c>
      <c r="Z104" s="29">
        <f>SUMIFS('Recipe Ingredients'!$N$2:$N$2500,'Recipe Ingredients'!$A$2:$A$2500,A104)/R104</f>
        <v>49.711666666666652</v>
      </c>
      <c r="AA104" s="29">
        <f>SUMIFS('Recipe Ingredients'!$O$2:$O$2500,'Recipe Ingredients'!$A$2:$A$2500,A104)/R104</f>
        <v>271.71166666666664</v>
      </c>
      <c r="AB104" s="30">
        <f>SUMIFS('Recipe Ingredients'!$P$2:$P$2500,'Recipe Ingredients'!$A$2:$A$2500,A104)/R104</f>
        <v>0.39985000000000004</v>
      </c>
      <c r="AC104" s="30">
        <f>SUMIFS('Recipe Ingredients'!$Q$2:$Q$2500,'Recipe Ingredients'!$A$2:$A$2500,A104)/R104</f>
        <v>7.2803333333333345E-2</v>
      </c>
      <c r="AD104" s="29">
        <f>SUMIFS('Recipe Ingredients'!$R$2:$R$2500,'Recipe Ingredients'!$A$2:$A$2500,A104)/R104</f>
        <v>20.891666666666666</v>
      </c>
      <c r="AE104" s="30">
        <f>SUMIFS('Recipe Ingredients'!$S$2:$S$2500,'Recipe Ingredients'!$A$2:$A$2500,A104)/R104</f>
        <v>1.9857000000000005</v>
      </c>
      <c r="AF104" s="31">
        <f>IFERROR(V104/'Start Here'!$C$10,0)</f>
        <v>7.1459999999999996E-2</v>
      </c>
      <c r="AG104" s="31">
        <f>IFERROR(W104/'Start Here'!$C$11,0)</f>
        <v>0.55419999999999991</v>
      </c>
      <c r="AH104" s="31">
        <f>IFERROR(X104/'Start Here'!$C$12,0)</f>
        <v>0.15533750000000002</v>
      </c>
      <c r="AI104" s="31">
        <f>IFERROR(Y104/'Start Here'!$C$13,0)</f>
        <v>5.6880822222222216</v>
      </c>
      <c r="AJ104" s="31">
        <f>IFERROR(Z104/'Start Here'!$C$14,0)</f>
        <v>0.24855833333333327</v>
      </c>
      <c r="AK104" s="31">
        <f>IFERROR(AA104/'Start Here'!$C$15,0)</f>
        <v>0.13585583333333331</v>
      </c>
      <c r="AL104" s="31">
        <f>IFERROR(AB104/'Start Here'!$C$16,0)</f>
        <v>3.3320833333333334E-2</v>
      </c>
      <c r="AM104" s="31">
        <f>IFERROR(AC104/'Start Here'!$C$17,0)</f>
        <v>5.2002380952380967E-2</v>
      </c>
      <c r="AN104" s="31">
        <f>IFERROR(AD104/'Start Here'!$C$18,0)</f>
        <v>5.5711111111111107E-2</v>
      </c>
      <c r="AO104" s="31">
        <f>IFERROR(AE104/'Start Here'!$C$19,0)</f>
        <v>0.14183571428571431</v>
      </c>
      <c r="AP104" s="22" t="str">
        <f t="shared" si="20"/>
        <v>Vitamin K</v>
      </c>
      <c r="AQ104" s="7" t="str">
        <f t="shared" si="21"/>
        <v>Best for better vitamin K intake: one serving gives about 569% of your daily vitamin K from the produce alone.</v>
      </c>
      <c r="AR104" s="7" t="str">
        <f t="shared" si="22"/>
        <v>Vitamin C (55%)</v>
      </c>
      <c r="AS104" s="7" t="s">
        <v>2151</v>
      </c>
      <c r="AT104" s="7" t="s">
        <v>2152</v>
      </c>
      <c r="AU104" s="28">
        <f>COUNTIFS('Recipe Ingredients'!$A$2:$A$2500,A104,'Recipe Ingredients'!$G$2:$G$2500,"Basket")</f>
        <v>7</v>
      </c>
      <c r="AV104" s="28">
        <f>COUNTIFS('Recipe Ingredients'!$A$2:$A$2500,A104,'Recipe Ingredients'!$G$2:$G$2500,"Protein")+COUNTIFS('Recipe Ingredients'!$A$2:$A$2500,A104,'Recipe Ingredients'!$G$2:$G$2500,"Pantry")</f>
        <v>0</v>
      </c>
      <c r="AW104" s="31">
        <f t="shared" si="23"/>
        <v>1</v>
      </c>
      <c r="AX104" s="28" t="str">
        <f>IF(AW104&gt;='Start Here'!$C$6,"Yes","No")</f>
        <v>Yes</v>
      </c>
      <c r="AY104" s="7" t="s">
        <v>115</v>
      </c>
      <c r="AZ104" s="7" t="s">
        <v>2153</v>
      </c>
      <c r="BA104" s="7" t="s">
        <v>2154</v>
      </c>
      <c r="BB104" s="32" t="s">
        <v>964</v>
      </c>
    </row>
    <row r="105" spans="1:54" ht="96" customHeight="1" x14ac:dyDescent="0.25">
      <c r="A105" s="22" t="s">
        <v>2155</v>
      </c>
      <c r="B105" s="23" t="s">
        <v>2156</v>
      </c>
      <c r="C105" s="22" t="s">
        <v>1129</v>
      </c>
      <c r="D105" s="22" t="s">
        <v>1130</v>
      </c>
      <c r="E105" s="22" t="s">
        <v>1192</v>
      </c>
      <c r="F105" s="7" t="s">
        <v>2157</v>
      </c>
      <c r="G105" s="22" t="s">
        <v>1533</v>
      </c>
      <c r="H105" s="27" t="s">
        <v>2158</v>
      </c>
      <c r="I105" s="7"/>
      <c r="J105" s="7" t="s">
        <v>2159</v>
      </c>
      <c r="K105" s="7" t="s">
        <v>2160</v>
      </c>
      <c r="L105" s="7" t="s">
        <v>974</v>
      </c>
      <c r="M105" s="22" t="s">
        <v>1051</v>
      </c>
      <c r="N105" s="28">
        <v>25</v>
      </c>
      <c r="O105" s="28">
        <v>10</v>
      </c>
      <c r="P105" s="28">
        <f t="shared" si="18"/>
        <v>35</v>
      </c>
      <c r="Q105" s="22" t="str">
        <f t="shared" si="19"/>
        <v>Standard</v>
      </c>
      <c r="R105" s="28">
        <v>4</v>
      </c>
      <c r="S105" s="22">
        <v>190</v>
      </c>
      <c r="T105" s="22">
        <v>4</v>
      </c>
      <c r="U105" s="29">
        <f>SUMIFS('Recipe Ingredients'!$I$2:$I$2500,'Recipe Ingredients'!$A$2:$A$2500,A105)/R105</f>
        <v>171.5</v>
      </c>
      <c r="V105" s="29">
        <f>SUMIFS('Recipe Ingredients'!$J$2:$J$2500,'Recipe Ingredients'!$A$2:$A$2500,A105)/R105</f>
        <v>3.3480000000000003</v>
      </c>
      <c r="W105" s="29">
        <f>SUMIFS('Recipe Ingredients'!$K$2:$K$2500,'Recipe Ingredients'!$A$2:$A$2500,A105)/R105</f>
        <v>23.457999999999998</v>
      </c>
      <c r="X105" s="29">
        <f>SUMIFS('Recipe Ingredients'!$L$2:$L$2500,'Recipe Ingredients'!$A$2:$A$2500,A105)/R105</f>
        <v>328.37999999999994</v>
      </c>
      <c r="Y105" s="29">
        <f>SUMIFS('Recipe Ingredients'!$M$2:$M$2500,'Recipe Ingredients'!$A$2:$A$2500,A105)/R105</f>
        <v>79.049499999999995</v>
      </c>
      <c r="Z105" s="29">
        <f>SUMIFS('Recipe Ingredients'!$N$2:$N$2500,'Recipe Ingredients'!$A$2:$A$2500,A105)/R105</f>
        <v>111.175</v>
      </c>
      <c r="AA105" s="29">
        <f>SUMIFS('Recipe Ingredients'!$O$2:$O$2500,'Recipe Ingredients'!$A$2:$A$2500,A105)/R105</f>
        <v>373.92750000000001</v>
      </c>
      <c r="AB105" s="30">
        <f>SUMIFS('Recipe Ingredients'!$P$2:$P$2500,'Recipe Ingredients'!$A$2:$A$2500,A105)/R105</f>
        <v>0.32629999999999998</v>
      </c>
      <c r="AC105" s="30">
        <f>SUMIFS('Recipe Ingredients'!$Q$2:$Q$2500,'Recipe Ingredients'!$A$2:$A$2500,A105)/R105</f>
        <v>0.14160249999999999</v>
      </c>
      <c r="AD105" s="29">
        <f>SUMIFS('Recipe Ingredients'!$R$2:$R$2500,'Recipe Ingredients'!$A$2:$A$2500,A105)/R105</f>
        <v>22.142500000000002</v>
      </c>
      <c r="AE105" s="30">
        <f>SUMIFS('Recipe Ingredients'!$S$2:$S$2500,'Recipe Ingredients'!$A$2:$A$2500,A105)/R105</f>
        <v>1.3613999999999999</v>
      </c>
      <c r="AF105" s="31">
        <f>IFERROR(V105/'Start Here'!$C$10,0)</f>
        <v>0.13392000000000001</v>
      </c>
      <c r="AG105" s="31">
        <f>IFERROR(W105/'Start Here'!$C$11,0)</f>
        <v>0.29322499999999996</v>
      </c>
      <c r="AH105" s="31">
        <f>IFERROR(X105/'Start Here'!$C$12,0)</f>
        <v>0.41047499999999992</v>
      </c>
      <c r="AI105" s="31">
        <f>IFERROR(Y105/'Start Here'!$C$13,0)</f>
        <v>1.0539933333333333</v>
      </c>
      <c r="AJ105" s="31">
        <f>IFERROR(Z105/'Start Here'!$C$14,0)</f>
        <v>0.55587500000000001</v>
      </c>
      <c r="AK105" s="31">
        <f>IFERROR(AA105/'Start Here'!$C$15,0)</f>
        <v>0.18696375000000001</v>
      </c>
      <c r="AL105" s="31">
        <f>IFERROR(AB105/'Start Here'!$C$16,0)</f>
        <v>2.7191666666666666E-2</v>
      </c>
      <c r="AM105" s="31">
        <f>IFERROR(AC105/'Start Here'!$C$17,0)</f>
        <v>0.10114464285714286</v>
      </c>
      <c r="AN105" s="31">
        <f>IFERROR(AD105/'Start Here'!$C$18,0)</f>
        <v>5.9046666666666671E-2</v>
      </c>
      <c r="AO105" s="31">
        <f>IFERROR(AE105/'Start Here'!$C$19,0)</f>
        <v>9.7242857142857145E-2</v>
      </c>
      <c r="AP105" s="22" t="str">
        <f t="shared" si="20"/>
        <v>Vitamin K</v>
      </c>
      <c r="AQ105" s="7" t="str">
        <f t="shared" si="21"/>
        <v>Best for better vitamin K intake: one serving gives about 105% of your daily vitamin K from the produce alone.</v>
      </c>
      <c r="AR105" s="7" t="str">
        <f t="shared" si="22"/>
        <v>Vitamin C (29%), Vitamin A (41%), Folate (56%)</v>
      </c>
      <c r="AS105" s="7" t="s">
        <v>2161</v>
      </c>
      <c r="AT105" s="7" t="s">
        <v>2162</v>
      </c>
      <c r="AU105" s="28">
        <f>COUNTIFS('Recipe Ingredients'!$A$2:$A$2500,A105,'Recipe Ingredients'!$G$2:$G$2500,"Basket")</f>
        <v>7</v>
      </c>
      <c r="AV105" s="28">
        <f>COUNTIFS('Recipe Ingredients'!$A$2:$A$2500,A105,'Recipe Ingredients'!$G$2:$G$2500,"Protein")+COUNTIFS('Recipe Ingredients'!$A$2:$A$2500,A105,'Recipe Ingredients'!$G$2:$G$2500,"Pantry")</f>
        <v>2</v>
      </c>
      <c r="AW105" s="31">
        <f t="shared" si="23"/>
        <v>0.77777777777777779</v>
      </c>
      <c r="AX105" s="28" t="str">
        <f>IF(AW105&gt;='Start Here'!$C$6,"Yes","No")</f>
        <v>No</v>
      </c>
      <c r="AY105" s="7" t="s">
        <v>115</v>
      </c>
      <c r="AZ105" s="7" t="s">
        <v>2163</v>
      </c>
      <c r="BA105" s="7" t="s">
        <v>2164</v>
      </c>
      <c r="BB105" s="32" t="s">
        <v>964</v>
      </c>
    </row>
    <row r="106" spans="1:54" ht="96" customHeight="1" x14ac:dyDescent="0.25">
      <c r="A106" s="22" t="s">
        <v>2165</v>
      </c>
      <c r="B106" s="23" t="s">
        <v>2166</v>
      </c>
      <c r="C106" s="22" t="s">
        <v>1129</v>
      </c>
      <c r="D106" s="22" t="s">
        <v>1130</v>
      </c>
      <c r="E106" s="22" t="s">
        <v>1131</v>
      </c>
      <c r="F106" s="7" t="s">
        <v>2167</v>
      </c>
      <c r="G106" s="22" t="s">
        <v>1005</v>
      </c>
      <c r="H106" s="27" t="s">
        <v>2168</v>
      </c>
      <c r="I106" s="27" t="s">
        <v>2169</v>
      </c>
      <c r="J106" s="7" t="s">
        <v>2170</v>
      </c>
      <c r="K106" s="7" t="s">
        <v>2171</v>
      </c>
      <c r="L106" s="7" t="s">
        <v>203</v>
      </c>
      <c r="M106" s="22" t="s">
        <v>1051</v>
      </c>
      <c r="N106" s="28">
        <v>15</v>
      </c>
      <c r="O106" s="28">
        <v>10</v>
      </c>
      <c r="P106" s="28">
        <f t="shared" si="18"/>
        <v>25</v>
      </c>
      <c r="Q106" s="22" t="str">
        <f t="shared" si="19"/>
        <v>Quick</v>
      </c>
      <c r="R106" s="28">
        <v>6</v>
      </c>
      <c r="S106" s="22">
        <v>210</v>
      </c>
      <c r="T106" s="22">
        <v>4</v>
      </c>
      <c r="U106" s="29">
        <f>SUMIFS('Recipe Ingredients'!$I$2:$I$2500,'Recipe Ingredients'!$A$2:$A$2500,A106)/R106</f>
        <v>160.5</v>
      </c>
      <c r="V106" s="29">
        <f>SUMIFS('Recipe Ingredients'!$J$2:$J$2500,'Recipe Ingredients'!$A$2:$A$2500,A106)/R106</f>
        <v>1.8471666666666666</v>
      </c>
      <c r="W106" s="29">
        <f>SUMIFS('Recipe Ingredients'!$K$2:$K$2500,'Recipe Ingredients'!$A$2:$A$2500,A106)/R106</f>
        <v>18.858000000000001</v>
      </c>
      <c r="X106" s="29">
        <f>SUMIFS('Recipe Ingredients'!$L$2:$L$2500,'Recipe Ingredients'!$A$2:$A$2500,A106)/R106</f>
        <v>60.81</v>
      </c>
      <c r="Y106" s="29">
        <f>SUMIFS('Recipe Ingredients'!$M$2:$M$2500,'Recipe Ingredients'!$A$2:$A$2500,A106)/R106</f>
        <v>29.987499999999997</v>
      </c>
      <c r="Z106" s="29">
        <f>SUMIFS('Recipe Ingredients'!$N$2:$N$2500,'Recipe Ingredients'!$A$2:$A$2500,A106)/R106</f>
        <v>24.548333333333332</v>
      </c>
      <c r="AA106" s="29">
        <f>SUMIFS('Recipe Ingredients'!$O$2:$O$2500,'Recipe Ingredients'!$A$2:$A$2500,A106)/R106</f>
        <v>350.53166666666669</v>
      </c>
      <c r="AB106" s="30">
        <f>SUMIFS('Recipe Ingredients'!$P$2:$P$2500,'Recipe Ingredients'!$A$2:$A$2500,A106)/R106</f>
        <v>0.67336666666666656</v>
      </c>
      <c r="AC106" s="30">
        <f>SUMIFS('Recipe Ingredients'!$Q$2:$Q$2500,'Recipe Ingredients'!$A$2:$A$2500,A106)/R106</f>
        <v>0.14405833333333334</v>
      </c>
      <c r="AD106" s="29">
        <f>SUMIFS('Recipe Ingredients'!$R$2:$R$2500,'Recipe Ingredients'!$A$2:$A$2500,A106)/R106</f>
        <v>20.351666666666667</v>
      </c>
      <c r="AE106" s="30">
        <f>SUMIFS('Recipe Ingredients'!$S$2:$S$2500,'Recipe Ingredients'!$A$2:$A$2500,A106)/R106</f>
        <v>0.56530000000000002</v>
      </c>
      <c r="AF106" s="31">
        <f>IFERROR(V106/'Start Here'!$C$10,0)</f>
        <v>7.388666666666667E-2</v>
      </c>
      <c r="AG106" s="31">
        <f>IFERROR(W106/'Start Here'!$C$11,0)</f>
        <v>0.23572500000000002</v>
      </c>
      <c r="AH106" s="31">
        <f>IFERROR(X106/'Start Here'!$C$12,0)</f>
        <v>7.6012499999999997E-2</v>
      </c>
      <c r="AI106" s="31">
        <f>IFERROR(Y106/'Start Here'!$C$13,0)</f>
        <v>0.39983333333333332</v>
      </c>
      <c r="AJ106" s="31">
        <f>IFERROR(Z106/'Start Here'!$C$14,0)</f>
        <v>0.12274166666666667</v>
      </c>
      <c r="AK106" s="31">
        <f>IFERROR(AA106/'Start Here'!$C$15,0)</f>
        <v>0.17526583333333334</v>
      </c>
      <c r="AL106" s="31">
        <f>IFERROR(AB106/'Start Here'!$C$16,0)</f>
        <v>5.611388888888888E-2</v>
      </c>
      <c r="AM106" s="31">
        <f>IFERROR(AC106/'Start Here'!$C$17,0)</f>
        <v>0.10289880952380953</v>
      </c>
      <c r="AN106" s="31">
        <f>IFERROR(AD106/'Start Here'!$C$18,0)</f>
        <v>5.427111111111111E-2</v>
      </c>
      <c r="AO106" s="31">
        <f>IFERROR(AE106/'Start Here'!$C$19,0)</f>
        <v>4.037857142857143E-2</v>
      </c>
      <c r="AP106" s="22" t="str">
        <f t="shared" si="20"/>
        <v>Vitamin K</v>
      </c>
      <c r="AQ106" s="7" t="str">
        <f t="shared" si="21"/>
        <v>Best for better vitamin K intake: one serving gives about 40% of your daily vitamin K from the produce alone.</v>
      </c>
      <c r="AR106" s="7" t="str">
        <f t="shared" si="22"/>
        <v/>
      </c>
      <c r="AS106" s="7" t="s">
        <v>2172</v>
      </c>
      <c r="AT106" s="7" t="s">
        <v>2173</v>
      </c>
      <c r="AU106" s="28">
        <f>COUNTIFS('Recipe Ingredients'!$A$2:$A$2500,A106,'Recipe Ingredients'!$G$2:$G$2500,"Basket")</f>
        <v>5</v>
      </c>
      <c r="AV106" s="28">
        <f>COUNTIFS('Recipe Ingredients'!$A$2:$A$2500,A106,'Recipe Ingredients'!$G$2:$G$2500,"Protein")+COUNTIFS('Recipe Ingredients'!$A$2:$A$2500,A106,'Recipe Ingredients'!$G$2:$G$2500,"Pantry")</f>
        <v>3</v>
      </c>
      <c r="AW106" s="31">
        <f t="shared" si="23"/>
        <v>0.625</v>
      </c>
      <c r="AX106" s="28" t="str">
        <f>IF(AW106&gt;='Start Here'!$C$6,"Yes","No")</f>
        <v>No</v>
      </c>
      <c r="AY106" s="7" t="s">
        <v>115</v>
      </c>
      <c r="AZ106" s="7" t="s">
        <v>2174</v>
      </c>
      <c r="BA106" s="7" t="s">
        <v>2175</v>
      </c>
      <c r="BB106" s="32" t="s">
        <v>964</v>
      </c>
    </row>
    <row r="107" spans="1:54" ht="96" customHeight="1" x14ac:dyDescent="0.25">
      <c r="A107" s="22" t="s">
        <v>2176</v>
      </c>
      <c r="B107" s="23" t="s">
        <v>2177</v>
      </c>
      <c r="C107" s="22" t="s">
        <v>1129</v>
      </c>
      <c r="D107" s="22" t="s">
        <v>1130</v>
      </c>
      <c r="E107" s="22" t="s">
        <v>2178</v>
      </c>
      <c r="F107" s="7" t="s">
        <v>2179</v>
      </c>
      <c r="G107" s="22" t="s">
        <v>1005</v>
      </c>
      <c r="H107" s="27" t="s">
        <v>2180</v>
      </c>
      <c r="I107" s="27" t="s">
        <v>2181</v>
      </c>
      <c r="J107" s="7" t="s">
        <v>2182</v>
      </c>
      <c r="K107" s="7" t="s">
        <v>2183</v>
      </c>
      <c r="L107" s="7" t="s">
        <v>974</v>
      </c>
      <c r="M107" s="22" t="s">
        <v>958</v>
      </c>
      <c r="N107" s="28">
        <v>10</v>
      </c>
      <c r="O107" s="28">
        <v>0</v>
      </c>
      <c r="P107" s="28">
        <f t="shared" si="18"/>
        <v>10</v>
      </c>
      <c r="Q107" s="22" t="str">
        <f t="shared" si="19"/>
        <v>No-cook</v>
      </c>
      <c r="R107" s="28">
        <v>4</v>
      </c>
      <c r="S107" s="22">
        <v>180</v>
      </c>
      <c r="T107" s="22">
        <v>10</v>
      </c>
      <c r="U107" s="29">
        <f>SUMIFS('Recipe Ingredients'!$I$2:$I$2500,'Recipe Ingredients'!$A$2:$A$2500,A107)/R107</f>
        <v>69.5</v>
      </c>
      <c r="V107" s="29">
        <f>SUMIFS('Recipe Ingredients'!$J$2:$J$2500,'Recipe Ingredients'!$A$2:$A$2500,A107)/R107</f>
        <v>0.86399999999999988</v>
      </c>
      <c r="W107" s="29">
        <f>SUMIFS('Recipe Ingredients'!$K$2:$K$2500,'Recipe Ingredients'!$A$2:$A$2500,A107)/R107</f>
        <v>9.8439999999999994</v>
      </c>
      <c r="X107" s="29">
        <f>SUMIFS('Recipe Ingredients'!$L$2:$L$2500,'Recipe Ingredients'!$A$2:$A$2500,A107)/R107</f>
        <v>45.84</v>
      </c>
      <c r="Y107" s="29">
        <f>SUMIFS('Recipe Ingredients'!$M$2:$M$2500,'Recipe Ingredients'!$A$2:$A$2500,A107)/R107</f>
        <v>36.007999999999996</v>
      </c>
      <c r="Z107" s="29">
        <f>SUMIFS('Recipe Ingredients'!$N$2:$N$2500,'Recipe Ingredients'!$A$2:$A$2500,A107)/R107</f>
        <v>14.4</v>
      </c>
      <c r="AA107" s="29">
        <f>SUMIFS('Recipe Ingredients'!$O$2:$O$2500,'Recipe Ingredients'!$A$2:$A$2500,A107)/R107</f>
        <v>169.065</v>
      </c>
      <c r="AB107" s="30">
        <f>SUMIFS('Recipe Ingredients'!$P$2:$P$2500,'Recipe Ingredients'!$A$2:$A$2500,A107)/R107</f>
        <v>0.39480000000000004</v>
      </c>
      <c r="AC107" s="30">
        <f>SUMIFS('Recipe Ingredients'!$Q$2:$Q$2500,'Recipe Ingredients'!$A$2:$A$2500,A107)/R107</f>
        <v>6.1225000000000002E-2</v>
      </c>
      <c r="AD107" s="29">
        <f>SUMIFS('Recipe Ingredients'!$R$2:$R$2500,'Recipe Ingredients'!$A$2:$A$2500,A107)/R107</f>
        <v>11.620000000000001</v>
      </c>
      <c r="AE107" s="30">
        <f>SUMIFS('Recipe Ingredients'!$S$2:$S$2500,'Recipe Ingredients'!$A$2:$A$2500,A107)/R107</f>
        <v>0.40515000000000001</v>
      </c>
      <c r="AF107" s="31">
        <f>IFERROR(V107/'Start Here'!$C$10,0)</f>
        <v>3.4559999999999994E-2</v>
      </c>
      <c r="AG107" s="31">
        <f>IFERROR(W107/'Start Here'!$C$11,0)</f>
        <v>0.12304999999999999</v>
      </c>
      <c r="AH107" s="31">
        <f>IFERROR(X107/'Start Here'!$C$12,0)</f>
        <v>5.7300000000000004E-2</v>
      </c>
      <c r="AI107" s="31">
        <f>IFERROR(Y107/'Start Here'!$C$13,0)</f>
        <v>0.48010666666666663</v>
      </c>
      <c r="AJ107" s="31">
        <f>IFERROR(Z107/'Start Here'!$C$14,0)</f>
        <v>7.2000000000000008E-2</v>
      </c>
      <c r="AK107" s="31">
        <f>IFERROR(AA107/'Start Here'!$C$15,0)</f>
        <v>8.4532499999999997E-2</v>
      </c>
      <c r="AL107" s="31">
        <f>IFERROR(AB107/'Start Here'!$C$16,0)</f>
        <v>3.2900000000000006E-2</v>
      </c>
      <c r="AM107" s="31">
        <f>IFERROR(AC107/'Start Here'!$C$17,0)</f>
        <v>4.3732142857142858E-2</v>
      </c>
      <c r="AN107" s="31">
        <f>IFERROR(AD107/'Start Here'!$C$18,0)</f>
        <v>3.0986666666666669E-2</v>
      </c>
      <c r="AO107" s="31">
        <f>IFERROR(AE107/'Start Here'!$C$19,0)</f>
        <v>2.8939285714285716E-2</v>
      </c>
      <c r="AP107" s="22" t="str">
        <f t="shared" si="20"/>
        <v>Vitamin K</v>
      </c>
      <c r="AQ107" s="7" t="str">
        <f t="shared" si="21"/>
        <v>Best for better vitamin K intake: one serving gives about 48% of your daily vitamin K from the produce alone.</v>
      </c>
      <c r="AR107" s="7" t="str">
        <f t="shared" si="22"/>
        <v/>
      </c>
      <c r="AS107" s="7" t="s">
        <v>2184</v>
      </c>
      <c r="AT107" s="7" t="s">
        <v>2185</v>
      </c>
      <c r="AU107" s="28">
        <f>COUNTIFS('Recipe Ingredients'!$A$2:$A$2500,A107,'Recipe Ingredients'!$G$2:$G$2500,"Basket")</f>
        <v>2</v>
      </c>
      <c r="AV107" s="28">
        <f>COUNTIFS('Recipe Ingredients'!$A$2:$A$2500,A107,'Recipe Ingredients'!$G$2:$G$2500,"Protein")+COUNTIFS('Recipe Ingredients'!$A$2:$A$2500,A107,'Recipe Ingredients'!$G$2:$G$2500,"Pantry")</f>
        <v>1</v>
      </c>
      <c r="AW107" s="31">
        <f t="shared" si="23"/>
        <v>0.66666666666666663</v>
      </c>
      <c r="AX107" s="28" t="str">
        <f>IF(AW107&gt;='Start Here'!$C$6,"Yes","No")</f>
        <v>No</v>
      </c>
      <c r="AY107" s="7" t="s">
        <v>115</v>
      </c>
      <c r="AZ107" s="7" t="s">
        <v>2186</v>
      </c>
      <c r="BA107" s="7" t="s">
        <v>2187</v>
      </c>
      <c r="BB107" s="32" t="s">
        <v>964</v>
      </c>
    </row>
    <row r="108" spans="1:54" ht="96" customHeight="1" x14ac:dyDescent="0.25">
      <c r="A108" s="22" t="s">
        <v>2188</v>
      </c>
      <c r="B108" s="23" t="s">
        <v>2189</v>
      </c>
      <c r="C108" s="22" t="s">
        <v>1129</v>
      </c>
      <c r="D108" s="22" t="s">
        <v>1130</v>
      </c>
      <c r="E108" s="22" t="s">
        <v>1275</v>
      </c>
      <c r="F108" s="7" t="s">
        <v>2190</v>
      </c>
      <c r="G108" s="22" t="s">
        <v>1147</v>
      </c>
      <c r="H108" s="27" t="s">
        <v>2191</v>
      </c>
      <c r="I108" s="27" t="s">
        <v>2192</v>
      </c>
      <c r="J108" s="7" t="s">
        <v>2193</v>
      </c>
      <c r="K108" s="7" t="s">
        <v>2194</v>
      </c>
      <c r="L108" s="7" t="s">
        <v>2195</v>
      </c>
      <c r="M108" s="22" t="s">
        <v>1051</v>
      </c>
      <c r="N108" s="28">
        <v>10</v>
      </c>
      <c r="O108" s="28">
        <v>0</v>
      </c>
      <c r="P108" s="28">
        <f t="shared" si="18"/>
        <v>10</v>
      </c>
      <c r="Q108" s="22" t="str">
        <f t="shared" si="19"/>
        <v>No-cook</v>
      </c>
      <c r="R108" s="28">
        <v>4</v>
      </c>
      <c r="S108" s="22">
        <v>45</v>
      </c>
      <c r="T108" s="22">
        <v>1</v>
      </c>
      <c r="U108" s="29">
        <f>SUMIFS('Recipe Ingredients'!$I$2:$I$2500,'Recipe Ingredients'!$A$2:$A$2500,A108)/R108</f>
        <v>150.5</v>
      </c>
      <c r="V108" s="29">
        <f>SUMIFS('Recipe Ingredients'!$J$2:$J$2500,'Recipe Ingredients'!$A$2:$A$2500,A108)/R108</f>
        <v>1.2314999999999998</v>
      </c>
      <c r="W108" s="29">
        <f>SUMIFS('Recipe Ingredients'!$K$2:$K$2500,'Recipe Ingredients'!$A$2:$A$2500,A108)/R108</f>
        <v>15.060999999999998</v>
      </c>
      <c r="X108" s="29">
        <f>SUMIFS('Recipe Ingredients'!$L$2:$L$2500,'Recipe Ingredients'!$A$2:$A$2500,A108)/R108</f>
        <v>18.685000000000002</v>
      </c>
      <c r="Y108" s="29">
        <f>SUMIFS('Recipe Ingredients'!$M$2:$M$2500,'Recipe Ingredients'!$A$2:$A$2500,A108)/R108</f>
        <v>40.392250000000004</v>
      </c>
      <c r="Z108" s="29">
        <f>SUMIFS('Recipe Ingredients'!$N$2:$N$2500,'Recipe Ingredients'!$A$2:$A$2500,A108)/R108</f>
        <v>16.232500000000002</v>
      </c>
      <c r="AA108" s="29">
        <f>SUMIFS('Recipe Ingredients'!$O$2:$O$2500,'Recipe Ingredients'!$A$2:$A$2500,A108)/R108</f>
        <v>251.75249999999997</v>
      </c>
      <c r="AB108" s="30">
        <f>SUMIFS('Recipe Ingredients'!$P$2:$P$2500,'Recipe Ingredients'!$A$2:$A$2500,A108)/R108</f>
        <v>0.18482499999999999</v>
      </c>
      <c r="AC108" s="30">
        <f>SUMIFS('Recipe Ingredients'!$Q$2:$Q$2500,'Recipe Ingredients'!$A$2:$A$2500,A108)/R108</f>
        <v>9.174750000000001E-2</v>
      </c>
      <c r="AD108" s="29">
        <f>SUMIFS('Recipe Ingredients'!$R$2:$R$2500,'Recipe Ingredients'!$A$2:$A$2500,A108)/R108</f>
        <v>21.2925</v>
      </c>
      <c r="AE108" s="30">
        <f>SUMIFS('Recipe Ingredients'!$S$2:$S$2500,'Recipe Ingredients'!$A$2:$A$2500,A108)/R108</f>
        <v>0.60289999999999999</v>
      </c>
      <c r="AF108" s="31">
        <f>IFERROR(V108/'Start Here'!$C$10,0)</f>
        <v>4.9259999999999991E-2</v>
      </c>
      <c r="AG108" s="31">
        <f>IFERROR(W108/'Start Here'!$C$11,0)</f>
        <v>0.18826249999999997</v>
      </c>
      <c r="AH108" s="31">
        <f>IFERROR(X108/'Start Here'!$C$12,0)</f>
        <v>2.3356250000000002E-2</v>
      </c>
      <c r="AI108" s="31">
        <f>IFERROR(Y108/'Start Here'!$C$13,0)</f>
        <v>0.53856333333333339</v>
      </c>
      <c r="AJ108" s="31">
        <f>IFERROR(Z108/'Start Here'!$C$14,0)</f>
        <v>8.1162500000000012E-2</v>
      </c>
      <c r="AK108" s="31">
        <f>IFERROR(AA108/'Start Here'!$C$15,0)</f>
        <v>0.12587625</v>
      </c>
      <c r="AL108" s="31">
        <f>IFERROR(AB108/'Start Here'!$C$16,0)</f>
        <v>1.5402083333333332E-2</v>
      </c>
      <c r="AM108" s="31">
        <f>IFERROR(AC108/'Start Here'!$C$17,0)</f>
        <v>6.5533928571428576E-2</v>
      </c>
      <c r="AN108" s="31">
        <f>IFERROR(AD108/'Start Here'!$C$18,0)</f>
        <v>5.6780000000000004E-2</v>
      </c>
      <c r="AO108" s="31">
        <f>IFERROR(AE108/'Start Here'!$C$19,0)</f>
        <v>4.3064285714285715E-2</v>
      </c>
      <c r="AP108" s="22" t="str">
        <f t="shared" si="20"/>
        <v>Vitamin K</v>
      </c>
      <c r="AQ108" s="7" t="str">
        <f t="shared" si="21"/>
        <v>Best for better vitamin K intake: one serving gives about 54% of your daily vitamin K from the produce alone.</v>
      </c>
      <c r="AR108" s="7" t="str">
        <f t="shared" si="22"/>
        <v/>
      </c>
      <c r="AS108" s="7" t="s">
        <v>2196</v>
      </c>
      <c r="AT108" s="7" t="s">
        <v>2197</v>
      </c>
      <c r="AU108" s="28">
        <f>COUNTIFS('Recipe Ingredients'!$A$2:$A$2500,A108,'Recipe Ingredients'!$G$2:$G$2500,"Basket")</f>
        <v>6</v>
      </c>
      <c r="AV108" s="28">
        <f>COUNTIFS('Recipe Ingredients'!$A$2:$A$2500,A108,'Recipe Ingredients'!$G$2:$G$2500,"Protein")+COUNTIFS('Recipe Ingredients'!$A$2:$A$2500,A108,'Recipe Ingredients'!$G$2:$G$2500,"Pantry")</f>
        <v>3</v>
      </c>
      <c r="AW108" s="31">
        <f t="shared" si="23"/>
        <v>0.66666666666666663</v>
      </c>
      <c r="AX108" s="28" t="str">
        <f>IF(AW108&gt;='Start Here'!$C$6,"Yes","No")</f>
        <v>No</v>
      </c>
      <c r="AY108" s="7" t="s">
        <v>115</v>
      </c>
      <c r="AZ108" s="7" t="s">
        <v>2198</v>
      </c>
      <c r="BA108" s="7" t="s">
        <v>2199</v>
      </c>
      <c r="BB108" s="32" t="s">
        <v>964</v>
      </c>
    </row>
    <row r="109" spans="1:54" ht="96" customHeight="1" x14ac:dyDescent="0.25">
      <c r="A109" s="22" t="s">
        <v>2200</v>
      </c>
      <c r="B109" s="23" t="s">
        <v>2201</v>
      </c>
      <c r="C109" s="22" t="s">
        <v>1129</v>
      </c>
      <c r="D109" s="22" t="s">
        <v>1130</v>
      </c>
      <c r="E109" s="22" t="s">
        <v>1275</v>
      </c>
      <c r="F109" s="7" t="s">
        <v>2202</v>
      </c>
      <c r="G109" s="22" t="s">
        <v>1370</v>
      </c>
      <c r="H109" s="27" t="s">
        <v>2203</v>
      </c>
      <c r="I109" s="27" t="s">
        <v>2204</v>
      </c>
      <c r="J109" s="7" t="s">
        <v>2205</v>
      </c>
      <c r="K109" s="7" t="s">
        <v>2206</v>
      </c>
      <c r="L109" s="7" t="s">
        <v>2195</v>
      </c>
      <c r="M109" s="22" t="s">
        <v>1051</v>
      </c>
      <c r="N109" s="28">
        <v>15</v>
      </c>
      <c r="O109" s="28">
        <v>0</v>
      </c>
      <c r="P109" s="28">
        <f t="shared" si="18"/>
        <v>15</v>
      </c>
      <c r="Q109" s="22" t="str">
        <f t="shared" si="19"/>
        <v>No-cook</v>
      </c>
      <c r="R109" s="28">
        <v>4</v>
      </c>
      <c r="S109" s="22">
        <v>35</v>
      </c>
      <c r="T109" s="22">
        <v>1</v>
      </c>
      <c r="U109" s="29">
        <f>SUMIFS('Recipe Ingredients'!$I$2:$I$2500,'Recipe Ingredients'!$A$2:$A$2500,A109)/R109</f>
        <v>82.5</v>
      </c>
      <c r="V109" s="29">
        <f>SUMIFS('Recipe Ingredients'!$J$2:$J$2500,'Recipe Ingredients'!$A$2:$A$2500,A109)/R109</f>
        <v>0.53249999999999997</v>
      </c>
      <c r="W109" s="29">
        <f>SUMIFS('Recipe Ingredients'!$K$2:$K$2500,'Recipe Ingredients'!$A$2:$A$2500,A109)/R109</f>
        <v>11.6775</v>
      </c>
      <c r="X109" s="29">
        <f>SUMIFS('Recipe Ingredients'!$L$2:$L$2500,'Recipe Ingredients'!$A$2:$A$2500,A109)/R109</f>
        <v>15.525</v>
      </c>
      <c r="Y109" s="29">
        <f>SUMIFS('Recipe Ingredients'!$M$2:$M$2500,'Recipe Ingredients'!$A$2:$A$2500,A109)/R109</f>
        <v>12.6675</v>
      </c>
      <c r="Z109" s="29">
        <f>SUMIFS('Recipe Ingredients'!$N$2:$N$2500,'Recipe Ingredients'!$A$2:$A$2500,A109)/R109</f>
        <v>8.6999999999999993</v>
      </c>
      <c r="AA109" s="29">
        <f>SUMIFS('Recipe Ingredients'!$O$2:$O$2500,'Recipe Ingredients'!$A$2:$A$2500,A109)/R109</f>
        <v>126.075</v>
      </c>
      <c r="AB109" s="30">
        <f>SUMIFS('Recipe Ingredients'!$P$2:$P$2500,'Recipe Ingredients'!$A$2:$A$2500,A109)/R109</f>
        <v>0.14100000000000001</v>
      </c>
      <c r="AC109" s="30">
        <f>SUMIFS('Recipe Ingredients'!$Q$2:$Q$2500,'Recipe Ingredients'!$A$2:$A$2500,A109)/R109</f>
        <v>5.1824999999999996E-2</v>
      </c>
      <c r="AD109" s="29">
        <f>SUMIFS('Recipe Ingredients'!$R$2:$R$2500,'Recipe Ingredients'!$A$2:$A$2500,A109)/R109</f>
        <v>10.65</v>
      </c>
      <c r="AE109" s="30">
        <f>SUMIFS('Recipe Ingredients'!$S$2:$S$2500,'Recipe Ingredients'!$A$2:$A$2500,A109)/R109</f>
        <v>0.24225000000000005</v>
      </c>
      <c r="AF109" s="31">
        <f>IFERROR(V109/'Start Here'!$C$10,0)</f>
        <v>2.1299999999999999E-2</v>
      </c>
      <c r="AG109" s="31">
        <f>IFERROR(W109/'Start Here'!$C$11,0)</f>
        <v>0.14596875000000001</v>
      </c>
      <c r="AH109" s="31">
        <f>IFERROR(X109/'Start Here'!$C$12,0)</f>
        <v>1.940625E-2</v>
      </c>
      <c r="AI109" s="31">
        <f>IFERROR(Y109/'Start Here'!$C$13,0)</f>
        <v>0.16889999999999999</v>
      </c>
      <c r="AJ109" s="31">
        <f>IFERROR(Z109/'Start Here'!$C$14,0)</f>
        <v>4.3499999999999997E-2</v>
      </c>
      <c r="AK109" s="31">
        <f>IFERROR(AA109/'Start Here'!$C$15,0)</f>
        <v>6.3037499999999996E-2</v>
      </c>
      <c r="AL109" s="31">
        <f>IFERROR(AB109/'Start Here'!$C$16,0)</f>
        <v>1.1750000000000002E-2</v>
      </c>
      <c r="AM109" s="31">
        <f>IFERROR(AC109/'Start Here'!$C$17,0)</f>
        <v>3.7017857142857144E-2</v>
      </c>
      <c r="AN109" s="31">
        <f>IFERROR(AD109/'Start Here'!$C$18,0)</f>
        <v>2.8400000000000002E-2</v>
      </c>
      <c r="AO109" s="31">
        <f>IFERROR(AE109/'Start Here'!$C$19,0)</f>
        <v>1.7303571428571432E-2</v>
      </c>
      <c r="AP109" s="22" t="str">
        <f t="shared" si="20"/>
        <v>Vitamin K</v>
      </c>
      <c r="AQ109" s="7" t="str">
        <f t="shared" si="21"/>
        <v>Best for better vitamin K intake: one serving gives about 17% of your daily vitamin K from the produce alone.</v>
      </c>
      <c r="AR109" s="7" t="str">
        <f t="shared" si="22"/>
        <v/>
      </c>
      <c r="AS109" s="7" t="s">
        <v>2207</v>
      </c>
      <c r="AT109" s="7" t="s">
        <v>2208</v>
      </c>
      <c r="AU109" s="28">
        <f>COUNTIFS('Recipe Ingredients'!$A$2:$A$2500,A109,'Recipe Ingredients'!$G$2:$G$2500,"Basket")</f>
        <v>2</v>
      </c>
      <c r="AV109" s="28">
        <f>COUNTIFS('Recipe Ingredients'!$A$2:$A$2500,A109,'Recipe Ingredients'!$G$2:$G$2500,"Protein")+COUNTIFS('Recipe Ingredients'!$A$2:$A$2500,A109,'Recipe Ingredients'!$G$2:$G$2500,"Pantry")</f>
        <v>3</v>
      </c>
      <c r="AW109" s="31">
        <f t="shared" si="23"/>
        <v>0.4</v>
      </c>
      <c r="AX109" s="28" t="str">
        <f>IF(AW109&gt;='Start Here'!$C$6,"Yes","No")</f>
        <v>No</v>
      </c>
      <c r="AY109" s="7" t="s">
        <v>115</v>
      </c>
      <c r="AZ109" s="7" t="s">
        <v>2209</v>
      </c>
      <c r="BA109" s="7" t="s">
        <v>2210</v>
      </c>
      <c r="BB109" s="32" t="s">
        <v>964</v>
      </c>
    </row>
    <row r="110" spans="1:54" ht="96" customHeight="1" x14ac:dyDescent="0.25">
      <c r="A110" s="22" t="s">
        <v>2211</v>
      </c>
      <c r="B110" s="23" t="s">
        <v>2212</v>
      </c>
      <c r="C110" s="22" t="s">
        <v>1129</v>
      </c>
      <c r="D110" s="22" t="s">
        <v>1130</v>
      </c>
      <c r="E110" s="22" t="s">
        <v>1275</v>
      </c>
      <c r="F110" s="7" t="s">
        <v>2213</v>
      </c>
      <c r="G110" s="22" t="s">
        <v>2214</v>
      </c>
      <c r="H110" s="27" t="s">
        <v>2215</v>
      </c>
      <c r="I110" s="27" t="s">
        <v>2216</v>
      </c>
      <c r="J110" s="7" t="s">
        <v>2217</v>
      </c>
      <c r="K110" s="7" t="s">
        <v>2218</v>
      </c>
      <c r="L110" s="7" t="s">
        <v>974</v>
      </c>
      <c r="M110" s="22" t="s">
        <v>1051</v>
      </c>
      <c r="N110" s="28">
        <v>10</v>
      </c>
      <c r="O110" s="28">
        <v>0</v>
      </c>
      <c r="P110" s="28">
        <f t="shared" si="18"/>
        <v>10</v>
      </c>
      <c r="Q110" s="22" t="str">
        <f t="shared" si="19"/>
        <v>No-cook</v>
      </c>
      <c r="R110" s="28">
        <v>2</v>
      </c>
      <c r="S110" s="22">
        <v>40</v>
      </c>
      <c r="T110" s="22">
        <v>1</v>
      </c>
      <c r="U110" s="29">
        <f>SUMIFS('Recipe Ingredients'!$I$2:$I$2500,'Recipe Ingredients'!$A$2:$A$2500,A110)/R110</f>
        <v>116</v>
      </c>
      <c r="V110" s="29">
        <f>SUMIFS('Recipe Ingredients'!$J$2:$J$2500,'Recipe Ingredients'!$A$2:$A$2500,A110)/R110</f>
        <v>1.8940000000000001</v>
      </c>
      <c r="W110" s="29">
        <f>SUMIFS('Recipe Ingredients'!$K$2:$K$2500,'Recipe Ingredients'!$A$2:$A$2500,A110)/R110</f>
        <v>31.168500000000002</v>
      </c>
      <c r="X110" s="29">
        <f>SUMIFS('Recipe Ingredients'!$L$2:$L$2500,'Recipe Ingredients'!$A$2:$A$2500,A110)/R110</f>
        <v>93.36999999999999</v>
      </c>
      <c r="Y110" s="29">
        <f>SUMIFS('Recipe Ingredients'!$M$2:$M$2500,'Recipe Ingredients'!$A$2:$A$2500,A110)/R110</f>
        <v>26.762999999999998</v>
      </c>
      <c r="Z110" s="29">
        <f>SUMIFS('Recipe Ingredients'!$N$2:$N$2500,'Recipe Ingredients'!$A$2:$A$2500,A110)/R110</f>
        <v>23.66</v>
      </c>
      <c r="AA110" s="29">
        <f>SUMIFS('Recipe Ingredients'!$O$2:$O$2500,'Recipe Ingredients'!$A$2:$A$2500,A110)/R110</f>
        <v>245.21999999999997</v>
      </c>
      <c r="AB110" s="30">
        <f>SUMIFS('Recipe Ingredients'!$P$2:$P$2500,'Recipe Ingredients'!$A$2:$A$2500,A110)/R110</f>
        <v>0.38045000000000001</v>
      </c>
      <c r="AC110" s="30">
        <f>SUMIFS('Recipe Ingredients'!$Q$2:$Q$2500,'Recipe Ingredients'!$A$2:$A$2500,A110)/R110</f>
        <v>0.14489000000000002</v>
      </c>
      <c r="AD110" s="29">
        <f>SUMIFS('Recipe Ingredients'!$R$2:$R$2500,'Recipe Ingredients'!$A$2:$A$2500,A110)/R110</f>
        <v>15.670000000000002</v>
      </c>
      <c r="AE110" s="30">
        <f>SUMIFS('Recipe Ingredients'!$S$2:$S$2500,'Recipe Ingredients'!$A$2:$A$2500,A110)/R110</f>
        <v>0.70179999999999998</v>
      </c>
      <c r="AF110" s="31">
        <f>IFERROR(V110/'Start Here'!$C$10,0)</f>
        <v>7.5760000000000008E-2</v>
      </c>
      <c r="AG110" s="31">
        <f>IFERROR(W110/'Start Here'!$C$11,0)</f>
        <v>0.38960625000000004</v>
      </c>
      <c r="AH110" s="31">
        <f>IFERROR(X110/'Start Here'!$C$12,0)</f>
        <v>0.11671249999999998</v>
      </c>
      <c r="AI110" s="31">
        <f>IFERROR(Y110/'Start Here'!$C$13,0)</f>
        <v>0.35683999999999999</v>
      </c>
      <c r="AJ110" s="31">
        <f>IFERROR(Z110/'Start Here'!$C$14,0)</f>
        <v>0.1183</v>
      </c>
      <c r="AK110" s="31">
        <f>IFERROR(AA110/'Start Here'!$C$15,0)</f>
        <v>0.12260999999999998</v>
      </c>
      <c r="AL110" s="31">
        <f>IFERROR(AB110/'Start Here'!$C$16,0)</f>
        <v>3.1704166666666665E-2</v>
      </c>
      <c r="AM110" s="31">
        <f>IFERROR(AC110/'Start Here'!$C$17,0)</f>
        <v>0.10349285714285716</v>
      </c>
      <c r="AN110" s="31">
        <f>IFERROR(AD110/'Start Here'!$C$18,0)</f>
        <v>4.1786666666666673E-2</v>
      </c>
      <c r="AO110" s="31">
        <f>IFERROR(AE110/'Start Here'!$C$19,0)</f>
        <v>5.0128571428571425E-2</v>
      </c>
      <c r="AP110" s="22" t="str">
        <f t="shared" si="20"/>
        <v>Vitamin C</v>
      </c>
      <c r="AQ110" s="7" t="str">
        <f t="shared" si="21"/>
        <v>Best for better vitamin C intake: one serving gives about 39% of your daily vitamin C from the produce alone.</v>
      </c>
      <c r="AR110" s="7" t="str">
        <f t="shared" si="22"/>
        <v>Vitamin K (36%)</v>
      </c>
      <c r="AS110" s="7" t="s">
        <v>1875</v>
      </c>
      <c r="AT110" s="7" t="s">
        <v>2219</v>
      </c>
      <c r="AU110" s="28">
        <f>COUNTIFS('Recipe Ingredients'!$A$2:$A$2500,A110,'Recipe Ingredients'!$G$2:$G$2500,"Basket")</f>
        <v>9</v>
      </c>
      <c r="AV110" s="28">
        <f>COUNTIFS('Recipe Ingredients'!$A$2:$A$2500,A110,'Recipe Ingredients'!$G$2:$G$2500,"Protein")+COUNTIFS('Recipe Ingredients'!$A$2:$A$2500,A110,'Recipe Ingredients'!$G$2:$G$2500,"Pantry")</f>
        <v>1</v>
      </c>
      <c r="AW110" s="31">
        <f t="shared" si="23"/>
        <v>0.9</v>
      </c>
      <c r="AX110" s="28" t="str">
        <f>IF(AW110&gt;='Start Here'!$C$6,"Yes","No")</f>
        <v>Yes</v>
      </c>
      <c r="AY110" s="7" t="s">
        <v>115</v>
      </c>
      <c r="AZ110" s="7" t="s">
        <v>2220</v>
      </c>
      <c r="BA110" s="7" t="s">
        <v>2221</v>
      </c>
      <c r="BB110" s="32" t="s">
        <v>964</v>
      </c>
    </row>
    <row r="111" spans="1:54" ht="96" customHeight="1" x14ac:dyDescent="0.25">
      <c r="A111" s="22" t="s">
        <v>2222</v>
      </c>
      <c r="B111" s="23" t="s">
        <v>2223</v>
      </c>
      <c r="C111" s="22" t="s">
        <v>1129</v>
      </c>
      <c r="D111" s="22" t="s">
        <v>1130</v>
      </c>
      <c r="E111" s="22" t="s">
        <v>1275</v>
      </c>
      <c r="F111" s="7" t="s">
        <v>2224</v>
      </c>
      <c r="G111" s="22" t="s">
        <v>1744</v>
      </c>
      <c r="H111" s="27" t="s">
        <v>2225</v>
      </c>
      <c r="I111" s="27" t="s">
        <v>2226</v>
      </c>
      <c r="J111" s="7" t="s">
        <v>2227</v>
      </c>
      <c r="K111" s="7" t="s">
        <v>2228</v>
      </c>
      <c r="L111" s="7" t="s">
        <v>974</v>
      </c>
      <c r="M111" s="22" t="s">
        <v>1051</v>
      </c>
      <c r="N111" s="28">
        <v>10</v>
      </c>
      <c r="O111" s="28">
        <v>0</v>
      </c>
      <c r="P111" s="28">
        <f t="shared" si="18"/>
        <v>10</v>
      </c>
      <c r="Q111" s="22" t="str">
        <f t="shared" si="19"/>
        <v>No-cook</v>
      </c>
      <c r="R111" s="28">
        <v>4</v>
      </c>
      <c r="S111" s="22">
        <v>80</v>
      </c>
      <c r="T111" s="22">
        <v>1</v>
      </c>
      <c r="U111" s="29">
        <f>SUMIFS('Recipe Ingredients'!$I$2:$I$2500,'Recipe Ingredients'!$A$2:$A$2500,A111)/R111</f>
        <v>126.5</v>
      </c>
      <c r="V111" s="29">
        <f>SUMIFS('Recipe Ingredients'!$J$2:$J$2500,'Recipe Ingredients'!$A$2:$A$2500,A111)/R111</f>
        <v>1.8454999999999999</v>
      </c>
      <c r="W111" s="29">
        <f>SUMIFS('Recipe Ingredients'!$K$2:$K$2500,'Recipe Ingredients'!$A$2:$A$2500,A111)/R111</f>
        <v>35.612500000000004</v>
      </c>
      <c r="X111" s="29">
        <f>SUMIFS('Recipe Ingredients'!$L$2:$L$2500,'Recipe Ingredients'!$A$2:$A$2500,A111)/R111</f>
        <v>64.422500000000014</v>
      </c>
      <c r="Y111" s="29">
        <f>SUMIFS('Recipe Ingredients'!$M$2:$M$2500,'Recipe Ingredients'!$A$2:$A$2500,A111)/R111</f>
        <v>157.221</v>
      </c>
      <c r="Z111" s="29">
        <f>SUMIFS('Recipe Ingredients'!$N$2:$N$2500,'Recipe Ingredients'!$A$2:$A$2500,A111)/R111</f>
        <v>32.072500000000005</v>
      </c>
      <c r="AA111" s="29">
        <f>SUMIFS('Recipe Ingredients'!$O$2:$O$2500,'Recipe Ingredients'!$A$2:$A$2500,A111)/R111</f>
        <v>281.05500000000001</v>
      </c>
      <c r="AB111" s="30">
        <f>SUMIFS('Recipe Ingredients'!$P$2:$P$2500,'Recipe Ingredients'!$A$2:$A$2500,A111)/R111</f>
        <v>0.44685000000000008</v>
      </c>
      <c r="AC111" s="30">
        <f>SUMIFS('Recipe Ingredients'!$Q$2:$Q$2500,'Recipe Ingredients'!$A$2:$A$2500,A111)/R111</f>
        <v>0.10758249999999998</v>
      </c>
      <c r="AD111" s="29">
        <f>SUMIFS('Recipe Ingredients'!$R$2:$R$2500,'Recipe Ingredients'!$A$2:$A$2500,A111)/R111</f>
        <v>19.015000000000001</v>
      </c>
      <c r="AE111" s="30">
        <f>SUMIFS('Recipe Ingredients'!$S$2:$S$2500,'Recipe Ingredients'!$A$2:$A$2500,A111)/R111</f>
        <v>1.1346000000000001</v>
      </c>
      <c r="AF111" s="31">
        <f>IFERROR(V111/'Start Here'!$C$10,0)</f>
        <v>7.3819999999999997E-2</v>
      </c>
      <c r="AG111" s="31">
        <f>IFERROR(W111/'Start Here'!$C$11,0)</f>
        <v>0.44515625000000003</v>
      </c>
      <c r="AH111" s="31">
        <f>IFERROR(X111/'Start Here'!$C$12,0)</f>
        <v>8.052812500000002E-2</v>
      </c>
      <c r="AI111" s="31">
        <f>IFERROR(Y111/'Start Here'!$C$13,0)</f>
        <v>2.0962800000000001</v>
      </c>
      <c r="AJ111" s="31">
        <f>IFERROR(Z111/'Start Here'!$C$14,0)</f>
        <v>0.16036250000000002</v>
      </c>
      <c r="AK111" s="31">
        <f>IFERROR(AA111/'Start Here'!$C$15,0)</f>
        <v>0.1405275</v>
      </c>
      <c r="AL111" s="31">
        <f>IFERROR(AB111/'Start Here'!$C$16,0)</f>
        <v>3.7237500000000007E-2</v>
      </c>
      <c r="AM111" s="31">
        <f>IFERROR(AC111/'Start Here'!$C$17,0)</f>
        <v>7.6844642857142847E-2</v>
      </c>
      <c r="AN111" s="31">
        <f>IFERROR(AD111/'Start Here'!$C$18,0)</f>
        <v>5.0706666666666671E-2</v>
      </c>
      <c r="AO111" s="31">
        <f>IFERROR(AE111/'Start Here'!$C$19,0)</f>
        <v>8.1042857142857153E-2</v>
      </c>
      <c r="AP111" s="22" t="str">
        <f t="shared" si="20"/>
        <v>Vitamin K</v>
      </c>
      <c r="AQ111" s="7" t="str">
        <f t="shared" si="21"/>
        <v>Best for better vitamin K intake: one serving gives about 210% of your daily vitamin K from the produce alone.</v>
      </c>
      <c r="AR111" s="7" t="str">
        <f t="shared" si="22"/>
        <v>Vitamin C (45%)</v>
      </c>
      <c r="AS111" s="7" t="s">
        <v>2172</v>
      </c>
      <c r="AT111" s="7" t="s">
        <v>2229</v>
      </c>
      <c r="AU111" s="28">
        <f>COUNTIFS('Recipe Ingredients'!$A$2:$A$2500,A111,'Recipe Ingredients'!$G$2:$G$2500,"Basket")</f>
        <v>7</v>
      </c>
      <c r="AV111" s="28">
        <f>COUNTIFS('Recipe Ingredients'!$A$2:$A$2500,A111,'Recipe Ingredients'!$G$2:$G$2500,"Protein")+COUNTIFS('Recipe Ingredients'!$A$2:$A$2500,A111,'Recipe Ingredients'!$G$2:$G$2500,"Pantry")</f>
        <v>0</v>
      </c>
      <c r="AW111" s="31">
        <f t="shared" si="23"/>
        <v>1</v>
      </c>
      <c r="AX111" s="28" t="str">
        <f>IF(AW111&gt;='Start Here'!$C$6,"Yes","No")</f>
        <v>Yes</v>
      </c>
      <c r="AY111" s="7" t="s">
        <v>115</v>
      </c>
      <c r="AZ111" s="7" t="s">
        <v>2230</v>
      </c>
      <c r="BA111" s="7" t="s">
        <v>2231</v>
      </c>
      <c r="BB111" s="32" t="s">
        <v>964</v>
      </c>
    </row>
    <row r="112" spans="1:54" ht="96" customHeight="1" x14ac:dyDescent="0.25">
      <c r="A112" s="22" t="s">
        <v>2232</v>
      </c>
      <c r="B112" s="23" t="s">
        <v>2233</v>
      </c>
      <c r="C112" s="22" t="s">
        <v>1129</v>
      </c>
      <c r="D112" s="22" t="s">
        <v>1130</v>
      </c>
      <c r="E112" s="22" t="s">
        <v>1322</v>
      </c>
      <c r="F112" s="7" t="s">
        <v>2234</v>
      </c>
      <c r="G112" s="22" t="s">
        <v>1005</v>
      </c>
      <c r="H112" s="27" t="s">
        <v>2235</v>
      </c>
      <c r="I112" s="27" t="s">
        <v>2236</v>
      </c>
      <c r="J112" s="7" t="s">
        <v>2237</v>
      </c>
      <c r="K112" s="7" t="s">
        <v>2238</v>
      </c>
      <c r="L112" s="7" t="s">
        <v>157</v>
      </c>
      <c r="M112" s="22" t="s">
        <v>1051</v>
      </c>
      <c r="N112" s="28">
        <v>15</v>
      </c>
      <c r="O112" s="28">
        <v>0</v>
      </c>
      <c r="P112" s="28">
        <f t="shared" si="18"/>
        <v>15</v>
      </c>
      <c r="Q112" s="22" t="str">
        <f t="shared" si="19"/>
        <v>No-cook</v>
      </c>
      <c r="R112" s="28">
        <v>4</v>
      </c>
      <c r="S112" s="22">
        <v>90</v>
      </c>
      <c r="T112" s="22">
        <v>2</v>
      </c>
      <c r="U112" s="29">
        <f>SUMIFS('Recipe Ingredients'!$I$2:$I$2500,'Recipe Ingredients'!$A$2:$A$2500,A112)/R112</f>
        <v>234</v>
      </c>
      <c r="V112" s="29">
        <f>SUMIFS('Recipe Ingredients'!$J$2:$J$2500,'Recipe Ingredients'!$A$2:$A$2500,A112)/R112</f>
        <v>2.8515000000000001</v>
      </c>
      <c r="W112" s="29">
        <f>SUMIFS('Recipe Ingredients'!$K$2:$K$2500,'Recipe Ingredients'!$A$2:$A$2500,A112)/R112</f>
        <v>73.795000000000002</v>
      </c>
      <c r="X112" s="29">
        <f>SUMIFS('Recipe Ingredients'!$L$2:$L$2500,'Recipe Ingredients'!$A$2:$A$2500,A112)/R112</f>
        <v>277.63</v>
      </c>
      <c r="Y112" s="29">
        <f>SUMIFS('Recipe Ingredients'!$M$2:$M$2500,'Recipe Ingredients'!$A$2:$A$2500,A112)/R112</f>
        <v>8.8549999999999986</v>
      </c>
      <c r="Z112" s="29">
        <f>SUMIFS('Recipe Ingredients'!$N$2:$N$2500,'Recipe Ingredients'!$A$2:$A$2500,A112)/R112</f>
        <v>42.675000000000004</v>
      </c>
      <c r="AA112" s="29">
        <f>SUMIFS('Recipe Ingredients'!$O$2:$O$2500,'Recipe Ingredients'!$A$2:$A$2500,A112)/R112</f>
        <v>531.4</v>
      </c>
      <c r="AB112" s="30">
        <f>SUMIFS('Recipe Ingredients'!$P$2:$P$2500,'Recipe Ingredients'!$A$2:$A$2500,A112)/R112</f>
        <v>0.18074999999999999</v>
      </c>
      <c r="AC112" s="30">
        <f>SUMIFS('Recipe Ingredients'!$Q$2:$Q$2500,'Recipe Ingredients'!$A$2:$A$2500,A112)/R112</f>
        <v>0.16781499999999999</v>
      </c>
      <c r="AD112" s="29">
        <f>SUMIFS('Recipe Ingredients'!$R$2:$R$2500,'Recipe Ingredients'!$A$2:$A$2500,A112)/R112</f>
        <v>27.425000000000001</v>
      </c>
      <c r="AE112" s="30">
        <f>SUMIFS('Recipe Ingredients'!$S$2:$S$2500,'Recipe Ingredients'!$A$2:$A$2500,A112)/R112</f>
        <v>0.89395000000000002</v>
      </c>
      <c r="AF112" s="31">
        <f>IFERROR(V112/'Start Here'!$C$10,0)</f>
        <v>0.11406000000000001</v>
      </c>
      <c r="AG112" s="31">
        <f>IFERROR(W112/'Start Here'!$C$11,0)</f>
        <v>0.92243750000000002</v>
      </c>
      <c r="AH112" s="31">
        <f>IFERROR(X112/'Start Here'!$C$12,0)</f>
        <v>0.3470375</v>
      </c>
      <c r="AI112" s="31">
        <f>IFERROR(Y112/'Start Here'!$C$13,0)</f>
        <v>0.11806666666666665</v>
      </c>
      <c r="AJ112" s="31">
        <f>IFERROR(Z112/'Start Here'!$C$14,0)</f>
        <v>0.21337500000000001</v>
      </c>
      <c r="AK112" s="31">
        <f>IFERROR(AA112/'Start Here'!$C$15,0)</f>
        <v>0.26569999999999999</v>
      </c>
      <c r="AL112" s="31">
        <f>IFERROR(AB112/'Start Here'!$C$16,0)</f>
        <v>1.50625E-2</v>
      </c>
      <c r="AM112" s="31">
        <f>IFERROR(AC112/'Start Here'!$C$17,0)</f>
        <v>0.11986785714285715</v>
      </c>
      <c r="AN112" s="31">
        <f>IFERROR(AD112/'Start Here'!$C$18,0)</f>
        <v>7.3133333333333342E-2</v>
      </c>
      <c r="AO112" s="31">
        <f>IFERROR(AE112/'Start Here'!$C$19,0)</f>
        <v>6.3853571428571426E-2</v>
      </c>
      <c r="AP112" s="22" t="str">
        <f t="shared" si="20"/>
        <v>Vitamin C</v>
      </c>
      <c r="AQ112" s="7" t="str">
        <f t="shared" si="21"/>
        <v>Best for better vitamin C intake: one serving gives about 92% of your daily vitamin C from the produce alone.</v>
      </c>
      <c r="AR112" s="7" t="str">
        <f t="shared" si="22"/>
        <v>Vitamin A (35%), Potassium (27%)</v>
      </c>
      <c r="AS112" s="7" t="s">
        <v>2239</v>
      </c>
      <c r="AT112" s="7" t="s">
        <v>2240</v>
      </c>
      <c r="AU112" s="28">
        <f>COUNTIFS('Recipe Ingredients'!$A$2:$A$2500,A112,'Recipe Ingredients'!$G$2:$G$2500,"Basket")</f>
        <v>6</v>
      </c>
      <c r="AV112" s="28">
        <f>COUNTIFS('Recipe Ingredients'!$A$2:$A$2500,A112,'Recipe Ingredients'!$G$2:$G$2500,"Protein")+COUNTIFS('Recipe Ingredients'!$A$2:$A$2500,A112,'Recipe Ingredients'!$G$2:$G$2500,"Pantry")</f>
        <v>0</v>
      </c>
      <c r="AW112" s="31">
        <f t="shared" si="23"/>
        <v>1</v>
      </c>
      <c r="AX112" s="28" t="str">
        <f>IF(AW112&gt;='Start Here'!$C$6,"Yes","No")</f>
        <v>Yes</v>
      </c>
      <c r="AY112" s="7" t="s">
        <v>115</v>
      </c>
      <c r="AZ112" s="7" t="s">
        <v>2241</v>
      </c>
      <c r="BA112" s="7" t="s">
        <v>2242</v>
      </c>
      <c r="BB112" s="32" t="s">
        <v>964</v>
      </c>
    </row>
    <row r="113" spans="1:54" ht="96" customHeight="1" x14ac:dyDescent="0.25">
      <c r="A113" s="22" t="s">
        <v>2243</v>
      </c>
      <c r="B113" s="23" t="s">
        <v>2244</v>
      </c>
      <c r="C113" s="22" t="s">
        <v>1129</v>
      </c>
      <c r="D113" s="22" t="s">
        <v>1321</v>
      </c>
      <c r="E113" s="22" t="s">
        <v>1275</v>
      </c>
      <c r="F113" s="7" t="s">
        <v>2245</v>
      </c>
      <c r="G113" s="22" t="s">
        <v>1005</v>
      </c>
      <c r="H113" s="27" t="s">
        <v>2246</v>
      </c>
      <c r="I113" s="27" t="s">
        <v>2247</v>
      </c>
      <c r="J113" s="7" t="s">
        <v>2248</v>
      </c>
      <c r="K113" s="7" t="s">
        <v>2249</v>
      </c>
      <c r="L113" s="7" t="s">
        <v>1922</v>
      </c>
      <c r="M113" s="22" t="s">
        <v>1051</v>
      </c>
      <c r="N113" s="28">
        <v>2</v>
      </c>
      <c r="O113" s="28">
        <v>4</v>
      </c>
      <c r="P113" s="28">
        <f t="shared" si="18"/>
        <v>6</v>
      </c>
      <c r="Q113" s="22" t="str">
        <f t="shared" si="19"/>
        <v>Quick</v>
      </c>
      <c r="R113" s="28">
        <v>4</v>
      </c>
      <c r="S113" s="22">
        <v>45</v>
      </c>
      <c r="T113" s="22">
        <v>2</v>
      </c>
      <c r="U113" s="29">
        <f>SUMIFS('Recipe Ingredients'!$I$2:$I$2500,'Recipe Ingredients'!$A$2:$A$2500,A113)/R113</f>
        <v>85</v>
      </c>
      <c r="V113" s="29">
        <f>SUMIFS('Recipe Ingredients'!$J$2:$J$2500,'Recipe Ingredients'!$A$2:$A$2500,A113)/R113</f>
        <v>1.9195</v>
      </c>
      <c r="W113" s="29">
        <f>SUMIFS('Recipe Ingredients'!$K$2:$K$2500,'Recipe Ingredients'!$A$2:$A$2500,A113)/R113</f>
        <v>24.016500000000001</v>
      </c>
      <c r="X113" s="29">
        <f>SUMIFS('Recipe Ingredients'!$L$2:$L$2500,'Recipe Ingredients'!$A$2:$A$2500,A113)/R113</f>
        <v>351.92</v>
      </c>
      <c r="Y113" s="29">
        <f>SUMIFS('Recipe Ingredients'!$M$2:$M$2500,'Recipe Ingredients'!$A$2:$A$2500,A113)/R113</f>
        <v>362.25150000000002</v>
      </c>
      <c r="Z113" s="29">
        <f>SUMIFS('Recipe Ingredients'!$N$2:$N$2500,'Recipe Ingredients'!$A$2:$A$2500,A113)/R113</f>
        <v>146.22499999999999</v>
      </c>
      <c r="AA113" s="29">
        <f>SUMIFS('Recipe Ingredients'!$O$2:$O$2500,'Recipe Ingredients'!$A$2:$A$2500,A113)/R113</f>
        <v>433.185</v>
      </c>
      <c r="AB113" s="30">
        <f>SUMIFS('Recipe Ingredients'!$P$2:$P$2500,'Recipe Ingredients'!$A$2:$A$2500,A113)/R113</f>
        <v>1.5423999999999998</v>
      </c>
      <c r="AC113" s="30">
        <f>SUMIFS('Recipe Ingredients'!$Q$2:$Q$2500,'Recipe Ingredients'!$A$2:$A$2500,A113)/R113</f>
        <v>0.16843</v>
      </c>
      <c r="AD113" s="29">
        <f>SUMIFS('Recipe Ingredients'!$R$2:$R$2500,'Recipe Ingredients'!$A$2:$A$2500,A113)/R113</f>
        <v>60.134999999999998</v>
      </c>
      <c r="AE113" s="30">
        <f>SUMIFS('Recipe Ingredients'!$S$2:$S$2500,'Recipe Ingredients'!$A$2:$A$2500,A113)/R113</f>
        <v>2.1090000000000004</v>
      </c>
      <c r="AF113" s="31">
        <f>IFERROR(V113/'Start Here'!$C$10,0)</f>
        <v>7.6780000000000001E-2</v>
      </c>
      <c r="AG113" s="31">
        <f>IFERROR(W113/'Start Here'!$C$11,0)</f>
        <v>0.30020625000000001</v>
      </c>
      <c r="AH113" s="31">
        <f>IFERROR(X113/'Start Here'!$C$12,0)</f>
        <v>0.43990000000000001</v>
      </c>
      <c r="AI113" s="31">
        <f>IFERROR(Y113/'Start Here'!$C$13,0)</f>
        <v>4.8300200000000002</v>
      </c>
      <c r="AJ113" s="31">
        <f>IFERROR(Z113/'Start Here'!$C$14,0)</f>
        <v>0.73112500000000002</v>
      </c>
      <c r="AK113" s="31">
        <f>IFERROR(AA113/'Start Here'!$C$15,0)</f>
        <v>0.21659249999999999</v>
      </c>
      <c r="AL113" s="31">
        <f>IFERROR(AB113/'Start Here'!$C$16,0)</f>
        <v>0.12853333333333331</v>
      </c>
      <c r="AM113" s="31">
        <f>IFERROR(AC113/'Start Here'!$C$17,0)</f>
        <v>0.12030714285714286</v>
      </c>
      <c r="AN113" s="31">
        <f>IFERROR(AD113/'Start Here'!$C$18,0)</f>
        <v>0.16036</v>
      </c>
      <c r="AO113" s="31">
        <f>IFERROR(AE113/'Start Here'!$C$19,0)</f>
        <v>0.15064285714285716</v>
      </c>
      <c r="AP113" s="22" t="str">
        <f t="shared" si="20"/>
        <v>Vitamin K</v>
      </c>
      <c r="AQ113" s="7" t="str">
        <f t="shared" si="21"/>
        <v>Best for better vitamin K intake: one serving gives about 483% of your daily vitamin K from the produce alone.</v>
      </c>
      <c r="AR113" s="7" t="str">
        <f t="shared" si="22"/>
        <v>Vitamin C (30%), Vitamin A (44%), Folate (73%)</v>
      </c>
      <c r="AS113" s="7" t="s">
        <v>2250</v>
      </c>
      <c r="AT113" s="7" t="s">
        <v>2251</v>
      </c>
      <c r="AU113" s="28">
        <f>COUNTIFS('Recipe Ingredients'!$A$2:$A$2500,A113,'Recipe Ingredients'!$G$2:$G$2500,"Basket")</f>
        <v>3</v>
      </c>
      <c r="AV113" s="28">
        <f>COUNTIFS('Recipe Ingredients'!$A$2:$A$2500,A113,'Recipe Ingredients'!$G$2:$G$2500,"Protein")+COUNTIFS('Recipe Ingredients'!$A$2:$A$2500,A113,'Recipe Ingredients'!$G$2:$G$2500,"Pantry")</f>
        <v>0</v>
      </c>
      <c r="AW113" s="31">
        <f t="shared" si="23"/>
        <v>1</v>
      </c>
      <c r="AX113" s="28" t="str">
        <f>IF(AW113&gt;='Start Here'!$C$6,"Yes","No")</f>
        <v>Yes</v>
      </c>
      <c r="AY113" s="7" t="s">
        <v>115</v>
      </c>
      <c r="AZ113" s="7" t="s">
        <v>2252</v>
      </c>
      <c r="BA113" s="7" t="s">
        <v>2253</v>
      </c>
      <c r="BB113" s="32" t="s">
        <v>964</v>
      </c>
    </row>
    <row r="114" spans="1:54" ht="96" customHeight="1" x14ac:dyDescent="0.25">
      <c r="A114" s="22" t="s">
        <v>2254</v>
      </c>
      <c r="B114" s="23" t="s">
        <v>2255</v>
      </c>
      <c r="C114" s="22" t="s">
        <v>1129</v>
      </c>
      <c r="D114" s="22" t="s">
        <v>1321</v>
      </c>
      <c r="E114" s="22" t="s">
        <v>1275</v>
      </c>
      <c r="F114" s="7" t="s">
        <v>2256</v>
      </c>
      <c r="G114" s="22" t="s">
        <v>1005</v>
      </c>
      <c r="H114" s="27" t="s">
        <v>2257</v>
      </c>
      <c r="I114" s="27" t="s">
        <v>2258</v>
      </c>
      <c r="J114" s="7" t="s">
        <v>2259</v>
      </c>
      <c r="K114" s="7" t="s">
        <v>2260</v>
      </c>
      <c r="L114" s="7" t="s">
        <v>1010</v>
      </c>
      <c r="M114" s="22" t="s">
        <v>1051</v>
      </c>
      <c r="N114" s="28">
        <v>5</v>
      </c>
      <c r="O114" s="28">
        <v>20</v>
      </c>
      <c r="P114" s="28">
        <f t="shared" si="18"/>
        <v>25</v>
      </c>
      <c r="Q114" s="22" t="str">
        <f t="shared" si="19"/>
        <v>Quick</v>
      </c>
      <c r="R114" s="28">
        <v>4</v>
      </c>
      <c r="S114" s="22">
        <v>90</v>
      </c>
      <c r="T114" s="22">
        <v>4</v>
      </c>
      <c r="U114" s="29">
        <f>SUMIFS('Recipe Ingredients'!$I$2:$I$2500,'Recipe Ingredients'!$A$2:$A$2500,A114)/R114</f>
        <v>106.25</v>
      </c>
      <c r="V114" s="29">
        <f>SUMIFS('Recipe Ingredients'!$J$2:$J$2500,'Recipe Ingredients'!$A$2:$A$2500,A114)/R114</f>
        <v>3.1844999999999994</v>
      </c>
      <c r="W114" s="29">
        <f>SUMIFS('Recipe Ingredients'!$K$2:$K$2500,'Recipe Ingredients'!$A$2:$A$2500,A114)/R114</f>
        <v>85.953000000000003</v>
      </c>
      <c r="X114" s="29">
        <f>SUMIFS('Recipe Ingredients'!$L$2:$L$2500,'Recipe Ingredients'!$A$2:$A$2500,A114)/R114</f>
        <v>28.397500000000001</v>
      </c>
      <c r="Y114" s="29">
        <f>SUMIFS('Recipe Ingredients'!$M$2:$M$2500,'Recipe Ingredients'!$A$2:$A$2500,A114)/R114</f>
        <v>89.275499999999994</v>
      </c>
      <c r="Z114" s="29">
        <f>SUMIFS('Recipe Ingredients'!$N$2:$N$2500,'Recipe Ingredients'!$A$2:$A$2500,A114)/R114</f>
        <v>74.542500000000004</v>
      </c>
      <c r="AA114" s="29">
        <f>SUMIFS('Recipe Ingredients'!$O$2:$O$2500,'Recipe Ingredients'!$A$2:$A$2500,A114)/R114</f>
        <v>353.44499999999999</v>
      </c>
      <c r="AB114" s="30">
        <f>SUMIFS('Recipe Ingredients'!$P$2:$P$2500,'Recipe Ingredients'!$A$2:$A$2500,A114)/R114</f>
        <v>1.3365750000000001</v>
      </c>
      <c r="AC114" s="30">
        <f>SUMIFS('Recipe Ingredients'!$Q$2:$Q$2500,'Recipe Ingredients'!$A$2:$A$2500,A114)/R114</f>
        <v>0.21619999999999995</v>
      </c>
      <c r="AD114" s="29">
        <f>SUMIFS('Recipe Ingredients'!$R$2:$R$2500,'Recipe Ingredients'!$A$2:$A$2500,A114)/R114</f>
        <v>32.505000000000003</v>
      </c>
      <c r="AE114" s="30">
        <f>SUMIFS('Recipe Ingredients'!$S$2:$S$2500,'Recipe Ingredients'!$A$2:$A$2500,A114)/R114</f>
        <v>1.077</v>
      </c>
      <c r="AF114" s="31">
        <f>IFERROR(V114/'Start Here'!$C$10,0)</f>
        <v>0.12737999999999997</v>
      </c>
      <c r="AG114" s="31">
        <f>IFERROR(W114/'Start Here'!$C$11,0)</f>
        <v>1.0744125</v>
      </c>
      <c r="AH114" s="31">
        <f>IFERROR(X114/'Start Here'!$C$12,0)</f>
        <v>3.5496875000000004E-2</v>
      </c>
      <c r="AI114" s="31">
        <f>IFERROR(Y114/'Start Here'!$C$13,0)</f>
        <v>1.19034</v>
      </c>
      <c r="AJ114" s="31">
        <f>IFERROR(Z114/'Start Here'!$C$14,0)</f>
        <v>0.3727125</v>
      </c>
      <c r="AK114" s="31">
        <f>IFERROR(AA114/'Start Here'!$C$15,0)</f>
        <v>0.1767225</v>
      </c>
      <c r="AL114" s="31">
        <f>IFERROR(AB114/'Start Here'!$C$16,0)</f>
        <v>0.11138125</v>
      </c>
      <c r="AM114" s="31">
        <f>IFERROR(AC114/'Start Here'!$C$17,0)</f>
        <v>0.15442857142857139</v>
      </c>
      <c r="AN114" s="31">
        <f>IFERROR(AD114/'Start Here'!$C$18,0)</f>
        <v>8.6680000000000007E-2</v>
      </c>
      <c r="AO114" s="31">
        <f>IFERROR(AE114/'Start Here'!$C$19,0)</f>
        <v>7.6928571428571429E-2</v>
      </c>
      <c r="AP114" s="22" t="str">
        <f t="shared" si="20"/>
        <v>Vitamin K</v>
      </c>
      <c r="AQ114" s="7" t="str">
        <f t="shared" si="21"/>
        <v>Best for better vitamin K intake: one serving gives about 119% of your daily vitamin K from the produce alone.</v>
      </c>
      <c r="AR114" s="7" t="str">
        <f t="shared" si="22"/>
        <v>Vitamin C (107%), Folate (37%)</v>
      </c>
      <c r="AS114" s="7" t="s">
        <v>2261</v>
      </c>
      <c r="AT114" s="7" t="s">
        <v>2262</v>
      </c>
      <c r="AU114" s="28">
        <f>COUNTIFS('Recipe Ingredients'!$A$2:$A$2500,A114,'Recipe Ingredients'!$G$2:$G$2500,"Basket")</f>
        <v>5</v>
      </c>
      <c r="AV114" s="28">
        <f>COUNTIFS('Recipe Ingredients'!$A$2:$A$2500,A114,'Recipe Ingredients'!$G$2:$G$2500,"Protein")+COUNTIFS('Recipe Ingredients'!$A$2:$A$2500,A114,'Recipe Ingredients'!$G$2:$G$2500,"Pantry")</f>
        <v>0</v>
      </c>
      <c r="AW114" s="31">
        <f t="shared" si="23"/>
        <v>1</v>
      </c>
      <c r="AX114" s="28" t="str">
        <f>IF(AW114&gt;='Start Here'!$C$6,"Yes","No")</f>
        <v>Yes</v>
      </c>
      <c r="AY114" s="7" t="s">
        <v>115</v>
      </c>
      <c r="AZ114" s="7" t="s">
        <v>2263</v>
      </c>
      <c r="BA114" s="7" t="s">
        <v>2264</v>
      </c>
      <c r="BB114" s="32" t="s">
        <v>964</v>
      </c>
    </row>
    <row r="115" spans="1:54" ht="96" customHeight="1" x14ac:dyDescent="0.25">
      <c r="A115" s="22" t="s">
        <v>2265</v>
      </c>
      <c r="B115" s="23" t="s">
        <v>2266</v>
      </c>
      <c r="C115" s="22" t="s">
        <v>1129</v>
      </c>
      <c r="D115" s="22" t="s">
        <v>1321</v>
      </c>
      <c r="E115" s="22" t="s">
        <v>1275</v>
      </c>
      <c r="F115" s="7" t="s">
        <v>2267</v>
      </c>
      <c r="G115" s="22" t="s">
        <v>1005</v>
      </c>
      <c r="H115" s="27" t="s">
        <v>2268</v>
      </c>
      <c r="I115" s="27" t="s">
        <v>2269</v>
      </c>
      <c r="J115" s="7" t="s">
        <v>2270</v>
      </c>
      <c r="K115" s="7" t="s">
        <v>2271</v>
      </c>
      <c r="L115" s="7" t="s">
        <v>203</v>
      </c>
      <c r="M115" s="22" t="s">
        <v>958</v>
      </c>
      <c r="N115" s="28">
        <v>5</v>
      </c>
      <c r="O115" s="28">
        <v>20</v>
      </c>
      <c r="P115" s="28">
        <f t="shared" si="18"/>
        <v>25</v>
      </c>
      <c r="Q115" s="22" t="str">
        <f t="shared" si="19"/>
        <v>Quick</v>
      </c>
      <c r="R115" s="28">
        <v>4</v>
      </c>
      <c r="S115" s="22">
        <v>80</v>
      </c>
      <c r="T115" s="22">
        <v>1</v>
      </c>
      <c r="U115" s="29">
        <f>SUMIFS('Recipe Ingredients'!$I$2:$I$2500,'Recipe Ingredients'!$A$2:$A$2500,A115)/R115</f>
        <v>118.25</v>
      </c>
      <c r="V115" s="29">
        <f>SUMIFS('Recipe Ingredients'!$J$2:$J$2500,'Recipe Ingredients'!$A$2:$A$2500,A115)/R115</f>
        <v>3.2909999999999999</v>
      </c>
      <c r="W115" s="29">
        <f>SUMIFS('Recipe Ingredients'!$K$2:$K$2500,'Recipe Ingredients'!$A$2:$A$2500,A115)/R115</f>
        <v>9.4849999999999994</v>
      </c>
      <c r="X115" s="29">
        <f>SUMIFS('Recipe Ingredients'!$L$2:$L$2500,'Recipe Ingredients'!$A$2:$A$2500,A115)/R115</f>
        <v>947.79499999999996</v>
      </c>
      <c r="Y115" s="29">
        <f>SUMIFS('Recipe Ingredients'!$M$2:$M$2500,'Recipe Ingredients'!$A$2:$A$2500,A115)/R115</f>
        <v>47.653749999999995</v>
      </c>
      <c r="Z115" s="29">
        <f>SUMIFS('Recipe Ingredients'!$N$2:$N$2500,'Recipe Ingredients'!$A$2:$A$2500,A115)/R115</f>
        <v>24.827500000000001</v>
      </c>
      <c r="AA115" s="29">
        <f>SUMIFS('Recipe Ingredients'!$O$2:$O$2500,'Recipe Ingredients'!$A$2:$A$2500,A115)/R115</f>
        <v>386.64249999999998</v>
      </c>
      <c r="AB115" s="30">
        <f>SUMIFS('Recipe Ingredients'!$P$2:$P$2500,'Recipe Ingredients'!$A$2:$A$2500,A115)/R115</f>
        <v>0.7672500000000001</v>
      </c>
      <c r="AC115" s="30">
        <f>SUMIFS('Recipe Ingredients'!$Q$2:$Q$2500,'Recipe Ingredients'!$A$2:$A$2500,A115)/R115</f>
        <v>0.16305000000000003</v>
      </c>
      <c r="AD115" s="29">
        <f>SUMIFS('Recipe Ingredients'!$R$2:$R$2500,'Recipe Ingredients'!$A$2:$A$2500,A115)/R115</f>
        <v>16.112500000000001</v>
      </c>
      <c r="AE115" s="30">
        <f>SUMIFS('Recipe Ingredients'!$S$2:$S$2500,'Recipe Ingredients'!$A$2:$A$2500,A115)/R115</f>
        <v>0.48400000000000004</v>
      </c>
      <c r="AF115" s="31">
        <f>IFERROR(V115/'Start Here'!$C$10,0)</f>
        <v>0.13164000000000001</v>
      </c>
      <c r="AG115" s="31">
        <f>IFERROR(W115/'Start Here'!$C$11,0)</f>
        <v>0.11856249999999999</v>
      </c>
      <c r="AH115" s="31">
        <f>IFERROR(X115/'Start Here'!$C$12,0)</f>
        <v>1.18474375</v>
      </c>
      <c r="AI115" s="31">
        <f>IFERROR(Y115/'Start Here'!$C$13,0)</f>
        <v>0.6353833333333333</v>
      </c>
      <c r="AJ115" s="31">
        <f>IFERROR(Z115/'Start Here'!$C$14,0)</f>
        <v>0.1241375</v>
      </c>
      <c r="AK115" s="31">
        <f>IFERROR(AA115/'Start Here'!$C$15,0)</f>
        <v>0.19332125</v>
      </c>
      <c r="AL115" s="31">
        <f>IFERROR(AB115/'Start Here'!$C$16,0)</f>
        <v>6.3937500000000008E-2</v>
      </c>
      <c r="AM115" s="31">
        <f>IFERROR(AC115/'Start Here'!$C$17,0)</f>
        <v>0.11646428571428574</v>
      </c>
      <c r="AN115" s="31">
        <f>IFERROR(AD115/'Start Here'!$C$18,0)</f>
        <v>4.2966666666666667E-2</v>
      </c>
      <c r="AO115" s="31">
        <f>IFERROR(AE115/'Start Here'!$C$19,0)</f>
        <v>3.4571428571428572E-2</v>
      </c>
      <c r="AP115" s="22" t="str">
        <f t="shared" si="20"/>
        <v>Vitamin A</v>
      </c>
      <c r="AQ115" s="7" t="str">
        <f t="shared" si="21"/>
        <v>Best for better vitamin A intake: one serving gives about 118% of your daily vitamin A from the produce alone.</v>
      </c>
      <c r="AR115" s="7" t="str">
        <f t="shared" si="22"/>
        <v>Vitamin K (64%)</v>
      </c>
      <c r="AS115" s="7" t="s">
        <v>2272</v>
      </c>
      <c r="AT115" s="7" t="s">
        <v>2273</v>
      </c>
      <c r="AU115" s="28">
        <f>COUNTIFS('Recipe Ingredients'!$A$2:$A$2500,A115,'Recipe Ingredients'!$G$2:$G$2500,"Basket")</f>
        <v>3</v>
      </c>
      <c r="AV115" s="28">
        <f>COUNTIFS('Recipe Ingredients'!$A$2:$A$2500,A115,'Recipe Ingredients'!$G$2:$G$2500,"Protein")+COUNTIFS('Recipe Ingredients'!$A$2:$A$2500,A115,'Recipe Ingredients'!$G$2:$G$2500,"Pantry")</f>
        <v>1</v>
      </c>
      <c r="AW115" s="31">
        <f t="shared" si="23"/>
        <v>0.75</v>
      </c>
      <c r="AX115" s="28" t="str">
        <f>IF(AW115&gt;='Start Here'!$C$6,"Yes","No")</f>
        <v>No</v>
      </c>
      <c r="AY115" s="7" t="s">
        <v>115</v>
      </c>
      <c r="AZ115" s="7" t="s">
        <v>2274</v>
      </c>
      <c r="BA115" s="7" t="s">
        <v>2275</v>
      </c>
      <c r="BB115" s="32" t="s">
        <v>964</v>
      </c>
    </row>
    <row r="116" spans="1:54" ht="96" customHeight="1" x14ac:dyDescent="0.25">
      <c r="A116" s="22" t="s">
        <v>2276</v>
      </c>
      <c r="B116" s="23" t="s">
        <v>2277</v>
      </c>
      <c r="C116" s="22" t="s">
        <v>1129</v>
      </c>
      <c r="D116" s="22" t="s">
        <v>1321</v>
      </c>
      <c r="E116" s="22" t="s">
        <v>1275</v>
      </c>
      <c r="F116" s="7" t="s">
        <v>2278</v>
      </c>
      <c r="G116" s="22" t="s">
        <v>1967</v>
      </c>
      <c r="H116" s="27" t="s">
        <v>2279</v>
      </c>
      <c r="I116" s="27" t="s">
        <v>2280</v>
      </c>
      <c r="J116" s="7" t="s">
        <v>2281</v>
      </c>
      <c r="K116" s="7" t="s">
        <v>2282</v>
      </c>
      <c r="L116" s="7" t="s">
        <v>1010</v>
      </c>
      <c r="M116" s="22" t="s">
        <v>1051</v>
      </c>
      <c r="N116" s="28">
        <v>10</v>
      </c>
      <c r="O116" s="28">
        <v>10</v>
      </c>
      <c r="P116" s="28">
        <f t="shared" si="18"/>
        <v>20</v>
      </c>
      <c r="Q116" s="22" t="str">
        <f t="shared" si="19"/>
        <v>Quick</v>
      </c>
      <c r="R116" s="28">
        <v>4</v>
      </c>
      <c r="S116" s="22">
        <v>120</v>
      </c>
      <c r="T116" s="22">
        <v>4</v>
      </c>
      <c r="U116" s="29">
        <f>SUMIFS('Recipe Ingredients'!$I$2:$I$2500,'Recipe Ingredients'!$A$2:$A$2500,A116)/R116</f>
        <v>141.75</v>
      </c>
      <c r="V116" s="29">
        <f>SUMIFS('Recipe Ingredients'!$J$2:$J$2500,'Recipe Ingredients'!$A$2:$A$2500,A116)/R116</f>
        <v>4.2515000000000001</v>
      </c>
      <c r="W116" s="29">
        <f>SUMIFS('Recipe Ingredients'!$K$2:$K$2500,'Recipe Ingredients'!$A$2:$A$2500,A116)/R116</f>
        <v>23.618000000000002</v>
      </c>
      <c r="X116" s="29">
        <f>SUMIFS('Recipe Ingredients'!$L$2:$L$2500,'Recipe Ingredients'!$A$2:$A$2500,A116)/R116</f>
        <v>47.4</v>
      </c>
      <c r="Y116" s="29">
        <f>SUMIFS('Recipe Ingredients'!$M$2:$M$2500,'Recipe Ingredients'!$A$2:$A$2500,A116)/R116</f>
        <v>72.390500000000003</v>
      </c>
      <c r="Z116" s="29">
        <f>SUMIFS('Recipe Ingredients'!$N$2:$N$2500,'Recipe Ingredients'!$A$2:$A$2500,A116)/R116</f>
        <v>67.394999999999996</v>
      </c>
      <c r="AA116" s="29">
        <f>SUMIFS('Recipe Ingredients'!$O$2:$O$2500,'Recipe Ingredients'!$A$2:$A$2500,A116)/R116</f>
        <v>364.36500000000001</v>
      </c>
      <c r="AB116" s="30">
        <f>SUMIFS('Recipe Ingredients'!$P$2:$P$2500,'Recipe Ingredients'!$A$2:$A$2500,A116)/R116</f>
        <v>1.3150249999999999</v>
      </c>
      <c r="AC116" s="30">
        <f>SUMIFS('Recipe Ingredients'!$Q$2:$Q$2500,'Recipe Ingredients'!$A$2:$A$2500,A116)/R116</f>
        <v>0.24463249999999995</v>
      </c>
      <c r="AD116" s="29">
        <f>SUMIFS('Recipe Ingredients'!$R$2:$R$2500,'Recipe Ingredients'!$A$2:$A$2500,A116)/R116</f>
        <v>48.094999999999999</v>
      </c>
      <c r="AE116" s="30">
        <f>SUMIFS('Recipe Ingredients'!$S$2:$S$2500,'Recipe Ingredients'!$A$2:$A$2500,A116)/R116</f>
        <v>1.82945</v>
      </c>
      <c r="AF116" s="31">
        <f>IFERROR(V116/'Start Here'!$C$10,0)</f>
        <v>0.17005999999999999</v>
      </c>
      <c r="AG116" s="31">
        <f>IFERROR(W116/'Start Here'!$C$11,0)</f>
        <v>0.29522500000000002</v>
      </c>
      <c r="AH116" s="31">
        <f>IFERROR(X116/'Start Here'!$C$12,0)</f>
        <v>5.9249999999999997E-2</v>
      </c>
      <c r="AI116" s="31">
        <f>IFERROR(Y116/'Start Here'!$C$13,0)</f>
        <v>0.96520666666666666</v>
      </c>
      <c r="AJ116" s="31">
        <f>IFERROR(Z116/'Start Here'!$C$14,0)</f>
        <v>0.33697499999999997</v>
      </c>
      <c r="AK116" s="31">
        <f>IFERROR(AA116/'Start Here'!$C$15,0)</f>
        <v>0.1821825</v>
      </c>
      <c r="AL116" s="31">
        <f>IFERROR(AB116/'Start Here'!$C$16,0)</f>
        <v>0.10958541666666666</v>
      </c>
      <c r="AM116" s="31">
        <f>IFERROR(AC116/'Start Here'!$C$17,0)</f>
        <v>0.17473749999999996</v>
      </c>
      <c r="AN116" s="31">
        <f>IFERROR(AD116/'Start Here'!$C$18,0)</f>
        <v>0.12825333333333333</v>
      </c>
      <c r="AO116" s="31">
        <f>IFERROR(AE116/'Start Here'!$C$19,0)</f>
        <v>0.13067500000000001</v>
      </c>
      <c r="AP116" s="22" t="str">
        <f t="shared" si="20"/>
        <v>Vitamin K</v>
      </c>
      <c r="AQ116" s="7" t="str">
        <f t="shared" si="21"/>
        <v>Best for better vitamin K intake: one serving gives about 97% of your daily vitamin K from the produce alone.</v>
      </c>
      <c r="AR116" s="7" t="str">
        <f t="shared" si="22"/>
        <v>Vitamin C (30%), Folate (34%)</v>
      </c>
      <c r="AS116" s="7" t="s">
        <v>2283</v>
      </c>
      <c r="AT116" s="7" t="s">
        <v>2284</v>
      </c>
      <c r="AU116" s="28">
        <f>COUNTIFS('Recipe Ingredients'!$A$2:$A$2500,A116,'Recipe Ingredients'!$G$2:$G$2500,"Basket")</f>
        <v>6</v>
      </c>
      <c r="AV116" s="28">
        <f>COUNTIFS('Recipe Ingredients'!$A$2:$A$2500,A116,'Recipe Ingredients'!$G$2:$G$2500,"Protein")+COUNTIFS('Recipe Ingredients'!$A$2:$A$2500,A116,'Recipe Ingredients'!$G$2:$G$2500,"Pantry")</f>
        <v>2</v>
      </c>
      <c r="AW116" s="31">
        <f t="shared" si="23"/>
        <v>0.75</v>
      </c>
      <c r="AX116" s="28" t="str">
        <f>IF(AW116&gt;='Start Here'!$C$6,"Yes","No")</f>
        <v>No</v>
      </c>
      <c r="AY116" s="7" t="s">
        <v>115</v>
      </c>
      <c r="AZ116" s="7" t="s">
        <v>2285</v>
      </c>
      <c r="BA116" s="7" t="s">
        <v>2286</v>
      </c>
      <c r="BB116" s="32" t="s">
        <v>964</v>
      </c>
    </row>
    <row r="117" spans="1:54" ht="96" customHeight="1" x14ac:dyDescent="0.25">
      <c r="A117" s="22" t="s">
        <v>2287</v>
      </c>
      <c r="B117" s="23" t="s">
        <v>2288</v>
      </c>
      <c r="C117" s="22" t="s">
        <v>1129</v>
      </c>
      <c r="D117" s="22" t="s">
        <v>1321</v>
      </c>
      <c r="E117" s="22" t="s">
        <v>1275</v>
      </c>
      <c r="F117" s="7" t="s">
        <v>2289</v>
      </c>
      <c r="G117" s="22" t="s">
        <v>1005</v>
      </c>
      <c r="H117" s="27" t="s">
        <v>2290</v>
      </c>
      <c r="I117" s="27" t="s">
        <v>2291</v>
      </c>
      <c r="J117" s="7" t="s">
        <v>2292</v>
      </c>
      <c r="K117" s="7" t="s">
        <v>2293</v>
      </c>
      <c r="L117" s="7" t="s">
        <v>2195</v>
      </c>
      <c r="M117" s="22" t="s">
        <v>1051</v>
      </c>
      <c r="N117" s="28">
        <v>5</v>
      </c>
      <c r="O117" s="28">
        <v>6</v>
      </c>
      <c r="P117" s="28">
        <f t="shared" si="18"/>
        <v>11</v>
      </c>
      <c r="Q117" s="22" t="str">
        <f t="shared" si="19"/>
        <v>Quick</v>
      </c>
      <c r="R117" s="28">
        <v>4</v>
      </c>
      <c r="S117" s="22">
        <v>50</v>
      </c>
      <c r="T117" s="22">
        <v>1</v>
      </c>
      <c r="U117" s="29">
        <f>SUMIFS('Recipe Ingredients'!$I$2:$I$2500,'Recipe Ingredients'!$A$2:$A$2500,A117)/R117</f>
        <v>108</v>
      </c>
      <c r="V117" s="29">
        <f>SUMIFS('Recipe Ingredients'!$J$2:$J$2500,'Recipe Ingredients'!$A$2:$A$2500,A117)/R117</f>
        <v>1.2477499999999999</v>
      </c>
      <c r="W117" s="29">
        <f>SUMIFS('Recipe Ingredients'!$K$2:$K$2500,'Recipe Ingredients'!$A$2:$A$2500,A117)/R117</f>
        <v>23.128499999999995</v>
      </c>
      <c r="X117" s="29">
        <f>SUMIFS('Recipe Ingredients'!$L$2:$L$2500,'Recipe Ingredients'!$A$2:$A$2500,A117)/R117</f>
        <v>16.7225</v>
      </c>
      <c r="Y117" s="29">
        <f>SUMIFS('Recipe Ingredients'!$M$2:$M$2500,'Recipe Ingredients'!$A$2:$A$2500,A117)/R117</f>
        <v>24.774749999999997</v>
      </c>
      <c r="Z117" s="29">
        <f>SUMIFS('Recipe Ingredients'!$N$2:$N$2500,'Recipe Ingredients'!$A$2:$A$2500,A117)/R117</f>
        <v>26.54</v>
      </c>
      <c r="AA117" s="29">
        <f>SUMIFS('Recipe Ingredients'!$O$2:$O$2500,'Recipe Ingredients'!$A$2:$A$2500,A117)/R117</f>
        <v>277.28250000000003</v>
      </c>
      <c r="AB117" s="30">
        <f>SUMIFS('Recipe Ingredients'!$P$2:$P$2500,'Recipe Ingredients'!$A$2:$A$2500,A117)/R117</f>
        <v>0.14457500000000001</v>
      </c>
      <c r="AC117" s="30">
        <f>SUMIFS('Recipe Ingredients'!$Q$2:$Q$2500,'Recipe Ingredients'!$A$2:$A$2500,A117)/R117</f>
        <v>0.17725250000000001</v>
      </c>
      <c r="AD117" s="29">
        <f>SUMIFS('Recipe Ingredients'!$R$2:$R$2500,'Recipe Ingredients'!$A$2:$A$2500,A117)/R117</f>
        <v>19.547499999999999</v>
      </c>
      <c r="AE117" s="30">
        <f>SUMIFS('Recipe Ingredients'!$S$2:$S$2500,'Recipe Ingredients'!$A$2:$A$2500,A117)/R117</f>
        <v>0.51254999999999995</v>
      </c>
      <c r="AF117" s="31">
        <f>IFERROR(V117/'Start Here'!$C$10,0)</f>
        <v>4.9909999999999996E-2</v>
      </c>
      <c r="AG117" s="31">
        <f>IFERROR(W117/'Start Here'!$C$11,0)</f>
        <v>0.28910624999999995</v>
      </c>
      <c r="AH117" s="31">
        <f>IFERROR(X117/'Start Here'!$C$12,0)</f>
        <v>2.0903125000000002E-2</v>
      </c>
      <c r="AI117" s="31">
        <f>IFERROR(Y117/'Start Here'!$C$13,0)</f>
        <v>0.33032999999999996</v>
      </c>
      <c r="AJ117" s="31">
        <f>IFERROR(Z117/'Start Here'!$C$14,0)</f>
        <v>0.13269999999999998</v>
      </c>
      <c r="AK117" s="31">
        <f>IFERROR(AA117/'Start Here'!$C$15,0)</f>
        <v>0.13864125000000002</v>
      </c>
      <c r="AL117" s="31">
        <f>IFERROR(AB117/'Start Here'!$C$16,0)</f>
        <v>1.2047916666666667E-2</v>
      </c>
      <c r="AM117" s="31">
        <f>IFERROR(AC117/'Start Here'!$C$17,0)</f>
        <v>0.12660892857142858</v>
      </c>
      <c r="AN117" s="31">
        <f>IFERROR(AD117/'Start Here'!$C$18,0)</f>
        <v>5.2126666666666668E-2</v>
      </c>
      <c r="AO117" s="31">
        <f>IFERROR(AE117/'Start Here'!$C$19,0)</f>
        <v>3.6610714285714281E-2</v>
      </c>
      <c r="AP117" s="22" t="str">
        <f t="shared" si="20"/>
        <v>Vitamin K</v>
      </c>
      <c r="AQ117" s="7" t="str">
        <f t="shared" si="21"/>
        <v>Best for better vitamin K intake: one serving gives about 33% of your daily vitamin K from the produce alone.</v>
      </c>
      <c r="AR117" s="7" t="str">
        <f t="shared" si="22"/>
        <v>Vitamin C (29%)</v>
      </c>
      <c r="AS117" s="7" t="s">
        <v>2294</v>
      </c>
      <c r="AT117" s="7" t="s">
        <v>2295</v>
      </c>
      <c r="AU117" s="28">
        <f>COUNTIFS('Recipe Ingredients'!$A$2:$A$2500,A117,'Recipe Ingredients'!$G$2:$G$2500,"Basket")</f>
        <v>5</v>
      </c>
      <c r="AV117" s="28">
        <f>COUNTIFS('Recipe Ingredients'!$A$2:$A$2500,A117,'Recipe Ingredients'!$G$2:$G$2500,"Protein")+COUNTIFS('Recipe Ingredients'!$A$2:$A$2500,A117,'Recipe Ingredients'!$G$2:$G$2500,"Pantry")</f>
        <v>0</v>
      </c>
      <c r="AW117" s="31">
        <f t="shared" si="23"/>
        <v>1</v>
      </c>
      <c r="AX117" s="28" t="str">
        <f>IF(AW117&gt;='Start Here'!$C$6,"Yes","No")</f>
        <v>Yes</v>
      </c>
      <c r="AY117" s="7" t="s">
        <v>115</v>
      </c>
      <c r="AZ117" s="7" t="s">
        <v>2296</v>
      </c>
      <c r="BA117" s="7" t="s">
        <v>2297</v>
      </c>
      <c r="BB117" s="32" t="s">
        <v>964</v>
      </c>
    </row>
    <row r="118" spans="1:54" ht="96" customHeight="1" x14ac:dyDescent="0.25">
      <c r="A118" s="22" t="s">
        <v>2298</v>
      </c>
      <c r="B118" s="23" t="s">
        <v>2299</v>
      </c>
      <c r="C118" s="22" t="s">
        <v>1129</v>
      </c>
      <c r="D118" s="22" t="s">
        <v>1321</v>
      </c>
      <c r="E118" s="22" t="s">
        <v>1275</v>
      </c>
      <c r="F118" s="7" t="s">
        <v>2300</v>
      </c>
      <c r="G118" s="22" t="s">
        <v>1447</v>
      </c>
      <c r="H118" s="27" t="s">
        <v>2301</v>
      </c>
      <c r="I118" s="27" t="s">
        <v>2302</v>
      </c>
      <c r="J118" s="7" t="s">
        <v>2303</v>
      </c>
      <c r="K118" s="7" t="s">
        <v>2304</v>
      </c>
      <c r="L118" s="7" t="s">
        <v>1010</v>
      </c>
      <c r="M118" s="22" t="s">
        <v>1051</v>
      </c>
      <c r="N118" s="28">
        <v>5</v>
      </c>
      <c r="O118" s="28">
        <v>35</v>
      </c>
      <c r="P118" s="28">
        <f t="shared" si="18"/>
        <v>40</v>
      </c>
      <c r="Q118" s="22" t="str">
        <f t="shared" si="19"/>
        <v>Standard</v>
      </c>
      <c r="R118" s="28">
        <v>4</v>
      </c>
      <c r="S118" s="22">
        <v>100</v>
      </c>
      <c r="T118" s="22">
        <v>4</v>
      </c>
      <c r="U118" s="29">
        <f>SUMIFS('Recipe Ingredients'!$I$2:$I$2500,'Recipe Ingredients'!$A$2:$A$2500,A118)/R118</f>
        <v>169.75</v>
      </c>
      <c r="V118" s="29">
        <f>SUMIFS('Recipe Ingredients'!$J$2:$J$2500,'Recipe Ingredients'!$A$2:$A$2500,A118)/R118</f>
        <v>3.7119999999999997</v>
      </c>
      <c r="W118" s="29">
        <f>SUMIFS('Recipe Ingredients'!$K$2:$K$2500,'Recipe Ingredients'!$A$2:$A$2500,A118)/R118</f>
        <v>79.291500000000013</v>
      </c>
      <c r="X118" s="29">
        <f>SUMIFS('Recipe Ingredients'!$L$2:$L$2500,'Recipe Ingredients'!$A$2:$A$2500,A118)/R118</f>
        <v>6.8849999999999998</v>
      </c>
      <c r="Y118" s="29">
        <f>SUMIFS('Recipe Ingredients'!$M$2:$M$2500,'Recipe Ingredients'!$A$2:$A$2500,A118)/R118</f>
        <v>29.15625</v>
      </c>
      <c r="Z118" s="29">
        <f>SUMIFS('Recipe Ingredients'!$N$2:$N$2500,'Recipe Ingredients'!$A$2:$A$2500,A118)/R118</f>
        <v>87.012500000000003</v>
      </c>
      <c r="AA118" s="29">
        <f>SUMIFS('Recipe Ingredients'!$O$2:$O$2500,'Recipe Ingredients'!$A$2:$A$2500,A118)/R118</f>
        <v>501.14749999999998</v>
      </c>
      <c r="AB118" s="30">
        <f>SUMIFS('Recipe Ingredients'!$P$2:$P$2500,'Recipe Ingredients'!$A$2:$A$2500,A118)/R118</f>
        <v>0.24759999999999999</v>
      </c>
      <c r="AC118" s="30">
        <f>SUMIFS('Recipe Ingredients'!$Q$2:$Q$2500,'Recipe Ingredients'!$A$2:$A$2500,A118)/R118</f>
        <v>0.28855999999999998</v>
      </c>
      <c r="AD118" s="29">
        <f>SUMIFS('Recipe Ingredients'!$R$2:$R$2500,'Recipe Ingredients'!$A$2:$A$2500,A118)/R118</f>
        <v>26.867500000000003</v>
      </c>
      <c r="AE118" s="30">
        <f>SUMIFS('Recipe Ingredients'!$S$2:$S$2500,'Recipe Ingredients'!$A$2:$A$2500,A118)/R118</f>
        <v>1.4373</v>
      </c>
      <c r="AF118" s="31">
        <f>IFERROR(V118/'Start Here'!$C$10,0)</f>
        <v>0.14848</v>
      </c>
      <c r="AG118" s="31">
        <f>IFERROR(W118/'Start Here'!$C$11,0)</f>
        <v>0.99114375000000021</v>
      </c>
      <c r="AH118" s="31">
        <f>IFERROR(X118/'Start Here'!$C$12,0)</f>
        <v>8.6062499999999993E-3</v>
      </c>
      <c r="AI118" s="31">
        <f>IFERROR(Y118/'Start Here'!$C$13,0)</f>
        <v>0.38874999999999998</v>
      </c>
      <c r="AJ118" s="31">
        <f>IFERROR(Z118/'Start Here'!$C$14,0)</f>
        <v>0.43506250000000002</v>
      </c>
      <c r="AK118" s="31">
        <f>IFERROR(AA118/'Start Here'!$C$15,0)</f>
        <v>0.25057374999999998</v>
      </c>
      <c r="AL118" s="31">
        <f>IFERROR(AB118/'Start Here'!$C$16,0)</f>
        <v>2.0633333333333333E-2</v>
      </c>
      <c r="AM118" s="31">
        <f>IFERROR(AC118/'Start Here'!$C$17,0)</f>
        <v>0.20611428571428572</v>
      </c>
      <c r="AN118" s="31">
        <f>IFERROR(AD118/'Start Here'!$C$18,0)</f>
        <v>7.1646666666666678E-2</v>
      </c>
      <c r="AO118" s="31">
        <f>IFERROR(AE118/'Start Here'!$C$19,0)</f>
        <v>0.10266428571428572</v>
      </c>
      <c r="AP118" s="22" t="str">
        <f t="shared" si="20"/>
        <v>Vitamin C</v>
      </c>
      <c r="AQ118" s="7" t="str">
        <f t="shared" si="21"/>
        <v>Best for better vitamin C intake: one serving gives about 99% of your daily vitamin C from the produce alone.</v>
      </c>
      <c r="AR118" s="7" t="str">
        <f t="shared" si="22"/>
        <v>Vitamin K (39%), Folate (44%), Potassium (25%)</v>
      </c>
      <c r="AS118" s="7" t="s">
        <v>2305</v>
      </c>
      <c r="AT118" s="7" t="s">
        <v>2306</v>
      </c>
      <c r="AU118" s="28">
        <f>COUNTIFS('Recipe Ingredients'!$A$2:$A$2500,A118,'Recipe Ingredients'!$G$2:$G$2500,"Basket")</f>
        <v>5</v>
      </c>
      <c r="AV118" s="28">
        <f>COUNTIFS('Recipe Ingredients'!$A$2:$A$2500,A118,'Recipe Ingredients'!$G$2:$G$2500,"Protein")+COUNTIFS('Recipe Ingredients'!$A$2:$A$2500,A118,'Recipe Ingredients'!$G$2:$G$2500,"Pantry")</f>
        <v>1</v>
      </c>
      <c r="AW118" s="31">
        <f t="shared" si="23"/>
        <v>0.83333333333333337</v>
      </c>
      <c r="AX118" s="28" t="str">
        <f>IF(AW118&gt;='Start Here'!$C$6,"Yes","No")</f>
        <v>Yes</v>
      </c>
      <c r="AY118" s="7" t="s">
        <v>115</v>
      </c>
      <c r="AZ118" s="7" t="s">
        <v>2307</v>
      </c>
      <c r="BA118" s="7" t="s">
        <v>2308</v>
      </c>
      <c r="BB118" s="32" t="s">
        <v>964</v>
      </c>
    </row>
    <row r="119" spans="1:54" ht="96" customHeight="1" x14ac:dyDescent="0.25">
      <c r="A119" s="22" t="s">
        <v>2309</v>
      </c>
      <c r="B119" s="23" t="s">
        <v>2310</v>
      </c>
      <c r="C119" s="22" t="s">
        <v>1129</v>
      </c>
      <c r="D119" s="22" t="s">
        <v>1321</v>
      </c>
      <c r="E119" s="22" t="s">
        <v>1275</v>
      </c>
      <c r="F119" s="7" t="s">
        <v>2311</v>
      </c>
      <c r="G119" s="22" t="s">
        <v>1005</v>
      </c>
      <c r="H119" s="27" t="s">
        <v>2312</v>
      </c>
      <c r="I119" s="27" t="s">
        <v>2313</v>
      </c>
      <c r="J119" s="7" t="s">
        <v>2314</v>
      </c>
      <c r="K119" s="7" t="s">
        <v>2315</v>
      </c>
      <c r="L119" s="7" t="s">
        <v>974</v>
      </c>
      <c r="M119" s="22" t="s">
        <v>1051</v>
      </c>
      <c r="N119" s="28">
        <v>5</v>
      </c>
      <c r="O119" s="28">
        <v>10</v>
      </c>
      <c r="P119" s="28">
        <f t="shared" si="18"/>
        <v>15</v>
      </c>
      <c r="Q119" s="22" t="str">
        <f t="shared" si="19"/>
        <v>Quick</v>
      </c>
      <c r="R119" s="28">
        <v>4</v>
      </c>
      <c r="S119" s="22">
        <v>80</v>
      </c>
      <c r="T119" s="22">
        <v>3</v>
      </c>
      <c r="U119" s="29">
        <f>SUMIFS('Recipe Ingredients'!$I$2:$I$2500,'Recipe Ingredients'!$A$2:$A$2500,A119)/R119</f>
        <v>123.25</v>
      </c>
      <c r="V119" s="29">
        <f>SUMIFS('Recipe Ingredients'!$J$2:$J$2500,'Recipe Ingredients'!$A$2:$A$2500,A119)/R119</f>
        <v>2.94475</v>
      </c>
      <c r="W119" s="29">
        <f>SUMIFS('Recipe Ingredients'!$K$2:$K$2500,'Recipe Ingredients'!$A$2:$A$2500,A119)/R119</f>
        <v>4.1464999999999996</v>
      </c>
      <c r="X119" s="29">
        <f>SUMIFS('Recipe Ingredients'!$L$2:$L$2500,'Recipe Ingredients'!$A$2:$A$2500,A119)/R119</f>
        <v>5.1099999999999994</v>
      </c>
      <c r="Y119" s="29">
        <f>SUMIFS('Recipe Ingredients'!$M$2:$M$2500,'Recipe Ingredients'!$A$2:$A$2500,A119)/R119</f>
        <v>16.463749999999997</v>
      </c>
      <c r="Z119" s="29">
        <f>SUMIFS('Recipe Ingredients'!$N$2:$N$2500,'Recipe Ingredients'!$A$2:$A$2500,A119)/R119</f>
        <v>45.517500000000005</v>
      </c>
      <c r="AA119" s="29">
        <f>SUMIFS('Recipe Ingredients'!$O$2:$O$2500,'Recipe Ingredients'!$A$2:$A$2500,A119)/R119</f>
        <v>493.0575</v>
      </c>
      <c r="AB119" s="30">
        <f>SUMIFS('Recipe Ingredients'!$P$2:$P$2500,'Recipe Ingredients'!$A$2:$A$2500,A119)/R119</f>
        <v>2.6800000000000001E-2</v>
      </c>
      <c r="AC119" s="30">
        <f>SUMIFS('Recipe Ingredients'!$Q$2:$Q$2500,'Recipe Ingredients'!$A$2:$A$2500,A119)/R119</f>
        <v>0.1392475</v>
      </c>
      <c r="AD119" s="29">
        <f>SUMIFS('Recipe Ingredients'!$R$2:$R$2500,'Recipe Ingredients'!$A$2:$A$2500,A119)/R119</f>
        <v>21.9025</v>
      </c>
      <c r="AE119" s="30">
        <f>SUMIFS('Recipe Ingredients'!$S$2:$S$2500,'Recipe Ingredients'!$A$2:$A$2500,A119)/R119</f>
        <v>1.6552500000000001</v>
      </c>
      <c r="AF119" s="31">
        <f>IFERROR(V119/'Start Here'!$C$10,0)</f>
        <v>0.11779000000000001</v>
      </c>
      <c r="AG119" s="31">
        <f>IFERROR(W119/'Start Here'!$C$11,0)</f>
        <v>5.1831249999999995E-2</v>
      </c>
      <c r="AH119" s="31">
        <f>IFERROR(X119/'Start Here'!$C$12,0)</f>
        <v>6.3874999999999991E-3</v>
      </c>
      <c r="AI119" s="31">
        <f>IFERROR(Y119/'Start Here'!$C$13,0)</f>
        <v>0.21951666666666664</v>
      </c>
      <c r="AJ119" s="31">
        <f>IFERROR(Z119/'Start Here'!$C$14,0)</f>
        <v>0.22758750000000003</v>
      </c>
      <c r="AK119" s="31">
        <f>IFERROR(AA119/'Start Here'!$C$15,0)</f>
        <v>0.24652874999999999</v>
      </c>
      <c r="AL119" s="31">
        <f>IFERROR(AB119/'Start Here'!$C$16,0)</f>
        <v>2.2333333333333333E-3</v>
      </c>
      <c r="AM119" s="31">
        <f>IFERROR(AC119/'Start Here'!$C$17,0)</f>
        <v>9.9462500000000009E-2</v>
      </c>
      <c r="AN119" s="31">
        <f>IFERROR(AD119/'Start Here'!$C$18,0)</f>
        <v>5.8406666666666669E-2</v>
      </c>
      <c r="AO119" s="31">
        <f>IFERROR(AE119/'Start Here'!$C$19,0)</f>
        <v>0.11823214285714287</v>
      </c>
      <c r="AP119" s="22" t="str">
        <f t="shared" si="20"/>
        <v>Potassium</v>
      </c>
      <c r="AQ119" s="7" t="str">
        <f t="shared" si="21"/>
        <v>Best for better potassium intake: one serving gives about 25% of your daily potassium from the produce alone.</v>
      </c>
      <c r="AR119" s="7" t="str">
        <f t="shared" si="22"/>
        <v/>
      </c>
      <c r="AS119" s="7" t="s">
        <v>1781</v>
      </c>
      <c r="AT119" s="7" t="s">
        <v>1782</v>
      </c>
      <c r="AU119" s="28">
        <f>COUNTIFS('Recipe Ingredients'!$A$2:$A$2500,A119,'Recipe Ingredients'!$G$2:$G$2500,"Basket")</f>
        <v>5</v>
      </c>
      <c r="AV119" s="28">
        <f>COUNTIFS('Recipe Ingredients'!$A$2:$A$2500,A119,'Recipe Ingredients'!$G$2:$G$2500,"Protein")+COUNTIFS('Recipe Ingredients'!$A$2:$A$2500,A119,'Recipe Ingredients'!$G$2:$G$2500,"Pantry")</f>
        <v>1</v>
      </c>
      <c r="AW119" s="31">
        <f t="shared" si="23"/>
        <v>0.83333333333333337</v>
      </c>
      <c r="AX119" s="28" t="str">
        <f>IF(AW119&gt;='Start Here'!$C$6,"Yes","No")</f>
        <v>Yes</v>
      </c>
      <c r="AY119" s="7" t="s">
        <v>115</v>
      </c>
      <c r="AZ119" s="7" t="s">
        <v>2316</v>
      </c>
      <c r="BA119" s="7" t="s">
        <v>2317</v>
      </c>
      <c r="BB119" s="32" t="s">
        <v>964</v>
      </c>
    </row>
    <row r="120" spans="1:54" ht="96" customHeight="1" x14ac:dyDescent="0.25">
      <c r="A120" s="22" t="s">
        <v>2318</v>
      </c>
      <c r="B120" s="23" t="s">
        <v>2319</v>
      </c>
      <c r="C120" s="22" t="s">
        <v>1129</v>
      </c>
      <c r="D120" s="22" t="s">
        <v>1321</v>
      </c>
      <c r="E120" s="22" t="s">
        <v>1192</v>
      </c>
      <c r="F120" s="7" t="s">
        <v>2320</v>
      </c>
      <c r="G120" s="22" t="s">
        <v>2321</v>
      </c>
      <c r="H120" s="27" t="s">
        <v>2322</v>
      </c>
      <c r="I120" s="27" t="s">
        <v>2323</v>
      </c>
      <c r="J120" s="7" t="s">
        <v>2324</v>
      </c>
      <c r="K120" s="7" t="s">
        <v>2325</v>
      </c>
      <c r="L120" s="7" t="s">
        <v>1010</v>
      </c>
      <c r="M120" s="22" t="s">
        <v>1051</v>
      </c>
      <c r="N120" s="28">
        <v>15</v>
      </c>
      <c r="O120" s="28">
        <v>25</v>
      </c>
      <c r="P120" s="28">
        <f t="shared" si="18"/>
        <v>40</v>
      </c>
      <c r="Q120" s="22" t="str">
        <f t="shared" si="19"/>
        <v>Standard</v>
      </c>
      <c r="R120" s="28">
        <v>3</v>
      </c>
      <c r="S120" s="22">
        <v>150</v>
      </c>
      <c r="T120" s="22">
        <v>3</v>
      </c>
      <c r="U120" s="29">
        <f>SUMIFS('Recipe Ingredients'!$I$2:$I$2500,'Recipe Ingredients'!$A$2:$A$2500,A120)/R120</f>
        <v>214.33333333333334</v>
      </c>
      <c r="V120" s="29">
        <f>SUMIFS('Recipe Ingredients'!$J$2:$J$2500,'Recipe Ingredients'!$A$2:$A$2500,A120)/R120</f>
        <v>4.726</v>
      </c>
      <c r="W120" s="29">
        <f>SUMIFS('Recipe Ingredients'!$K$2:$K$2500,'Recipe Ingredients'!$A$2:$A$2500,A120)/R120</f>
        <v>41.43</v>
      </c>
      <c r="X120" s="29">
        <f>SUMIFS('Recipe Ingredients'!$L$2:$L$2500,'Recipe Ingredients'!$A$2:$A$2500,A120)/R120</f>
        <v>59.54666666666666</v>
      </c>
      <c r="Y120" s="29">
        <f>SUMIFS('Recipe Ingredients'!$M$2:$M$2500,'Recipe Ingredients'!$A$2:$A$2500,A120)/R120</f>
        <v>38.880999999999993</v>
      </c>
      <c r="Z120" s="29">
        <f>SUMIFS('Recipe Ingredients'!$N$2:$N$2500,'Recipe Ingredients'!$A$2:$A$2500,A120)/R120</f>
        <v>73.930000000000007</v>
      </c>
      <c r="AA120" s="29">
        <f>SUMIFS('Recipe Ingredients'!$O$2:$O$2500,'Recipe Ingredients'!$A$2:$A$2500,A120)/R120</f>
        <v>518.32333333333338</v>
      </c>
      <c r="AB120" s="30">
        <f>SUMIFS('Recipe Ingredients'!$P$2:$P$2500,'Recipe Ingredients'!$A$2:$A$2500,A120)/R120</f>
        <v>0.59013333333333329</v>
      </c>
      <c r="AC120" s="30">
        <f>SUMIFS('Recipe Ingredients'!$Q$2:$Q$2500,'Recipe Ingredients'!$A$2:$A$2500,A120)/R120</f>
        <v>0.37063999999999991</v>
      </c>
      <c r="AD120" s="29">
        <f>SUMIFS('Recipe Ingredients'!$R$2:$R$2500,'Recipe Ingredients'!$A$2:$A$2500,A120)/R120</f>
        <v>64.256666666666661</v>
      </c>
      <c r="AE120" s="30">
        <f>SUMIFS('Recipe Ingredients'!$S$2:$S$2500,'Recipe Ingredients'!$A$2:$A$2500,A120)/R120</f>
        <v>0.96213333333333317</v>
      </c>
      <c r="AF120" s="31">
        <f>IFERROR(V120/'Start Here'!$C$10,0)</f>
        <v>0.18903999999999999</v>
      </c>
      <c r="AG120" s="31">
        <f>IFERROR(W120/'Start Here'!$C$11,0)</f>
        <v>0.51787499999999997</v>
      </c>
      <c r="AH120" s="31">
        <f>IFERROR(X120/'Start Here'!$C$12,0)</f>
        <v>7.4433333333333324E-2</v>
      </c>
      <c r="AI120" s="31">
        <f>IFERROR(Y120/'Start Here'!$C$13,0)</f>
        <v>0.51841333333333328</v>
      </c>
      <c r="AJ120" s="31">
        <f>IFERROR(Z120/'Start Here'!$C$14,0)</f>
        <v>0.36965000000000003</v>
      </c>
      <c r="AK120" s="31">
        <f>IFERROR(AA120/'Start Here'!$C$15,0)</f>
        <v>0.25916166666666668</v>
      </c>
      <c r="AL120" s="31">
        <f>IFERROR(AB120/'Start Here'!$C$16,0)</f>
        <v>4.9177777777777772E-2</v>
      </c>
      <c r="AM120" s="31">
        <f>IFERROR(AC120/'Start Here'!$C$17,0)</f>
        <v>0.26474285714285711</v>
      </c>
      <c r="AN120" s="31">
        <f>IFERROR(AD120/'Start Here'!$C$18,0)</f>
        <v>0.17135111111111109</v>
      </c>
      <c r="AO120" s="31">
        <f>IFERROR(AE120/'Start Here'!$C$19,0)</f>
        <v>6.8723809523809506E-2</v>
      </c>
      <c r="AP120" s="22" t="str">
        <f t="shared" si="20"/>
        <v>Vitamin K</v>
      </c>
      <c r="AQ120" s="7" t="str">
        <f t="shared" si="21"/>
        <v>Best for better vitamin K intake: one serving gives about 52% of your daily vitamin K from the produce alone.</v>
      </c>
      <c r="AR120" s="7" t="str">
        <f t="shared" si="22"/>
        <v>Vitamin C (52%), Folate (37%), Potassium (26%), Vitamin B6 (26%)</v>
      </c>
      <c r="AS120" s="7" t="s">
        <v>2326</v>
      </c>
      <c r="AT120" s="7" t="s">
        <v>2327</v>
      </c>
      <c r="AU120" s="28">
        <f>COUNTIFS('Recipe Ingredients'!$A$2:$A$2500,A120,'Recipe Ingredients'!$G$2:$G$2500,"Basket")</f>
        <v>7</v>
      </c>
      <c r="AV120" s="28">
        <f>COUNTIFS('Recipe Ingredients'!$A$2:$A$2500,A120,'Recipe Ingredients'!$G$2:$G$2500,"Protein")+COUNTIFS('Recipe Ingredients'!$A$2:$A$2500,A120,'Recipe Ingredients'!$G$2:$G$2500,"Pantry")</f>
        <v>3</v>
      </c>
      <c r="AW120" s="31">
        <f t="shared" si="23"/>
        <v>0.7</v>
      </c>
      <c r="AX120" s="28" t="str">
        <f>IF(AW120&gt;='Start Here'!$C$6,"Yes","No")</f>
        <v>No</v>
      </c>
      <c r="AY120" s="7" t="s">
        <v>115</v>
      </c>
      <c r="AZ120" s="7" t="s">
        <v>2328</v>
      </c>
      <c r="BA120" s="7" t="s">
        <v>2329</v>
      </c>
      <c r="BB120" s="32" t="s">
        <v>964</v>
      </c>
    </row>
    <row r="121" spans="1:54" ht="96" customHeight="1" x14ac:dyDescent="0.25">
      <c r="A121" s="22" t="s">
        <v>2330</v>
      </c>
      <c r="B121" s="23" t="s">
        <v>2331</v>
      </c>
      <c r="C121" s="22" t="s">
        <v>1129</v>
      </c>
      <c r="D121" s="22" t="s">
        <v>1321</v>
      </c>
      <c r="E121" s="22" t="s">
        <v>1275</v>
      </c>
      <c r="F121" s="7" t="s">
        <v>2332</v>
      </c>
      <c r="G121" s="22" t="s">
        <v>1147</v>
      </c>
      <c r="H121" s="27" t="s">
        <v>2333</v>
      </c>
      <c r="I121" s="27" t="s">
        <v>2334</v>
      </c>
      <c r="J121" s="7" t="s">
        <v>2335</v>
      </c>
      <c r="K121" s="7" t="s">
        <v>2336</v>
      </c>
      <c r="L121" s="7" t="s">
        <v>203</v>
      </c>
      <c r="M121" s="22" t="s">
        <v>958</v>
      </c>
      <c r="N121" s="28">
        <v>10</v>
      </c>
      <c r="O121" s="28">
        <v>30</v>
      </c>
      <c r="P121" s="28">
        <f t="shared" si="18"/>
        <v>40</v>
      </c>
      <c r="Q121" s="22" t="str">
        <f t="shared" si="19"/>
        <v>Standard</v>
      </c>
      <c r="R121" s="28">
        <v>4</v>
      </c>
      <c r="S121" s="22">
        <v>190</v>
      </c>
      <c r="T121" s="22">
        <v>6</v>
      </c>
      <c r="U121" s="29">
        <f>SUMIFS('Recipe Ingredients'!$I$2:$I$2500,'Recipe Ingredients'!$A$2:$A$2500,A121)/R121</f>
        <v>264.375</v>
      </c>
      <c r="V121" s="29">
        <f>SUMIFS('Recipe Ingredients'!$J$2:$J$2500,'Recipe Ingredients'!$A$2:$A$2500,A121)/R121</f>
        <v>2.0721249999999998</v>
      </c>
      <c r="W121" s="29">
        <f>SUMIFS('Recipe Ingredients'!$K$2:$K$2500,'Recipe Ingredients'!$A$2:$A$2500,A121)/R121</f>
        <v>25.378499999999999</v>
      </c>
      <c r="X121" s="29">
        <f>SUMIFS('Recipe Ingredients'!$L$2:$L$2500,'Recipe Ingredients'!$A$2:$A$2500,A121)/R121</f>
        <v>1071.7774999999999</v>
      </c>
      <c r="Y121" s="29">
        <f>SUMIFS('Recipe Ingredients'!$M$2:$M$2500,'Recipe Ingredients'!$A$2:$A$2500,A121)/R121</f>
        <v>8.969125</v>
      </c>
      <c r="Z121" s="29">
        <f>SUMIFS('Recipe Ingredients'!$N$2:$N$2500,'Recipe Ingredients'!$A$2:$A$2500,A121)/R121</f>
        <v>59.686250000000001</v>
      </c>
      <c r="AA121" s="29">
        <f>SUMIFS('Recipe Ingredients'!$O$2:$O$2500,'Recipe Ingredients'!$A$2:$A$2500,A121)/R121</f>
        <v>922.98124999999993</v>
      </c>
      <c r="AB121" s="30">
        <f>SUMIFS('Recipe Ingredients'!$P$2:$P$2500,'Recipe Ingredients'!$A$2:$A$2500,A121)/R121</f>
        <v>3.3312750000000002</v>
      </c>
      <c r="AC121" s="30">
        <f>SUMIFS('Recipe Ingredients'!$Q$2:$Q$2500,'Recipe Ingredients'!$A$2:$A$2500,A121)/R121</f>
        <v>0.19847375000000003</v>
      </c>
      <c r="AD121" s="29">
        <f>SUMIFS('Recipe Ingredients'!$R$2:$R$2500,'Recipe Ingredients'!$A$2:$A$2500,A121)/R121</f>
        <v>43.701250000000002</v>
      </c>
      <c r="AE121" s="30">
        <f>SUMIFS('Recipe Ingredients'!$S$2:$S$2500,'Recipe Ingredients'!$A$2:$A$2500,A121)/R121</f>
        <v>2.420525</v>
      </c>
      <c r="AF121" s="31">
        <f>IFERROR(V121/'Start Here'!$C$10,0)</f>
        <v>8.2884999999999986E-2</v>
      </c>
      <c r="AG121" s="31">
        <f>IFERROR(W121/'Start Here'!$C$11,0)</f>
        <v>0.31723124999999996</v>
      </c>
      <c r="AH121" s="31">
        <f>IFERROR(X121/'Start Here'!$C$12,0)</f>
        <v>1.339721875</v>
      </c>
      <c r="AI121" s="31">
        <f>IFERROR(Y121/'Start Here'!$C$13,0)</f>
        <v>0.11958833333333334</v>
      </c>
      <c r="AJ121" s="31">
        <f>IFERROR(Z121/'Start Here'!$C$14,0)</f>
        <v>0.29843124999999998</v>
      </c>
      <c r="AK121" s="31">
        <f>IFERROR(AA121/'Start Here'!$C$15,0)</f>
        <v>0.46149062499999999</v>
      </c>
      <c r="AL121" s="31">
        <f>IFERROR(AB121/'Start Here'!$C$16,0)</f>
        <v>0.27760625</v>
      </c>
      <c r="AM121" s="31">
        <f>IFERROR(AC121/'Start Here'!$C$17,0)</f>
        <v>0.14176696428571431</v>
      </c>
      <c r="AN121" s="31">
        <f>IFERROR(AD121/'Start Here'!$C$18,0)</f>
        <v>0.11653666666666668</v>
      </c>
      <c r="AO121" s="31">
        <f>IFERROR(AE121/'Start Here'!$C$19,0)</f>
        <v>0.17289464285714287</v>
      </c>
      <c r="AP121" s="22" t="str">
        <f t="shared" si="20"/>
        <v>Vitamin A</v>
      </c>
      <c r="AQ121" s="7" t="str">
        <f t="shared" si="21"/>
        <v>Best for better vitamin A intake: one serving gives about 134% of your daily vitamin A from the produce alone.</v>
      </c>
      <c r="AR121" s="7" t="str">
        <f t="shared" si="22"/>
        <v>Vitamin C (32%), Folate (30%), Potassium (46%), Vitamin E (28%)</v>
      </c>
      <c r="AS121" s="7" t="s">
        <v>2337</v>
      </c>
      <c r="AT121" s="7" t="s">
        <v>2338</v>
      </c>
      <c r="AU121" s="28">
        <f>COUNTIFS('Recipe Ingredients'!$A$2:$A$2500,A121,'Recipe Ingredients'!$G$2:$G$2500,"Basket")</f>
        <v>5</v>
      </c>
      <c r="AV121" s="28">
        <f>COUNTIFS('Recipe Ingredients'!$A$2:$A$2500,A121,'Recipe Ingredients'!$G$2:$G$2500,"Protein")+COUNTIFS('Recipe Ingredients'!$A$2:$A$2500,A121,'Recipe Ingredients'!$G$2:$G$2500,"Pantry")</f>
        <v>2</v>
      </c>
      <c r="AW121" s="31">
        <f t="shared" si="23"/>
        <v>0.7142857142857143</v>
      </c>
      <c r="AX121" s="28" t="str">
        <f>IF(AW121&gt;='Start Here'!$C$6,"Yes","No")</f>
        <v>No</v>
      </c>
      <c r="AY121" s="7" t="s">
        <v>115</v>
      </c>
      <c r="AZ121" s="7" t="s">
        <v>2339</v>
      </c>
      <c r="BA121" s="7" t="s">
        <v>2340</v>
      </c>
      <c r="BB121" s="32" t="s">
        <v>964</v>
      </c>
    </row>
    <row r="122" spans="1:54" ht="96" customHeight="1" x14ac:dyDescent="0.25">
      <c r="A122" s="22" t="s">
        <v>2341</v>
      </c>
      <c r="B122" s="23" t="s">
        <v>2342</v>
      </c>
      <c r="C122" s="22" t="s">
        <v>1129</v>
      </c>
      <c r="D122" s="22" t="s">
        <v>1321</v>
      </c>
      <c r="E122" s="22" t="s">
        <v>1275</v>
      </c>
      <c r="F122" s="7" t="s">
        <v>2343</v>
      </c>
      <c r="G122" s="22" t="s">
        <v>1005</v>
      </c>
      <c r="H122" s="27" t="s">
        <v>2344</v>
      </c>
      <c r="I122" s="27" t="s">
        <v>2345</v>
      </c>
      <c r="J122" s="7" t="s">
        <v>2346</v>
      </c>
      <c r="K122" s="7" t="s">
        <v>2347</v>
      </c>
      <c r="L122" s="7" t="s">
        <v>563</v>
      </c>
      <c r="M122" s="22" t="s">
        <v>1051</v>
      </c>
      <c r="N122" s="28">
        <v>15</v>
      </c>
      <c r="O122" s="28">
        <v>45</v>
      </c>
      <c r="P122" s="28">
        <f t="shared" si="18"/>
        <v>60</v>
      </c>
      <c r="Q122" s="22" t="str">
        <f t="shared" si="19"/>
        <v>Standard</v>
      </c>
      <c r="R122" s="28">
        <v>4</v>
      </c>
      <c r="S122" s="22">
        <v>230</v>
      </c>
      <c r="T122" s="22">
        <v>5</v>
      </c>
      <c r="U122" s="29">
        <f>SUMIFS('Recipe Ingredients'!$I$2:$I$2500,'Recipe Ingredients'!$A$2:$A$2500,A122)/R122</f>
        <v>227.5</v>
      </c>
      <c r="V122" s="29">
        <f>SUMIFS('Recipe Ingredients'!$J$2:$J$2500,'Recipe Ingredients'!$A$2:$A$2500,A122)/R122</f>
        <v>4.8975</v>
      </c>
      <c r="W122" s="29">
        <f>SUMIFS('Recipe Ingredients'!$K$2:$K$2500,'Recipe Ingredients'!$A$2:$A$2500,A122)/R122</f>
        <v>45.01100000000001</v>
      </c>
      <c r="X122" s="29">
        <f>SUMIFS('Recipe Ingredients'!$L$2:$L$2500,'Recipe Ingredients'!$A$2:$A$2500,A122)/R122</f>
        <v>1.46</v>
      </c>
      <c r="Y122" s="29">
        <f>SUMIFS('Recipe Ingredients'!$M$2:$M$2500,'Recipe Ingredients'!$A$2:$A$2500,A122)/R122</f>
        <v>4.5255000000000001</v>
      </c>
      <c r="Z122" s="29">
        <f>SUMIFS('Recipe Ingredients'!$N$2:$N$2500,'Recipe Ingredients'!$A$2:$A$2500,A122)/R122</f>
        <v>34.885000000000005</v>
      </c>
      <c r="AA122" s="29">
        <f>SUMIFS('Recipe Ingredients'!$O$2:$O$2500,'Recipe Ingredients'!$A$2:$A$2500,A122)/R122</f>
        <v>968.94499999999994</v>
      </c>
      <c r="AB122" s="30">
        <f>SUMIFS('Recipe Ingredients'!$P$2:$P$2500,'Recipe Ingredients'!$A$2:$A$2500,A122)/R122</f>
        <v>2.3699999999999999E-2</v>
      </c>
      <c r="AC122" s="30">
        <f>SUMIFS('Recipe Ingredients'!$Q$2:$Q$2500,'Recipe Ingredients'!$A$2:$A$2500,A122)/R122</f>
        <v>0.69238500000000003</v>
      </c>
      <c r="AD122" s="29">
        <f>SUMIFS('Recipe Ingredients'!$R$2:$R$2500,'Recipe Ingredients'!$A$2:$A$2500,A122)/R122</f>
        <v>53.034999999999997</v>
      </c>
      <c r="AE122" s="30">
        <f>SUMIFS('Recipe Ingredients'!$S$2:$S$2500,'Recipe Ingredients'!$A$2:$A$2500,A122)/R122</f>
        <v>1.9145000000000001</v>
      </c>
      <c r="AF122" s="31">
        <f>IFERROR(V122/'Start Here'!$C$10,0)</f>
        <v>0.19589999999999999</v>
      </c>
      <c r="AG122" s="31">
        <f>IFERROR(W122/'Start Here'!$C$11,0)</f>
        <v>0.56263750000000012</v>
      </c>
      <c r="AH122" s="31">
        <f>IFERROR(X122/'Start Here'!$C$12,0)</f>
        <v>1.825E-3</v>
      </c>
      <c r="AI122" s="31">
        <f>IFERROR(Y122/'Start Here'!$C$13,0)</f>
        <v>6.0339999999999998E-2</v>
      </c>
      <c r="AJ122" s="31">
        <f>IFERROR(Z122/'Start Here'!$C$14,0)</f>
        <v>0.17442500000000002</v>
      </c>
      <c r="AK122" s="31">
        <f>IFERROR(AA122/'Start Here'!$C$15,0)</f>
        <v>0.48447249999999997</v>
      </c>
      <c r="AL122" s="31">
        <f>IFERROR(AB122/'Start Here'!$C$16,0)</f>
        <v>1.9749999999999998E-3</v>
      </c>
      <c r="AM122" s="31">
        <f>IFERROR(AC122/'Start Here'!$C$17,0)</f>
        <v>0.49456071428571435</v>
      </c>
      <c r="AN122" s="31">
        <f>IFERROR(AD122/'Start Here'!$C$18,0)</f>
        <v>0.14142666666666664</v>
      </c>
      <c r="AO122" s="31">
        <f>IFERROR(AE122/'Start Here'!$C$19,0)</f>
        <v>0.13675000000000001</v>
      </c>
      <c r="AP122" s="22" t="str">
        <f t="shared" si="20"/>
        <v>Vitamin C</v>
      </c>
      <c r="AQ122" s="7" t="str">
        <f t="shared" si="21"/>
        <v>Best for better vitamin C intake: one serving gives about 56% of your daily vitamin C from the produce alone.</v>
      </c>
      <c r="AR122" s="7" t="str">
        <f t="shared" si="22"/>
        <v>Potassium (48%), Vitamin B6 (49%)</v>
      </c>
      <c r="AS122" s="7" t="s">
        <v>2348</v>
      </c>
      <c r="AT122" s="7" t="s">
        <v>2349</v>
      </c>
      <c r="AU122" s="28">
        <f>COUNTIFS('Recipe Ingredients'!$A$2:$A$2500,A122,'Recipe Ingredients'!$G$2:$G$2500,"Basket")</f>
        <v>3</v>
      </c>
      <c r="AV122" s="28">
        <f>COUNTIFS('Recipe Ingredients'!$A$2:$A$2500,A122,'Recipe Ingredients'!$G$2:$G$2500,"Protein")+COUNTIFS('Recipe Ingredients'!$A$2:$A$2500,A122,'Recipe Ingredients'!$G$2:$G$2500,"Pantry")</f>
        <v>0</v>
      </c>
      <c r="AW122" s="31">
        <f t="shared" si="23"/>
        <v>1</v>
      </c>
      <c r="AX122" s="28" t="str">
        <f>IF(AW122&gt;='Start Here'!$C$6,"Yes","No")</f>
        <v>Yes</v>
      </c>
      <c r="AY122" s="7" t="s">
        <v>115</v>
      </c>
      <c r="AZ122" s="7" t="s">
        <v>2350</v>
      </c>
      <c r="BA122" s="7" t="s">
        <v>2351</v>
      </c>
      <c r="BB122" s="32" t="s">
        <v>964</v>
      </c>
    </row>
    <row r="123" spans="1:54" ht="96" customHeight="1" x14ac:dyDescent="0.25">
      <c r="A123" s="22" t="s">
        <v>2352</v>
      </c>
      <c r="B123" s="23" t="s">
        <v>2353</v>
      </c>
      <c r="C123" s="22" t="s">
        <v>1129</v>
      </c>
      <c r="D123" s="22" t="s">
        <v>1321</v>
      </c>
      <c r="E123" s="22" t="s">
        <v>1275</v>
      </c>
      <c r="F123" s="7" t="s">
        <v>2354</v>
      </c>
      <c r="G123" s="22" t="s">
        <v>1005</v>
      </c>
      <c r="H123" s="27" t="s">
        <v>2355</v>
      </c>
      <c r="I123" s="27" t="s">
        <v>2356</v>
      </c>
      <c r="J123" s="7" t="s">
        <v>2357</v>
      </c>
      <c r="K123" s="7" t="s">
        <v>2358</v>
      </c>
      <c r="L123" s="7" t="s">
        <v>974</v>
      </c>
      <c r="M123" s="22" t="s">
        <v>1051</v>
      </c>
      <c r="N123" s="28">
        <v>5</v>
      </c>
      <c r="O123" s="28">
        <v>10</v>
      </c>
      <c r="P123" s="28">
        <f t="shared" si="18"/>
        <v>15</v>
      </c>
      <c r="Q123" s="22" t="str">
        <f t="shared" si="19"/>
        <v>Quick</v>
      </c>
      <c r="R123" s="28">
        <v>6</v>
      </c>
      <c r="S123" s="22">
        <v>70</v>
      </c>
      <c r="T123" s="22">
        <v>2</v>
      </c>
      <c r="U123" s="29">
        <f>SUMIFS('Recipe Ingredients'!$I$2:$I$2500,'Recipe Ingredients'!$A$2:$A$2500,A123)/R123</f>
        <v>144.33333333333334</v>
      </c>
      <c r="V123" s="29">
        <f>SUMIFS('Recipe Ingredients'!$J$2:$J$2500,'Recipe Ingredients'!$A$2:$A$2500,A123)/R123</f>
        <v>3.6110000000000002</v>
      </c>
      <c r="W123" s="29">
        <f>SUMIFS('Recipe Ingredients'!$K$2:$K$2500,'Recipe Ingredients'!$A$2:$A$2500,A123)/R123</f>
        <v>51.115833333333335</v>
      </c>
      <c r="X123" s="29">
        <f>SUMIFS('Recipe Ingredients'!$L$2:$L$2500,'Recipe Ingredients'!$A$2:$A$2500,A123)/R123</f>
        <v>94.938333333333333</v>
      </c>
      <c r="Y123" s="29">
        <f>SUMIFS('Recipe Ingredients'!$M$2:$M$2500,'Recipe Ingredients'!$A$2:$A$2500,A123)/R123</f>
        <v>100.87883333333332</v>
      </c>
      <c r="Z123" s="29">
        <f>SUMIFS('Recipe Ingredients'!$N$2:$N$2500,'Recipe Ingredients'!$A$2:$A$2500,A123)/R123</f>
        <v>56.823333333333331</v>
      </c>
      <c r="AA123" s="29">
        <f>SUMIFS('Recipe Ingredients'!$O$2:$O$2500,'Recipe Ingredients'!$A$2:$A$2500,A123)/R123</f>
        <v>275.565</v>
      </c>
      <c r="AB123" s="30">
        <f>SUMIFS('Recipe Ingredients'!$P$2:$P$2500,'Recipe Ingredients'!$A$2:$A$2500,A123)/R123</f>
        <v>0.31236666666666663</v>
      </c>
      <c r="AC123" s="30">
        <f>SUMIFS('Recipe Ingredients'!$Q$2:$Q$2500,'Recipe Ingredients'!$A$2:$A$2500,A123)/R123</f>
        <v>0.19740000000000002</v>
      </c>
      <c r="AD123" s="29">
        <f>SUMIFS('Recipe Ingredients'!$R$2:$R$2500,'Recipe Ingredients'!$A$2:$A$2500,A123)/R123</f>
        <v>18.651666666666667</v>
      </c>
      <c r="AE123" s="30">
        <f>SUMIFS('Recipe Ingredients'!$S$2:$S$2500,'Recipe Ingredients'!$A$2:$A$2500,A123)/R123</f>
        <v>0.75316666666666665</v>
      </c>
      <c r="AF123" s="31">
        <f>IFERROR(V123/'Start Here'!$C$10,0)</f>
        <v>0.14444000000000001</v>
      </c>
      <c r="AG123" s="31">
        <f>IFERROR(W123/'Start Here'!$C$11,0)</f>
        <v>0.63894791666666673</v>
      </c>
      <c r="AH123" s="31">
        <f>IFERROR(X123/'Start Here'!$C$12,0)</f>
        <v>0.11867291666666667</v>
      </c>
      <c r="AI123" s="31">
        <f>IFERROR(Y123/'Start Here'!$C$13,0)</f>
        <v>1.345051111111111</v>
      </c>
      <c r="AJ123" s="31">
        <f>IFERROR(Z123/'Start Here'!$C$14,0)</f>
        <v>0.28411666666666663</v>
      </c>
      <c r="AK123" s="31">
        <f>IFERROR(AA123/'Start Here'!$C$15,0)</f>
        <v>0.1377825</v>
      </c>
      <c r="AL123" s="31">
        <f>IFERROR(AB123/'Start Here'!$C$16,0)</f>
        <v>2.6030555555555553E-2</v>
      </c>
      <c r="AM123" s="31">
        <f>IFERROR(AC123/'Start Here'!$C$17,0)</f>
        <v>0.14100000000000001</v>
      </c>
      <c r="AN123" s="31">
        <f>IFERROR(AD123/'Start Here'!$C$18,0)</f>
        <v>4.9737777777777777E-2</v>
      </c>
      <c r="AO123" s="31">
        <f>IFERROR(AE123/'Start Here'!$C$19,0)</f>
        <v>5.3797619047619046E-2</v>
      </c>
      <c r="AP123" s="22" t="str">
        <f t="shared" si="20"/>
        <v>Vitamin K</v>
      </c>
      <c r="AQ123" s="7" t="str">
        <f t="shared" si="21"/>
        <v>Best for better vitamin K intake: one serving gives about 135% of your daily vitamin K from the produce alone.</v>
      </c>
      <c r="AR123" s="7" t="str">
        <f t="shared" si="22"/>
        <v>Vitamin C (64%), Folate (28%)</v>
      </c>
      <c r="AS123" s="7" t="s">
        <v>2060</v>
      </c>
      <c r="AT123" s="7" t="s">
        <v>2359</v>
      </c>
      <c r="AU123" s="28">
        <f>COUNTIFS('Recipe Ingredients'!$A$2:$A$2500,A123,'Recipe Ingredients'!$G$2:$G$2500,"Basket")</f>
        <v>7</v>
      </c>
      <c r="AV123" s="28">
        <f>COUNTIFS('Recipe Ingredients'!$A$2:$A$2500,A123,'Recipe Ingredients'!$G$2:$G$2500,"Protein")+COUNTIFS('Recipe Ingredients'!$A$2:$A$2500,A123,'Recipe Ingredients'!$G$2:$G$2500,"Pantry")</f>
        <v>0</v>
      </c>
      <c r="AW123" s="31">
        <f t="shared" si="23"/>
        <v>1</v>
      </c>
      <c r="AX123" s="28" t="str">
        <f>IF(AW123&gt;='Start Here'!$C$6,"Yes","No")</f>
        <v>Yes</v>
      </c>
      <c r="AY123" s="7" t="s">
        <v>115</v>
      </c>
      <c r="AZ123" s="7" t="s">
        <v>2360</v>
      </c>
      <c r="BA123" s="7" t="s">
        <v>2361</v>
      </c>
      <c r="BB123" s="32" t="s">
        <v>964</v>
      </c>
    </row>
    <row r="124" spans="1:54" ht="96" customHeight="1" x14ac:dyDescent="0.25">
      <c r="A124" s="22" t="s">
        <v>2362</v>
      </c>
      <c r="B124" s="23" t="s">
        <v>2363</v>
      </c>
      <c r="C124" s="22" t="s">
        <v>1129</v>
      </c>
      <c r="D124" s="22" t="s">
        <v>1321</v>
      </c>
      <c r="E124" s="22" t="s">
        <v>1275</v>
      </c>
      <c r="F124" s="7" t="s">
        <v>2364</v>
      </c>
      <c r="G124" s="22" t="s">
        <v>1789</v>
      </c>
      <c r="H124" s="27" t="s">
        <v>2365</v>
      </c>
      <c r="I124" s="7"/>
      <c r="J124" s="7" t="s">
        <v>2366</v>
      </c>
      <c r="K124" s="7" t="s">
        <v>2367</v>
      </c>
      <c r="L124" s="7" t="s">
        <v>1922</v>
      </c>
      <c r="M124" s="22" t="s">
        <v>1051</v>
      </c>
      <c r="N124" s="28">
        <v>15</v>
      </c>
      <c r="O124" s="28">
        <v>5</v>
      </c>
      <c r="P124" s="28">
        <f t="shared" si="18"/>
        <v>20</v>
      </c>
      <c r="Q124" s="22" t="str">
        <f t="shared" si="19"/>
        <v>Quick</v>
      </c>
      <c r="R124" s="28">
        <v>4</v>
      </c>
      <c r="S124" s="22">
        <v>90</v>
      </c>
      <c r="T124" s="22">
        <v>3</v>
      </c>
      <c r="U124" s="29">
        <f>SUMIFS('Recipe Ingredients'!$I$2:$I$2500,'Recipe Ingredients'!$A$2:$A$2500,A124)/R124</f>
        <v>117.5</v>
      </c>
      <c r="V124" s="29">
        <f>SUMIFS('Recipe Ingredients'!$J$2:$J$2500,'Recipe Ingredients'!$A$2:$A$2500,A124)/R124</f>
        <v>2.3474999999999997</v>
      </c>
      <c r="W124" s="29">
        <f>SUMIFS('Recipe Ingredients'!$K$2:$K$2500,'Recipe Ingredients'!$A$2:$A$2500,A124)/R124</f>
        <v>51.678750000000001</v>
      </c>
      <c r="X124" s="29">
        <f>SUMIFS('Recipe Ingredients'!$L$2:$L$2500,'Recipe Ingredients'!$A$2:$A$2500,A124)/R124</f>
        <v>164.85</v>
      </c>
      <c r="Y124" s="29">
        <f>SUMIFS('Recipe Ingredients'!$M$2:$M$2500,'Recipe Ingredients'!$A$2:$A$2500,A124)/R124</f>
        <v>1282.73875</v>
      </c>
      <c r="Z124" s="29">
        <f>SUMIFS('Recipe Ingredients'!$N$2:$N$2500,'Recipe Ingredients'!$A$2:$A$2500,A124)/R124</f>
        <v>96.024999999999991</v>
      </c>
      <c r="AA124" s="29">
        <f>SUMIFS('Recipe Ingredients'!$O$2:$O$2500,'Recipe Ingredients'!$A$2:$A$2500,A124)/R124</f>
        <v>706.4375</v>
      </c>
      <c r="AB124" s="30">
        <f>SUMIFS('Recipe Ingredients'!$P$2:$P$2500,'Recipe Ingredients'!$A$2:$A$2500,A124)/R124</f>
        <v>1.1625E-2</v>
      </c>
      <c r="AC124" s="30">
        <f>SUMIFS('Recipe Ingredients'!$Q$2:$Q$2500,'Recipe Ingredients'!$A$2:$A$2500,A124)/R124</f>
        <v>0.26863750000000008</v>
      </c>
      <c r="AD124" s="29">
        <f>SUMIFS('Recipe Ingredients'!$R$2:$R$2500,'Recipe Ingredients'!$A$2:$A$2500,A124)/R124</f>
        <v>63.1</v>
      </c>
      <c r="AE124" s="30">
        <f>SUMIFS('Recipe Ingredients'!$S$2:$S$2500,'Recipe Ingredients'!$A$2:$A$2500,A124)/R124</f>
        <v>2.6866250000000003</v>
      </c>
      <c r="AF124" s="31">
        <f>IFERROR(V124/'Start Here'!$C$10,0)</f>
        <v>9.3899999999999983E-2</v>
      </c>
      <c r="AG124" s="31">
        <f>IFERROR(W124/'Start Here'!$C$11,0)</f>
        <v>0.64598437500000006</v>
      </c>
      <c r="AH124" s="31">
        <f>IFERROR(X124/'Start Here'!$C$12,0)</f>
        <v>0.20606249999999998</v>
      </c>
      <c r="AI124" s="31">
        <f>IFERROR(Y124/'Start Here'!$C$13,0)</f>
        <v>17.103183333333334</v>
      </c>
      <c r="AJ124" s="31">
        <f>IFERROR(Z124/'Start Here'!$C$14,0)</f>
        <v>0.48012499999999997</v>
      </c>
      <c r="AK124" s="31">
        <f>IFERROR(AA124/'Start Here'!$C$15,0)</f>
        <v>0.35321875000000003</v>
      </c>
      <c r="AL124" s="31">
        <f>IFERROR(AB124/'Start Here'!$C$16,0)</f>
        <v>9.6874999999999999E-4</v>
      </c>
      <c r="AM124" s="31">
        <f>IFERROR(AC124/'Start Here'!$C$17,0)</f>
        <v>0.19188392857142864</v>
      </c>
      <c r="AN124" s="31">
        <f>IFERROR(AD124/'Start Here'!$C$18,0)</f>
        <v>0.16826666666666668</v>
      </c>
      <c r="AO124" s="31">
        <f>IFERROR(AE124/'Start Here'!$C$19,0)</f>
        <v>0.19190178571428573</v>
      </c>
      <c r="AP124" s="22" t="str">
        <f t="shared" si="20"/>
        <v>Vitamin K</v>
      </c>
      <c r="AQ124" s="7" t="str">
        <f t="shared" si="21"/>
        <v>Best for better vitamin K intake: one serving gives about 1710% of your daily vitamin K from the produce alone.</v>
      </c>
      <c r="AR124" s="7" t="str">
        <f t="shared" si="22"/>
        <v>Vitamin C (65%), Folate (48%), Potassium (35%)</v>
      </c>
      <c r="AS124" s="7" t="s">
        <v>2368</v>
      </c>
      <c r="AT124" s="7" t="s">
        <v>2369</v>
      </c>
      <c r="AU124" s="28">
        <f>COUNTIFS('Recipe Ingredients'!$A$2:$A$2500,A124,'Recipe Ingredients'!$G$2:$G$2500,"Basket")</f>
        <v>3</v>
      </c>
      <c r="AV124" s="28">
        <f>COUNTIFS('Recipe Ingredients'!$A$2:$A$2500,A124,'Recipe Ingredients'!$G$2:$G$2500,"Protein")+COUNTIFS('Recipe Ingredients'!$A$2:$A$2500,A124,'Recipe Ingredients'!$G$2:$G$2500,"Pantry")</f>
        <v>1</v>
      </c>
      <c r="AW124" s="31">
        <f t="shared" si="23"/>
        <v>0.75</v>
      </c>
      <c r="AX124" s="28" t="str">
        <f>IF(AW124&gt;='Start Here'!$C$6,"Yes","No")</f>
        <v>No</v>
      </c>
      <c r="AY124" s="7" t="s">
        <v>115</v>
      </c>
      <c r="AZ124" s="7" t="s">
        <v>2370</v>
      </c>
      <c r="BA124" s="7" t="s">
        <v>2371</v>
      </c>
      <c r="BB124" s="32" t="s">
        <v>964</v>
      </c>
    </row>
    <row r="125" spans="1:54" ht="96" customHeight="1" x14ac:dyDescent="0.25">
      <c r="A125" s="22" t="s">
        <v>2372</v>
      </c>
      <c r="B125" s="23" t="s">
        <v>2373</v>
      </c>
      <c r="C125" s="22" t="s">
        <v>1067</v>
      </c>
      <c r="D125" s="22" t="s">
        <v>967</v>
      </c>
      <c r="E125" s="22" t="s">
        <v>2374</v>
      </c>
      <c r="F125" s="7" t="s">
        <v>2375</v>
      </c>
      <c r="G125" s="22" t="s">
        <v>2376</v>
      </c>
      <c r="H125" s="27" t="s">
        <v>2377</v>
      </c>
      <c r="I125" s="27" t="s">
        <v>2378</v>
      </c>
      <c r="J125" s="7" t="s">
        <v>2379</v>
      </c>
      <c r="K125" s="7" t="s">
        <v>2380</v>
      </c>
      <c r="L125" s="7" t="s">
        <v>194</v>
      </c>
      <c r="M125" s="22" t="s">
        <v>958</v>
      </c>
      <c r="N125" s="28">
        <v>15</v>
      </c>
      <c r="O125" s="28">
        <v>0</v>
      </c>
      <c r="P125" s="28">
        <f t="shared" si="18"/>
        <v>15</v>
      </c>
      <c r="Q125" s="22" t="str">
        <f t="shared" si="19"/>
        <v>No-cook</v>
      </c>
      <c r="R125" s="28">
        <v>4</v>
      </c>
      <c r="S125" s="22">
        <v>230</v>
      </c>
      <c r="T125" s="22">
        <v>5</v>
      </c>
      <c r="U125" s="29">
        <f>SUMIFS('Recipe Ingredients'!$I$2:$I$2500,'Recipe Ingredients'!$A$2:$A$2500,A125)/R125</f>
        <v>192</v>
      </c>
      <c r="V125" s="29">
        <f>SUMIFS('Recipe Ingredients'!$J$2:$J$2500,'Recipe Ingredients'!$A$2:$A$2500,A125)/R125</f>
        <v>3.7639999999999998</v>
      </c>
      <c r="W125" s="29">
        <f>SUMIFS('Recipe Ingredients'!$K$2:$K$2500,'Recipe Ingredients'!$A$2:$A$2500,A125)/R125</f>
        <v>35.390249999999995</v>
      </c>
      <c r="X125" s="29">
        <f>SUMIFS('Recipe Ingredients'!$L$2:$L$2500,'Recipe Ingredients'!$A$2:$A$2500,A125)/R125</f>
        <v>146.11750000000001</v>
      </c>
      <c r="Y125" s="29">
        <f>SUMIFS('Recipe Ingredients'!$M$2:$M$2500,'Recipe Ingredients'!$A$2:$A$2500,A125)/R125</f>
        <v>15.139749999999999</v>
      </c>
      <c r="Z125" s="29">
        <f>SUMIFS('Recipe Ingredients'!$N$2:$N$2500,'Recipe Ingredients'!$A$2:$A$2500,A125)/R125</f>
        <v>67.92</v>
      </c>
      <c r="AA125" s="29">
        <f>SUMIFS('Recipe Ingredients'!$O$2:$O$2500,'Recipe Ingredients'!$A$2:$A$2500,A125)/R125</f>
        <v>404.88250000000005</v>
      </c>
      <c r="AB125" s="30">
        <f>SUMIFS('Recipe Ingredients'!$P$2:$P$2500,'Recipe Ingredients'!$A$2:$A$2500,A125)/R125</f>
        <v>1.7272000000000003</v>
      </c>
      <c r="AC125" s="30">
        <f>SUMIFS('Recipe Ingredients'!$Q$2:$Q$2500,'Recipe Ingredients'!$A$2:$A$2500,A125)/R125</f>
        <v>0.17894499999999999</v>
      </c>
      <c r="AD125" s="29">
        <f>SUMIFS('Recipe Ingredients'!$R$2:$R$2500,'Recipe Ingredients'!$A$2:$A$2500,A125)/R125</f>
        <v>54.502499999999998</v>
      </c>
      <c r="AE125" s="30">
        <f>SUMIFS('Recipe Ingredients'!$S$2:$S$2500,'Recipe Ingredients'!$A$2:$A$2500,A125)/R125</f>
        <v>1.4240249999999999</v>
      </c>
      <c r="AF125" s="31">
        <f>IFERROR(V125/'Start Here'!$C$10,0)</f>
        <v>0.15056</v>
      </c>
      <c r="AG125" s="31">
        <f>IFERROR(W125/'Start Here'!$C$11,0)</f>
        <v>0.44237812499999996</v>
      </c>
      <c r="AH125" s="31">
        <f>IFERROR(X125/'Start Here'!$C$12,0)</f>
        <v>0.18264687500000001</v>
      </c>
      <c r="AI125" s="31">
        <f>IFERROR(Y125/'Start Here'!$C$13,0)</f>
        <v>0.20186333333333331</v>
      </c>
      <c r="AJ125" s="31">
        <f>IFERROR(Z125/'Start Here'!$C$14,0)</f>
        <v>0.33960000000000001</v>
      </c>
      <c r="AK125" s="31">
        <f>IFERROR(AA125/'Start Here'!$C$15,0)</f>
        <v>0.20244125000000002</v>
      </c>
      <c r="AL125" s="31">
        <f>IFERROR(AB125/'Start Here'!$C$16,0)</f>
        <v>0.14393333333333336</v>
      </c>
      <c r="AM125" s="31">
        <f>IFERROR(AC125/'Start Here'!$C$17,0)</f>
        <v>0.12781785714285715</v>
      </c>
      <c r="AN125" s="31">
        <f>IFERROR(AD125/'Start Here'!$C$18,0)</f>
        <v>0.14534</v>
      </c>
      <c r="AO125" s="31">
        <f>IFERROR(AE125/'Start Here'!$C$19,0)</f>
        <v>0.10171607142857142</v>
      </c>
      <c r="AP125" s="22" t="str">
        <f t="shared" si="20"/>
        <v>Vitamin C</v>
      </c>
      <c r="AQ125" s="7" t="str">
        <f t="shared" si="21"/>
        <v>Best for better vitamin C intake: one serving gives about 44% of your daily vitamin C from the produce alone.</v>
      </c>
      <c r="AR125" s="7" t="str">
        <f t="shared" si="22"/>
        <v>Folate (34%)</v>
      </c>
      <c r="AS125" s="7" t="s">
        <v>2381</v>
      </c>
      <c r="AT125" s="7" t="s">
        <v>2382</v>
      </c>
      <c r="AU125" s="28">
        <f>COUNTIFS('Recipe Ingredients'!$A$2:$A$2500,A125,'Recipe Ingredients'!$G$2:$G$2500,"Basket")</f>
        <v>7</v>
      </c>
      <c r="AV125" s="28">
        <f>COUNTIFS('Recipe Ingredients'!$A$2:$A$2500,A125,'Recipe Ingredients'!$G$2:$G$2500,"Protein")+COUNTIFS('Recipe Ingredients'!$A$2:$A$2500,A125,'Recipe Ingredients'!$G$2:$G$2500,"Pantry")</f>
        <v>1</v>
      </c>
      <c r="AW125" s="31">
        <f t="shared" si="23"/>
        <v>0.875</v>
      </c>
      <c r="AX125" s="28" t="str">
        <f>IF(AW125&gt;='Start Here'!$C$6,"Yes","No")</f>
        <v>Yes</v>
      </c>
      <c r="AY125" s="7" t="s">
        <v>115</v>
      </c>
      <c r="AZ125" s="7" t="s">
        <v>2383</v>
      </c>
      <c r="BA125" s="7" t="s">
        <v>2384</v>
      </c>
      <c r="BB125" s="32" t="s">
        <v>964</v>
      </c>
    </row>
    <row r="126" spans="1:54" ht="96" customHeight="1" x14ac:dyDescent="0.25">
      <c r="A126" s="22" t="s">
        <v>2385</v>
      </c>
      <c r="B126" s="23" t="s">
        <v>2386</v>
      </c>
      <c r="C126" s="22" t="s">
        <v>1067</v>
      </c>
      <c r="D126" s="22" t="s">
        <v>1081</v>
      </c>
      <c r="E126" s="22" t="s">
        <v>1081</v>
      </c>
      <c r="F126" s="7" t="s">
        <v>2387</v>
      </c>
      <c r="G126" s="22" t="s">
        <v>2388</v>
      </c>
      <c r="H126" s="27" t="s">
        <v>2389</v>
      </c>
      <c r="I126" s="27" t="s">
        <v>2390</v>
      </c>
      <c r="J126" s="7" t="s">
        <v>2391</v>
      </c>
      <c r="K126" s="7" t="s">
        <v>2392</v>
      </c>
      <c r="L126" s="7" t="s">
        <v>2108</v>
      </c>
      <c r="M126" s="22" t="s">
        <v>958</v>
      </c>
      <c r="N126" s="28">
        <v>30</v>
      </c>
      <c r="O126" s="28">
        <v>0</v>
      </c>
      <c r="P126" s="28">
        <f t="shared" si="18"/>
        <v>30</v>
      </c>
      <c r="Q126" s="22" t="str">
        <f t="shared" si="19"/>
        <v>No-cook</v>
      </c>
      <c r="R126" s="28">
        <v>8</v>
      </c>
      <c r="S126" s="22">
        <v>250</v>
      </c>
      <c r="T126" s="22">
        <v>4</v>
      </c>
      <c r="U126" s="29">
        <f>SUMIFS('Recipe Ingredients'!$I$2:$I$2500,'Recipe Ingredients'!$A$2:$A$2500,A126)/R126</f>
        <v>167.75</v>
      </c>
      <c r="V126" s="29">
        <f>SUMIFS('Recipe Ingredients'!$J$2:$J$2500,'Recipe Ingredients'!$A$2:$A$2500,A126)/R126</f>
        <v>3.5545</v>
      </c>
      <c r="W126" s="29">
        <f>SUMIFS('Recipe Ingredients'!$K$2:$K$2500,'Recipe Ingredients'!$A$2:$A$2500,A126)/R126</f>
        <v>41.770124999999993</v>
      </c>
      <c r="X126" s="29">
        <f>SUMIFS('Recipe Ingredients'!$L$2:$L$2500,'Recipe Ingredients'!$A$2:$A$2500,A126)/R126</f>
        <v>12.667500000000002</v>
      </c>
      <c r="Y126" s="29">
        <f>SUMIFS('Recipe Ingredients'!$M$2:$M$2500,'Recipe Ingredients'!$A$2:$A$2500,A126)/R126</f>
        <v>4.8832499999999994</v>
      </c>
      <c r="Z126" s="29">
        <f>SUMIFS('Recipe Ingredients'!$N$2:$N$2500,'Recipe Ingredients'!$A$2:$A$2500,A126)/R126</f>
        <v>25.353750000000002</v>
      </c>
      <c r="AA126" s="29">
        <f>SUMIFS('Recipe Ingredients'!$O$2:$O$2500,'Recipe Ingredients'!$A$2:$A$2500,A126)/R126</f>
        <v>300.63125000000002</v>
      </c>
      <c r="AB126" s="30">
        <f>SUMIFS('Recipe Ingredients'!$P$2:$P$2500,'Recipe Ingredients'!$A$2:$A$2500,A126)/R126</f>
        <v>0.24943750000000001</v>
      </c>
      <c r="AC126" s="30">
        <f>SUMIFS('Recipe Ingredients'!$Q$2:$Q$2500,'Recipe Ingredients'!$A$2:$A$2500,A126)/R126</f>
        <v>0.203405</v>
      </c>
      <c r="AD126" s="29">
        <f>SUMIFS('Recipe Ingredients'!$R$2:$R$2500,'Recipe Ingredients'!$A$2:$A$2500,A126)/R126</f>
        <v>23.1525</v>
      </c>
      <c r="AE126" s="30">
        <f>SUMIFS('Recipe Ingredients'!$S$2:$S$2500,'Recipe Ingredients'!$A$2:$A$2500,A126)/R126</f>
        <v>0.52463749999999998</v>
      </c>
      <c r="AF126" s="31">
        <f>IFERROR(V126/'Start Here'!$C$10,0)</f>
        <v>0.14218</v>
      </c>
      <c r="AG126" s="31">
        <f>IFERROR(W126/'Start Here'!$C$11,0)</f>
        <v>0.52212656249999989</v>
      </c>
      <c r="AH126" s="31">
        <f>IFERROR(X126/'Start Here'!$C$12,0)</f>
        <v>1.5834375000000001E-2</v>
      </c>
      <c r="AI126" s="31">
        <f>IFERROR(Y126/'Start Here'!$C$13,0)</f>
        <v>6.5109999999999987E-2</v>
      </c>
      <c r="AJ126" s="31">
        <f>IFERROR(Z126/'Start Here'!$C$14,0)</f>
        <v>0.12676875000000001</v>
      </c>
      <c r="AK126" s="31">
        <f>IFERROR(AA126/'Start Here'!$C$15,0)</f>
        <v>0.15031562500000001</v>
      </c>
      <c r="AL126" s="31">
        <f>IFERROR(AB126/'Start Here'!$C$16,0)</f>
        <v>2.0786458333333334E-2</v>
      </c>
      <c r="AM126" s="31">
        <f>IFERROR(AC126/'Start Here'!$C$17,0)</f>
        <v>0.14528928571428573</v>
      </c>
      <c r="AN126" s="31">
        <f>IFERROR(AD126/'Start Here'!$C$18,0)</f>
        <v>6.1739999999999996E-2</v>
      </c>
      <c r="AO126" s="31">
        <f>IFERROR(AE126/'Start Here'!$C$19,0)</f>
        <v>3.7474107142857142E-2</v>
      </c>
      <c r="AP126" s="22" t="str">
        <f t="shared" si="20"/>
        <v>Vitamin C</v>
      </c>
      <c r="AQ126" s="7" t="str">
        <f t="shared" si="21"/>
        <v>Best for better vitamin C intake: one serving gives about 52% of your daily vitamin C from the produce alone.</v>
      </c>
      <c r="AR126" s="7" t="str">
        <f t="shared" si="22"/>
        <v/>
      </c>
      <c r="AS126" s="7" t="s">
        <v>2393</v>
      </c>
      <c r="AT126" s="7" t="s">
        <v>2394</v>
      </c>
      <c r="AU126" s="28">
        <f>COUNTIFS('Recipe Ingredients'!$A$2:$A$2500,A126,'Recipe Ingredients'!$G$2:$G$2500,"Basket")</f>
        <v>7</v>
      </c>
      <c r="AV126" s="28">
        <f>COUNTIFS('Recipe Ingredients'!$A$2:$A$2500,A126,'Recipe Ingredients'!$G$2:$G$2500,"Protein")+COUNTIFS('Recipe Ingredients'!$A$2:$A$2500,A126,'Recipe Ingredients'!$G$2:$G$2500,"Pantry")</f>
        <v>2</v>
      </c>
      <c r="AW126" s="31">
        <f t="shared" si="23"/>
        <v>0.77777777777777779</v>
      </c>
      <c r="AX126" s="28" t="str">
        <f>IF(AW126&gt;='Start Here'!$C$6,"Yes","No")</f>
        <v>No</v>
      </c>
      <c r="AY126" s="7" t="s">
        <v>115</v>
      </c>
      <c r="AZ126" s="7" t="s">
        <v>2395</v>
      </c>
      <c r="BA126" s="7" t="s">
        <v>2396</v>
      </c>
      <c r="BB126" s="32" t="s">
        <v>964</v>
      </c>
    </row>
    <row r="127" spans="1:54" ht="96" customHeight="1" x14ac:dyDescent="0.25">
      <c r="A127" s="22" t="s">
        <v>2397</v>
      </c>
      <c r="B127" s="23" t="s">
        <v>2398</v>
      </c>
      <c r="C127" s="22" t="s">
        <v>1067</v>
      </c>
      <c r="D127" s="22" t="s">
        <v>967</v>
      </c>
      <c r="E127" s="22" t="s">
        <v>1029</v>
      </c>
      <c r="F127" s="7" t="s">
        <v>2399</v>
      </c>
      <c r="G127" s="22" t="s">
        <v>1469</v>
      </c>
      <c r="H127" s="27" t="s">
        <v>2400</v>
      </c>
      <c r="I127" s="27" t="s">
        <v>2401</v>
      </c>
      <c r="J127" s="7" t="s">
        <v>2402</v>
      </c>
      <c r="K127" s="7" t="s">
        <v>2403</v>
      </c>
      <c r="L127" s="7" t="s">
        <v>203</v>
      </c>
      <c r="M127" s="22" t="s">
        <v>958</v>
      </c>
      <c r="N127" s="28">
        <v>20</v>
      </c>
      <c r="O127" s="28">
        <v>0</v>
      </c>
      <c r="P127" s="28">
        <f t="shared" si="18"/>
        <v>20</v>
      </c>
      <c r="Q127" s="22" t="str">
        <f t="shared" si="19"/>
        <v>No-cook</v>
      </c>
      <c r="R127" s="28">
        <v>4</v>
      </c>
      <c r="S127" s="22">
        <v>280</v>
      </c>
      <c r="T127" s="22">
        <v>7</v>
      </c>
      <c r="U127" s="29">
        <f>SUMIFS('Recipe Ingredients'!$I$2:$I$2500,'Recipe Ingredients'!$A$2:$A$2500,A127)/R127</f>
        <v>169.5</v>
      </c>
      <c r="V127" s="29">
        <f>SUMIFS('Recipe Ingredients'!$J$2:$J$2500,'Recipe Ingredients'!$A$2:$A$2500,A127)/R127</f>
        <v>3.5287500000000001</v>
      </c>
      <c r="W127" s="29">
        <f>SUMIFS('Recipe Ingredients'!$K$2:$K$2500,'Recipe Ingredients'!$A$2:$A$2500,A127)/R127</f>
        <v>78.98275000000001</v>
      </c>
      <c r="X127" s="29">
        <f>SUMIFS('Recipe Ingredients'!$L$2:$L$2500,'Recipe Ingredients'!$A$2:$A$2500,A127)/R127</f>
        <v>86.254999999999981</v>
      </c>
      <c r="Y127" s="29">
        <f>SUMIFS('Recipe Ingredients'!$M$2:$M$2500,'Recipe Ingredients'!$A$2:$A$2500,A127)/R127</f>
        <v>3.0772499999999998</v>
      </c>
      <c r="Z127" s="29">
        <f>SUMIFS('Recipe Ingredients'!$N$2:$N$2500,'Recipe Ingredients'!$A$2:$A$2500,A127)/R127</f>
        <v>61.257499999999993</v>
      </c>
      <c r="AA127" s="29">
        <f>SUMIFS('Recipe Ingredients'!$O$2:$O$2500,'Recipe Ingredients'!$A$2:$A$2500,A127)/R127</f>
        <v>357.1275</v>
      </c>
      <c r="AB127" s="30">
        <f>SUMIFS('Recipe Ingredients'!$P$2:$P$2500,'Recipe Ingredients'!$A$2:$A$2500,A127)/R127</f>
        <v>1.0089000000000001</v>
      </c>
      <c r="AC127" s="30">
        <f>SUMIFS('Recipe Ingredients'!$Q$2:$Q$2500,'Recipe Ingredients'!$A$2:$A$2500,A127)/R127</f>
        <v>0.140655</v>
      </c>
      <c r="AD127" s="29">
        <f>SUMIFS('Recipe Ingredients'!$R$2:$R$2500,'Recipe Ingredients'!$A$2:$A$2500,A127)/R127</f>
        <v>39.022500000000001</v>
      </c>
      <c r="AE127" s="30">
        <f>SUMIFS('Recipe Ingredients'!$S$2:$S$2500,'Recipe Ingredients'!$A$2:$A$2500,A127)/R127</f>
        <v>0.98375000000000001</v>
      </c>
      <c r="AF127" s="31">
        <f>IFERROR(V127/'Start Here'!$C$10,0)</f>
        <v>0.14115</v>
      </c>
      <c r="AG127" s="31">
        <f>IFERROR(W127/'Start Here'!$C$11,0)</f>
        <v>0.9872843750000001</v>
      </c>
      <c r="AH127" s="31">
        <f>IFERROR(X127/'Start Here'!$C$12,0)</f>
        <v>0.10781874999999998</v>
      </c>
      <c r="AI127" s="31">
        <f>IFERROR(Y127/'Start Here'!$C$13,0)</f>
        <v>4.1029999999999997E-2</v>
      </c>
      <c r="AJ127" s="31">
        <f>IFERROR(Z127/'Start Here'!$C$14,0)</f>
        <v>0.30628749999999999</v>
      </c>
      <c r="AK127" s="31">
        <f>IFERROR(AA127/'Start Here'!$C$15,0)</f>
        <v>0.17856374999999999</v>
      </c>
      <c r="AL127" s="31">
        <f>IFERROR(AB127/'Start Here'!$C$16,0)</f>
        <v>8.4075000000000011E-2</v>
      </c>
      <c r="AM127" s="31">
        <f>IFERROR(AC127/'Start Here'!$C$17,0)</f>
        <v>0.10046785714285715</v>
      </c>
      <c r="AN127" s="31">
        <f>IFERROR(AD127/'Start Here'!$C$18,0)</f>
        <v>0.10406</v>
      </c>
      <c r="AO127" s="31">
        <f>IFERROR(AE127/'Start Here'!$C$19,0)</f>
        <v>7.0267857142857146E-2</v>
      </c>
      <c r="AP127" s="22" t="str">
        <f t="shared" si="20"/>
        <v>Vitamin C</v>
      </c>
      <c r="AQ127" s="7" t="str">
        <f t="shared" si="21"/>
        <v>Best for better vitamin C intake: one serving gives about 99% of your daily vitamin C from the produce alone.</v>
      </c>
      <c r="AR127" s="7" t="str">
        <f t="shared" si="22"/>
        <v>Folate (31%)</v>
      </c>
      <c r="AS127" s="7" t="s">
        <v>2404</v>
      </c>
      <c r="AT127" s="7" t="s">
        <v>2405</v>
      </c>
      <c r="AU127" s="28">
        <f>COUNTIFS('Recipe Ingredients'!$A$2:$A$2500,A127,'Recipe Ingredients'!$G$2:$G$2500,"Basket")</f>
        <v>6</v>
      </c>
      <c r="AV127" s="28">
        <f>COUNTIFS('Recipe Ingredients'!$A$2:$A$2500,A127,'Recipe Ingredients'!$G$2:$G$2500,"Protein")+COUNTIFS('Recipe Ingredients'!$A$2:$A$2500,A127,'Recipe Ingredients'!$G$2:$G$2500,"Pantry")</f>
        <v>3</v>
      </c>
      <c r="AW127" s="31">
        <f t="shared" si="23"/>
        <v>0.66666666666666663</v>
      </c>
      <c r="AX127" s="28" t="str">
        <f>IF(AW127&gt;='Start Here'!$C$6,"Yes","No")</f>
        <v>No</v>
      </c>
      <c r="AY127" s="7" t="s">
        <v>115</v>
      </c>
      <c r="AZ127" s="7" t="s">
        <v>2406</v>
      </c>
      <c r="BA127" s="7" t="s">
        <v>2407</v>
      </c>
      <c r="BB127" s="32" t="s">
        <v>964</v>
      </c>
    </row>
    <row r="128" spans="1:54" ht="96" customHeight="1" x14ac:dyDescent="0.25">
      <c r="A128" s="22" t="s">
        <v>2408</v>
      </c>
      <c r="B128" s="23" t="s">
        <v>2409</v>
      </c>
      <c r="C128" s="22" t="s">
        <v>1067</v>
      </c>
      <c r="D128" s="22" t="s">
        <v>967</v>
      </c>
      <c r="E128" s="22" t="s">
        <v>296</v>
      </c>
      <c r="F128" s="7" t="s">
        <v>2410</v>
      </c>
      <c r="G128" s="22" t="s">
        <v>2411</v>
      </c>
      <c r="H128" s="27" t="s">
        <v>2412</v>
      </c>
      <c r="I128" s="27" t="s">
        <v>2413</v>
      </c>
      <c r="J128" s="7" t="s">
        <v>2414</v>
      </c>
      <c r="K128" s="7" t="s">
        <v>2415</v>
      </c>
      <c r="L128" s="7" t="s">
        <v>1794</v>
      </c>
      <c r="M128" s="22" t="s">
        <v>1051</v>
      </c>
      <c r="N128" s="28">
        <v>15</v>
      </c>
      <c r="O128" s="28">
        <v>0</v>
      </c>
      <c r="P128" s="28">
        <f t="shared" si="18"/>
        <v>15</v>
      </c>
      <c r="Q128" s="22" t="str">
        <f t="shared" si="19"/>
        <v>No-cook</v>
      </c>
      <c r="R128" s="28">
        <v>4</v>
      </c>
      <c r="S128" s="22">
        <v>140</v>
      </c>
      <c r="T128" s="22">
        <v>2</v>
      </c>
      <c r="U128" s="29">
        <f>SUMIFS('Recipe Ingredients'!$I$2:$I$2500,'Recipe Ingredients'!$A$2:$A$2500,A128)/R128</f>
        <v>242.25</v>
      </c>
      <c r="V128" s="29">
        <f>SUMIFS('Recipe Ingredients'!$J$2:$J$2500,'Recipe Ingredients'!$A$2:$A$2500,A128)/R128</f>
        <v>5.245000000000001</v>
      </c>
      <c r="W128" s="29">
        <f>SUMIFS('Recipe Ingredients'!$K$2:$K$2500,'Recipe Ingredients'!$A$2:$A$2500,A128)/R128</f>
        <v>37.677000000000007</v>
      </c>
      <c r="X128" s="29">
        <f>SUMIFS('Recipe Ingredients'!$L$2:$L$2500,'Recipe Ingredients'!$A$2:$A$2500,A128)/R128</f>
        <v>26.050000000000004</v>
      </c>
      <c r="Y128" s="29">
        <f>SUMIFS('Recipe Ingredients'!$M$2:$M$2500,'Recipe Ingredients'!$A$2:$A$2500,A128)/R128</f>
        <v>8.8515000000000015</v>
      </c>
      <c r="Z128" s="29">
        <f>SUMIFS('Recipe Ingredients'!$N$2:$N$2500,'Recipe Ingredients'!$A$2:$A$2500,A128)/R128</f>
        <v>31.612500000000001</v>
      </c>
      <c r="AA128" s="29">
        <f>SUMIFS('Recipe Ingredients'!$O$2:$O$2500,'Recipe Ingredients'!$A$2:$A$2500,A128)/R128</f>
        <v>470.6225</v>
      </c>
      <c r="AB128" s="30">
        <f>SUMIFS('Recipe Ingredients'!$P$2:$P$2500,'Recipe Ingredients'!$A$2:$A$2500,A128)/R128</f>
        <v>0.44012499999999999</v>
      </c>
      <c r="AC128" s="30">
        <f>SUMIFS('Recipe Ingredients'!$Q$2:$Q$2500,'Recipe Ingredients'!$A$2:$A$2500,A128)/R128</f>
        <v>0.3096525</v>
      </c>
      <c r="AD128" s="29">
        <f>SUMIFS('Recipe Ingredients'!$R$2:$R$2500,'Recipe Ingredients'!$A$2:$A$2500,A128)/R128</f>
        <v>32.685000000000002</v>
      </c>
      <c r="AE128" s="30">
        <f>SUMIFS('Recipe Ingredients'!$S$2:$S$2500,'Recipe Ingredients'!$A$2:$A$2500,A128)/R128</f>
        <v>0.76767499999999989</v>
      </c>
      <c r="AF128" s="31">
        <f>IFERROR(V128/'Start Here'!$C$10,0)</f>
        <v>0.20980000000000004</v>
      </c>
      <c r="AG128" s="31">
        <f>IFERROR(W128/'Start Here'!$C$11,0)</f>
        <v>0.47096250000000006</v>
      </c>
      <c r="AH128" s="31">
        <f>IFERROR(X128/'Start Here'!$C$12,0)</f>
        <v>3.2562500000000008E-2</v>
      </c>
      <c r="AI128" s="31">
        <f>IFERROR(Y128/'Start Here'!$C$13,0)</f>
        <v>0.11802000000000001</v>
      </c>
      <c r="AJ128" s="31">
        <f>IFERROR(Z128/'Start Here'!$C$14,0)</f>
        <v>0.15806249999999999</v>
      </c>
      <c r="AK128" s="31">
        <f>IFERROR(AA128/'Start Here'!$C$15,0)</f>
        <v>0.23531125</v>
      </c>
      <c r="AL128" s="31">
        <f>IFERROR(AB128/'Start Here'!$C$16,0)</f>
        <v>3.6677083333333332E-2</v>
      </c>
      <c r="AM128" s="31">
        <f>IFERROR(AC128/'Start Here'!$C$17,0)</f>
        <v>0.22118035714285716</v>
      </c>
      <c r="AN128" s="31">
        <f>IFERROR(AD128/'Start Here'!$C$18,0)</f>
        <v>8.7160000000000001E-2</v>
      </c>
      <c r="AO128" s="31">
        <f>IFERROR(AE128/'Start Here'!$C$19,0)</f>
        <v>5.4833928571428561E-2</v>
      </c>
      <c r="AP128" s="22" t="str">
        <f t="shared" si="20"/>
        <v>Vitamin C</v>
      </c>
      <c r="AQ128" s="7" t="str">
        <f t="shared" si="21"/>
        <v>Best for better vitamin C intake: one serving gives about 47% of your daily vitamin C from the produce alone.</v>
      </c>
      <c r="AR128" s="7" t="str">
        <f t="shared" si="22"/>
        <v/>
      </c>
      <c r="AS128" s="7" t="s">
        <v>2416</v>
      </c>
      <c r="AT128" s="7" t="s">
        <v>2417</v>
      </c>
      <c r="AU128" s="28">
        <f>COUNTIFS('Recipe Ingredients'!$A$2:$A$2500,A128,'Recipe Ingredients'!$G$2:$G$2500,"Basket")</f>
        <v>6</v>
      </c>
      <c r="AV128" s="28">
        <f>COUNTIFS('Recipe Ingredients'!$A$2:$A$2500,A128,'Recipe Ingredients'!$G$2:$G$2500,"Protein")+COUNTIFS('Recipe Ingredients'!$A$2:$A$2500,A128,'Recipe Ingredients'!$G$2:$G$2500,"Pantry")</f>
        <v>2</v>
      </c>
      <c r="AW128" s="31">
        <f t="shared" si="23"/>
        <v>0.75</v>
      </c>
      <c r="AX128" s="28" t="str">
        <f>IF(AW128&gt;='Start Here'!$C$6,"Yes","No")</f>
        <v>No</v>
      </c>
      <c r="AY128" s="7" t="s">
        <v>115</v>
      </c>
      <c r="AZ128" s="7" t="s">
        <v>2418</v>
      </c>
      <c r="BA128" s="7" t="s">
        <v>2419</v>
      </c>
      <c r="BB128" s="32" t="s">
        <v>964</v>
      </c>
    </row>
    <row r="129" spans="1:54" ht="96" customHeight="1" x14ac:dyDescent="0.25">
      <c r="A129" s="22" t="s">
        <v>2420</v>
      </c>
      <c r="B129" s="23" t="s">
        <v>2421</v>
      </c>
      <c r="C129" s="22" t="s">
        <v>1067</v>
      </c>
      <c r="D129" s="22" t="s">
        <v>1081</v>
      </c>
      <c r="E129" s="22" t="s">
        <v>1081</v>
      </c>
      <c r="F129" s="7" t="s">
        <v>2422</v>
      </c>
      <c r="G129" s="22" t="s">
        <v>1264</v>
      </c>
      <c r="H129" s="27" t="s">
        <v>2423</v>
      </c>
      <c r="I129" s="27" t="s">
        <v>2424</v>
      </c>
      <c r="J129" s="7" t="s">
        <v>2425</v>
      </c>
      <c r="K129" s="7" t="s">
        <v>2426</v>
      </c>
      <c r="L129" s="7" t="s">
        <v>203</v>
      </c>
      <c r="M129" s="22" t="s">
        <v>1051</v>
      </c>
      <c r="N129" s="28">
        <v>15</v>
      </c>
      <c r="O129" s="28">
        <v>10</v>
      </c>
      <c r="P129" s="28">
        <f t="shared" si="18"/>
        <v>25</v>
      </c>
      <c r="Q129" s="22" t="str">
        <f t="shared" si="19"/>
        <v>Quick</v>
      </c>
      <c r="R129" s="28">
        <v>4</v>
      </c>
      <c r="S129" s="22">
        <v>220</v>
      </c>
      <c r="T129" s="22">
        <v>2</v>
      </c>
      <c r="U129" s="29">
        <f>SUMIFS('Recipe Ingredients'!$I$2:$I$2500,'Recipe Ingredients'!$A$2:$A$2500,A129)/R129</f>
        <v>359.75</v>
      </c>
      <c r="V129" s="29">
        <f>SUMIFS('Recipe Ingredients'!$J$2:$J$2500,'Recipe Ingredients'!$A$2:$A$2500,A129)/R129</f>
        <v>13.202499999999999</v>
      </c>
      <c r="W129" s="29">
        <f>SUMIFS('Recipe Ingredients'!$K$2:$K$2500,'Recipe Ingredients'!$A$2:$A$2500,A129)/R129</f>
        <v>97.476749999999996</v>
      </c>
      <c r="X129" s="29">
        <f>SUMIFS('Recipe Ingredients'!$L$2:$L$2500,'Recipe Ingredients'!$A$2:$A$2500,A129)/R129</f>
        <v>136.25</v>
      </c>
      <c r="Y129" s="29">
        <f>SUMIFS('Recipe Ingredients'!$M$2:$M$2500,'Recipe Ingredients'!$A$2:$A$2500,A129)/R129</f>
        <v>10.833500000000001</v>
      </c>
      <c r="Z129" s="29">
        <f>SUMIFS('Recipe Ingredients'!$N$2:$N$2500,'Recipe Ingredients'!$A$2:$A$2500,A129)/R129</f>
        <v>134.845</v>
      </c>
      <c r="AA129" s="29">
        <f>SUMIFS('Recipe Ingredients'!$O$2:$O$2500,'Recipe Ingredients'!$A$2:$A$2500,A129)/R129</f>
        <v>785.36</v>
      </c>
      <c r="AB129" s="30">
        <f>SUMIFS('Recipe Ingredients'!$P$2:$P$2500,'Recipe Ingredients'!$A$2:$A$2500,A129)/R129</f>
        <v>2.5249000000000001</v>
      </c>
      <c r="AC129" s="30">
        <f>SUMIFS('Recipe Ingredients'!$Q$2:$Q$2500,'Recipe Ingredients'!$A$2:$A$2500,A129)/R129</f>
        <v>0.35713</v>
      </c>
      <c r="AD129" s="29">
        <f>SUMIFS('Recipe Ingredients'!$R$2:$R$2500,'Recipe Ingredients'!$A$2:$A$2500,A129)/R129</f>
        <v>57.47</v>
      </c>
      <c r="AE129" s="30">
        <f>SUMIFS('Recipe Ingredients'!$S$2:$S$2500,'Recipe Ingredients'!$A$2:$A$2500,A129)/R129</f>
        <v>2.8659750000000002</v>
      </c>
      <c r="AF129" s="31">
        <f>IFERROR(V129/'Start Here'!$C$10,0)</f>
        <v>0.5280999999999999</v>
      </c>
      <c r="AG129" s="31">
        <f>IFERROR(W129/'Start Here'!$C$11,0)</f>
        <v>1.2184593749999999</v>
      </c>
      <c r="AH129" s="31">
        <f>IFERROR(X129/'Start Here'!$C$12,0)</f>
        <v>0.17031250000000001</v>
      </c>
      <c r="AI129" s="31">
        <f>IFERROR(Y129/'Start Here'!$C$13,0)</f>
        <v>0.14444666666666667</v>
      </c>
      <c r="AJ129" s="31">
        <f>IFERROR(Z129/'Start Here'!$C$14,0)</f>
        <v>0.67422499999999996</v>
      </c>
      <c r="AK129" s="31">
        <f>IFERROR(AA129/'Start Here'!$C$15,0)</f>
        <v>0.39268000000000003</v>
      </c>
      <c r="AL129" s="31">
        <f>IFERROR(AB129/'Start Here'!$C$16,0)</f>
        <v>0.21040833333333334</v>
      </c>
      <c r="AM129" s="31">
        <f>IFERROR(AC129/'Start Here'!$C$17,0)</f>
        <v>0.25509285714285718</v>
      </c>
      <c r="AN129" s="31">
        <f>IFERROR(AD129/'Start Here'!$C$18,0)</f>
        <v>0.15325333333333332</v>
      </c>
      <c r="AO129" s="31">
        <f>IFERROR(AE129/'Start Here'!$C$19,0)</f>
        <v>0.20471250000000002</v>
      </c>
      <c r="AP129" s="22" t="str">
        <f t="shared" si="20"/>
        <v>Vitamin C</v>
      </c>
      <c r="AQ129" s="7" t="str">
        <f t="shared" si="21"/>
        <v>Best for better vitamin C intake: one serving gives about 122% of your daily vitamin C from the produce alone.</v>
      </c>
      <c r="AR129" s="7" t="str">
        <f t="shared" si="22"/>
        <v>Fibre (53%), Folate (67%), Potassium (39%), Vitamin B6 (26%)</v>
      </c>
      <c r="AS129" s="7" t="s">
        <v>2427</v>
      </c>
      <c r="AT129" s="7" t="s">
        <v>2428</v>
      </c>
      <c r="AU129" s="28">
        <f>COUNTIFS('Recipe Ingredients'!$A$2:$A$2500,A129,'Recipe Ingredients'!$G$2:$G$2500,"Basket")</f>
        <v>3</v>
      </c>
      <c r="AV129" s="28">
        <f>COUNTIFS('Recipe Ingredients'!$A$2:$A$2500,A129,'Recipe Ingredients'!$G$2:$G$2500,"Protein")+COUNTIFS('Recipe Ingredients'!$A$2:$A$2500,A129,'Recipe Ingredients'!$G$2:$G$2500,"Pantry")</f>
        <v>1</v>
      </c>
      <c r="AW129" s="31">
        <f t="shared" si="23"/>
        <v>0.75</v>
      </c>
      <c r="AX129" s="28" t="str">
        <f>IF(AW129&gt;='Start Here'!$C$6,"Yes","No")</f>
        <v>No</v>
      </c>
      <c r="AY129" s="7" t="s">
        <v>115</v>
      </c>
      <c r="AZ129" s="7" t="s">
        <v>2429</v>
      </c>
      <c r="BA129" s="7" t="s">
        <v>2430</v>
      </c>
      <c r="BB129" s="32" t="s">
        <v>964</v>
      </c>
    </row>
    <row r="130" spans="1:54" ht="96" customHeight="1" x14ac:dyDescent="0.25">
      <c r="A130" s="22" t="s">
        <v>2431</v>
      </c>
      <c r="B130" s="23" t="s">
        <v>2432</v>
      </c>
      <c r="C130" s="22" t="s">
        <v>1067</v>
      </c>
      <c r="D130" s="22" t="s">
        <v>967</v>
      </c>
      <c r="E130" s="22" t="s">
        <v>1029</v>
      </c>
      <c r="F130" s="7" t="s">
        <v>2433</v>
      </c>
      <c r="G130" s="22" t="s">
        <v>2434</v>
      </c>
      <c r="H130" s="27" t="s">
        <v>2435</v>
      </c>
      <c r="I130" s="7"/>
      <c r="J130" s="7" t="s">
        <v>2436</v>
      </c>
      <c r="K130" s="7" t="s">
        <v>2437</v>
      </c>
      <c r="L130" s="7" t="s">
        <v>2438</v>
      </c>
      <c r="M130" s="22" t="s">
        <v>1051</v>
      </c>
      <c r="N130" s="28">
        <v>15</v>
      </c>
      <c r="O130" s="28">
        <v>0</v>
      </c>
      <c r="P130" s="28">
        <f t="shared" ref="P130:P161" si="24">N130+O130</f>
        <v>15</v>
      </c>
      <c r="Q130" s="22" t="str">
        <f t="shared" ref="Q130:Q161" si="25">IF(O130=0,"No-cook",IF(P130&lt;=25,"Quick","Standard"))</f>
        <v>No-cook</v>
      </c>
      <c r="R130" s="28">
        <v>4</v>
      </c>
      <c r="S130" s="22">
        <v>110</v>
      </c>
      <c r="T130" s="22">
        <v>2</v>
      </c>
      <c r="U130" s="29">
        <f>SUMIFS('Recipe Ingredients'!$I$2:$I$2500,'Recipe Ingredients'!$A$2:$A$2500,A130)/R130</f>
        <v>195.25</v>
      </c>
      <c r="V130" s="29">
        <f>SUMIFS('Recipe Ingredients'!$J$2:$J$2500,'Recipe Ingredients'!$A$2:$A$2500,A130)/R130</f>
        <v>4.2579999999999991</v>
      </c>
      <c r="W130" s="29">
        <f>SUMIFS('Recipe Ingredients'!$K$2:$K$2500,'Recipe Ingredients'!$A$2:$A$2500,A130)/R130</f>
        <v>69.908500000000018</v>
      </c>
      <c r="X130" s="29">
        <f>SUMIFS('Recipe Ingredients'!$L$2:$L$2500,'Recipe Ingredients'!$A$2:$A$2500,A130)/R130</f>
        <v>61.050000000000004</v>
      </c>
      <c r="Y130" s="29">
        <f>SUMIFS('Recipe Ingredients'!$M$2:$M$2500,'Recipe Ingredients'!$A$2:$A$2500,A130)/R130</f>
        <v>2.3879999999999999</v>
      </c>
      <c r="Z130" s="29">
        <f>SUMIFS('Recipe Ingredients'!$N$2:$N$2500,'Recipe Ingredients'!$A$2:$A$2500,A130)/R130</f>
        <v>42.355000000000004</v>
      </c>
      <c r="AA130" s="29">
        <f>SUMIFS('Recipe Ingredients'!$O$2:$O$2500,'Recipe Ingredients'!$A$2:$A$2500,A130)/R130</f>
        <v>323.79000000000002</v>
      </c>
      <c r="AB130" s="30">
        <f>SUMIFS('Recipe Ingredients'!$P$2:$P$2500,'Recipe Ingredients'!$A$2:$A$2500,A130)/R130</f>
        <v>0.39004999999999995</v>
      </c>
      <c r="AC130" s="30">
        <f>SUMIFS('Recipe Ingredients'!$Q$2:$Q$2500,'Recipe Ingredients'!$A$2:$A$2500,A130)/R130</f>
        <v>0.12292749999999998</v>
      </c>
      <c r="AD130" s="29">
        <f>SUMIFS('Recipe Ingredients'!$R$2:$R$2500,'Recipe Ingredients'!$A$2:$A$2500,A130)/R130</f>
        <v>20.530000000000005</v>
      </c>
      <c r="AE130" s="30">
        <f>SUMIFS('Recipe Ingredients'!$S$2:$S$2500,'Recipe Ingredients'!$A$2:$A$2500,A130)/R130</f>
        <v>0.45249999999999996</v>
      </c>
      <c r="AF130" s="31">
        <f>IFERROR(V130/'Start Here'!$C$10,0)</f>
        <v>0.17031999999999997</v>
      </c>
      <c r="AG130" s="31">
        <f>IFERROR(W130/'Start Here'!$C$11,0)</f>
        <v>0.87385625000000022</v>
      </c>
      <c r="AH130" s="31">
        <f>IFERROR(X130/'Start Here'!$C$12,0)</f>
        <v>7.6312500000000005E-2</v>
      </c>
      <c r="AI130" s="31">
        <f>IFERROR(Y130/'Start Here'!$C$13,0)</f>
        <v>3.184E-2</v>
      </c>
      <c r="AJ130" s="31">
        <f>IFERROR(Z130/'Start Here'!$C$14,0)</f>
        <v>0.21177500000000002</v>
      </c>
      <c r="AK130" s="31">
        <f>IFERROR(AA130/'Start Here'!$C$15,0)</f>
        <v>0.16189500000000001</v>
      </c>
      <c r="AL130" s="31">
        <f>IFERROR(AB130/'Start Here'!$C$16,0)</f>
        <v>3.250416666666666E-2</v>
      </c>
      <c r="AM130" s="31">
        <f>IFERROR(AC130/'Start Here'!$C$17,0)</f>
        <v>8.7805357142857129E-2</v>
      </c>
      <c r="AN130" s="31">
        <f>IFERROR(AD130/'Start Here'!$C$18,0)</f>
        <v>5.474666666666668E-2</v>
      </c>
      <c r="AO130" s="31">
        <f>IFERROR(AE130/'Start Here'!$C$19,0)</f>
        <v>3.232142857142857E-2</v>
      </c>
      <c r="AP130" s="22" t="str">
        <f t="shared" ref="AP130:AP161" si="26">IFERROR(SUBSTITUTE(INDEX($AF$1:$AO$1,MATCH(MAX(AF130:AO130),AF130:AO130,0))," % daily",""),"")</f>
        <v>Vitamin C</v>
      </c>
      <c r="AQ130" s="7" t="str">
        <f t="shared" ref="AQ130:AQ161" si="27">IF(MAX(AF130:AO130)&gt;=0.15,"Best for better "&amp;IF(LEFT(AP130,7)="Vitamin","vitamin "&amp;MID(AP130,9,3),LOWER(AP130))&amp;" intake: one serving gives about "&amp;TEXT(MAX(AF130:AO130),"0%")&amp;" of your daily "&amp;IF(LEFT(AP130,7)="Vitamin","vitamin "&amp;MID(AP130,9,3),LOWER(AP130))&amp;" from the produce alone.","A lighter plate: top nutrient is "&amp;IF(LEFT(AP130,7)="Vitamin","vitamin "&amp;MID(AP130,9,3),LOWER(AP130))&amp;" at about "&amp;TEXT(MAX(AF130:AO130),"0%")&amp;" of a day.")</f>
        <v>Best for better vitamin C intake: one serving gives about 87% of your daily vitamin C from the produce alone.</v>
      </c>
      <c r="AR130" s="7" t="str">
        <f t="shared" ref="AR130:AR157" si="28">IF(LEN(IF(AND(AF130&gt;=0.25,"Fibre"&lt;&gt;AP130),"Fibre ("&amp;TEXT(AF130,"0%")&amp;")|","")&amp;IF(AND(AG130&gt;=0.25,"Vitamin C"&lt;&gt;AP130),"Vitamin C ("&amp;TEXT(AG130,"0%")&amp;")|","")&amp;IF(AND(AH130&gt;=0.25,"Vitamin A"&lt;&gt;AP130),"Vitamin A ("&amp;TEXT(AH130,"0%")&amp;")|","")&amp;IF(AND(AI130&gt;=0.25,"Vitamin K"&lt;&gt;AP130),"Vitamin K ("&amp;TEXT(AI130,"0%")&amp;")|","")&amp;IF(AND(AJ130&gt;=0.25,"Folate"&lt;&gt;AP130),"Folate ("&amp;TEXT(AJ130,"0%")&amp;")|","")&amp;IF(AND(AK130&gt;=0.25,"Potassium"&lt;&gt;AP130),"Potassium ("&amp;TEXT(AK130,"0%")&amp;")|","")&amp;IF(AND(AL130&gt;=0.25,"Vitamin E"&lt;&gt;AP130),"Vitamin E ("&amp;TEXT(AL130,"0%")&amp;")|","")&amp;IF(AND(AM130&gt;=0.25,"Vitamin B6"&lt;&gt;AP130),"Vitamin B6 ("&amp;TEXT(AM130,"0%")&amp;")|","")&amp;IF(AND(AN130&gt;=0.25,"Magnesium"&lt;&gt;AP130),"Magnesium ("&amp;TEXT(AN130,"0%")&amp;")|","")&amp;IF(AND(AO130&gt;=0.25,"Iron"&lt;&gt;AP130),"Iron ("&amp;TEXT(AO130,"0%")&amp;")|",""))=0,"",SUBSTITUTE(LEFT(IF(AND(AF130&gt;=0.25,"Fibre"&lt;&gt;AP130),"Fibre ("&amp;TEXT(AF130,"0%")&amp;")|","")&amp;IF(AND(AG130&gt;=0.25,"Vitamin C"&lt;&gt;AP130),"Vitamin C ("&amp;TEXT(AG130,"0%")&amp;")|","")&amp;IF(AND(AH130&gt;=0.25,"Vitamin A"&lt;&gt;AP130),"Vitamin A ("&amp;TEXT(AH130,"0%")&amp;")|","")&amp;IF(AND(AI130&gt;=0.25,"Vitamin K"&lt;&gt;AP130),"Vitamin K ("&amp;TEXT(AI130,"0%")&amp;")|","")&amp;IF(AND(AJ130&gt;=0.25,"Folate"&lt;&gt;AP130),"Folate ("&amp;TEXT(AJ130,"0%")&amp;")|","")&amp;IF(AND(AK130&gt;=0.25,"Potassium"&lt;&gt;AP130),"Potassium ("&amp;TEXT(AK130,"0%")&amp;")|","")&amp;IF(AND(AL130&gt;=0.25,"Vitamin E"&lt;&gt;AP130),"Vitamin E ("&amp;TEXT(AL130,"0%")&amp;")|","")&amp;IF(AND(AM130&gt;=0.25,"Vitamin B6"&lt;&gt;AP130),"Vitamin B6 ("&amp;TEXT(AM130,"0%")&amp;")|","")&amp;IF(AND(AN130&gt;=0.25,"Magnesium"&lt;&gt;AP130),"Magnesium ("&amp;TEXT(AN130,"0%")&amp;")|","")&amp;IF(AND(AO130&gt;=0.25,"Iron"&lt;&gt;AP130),"Iron ("&amp;TEXT(AO130,"0%")&amp;")|",""),LEN(IF(AND(AF130&gt;=0.25,"Fibre"&lt;&gt;AP130),"Fibre ("&amp;TEXT(AF130,"0%")&amp;")|","")&amp;IF(AND(AG130&gt;=0.25,"Vitamin C"&lt;&gt;AP130),"Vitamin C ("&amp;TEXT(AG130,"0%")&amp;")|","")&amp;IF(AND(AH130&gt;=0.25,"Vitamin A"&lt;&gt;AP130),"Vitamin A ("&amp;TEXT(AH130,"0%")&amp;")|","")&amp;IF(AND(AI130&gt;=0.25,"Vitamin K"&lt;&gt;AP130),"Vitamin K ("&amp;TEXT(AI130,"0%")&amp;")|","")&amp;IF(AND(AJ130&gt;=0.25,"Folate"&lt;&gt;AP130),"Folate ("&amp;TEXT(AJ130,"0%")&amp;")|","")&amp;IF(AND(AK130&gt;=0.25,"Potassium"&lt;&gt;AP130),"Potassium ("&amp;TEXT(AK130,"0%")&amp;")|","")&amp;IF(AND(AL130&gt;=0.25,"Vitamin E"&lt;&gt;AP130),"Vitamin E ("&amp;TEXT(AL130,"0%")&amp;")|","")&amp;IF(AND(AM130&gt;=0.25,"Vitamin B6"&lt;&gt;AP130),"Vitamin B6 ("&amp;TEXT(AM130,"0%")&amp;")|","")&amp;IF(AND(AN130&gt;=0.25,"Magnesium"&lt;&gt;AP130),"Magnesium ("&amp;TEXT(AN130,"0%")&amp;")|","")&amp;IF(AND(AO130&gt;=0.25,"Iron"&lt;&gt;AP130),"Iron ("&amp;TEXT(AO130,"0%")&amp;")|",""))-1),"|",", "))</f>
        <v/>
      </c>
      <c r="AS130" s="7" t="s">
        <v>2439</v>
      </c>
      <c r="AT130" s="7" t="s">
        <v>2440</v>
      </c>
      <c r="AU130" s="28">
        <f>COUNTIFS('Recipe Ingredients'!$A$2:$A$2500,A130,'Recipe Ingredients'!$G$2:$G$2500,"Basket")</f>
        <v>6</v>
      </c>
      <c r="AV130" s="28">
        <f>COUNTIFS('Recipe Ingredients'!$A$2:$A$2500,A130,'Recipe Ingredients'!$G$2:$G$2500,"Protein")+COUNTIFS('Recipe Ingredients'!$A$2:$A$2500,A130,'Recipe Ingredients'!$G$2:$G$2500,"Pantry")</f>
        <v>1</v>
      </c>
      <c r="AW130" s="31">
        <f t="shared" ref="AW130:AW161" si="29">IFERROR(AU130/(AU130+AV130),0)</f>
        <v>0.8571428571428571</v>
      </c>
      <c r="AX130" s="28" t="str">
        <f>IF(AW130&gt;='Start Here'!$C$6,"Yes","No")</f>
        <v>Yes</v>
      </c>
      <c r="AY130" s="7" t="s">
        <v>115</v>
      </c>
      <c r="AZ130" s="7" t="s">
        <v>2441</v>
      </c>
      <c r="BA130" s="7" t="s">
        <v>2442</v>
      </c>
      <c r="BB130" s="32" t="s">
        <v>964</v>
      </c>
    </row>
    <row r="131" spans="1:54" ht="96" customHeight="1" x14ac:dyDescent="0.25">
      <c r="A131" s="22" t="s">
        <v>2443</v>
      </c>
      <c r="B131" s="23" t="s">
        <v>2444</v>
      </c>
      <c r="C131" s="22" t="s">
        <v>1067</v>
      </c>
      <c r="D131" s="22" t="s">
        <v>1094</v>
      </c>
      <c r="E131" s="22" t="s">
        <v>1081</v>
      </c>
      <c r="F131" s="7" t="s">
        <v>2445</v>
      </c>
      <c r="G131" s="22" t="s">
        <v>2434</v>
      </c>
      <c r="H131" s="27" t="s">
        <v>2446</v>
      </c>
      <c r="I131" s="7"/>
      <c r="J131" s="7" t="s">
        <v>2447</v>
      </c>
      <c r="K131" s="7" t="s">
        <v>2448</v>
      </c>
      <c r="L131" s="7" t="s">
        <v>2449</v>
      </c>
      <c r="M131" s="22" t="s">
        <v>1051</v>
      </c>
      <c r="N131" s="28">
        <v>5</v>
      </c>
      <c r="O131" s="28">
        <v>15</v>
      </c>
      <c r="P131" s="28">
        <f t="shared" si="24"/>
        <v>20</v>
      </c>
      <c r="Q131" s="22" t="str">
        <f t="shared" si="25"/>
        <v>Quick</v>
      </c>
      <c r="R131" s="28">
        <v>2</v>
      </c>
      <c r="S131" s="22">
        <v>210</v>
      </c>
      <c r="T131" s="22">
        <v>2</v>
      </c>
      <c r="U131" s="29">
        <f>SUMIFS('Recipe Ingredients'!$I$2:$I$2500,'Recipe Ingredients'!$A$2:$A$2500,A131)/R131</f>
        <v>133</v>
      </c>
      <c r="V131" s="29">
        <f>SUMIFS('Recipe Ingredients'!$J$2:$J$2500,'Recipe Ingredients'!$A$2:$A$2500,A131)/R131</f>
        <v>4.343</v>
      </c>
      <c r="W131" s="29">
        <f>SUMIFS('Recipe Ingredients'!$K$2:$K$2500,'Recipe Ingredients'!$A$2:$A$2500,A131)/R131</f>
        <v>10.265999999999998</v>
      </c>
      <c r="X131" s="29">
        <f>SUMIFS('Recipe Ingredients'!$L$2:$L$2500,'Recipe Ingredients'!$A$2:$A$2500,A131)/R131</f>
        <v>3.54</v>
      </c>
      <c r="Y131" s="29">
        <f>SUMIFS('Recipe Ingredients'!$M$2:$M$2500,'Recipe Ingredients'!$A$2:$A$2500,A131)/R131</f>
        <v>0.59</v>
      </c>
      <c r="Z131" s="29">
        <f>SUMIFS('Recipe Ingredients'!$N$2:$N$2500,'Recipe Ingredients'!$A$2:$A$2500,A131)/R131</f>
        <v>59.6</v>
      </c>
      <c r="AA131" s="29">
        <f>SUMIFS('Recipe Ingredients'!$O$2:$O$2500,'Recipe Ingredients'!$A$2:$A$2500,A131)/R131</f>
        <v>528.19000000000005</v>
      </c>
      <c r="AB131" s="30">
        <f>SUMIFS('Recipe Ingredients'!$P$2:$P$2500,'Recipe Ingredients'!$A$2:$A$2500,A131)/R131</f>
        <v>1.3675000000000002</v>
      </c>
      <c r="AC131" s="30">
        <f>SUMIFS('Recipe Ingredients'!$Q$2:$Q$2500,'Recipe Ingredients'!$A$2:$A$2500,A131)/R131</f>
        <v>0.48526000000000002</v>
      </c>
      <c r="AD131" s="29">
        <f>SUMIFS('Recipe Ingredients'!$R$2:$R$2500,'Recipe Ingredients'!$A$2:$A$2500,A131)/R131</f>
        <v>57.06</v>
      </c>
      <c r="AE131" s="30">
        <f>SUMIFS('Recipe Ingredients'!$S$2:$S$2500,'Recipe Ingredients'!$A$2:$A$2500,A131)/R131</f>
        <v>0.99380000000000002</v>
      </c>
      <c r="AF131" s="31">
        <f>IFERROR(V131/'Start Here'!$C$10,0)</f>
        <v>0.17371999999999999</v>
      </c>
      <c r="AG131" s="31">
        <f>IFERROR(W131/'Start Here'!$C$11,0)</f>
        <v>0.12832499999999997</v>
      </c>
      <c r="AH131" s="31">
        <f>IFERROR(X131/'Start Here'!$C$12,0)</f>
        <v>4.4250000000000001E-3</v>
      </c>
      <c r="AI131" s="31">
        <f>IFERROR(Y131/'Start Here'!$C$13,0)</f>
        <v>7.8666666666666659E-3</v>
      </c>
      <c r="AJ131" s="31">
        <f>IFERROR(Z131/'Start Here'!$C$14,0)</f>
        <v>0.29799999999999999</v>
      </c>
      <c r="AK131" s="31">
        <f>IFERROR(AA131/'Start Here'!$C$15,0)</f>
        <v>0.26409500000000002</v>
      </c>
      <c r="AL131" s="31">
        <f>IFERROR(AB131/'Start Here'!$C$16,0)</f>
        <v>0.11395833333333334</v>
      </c>
      <c r="AM131" s="31">
        <f>IFERROR(AC131/'Start Here'!$C$17,0)</f>
        <v>0.34661428571428576</v>
      </c>
      <c r="AN131" s="31">
        <f>IFERROR(AD131/'Start Here'!$C$18,0)</f>
        <v>0.15216000000000002</v>
      </c>
      <c r="AO131" s="31">
        <f>IFERROR(AE131/'Start Here'!$C$19,0)</f>
        <v>7.0985714285714291E-2</v>
      </c>
      <c r="AP131" s="22" t="str">
        <f t="shared" si="26"/>
        <v>Vitamin B6</v>
      </c>
      <c r="AQ131" s="7" t="str">
        <f t="shared" si="27"/>
        <v>Best for better vitamin B6 intake: one serving gives about 35% of your daily vitamin B6 from the produce alone.</v>
      </c>
      <c r="AR131" s="7" t="str">
        <f t="shared" si="28"/>
        <v>Folate (30%), Potassium (26%)</v>
      </c>
      <c r="AS131" s="7" t="s">
        <v>2450</v>
      </c>
      <c r="AT131" s="7" t="s">
        <v>110</v>
      </c>
      <c r="AU131" s="28">
        <f>COUNTIFS('Recipe Ingredients'!$A$2:$A$2500,A131,'Recipe Ingredients'!$G$2:$G$2500,"Basket")</f>
        <v>2</v>
      </c>
      <c r="AV131" s="28">
        <f>COUNTIFS('Recipe Ingredients'!$A$2:$A$2500,A131,'Recipe Ingredients'!$G$2:$G$2500,"Protein")+COUNTIFS('Recipe Ingredients'!$A$2:$A$2500,A131,'Recipe Ingredients'!$G$2:$G$2500,"Pantry")</f>
        <v>3</v>
      </c>
      <c r="AW131" s="31">
        <f t="shared" si="29"/>
        <v>0.4</v>
      </c>
      <c r="AX131" s="28" t="str">
        <f>IF(AW131&gt;='Start Here'!$C$6,"Yes","No")</f>
        <v>No</v>
      </c>
      <c r="AY131" s="7" t="s">
        <v>115</v>
      </c>
      <c r="AZ131" s="7" t="s">
        <v>2451</v>
      </c>
      <c r="BA131" s="7" t="s">
        <v>2452</v>
      </c>
      <c r="BB131" s="32" t="s">
        <v>964</v>
      </c>
    </row>
    <row r="132" spans="1:54" ht="96" customHeight="1" x14ac:dyDescent="0.25">
      <c r="A132" s="22" t="s">
        <v>2453</v>
      </c>
      <c r="B132" s="23" t="s">
        <v>2454</v>
      </c>
      <c r="C132" s="22" t="s">
        <v>1067</v>
      </c>
      <c r="D132" s="22" t="s">
        <v>967</v>
      </c>
      <c r="E132" s="22" t="s">
        <v>2374</v>
      </c>
      <c r="F132" s="7" t="s">
        <v>2455</v>
      </c>
      <c r="G132" s="22" t="s">
        <v>2456</v>
      </c>
      <c r="H132" s="27" t="s">
        <v>2457</v>
      </c>
      <c r="I132" s="27" t="s">
        <v>2458</v>
      </c>
      <c r="J132" s="7" t="s">
        <v>2459</v>
      </c>
      <c r="K132" s="7" t="s">
        <v>2460</v>
      </c>
      <c r="L132" s="7" t="s">
        <v>2461</v>
      </c>
      <c r="M132" s="22" t="s">
        <v>1051</v>
      </c>
      <c r="N132" s="28">
        <v>30</v>
      </c>
      <c r="O132" s="28">
        <v>0</v>
      </c>
      <c r="P132" s="28">
        <f t="shared" si="24"/>
        <v>30</v>
      </c>
      <c r="Q132" s="22" t="str">
        <f t="shared" si="25"/>
        <v>No-cook</v>
      </c>
      <c r="R132" s="28">
        <v>6</v>
      </c>
      <c r="S132" s="22">
        <v>130</v>
      </c>
      <c r="T132" s="22">
        <v>2</v>
      </c>
      <c r="U132" s="29">
        <f>SUMIFS('Recipe Ingredients'!$I$2:$I$2500,'Recipe Ingredients'!$A$2:$A$2500,A132)/R132</f>
        <v>297.16666666666669</v>
      </c>
      <c r="V132" s="29">
        <f>SUMIFS('Recipe Ingredients'!$J$2:$J$2500,'Recipe Ingredients'!$A$2:$A$2500,A132)/R132</f>
        <v>7.1496666666666648</v>
      </c>
      <c r="W132" s="29">
        <f>SUMIFS('Recipe Ingredients'!$K$2:$K$2500,'Recipe Ingredients'!$A$2:$A$2500,A132)/R132</f>
        <v>183.09199999999998</v>
      </c>
      <c r="X132" s="29">
        <f>SUMIFS('Recipe Ingredients'!$L$2:$L$2500,'Recipe Ingredients'!$A$2:$A$2500,A132)/R132</f>
        <v>88.914999999999978</v>
      </c>
      <c r="Y132" s="29">
        <f>SUMIFS('Recipe Ingredients'!$M$2:$M$2500,'Recipe Ingredients'!$A$2:$A$2500,A132)/R132</f>
        <v>24.962000000000003</v>
      </c>
      <c r="Z132" s="29">
        <f>SUMIFS('Recipe Ingredients'!$N$2:$N$2500,'Recipe Ingredients'!$A$2:$A$2500,A132)/R132</f>
        <v>93.378333333333345</v>
      </c>
      <c r="AA132" s="29">
        <f>SUMIFS('Recipe Ingredients'!$O$2:$O$2500,'Recipe Ingredients'!$A$2:$A$2500,A132)/R132</f>
        <v>586.31333333333328</v>
      </c>
      <c r="AB132" s="30">
        <f>SUMIFS('Recipe Ingredients'!$P$2:$P$2500,'Recipe Ingredients'!$A$2:$A$2500,A132)/R132</f>
        <v>1.9196166666666665</v>
      </c>
      <c r="AC132" s="30">
        <f>SUMIFS('Recipe Ingredients'!$Q$2:$Q$2500,'Recipe Ingredients'!$A$2:$A$2500,A132)/R132</f>
        <v>0.2938433333333334</v>
      </c>
      <c r="AD132" s="29">
        <f>SUMIFS('Recipe Ingredients'!$R$2:$R$2500,'Recipe Ingredients'!$A$2:$A$2500,A132)/R132</f>
        <v>41.129999999999988</v>
      </c>
      <c r="AE132" s="30">
        <f>SUMIFS('Recipe Ingredients'!$S$2:$S$2500,'Recipe Ingredients'!$A$2:$A$2500,A132)/R132</f>
        <v>0.90043333333333331</v>
      </c>
      <c r="AF132" s="31">
        <f>IFERROR(V132/'Start Here'!$C$10,0)</f>
        <v>0.28598666666666661</v>
      </c>
      <c r="AG132" s="31">
        <f>IFERROR(W132/'Start Here'!$C$11,0)</f>
        <v>2.2886499999999996</v>
      </c>
      <c r="AH132" s="31">
        <f>IFERROR(X132/'Start Here'!$C$12,0)</f>
        <v>0.11114374999999997</v>
      </c>
      <c r="AI132" s="31">
        <f>IFERROR(Y132/'Start Here'!$C$13,0)</f>
        <v>0.33282666666666672</v>
      </c>
      <c r="AJ132" s="31">
        <f>IFERROR(Z132/'Start Here'!$C$14,0)</f>
        <v>0.4668916666666667</v>
      </c>
      <c r="AK132" s="31">
        <f>IFERROR(AA132/'Start Here'!$C$15,0)</f>
        <v>0.29315666666666662</v>
      </c>
      <c r="AL132" s="31">
        <f>IFERROR(AB132/'Start Here'!$C$16,0)</f>
        <v>0.15996805555555554</v>
      </c>
      <c r="AM132" s="31">
        <f>IFERROR(AC132/'Start Here'!$C$17,0)</f>
        <v>0.20988809523809529</v>
      </c>
      <c r="AN132" s="31">
        <f>IFERROR(AD132/'Start Here'!$C$18,0)</f>
        <v>0.10967999999999997</v>
      </c>
      <c r="AO132" s="31">
        <f>IFERROR(AE132/'Start Here'!$C$19,0)</f>
        <v>6.4316666666666661E-2</v>
      </c>
      <c r="AP132" s="22" t="str">
        <f t="shared" si="26"/>
        <v>Vitamin C</v>
      </c>
      <c r="AQ132" s="7" t="str">
        <f t="shared" si="27"/>
        <v>Best for better vitamin C intake: one serving gives about 229% of your daily vitamin C from the produce alone.</v>
      </c>
      <c r="AR132" s="7" t="str">
        <f t="shared" si="28"/>
        <v>Fibre (29%), Vitamin K (33%), Folate (47%), Potassium (29%)</v>
      </c>
      <c r="AS132" s="7" t="s">
        <v>2462</v>
      </c>
      <c r="AT132" s="7" t="s">
        <v>2463</v>
      </c>
      <c r="AU132" s="28">
        <f>COUNTIFS('Recipe Ingredients'!$A$2:$A$2500,A132,'Recipe Ingredients'!$G$2:$G$2500,"Basket")</f>
        <v>8</v>
      </c>
      <c r="AV132" s="28">
        <f>COUNTIFS('Recipe Ingredients'!$A$2:$A$2500,A132,'Recipe Ingredients'!$G$2:$G$2500,"Protein")+COUNTIFS('Recipe Ingredients'!$A$2:$A$2500,A132,'Recipe Ingredients'!$G$2:$G$2500,"Pantry")</f>
        <v>0</v>
      </c>
      <c r="AW132" s="31">
        <f t="shared" si="29"/>
        <v>1</v>
      </c>
      <c r="AX132" s="28" t="str">
        <f>IF(AW132&gt;='Start Here'!$C$6,"Yes","No")</f>
        <v>Yes</v>
      </c>
      <c r="AY132" s="7" t="s">
        <v>115</v>
      </c>
      <c r="AZ132" s="7" t="s">
        <v>2464</v>
      </c>
      <c r="BA132" s="7" t="s">
        <v>2465</v>
      </c>
      <c r="BB132" s="32" t="s">
        <v>964</v>
      </c>
    </row>
    <row r="133" spans="1:54" ht="96" customHeight="1" x14ac:dyDescent="0.25">
      <c r="A133" s="22" t="s">
        <v>2466</v>
      </c>
      <c r="B133" s="23" t="s">
        <v>2467</v>
      </c>
      <c r="C133" s="22" t="s">
        <v>1067</v>
      </c>
      <c r="D133" s="22" t="s">
        <v>967</v>
      </c>
      <c r="E133" s="22" t="s">
        <v>1029</v>
      </c>
      <c r="F133" s="7" t="s">
        <v>2468</v>
      </c>
      <c r="G133" s="22" t="s">
        <v>2469</v>
      </c>
      <c r="H133" s="27" t="s">
        <v>2470</v>
      </c>
      <c r="I133" s="7"/>
      <c r="J133" s="7" t="s">
        <v>2471</v>
      </c>
      <c r="K133" s="7" t="s">
        <v>2472</v>
      </c>
      <c r="L133" s="7" t="s">
        <v>2473</v>
      </c>
      <c r="M133" s="22" t="s">
        <v>1051</v>
      </c>
      <c r="N133" s="28">
        <v>15</v>
      </c>
      <c r="O133" s="28">
        <v>0</v>
      </c>
      <c r="P133" s="28">
        <f t="shared" si="24"/>
        <v>15</v>
      </c>
      <c r="Q133" s="22" t="str">
        <f t="shared" si="25"/>
        <v>No-cook</v>
      </c>
      <c r="R133" s="28">
        <v>4</v>
      </c>
      <c r="S133" s="22">
        <v>100</v>
      </c>
      <c r="T133" s="22">
        <v>1</v>
      </c>
      <c r="U133" s="29">
        <f>SUMIFS('Recipe Ingredients'!$I$2:$I$2500,'Recipe Ingredients'!$A$2:$A$2500,A133)/R133</f>
        <v>168.75</v>
      </c>
      <c r="V133" s="29">
        <f>SUMIFS('Recipe Ingredients'!$J$2:$J$2500,'Recipe Ingredients'!$A$2:$A$2500,A133)/R133</f>
        <v>3.3974999999999995</v>
      </c>
      <c r="W133" s="29">
        <f>SUMIFS('Recipe Ingredients'!$K$2:$K$2500,'Recipe Ingredients'!$A$2:$A$2500,A133)/R133</f>
        <v>62.434249999999999</v>
      </c>
      <c r="X133" s="29">
        <f>SUMIFS('Recipe Ingredients'!$L$2:$L$2500,'Recipe Ingredients'!$A$2:$A$2500,A133)/R133</f>
        <v>192.6275</v>
      </c>
      <c r="Y133" s="29">
        <f>SUMIFS('Recipe Ingredients'!$M$2:$M$2500,'Recipe Ingredients'!$A$2:$A$2500,A133)/R133</f>
        <v>6.6389999999999993</v>
      </c>
      <c r="Z133" s="29">
        <f>SUMIFS('Recipe Ingredients'!$N$2:$N$2500,'Recipe Ingredients'!$A$2:$A$2500,A133)/R133</f>
        <v>56.037500000000001</v>
      </c>
      <c r="AA133" s="29">
        <f>SUMIFS('Recipe Ingredients'!$O$2:$O$2500,'Recipe Ingredients'!$A$2:$A$2500,A133)/R133</f>
        <v>293.75</v>
      </c>
      <c r="AB133" s="30">
        <f>SUMIFS('Recipe Ingredients'!$P$2:$P$2500,'Recipe Ingredients'!$A$2:$A$2500,A133)/R133</f>
        <v>1.0338500000000002</v>
      </c>
      <c r="AC133" s="30">
        <f>SUMIFS('Recipe Ingredients'!$Q$2:$Q$2500,'Recipe Ingredients'!$A$2:$A$2500,A133)/R133</f>
        <v>0.15089</v>
      </c>
      <c r="AD133" s="29">
        <f>SUMIFS('Recipe Ingredients'!$R$2:$R$2500,'Recipe Ingredients'!$A$2:$A$2500,A133)/R133</f>
        <v>20.43</v>
      </c>
      <c r="AE133" s="30">
        <f>SUMIFS('Recipe Ingredients'!$S$2:$S$2500,'Recipe Ingredients'!$A$2:$A$2500,A133)/R133</f>
        <v>0.64544999999999986</v>
      </c>
      <c r="AF133" s="31">
        <f>IFERROR(V133/'Start Here'!$C$10,0)</f>
        <v>0.13589999999999999</v>
      </c>
      <c r="AG133" s="31">
        <f>IFERROR(W133/'Start Here'!$C$11,0)</f>
        <v>0.78042812500000003</v>
      </c>
      <c r="AH133" s="31">
        <f>IFERROR(X133/'Start Here'!$C$12,0)</f>
        <v>0.24078437499999999</v>
      </c>
      <c r="AI133" s="31">
        <f>IFERROR(Y133/'Start Here'!$C$13,0)</f>
        <v>8.8519999999999988E-2</v>
      </c>
      <c r="AJ133" s="31">
        <f>IFERROR(Z133/'Start Here'!$C$14,0)</f>
        <v>0.28018750000000003</v>
      </c>
      <c r="AK133" s="31">
        <f>IFERROR(AA133/'Start Here'!$C$15,0)</f>
        <v>0.14687500000000001</v>
      </c>
      <c r="AL133" s="31">
        <f>IFERROR(AB133/'Start Here'!$C$16,0)</f>
        <v>8.6154166666666684E-2</v>
      </c>
      <c r="AM133" s="31">
        <f>IFERROR(AC133/'Start Here'!$C$17,0)</f>
        <v>0.10777857142857143</v>
      </c>
      <c r="AN133" s="31">
        <f>IFERROR(AD133/'Start Here'!$C$18,0)</f>
        <v>5.4480000000000001E-2</v>
      </c>
      <c r="AO133" s="31">
        <f>IFERROR(AE133/'Start Here'!$C$19,0)</f>
        <v>4.6103571428571417E-2</v>
      </c>
      <c r="AP133" s="22" t="str">
        <f t="shared" si="26"/>
        <v>Vitamin C</v>
      </c>
      <c r="AQ133" s="7" t="str">
        <f t="shared" si="27"/>
        <v>Best for better vitamin C intake: one serving gives about 78% of your daily vitamin C from the produce alone.</v>
      </c>
      <c r="AR133" s="7" t="str">
        <f t="shared" si="28"/>
        <v>Folate (28%)</v>
      </c>
      <c r="AS133" s="7" t="s">
        <v>2474</v>
      </c>
      <c r="AT133" s="7" t="s">
        <v>2475</v>
      </c>
      <c r="AU133" s="28">
        <f>COUNTIFS('Recipe Ingredients'!$A$2:$A$2500,A133,'Recipe Ingredients'!$G$2:$G$2500,"Basket")</f>
        <v>5</v>
      </c>
      <c r="AV133" s="28">
        <f>COUNTIFS('Recipe Ingredients'!$A$2:$A$2500,A133,'Recipe Ingredients'!$G$2:$G$2500,"Protein")+COUNTIFS('Recipe Ingredients'!$A$2:$A$2500,A133,'Recipe Ingredients'!$G$2:$G$2500,"Pantry")</f>
        <v>1</v>
      </c>
      <c r="AW133" s="31">
        <f t="shared" si="29"/>
        <v>0.83333333333333337</v>
      </c>
      <c r="AX133" s="28" t="str">
        <f>IF(AW133&gt;='Start Here'!$C$6,"Yes","No")</f>
        <v>Yes</v>
      </c>
      <c r="AY133" s="7" t="s">
        <v>115</v>
      </c>
      <c r="AZ133" s="7" t="s">
        <v>2476</v>
      </c>
      <c r="BA133" s="7" t="s">
        <v>2477</v>
      </c>
      <c r="BB133" s="32" t="s">
        <v>964</v>
      </c>
    </row>
    <row r="134" spans="1:54" ht="96" customHeight="1" x14ac:dyDescent="0.25">
      <c r="A134" s="22" t="s">
        <v>2478</v>
      </c>
      <c r="B134" s="23" t="s">
        <v>2479</v>
      </c>
      <c r="C134" s="22" t="s">
        <v>1067</v>
      </c>
      <c r="D134" s="22" t="s">
        <v>967</v>
      </c>
      <c r="E134" s="22" t="s">
        <v>1029</v>
      </c>
      <c r="F134" s="7" t="s">
        <v>2480</v>
      </c>
      <c r="G134" s="22" t="s">
        <v>1405</v>
      </c>
      <c r="H134" s="27" t="s">
        <v>2481</v>
      </c>
      <c r="I134" s="27" t="s">
        <v>2482</v>
      </c>
      <c r="J134" s="7" t="s">
        <v>2483</v>
      </c>
      <c r="K134" s="7" t="s">
        <v>2484</v>
      </c>
      <c r="L134" s="7" t="s">
        <v>2461</v>
      </c>
      <c r="M134" s="22" t="s">
        <v>1051</v>
      </c>
      <c r="N134" s="28">
        <v>15</v>
      </c>
      <c r="O134" s="28">
        <v>0</v>
      </c>
      <c r="P134" s="28">
        <f t="shared" si="24"/>
        <v>15</v>
      </c>
      <c r="Q134" s="22" t="str">
        <f t="shared" si="25"/>
        <v>No-cook</v>
      </c>
      <c r="R134" s="28">
        <v>4</v>
      </c>
      <c r="S134" s="22">
        <v>95</v>
      </c>
      <c r="T134" s="22">
        <v>1</v>
      </c>
      <c r="U134" s="29">
        <f>SUMIFS('Recipe Ingredients'!$I$2:$I$2500,'Recipe Ingredients'!$A$2:$A$2500,A134)/R134</f>
        <v>202</v>
      </c>
      <c r="V134" s="29">
        <f>SUMIFS('Recipe Ingredients'!$J$2:$J$2500,'Recipe Ingredients'!$A$2:$A$2500,A134)/R134</f>
        <v>5.3744999999999994</v>
      </c>
      <c r="W134" s="29">
        <f>SUMIFS('Recipe Ingredients'!$K$2:$K$2500,'Recipe Ingredients'!$A$2:$A$2500,A134)/R134</f>
        <v>123.88000000000001</v>
      </c>
      <c r="X134" s="29">
        <f>SUMIFS('Recipe Ingredients'!$L$2:$L$2500,'Recipe Ingredients'!$A$2:$A$2500,A134)/R134</f>
        <v>16.697500000000002</v>
      </c>
      <c r="Y134" s="29">
        <f>SUMIFS('Recipe Ingredients'!$M$2:$M$2500,'Recipe Ingredients'!$A$2:$A$2500,A134)/R134</f>
        <v>16.1205</v>
      </c>
      <c r="Z134" s="29">
        <f>SUMIFS('Recipe Ingredients'!$N$2:$N$2500,'Recipe Ingredients'!$A$2:$A$2500,A134)/R134</f>
        <v>46.847499999999989</v>
      </c>
      <c r="AA134" s="29">
        <f>SUMIFS('Recipe Ingredients'!$O$2:$O$2500,'Recipe Ingredients'!$A$2:$A$2500,A134)/R134</f>
        <v>398.76249999999993</v>
      </c>
      <c r="AB134" s="30">
        <f>SUMIFS('Recipe Ingredients'!$P$2:$P$2500,'Recipe Ingredients'!$A$2:$A$2500,A134)/R134</f>
        <v>0.92232499999999984</v>
      </c>
      <c r="AC134" s="30">
        <f>SUMIFS('Recipe Ingredients'!$Q$2:$Q$2500,'Recipe Ingredients'!$A$2:$A$2500,A134)/R134</f>
        <v>0.1158675</v>
      </c>
      <c r="AD134" s="29">
        <f>SUMIFS('Recipe Ingredients'!$R$2:$R$2500,'Recipe Ingredients'!$A$2:$A$2500,A134)/R134</f>
        <v>23.509999999999998</v>
      </c>
      <c r="AE134" s="30">
        <f>SUMIFS('Recipe Ingredients'!$S$2:$S$2500,'Recipe Ingredients'!$A$2:$A$2500,A134)/R134</f>
        <v>0.55979999999999996</v>
      </c>
      <c r="AF134" s="31">
        <f>IFERROR(V134/'Start Here'!$C$10,0)</f>
        <v>0.21497999999999998</v>
      </c>
      <c r="AG134" s="31">
        <f>IFERROR(W134/'Start Here'!$C$11,0)</f>
        <v>1.5485000000000002</v>
      </c>
      <c r="AH134" s="31">
        <f>IFERROR(X134/'Start Here'!$C$12,0)</f>
        <v>2.0871875000000002E-2</v>
      </c>
      <c r="AI134" s="31">
        <f>IFERROR(Y134/'Start Here'!$C$13,0)</f>
        <v>0.21493999999999999</v>
      </c>
      <c r="AJ134" s="31">
        <f>IFERROR(Z134/'Start Here'!$C$14,0)</f>
        <v>0.23423749999999996</v>
      </c>
      <c r="AK134" s="31">
        <f>IFERROR(AA134/'Start Here'!$C$15,0)</f>
        <v>0.19938124999999995</v>
      </c>
      <c r="AL134" s="31">
        <f>IFERROR(AB134/'Start Here'!$C$16,0)</f>
        <v>7.6860416666666653E-2</v>
      </c>
      <c r="AM134" s="31">
        <f>IFERROR(AC134/'Start Here'!$C$17,0)</f>
        <v>8.2762500000000003E-2</v>
      </c>
      <c r="AN134" s="31">
        <f>IFERROR(AD134/'Start Here'!$C$18,0)</f>
        <v>6.2693333333333323E-2</v>
      </c>
      <c r="AO134" s="31">
        <f>IFERROR(AE134/'Start Here'!$C$19,0)</f>
        <v>3.9985714285714284E-2</v>
      </c>
      <c r="AP134" s="22" t="str">
        <f t="shared" si="26"/>
        <v>Vitamin C</v>
      </c>
      <c r="AQ134" s="7" t="str">
        <f t="shared" si="27"/>
        <v>Best for better vitamin C intake: one serving gives about 155% of your daily vitamin C from the produce alone.</v>
      </c>
      <c r="AR134" s="7" t="str">
        <f t="shared" si="28"/>
        <v/>
      </c>
      <c r="AS134" s="7" t="s">
        <v>2485</v>
      </c>
      <c r="AT134" s="7" t="s">
        <v>2486</v>
      </c>
      <c r="AU134" s="28">
        <f>COUNTIFS('Recipe Ingredients'!$A$2:$A$2500,A134,'Recipe Ingredients'!$G$2:$G$2500,"Basket")</f>
        <v>7</v>
      </c>
      <c r="AV134" s="28">
        <f>COUNTIFS('Recipe Ingredients'!$A$2:$A$2500,A134,'Recipe Ingredients'!$G$2:$G$2500,"Protein")+COUNTIFS('Recipe Ingredients'!$A$2:$A$2500,A134,'Recipe Ingredients'!$G$2:$G$2500,"Pantry")</f>
        <v>1</v>
      </c>
      <c r="AW134" s="31">
        <f t="shared" si="29"/>
        <v>0.875</v>
      </c>
      <c r="AX134" s="28" t="str">
        <f>IF(AW134&gt;='Start Here'!$C$6,"Yes","No")</f>
        <v>Yes</v>
      </c>
      <c r="AY134" s="7" t="s">
        <v>115</v>
      </c>
      <c r="AZ134" s="7" t="s">
        <v>2487</v>
      </c>
      <c r="BA134" s="7" t="s">
        <v>2488</v>
      </c>
      <c r="BB134" s="32" t="s">
        <v>964</v>
      </c>
    </row>
    <row r="135" spans="1:54" ht="96" customHeight="1" x14ac:dyDescent="0.25">
      <c r="A135" s="22" t="s">
        <v>2489</v>
      </c>
      <c r="B135" s="23" t="s">
        <v>2490</v>
      </c>
      <c r="C135" s="22" t="s">
        <v>1067</v>
      </c>
      <c r="D135" s="22" t="s">
        <v>967</v>
      </c>
      <c r="E135" s="22" t="s">
        <v>1029</v>
      </c>
      <c r="F135" s="7" t="s">
        <v>2491</v>
      </c>
      <c r="G135" s="22" t="s">
        <v>2492</v>
      </c>
      <c r="H135" s="7"/>
      <c r="I135" s="7"/>
      <c r="J135" s="7" t="s">
        <v>2493</v>
      </c>
      <c r="K135" s="7" t="s">
        <v>2494</v>
      </c>
      <c r="L135" s="7" t="s">
        <v>2495</v>
      </c>
      <c r="M135" s="22" t="s">
        <v>1051</v>
      </c>
      <c r="N135" s="28">
        <v>10</v>
      </c>
      <c r="O135" s="28">
        <v>0</v>
      </c>
      <c r="P135" s="28">
        <f t="shared" si="24"/>
        <v>10</v>
      </c>
      <c r="Q135" s="22" t="str">
        <f t="shared" si="25"/>
        <v>No-cook</v>
      </c>
      <c r="R135" s="28">
        <v>2</v>
      </c>
      <c r="S135" s="22">
        <v>260</v>
      </c>
      <c r="T135" s="22">
        <v>5</v>
      </c>
      <c r="U135" s="29">
        <f>SUMIFS('Recipe Ingredients'!$I$2:$I$2500,'Recipe Ingredients'!$A$2:$A$2500,A135)/R135</f>
        <v>181</v>
      </c>
      <c r="V135" s="29">
        <f>SUMIFS('Recipe Ingredients'!$J$2:$J$2500,'Recipe Ingredients'!$A$2:$A$2500,A135)/R135</f>
        <v>7.399</v>
      </c>
      <c r="W135" s="29">
        <f>SUMIFS('Recipe Ingredients'!$K$2:$K$2500,'Recipe Ingredients'!$A$2:$A$2500,A135)/R135</f>
        <v>15.626999999999999</v>
      </c>
      <c r="X135" s="29">
        <f>SUMIFS('Recipe Ingredients'!$L$2:$L$2500,'Recipe Ingredients'!$A$2:$A$2500,A135)/R135</f>
        <v>3.88</v>
      </c>
      <c r="Y135" s="29">
        <f>SUMIFS('Recipe Ingredients'!$M$2:$M$2500,'Recipe Ingredients'!$A$2:$A$2500,A135)/R135</f>
        <v>1.2790000000000001</v>
      </c>
      <c r="Z135" s="29">
        <f>SUMIFS('Recipe Ingredients'!$N$2:$N$2500,'Recipe Ingredients'!$A$2:$A$2500,A135)/R135</f>
        <v>67.55</v>
      </c>
      <c r="AA135" s="29">
        <f>SUMIFS('Recipe Ingredients'!$O$2:$O$2500,'Recipe Ingredients'!$A$2:$A$2500,A135)/R135</f>
        <v>718.8900000000001</v>
      </c>
      <c r="AB135" s="30">
        <f>SUMIFS('Recipe Ingredients'!$P$2:$P$2500,'Recipe Ingredients'!$A$2:$A$2500,A135)/R135</f>
        <v>1.4394000000000002</v>
      </c>
      <c r="AC135" s="30">
        <f>SUMIFS('Recipe Ingredients'!$Q$2:$Q$2500,'Recipe Ingredients'!$A$2:$A$2500,A135)/R135</f>
        <v>0.53262000000000009</v>
      </c>
      <c r="AD135" s="29">
        <f>SUMIFS('Recipe Ingredients'!$R$2:$R$2500,'Recipe Ingredients'!$A$2:$A$2500,A135)/R135</f>
        <v>70.31</v>
      </c>
      <c r="AE135" s="30">
        <f>SUMIFS('Recipe Ingredients'!$S$2:$S$2500,'Recipe Ingredients'!$A$2:$A$2500,A135)/R135</f>
        <v>1.5530000000000002</v>
      </c>
      <c r="AF135" s="31">
        <f>IFERROR(V135/'Start Here'!$C$10,0)</f>
        <v>0.29596</v>
      </c>
      <c r="AG135" s="31">
        <f>IFERROR(W135/'Start Here'!$C$11,0)</f>
        <v>0.1953375</v>
      </c>
      <c r="AH135" s="31">
        <f>IFERROR(X135/'Start Here'!$C$12,0)</f>
        <v>4.8500000000000001E-3</v>
      </c>
      <c r="AI135" s="31">
        <f>IFERROR(Y135/'Start Here'!$C$13,0)</f>
        <v>1.7053333333333334E-2</v>
      </c>
      <c r="AJ135" s="31">
        <f>IFERROR(Z135/'Start Here'!$C$14,0)</f>
        <v>0.33774999999999999</v>
      </c>
      <c r="AK135" s="31">
        <f>IFERROR(AA135/'Start Here'!$C$15,0)</f>
        <v>0.35944500000000007</v>
      </c>
      <c r="AL135" s="31">
        <f>IFERROR(AB135/'Start Here'!$C$16,0)</f>
        <v>0.11995000000000001</v>
      </c>
      <c r="AM135" s="31">
        <f>IFERROR(AC135/'Start Here'!$C$17,0)</f>
        <v>0.38044285714285725</v>
      </c>
      <c r="AN135" s="31">
        <f>IFERROR(AD135/'Start Here'!$C$18,0)</f>
        <v>0.18749333333333335</v>
      </c>
      <c r="AO135" s="31">
        <f>IFERROR(AE135/'Start Here'!$C$19,0)</f>
        <v>0.11092857142857145</v>
      </c>
      <c r="AP135" s="22" t="str">
        <f t="shared" si="26"/>
        <v>Vitamin B6</v>
      </c>
      <c r="AQ135" s="7" t="str">
        <f t="shared" si="27"/>
        <v>Best for better vitamin B6 intake: one serving gives about 38% of your daily vitamin B6 from the produce alone.</v>
      </c>
      <c r="AR135" s="7" t="str">
        <f t="shared" si="28"/>
        <v>Fibre (30%), Folate (34%), Potassium (36%)</v>
      </c>
      <c r="AS135" s="7" t="s">
        <v>2496</v>
      </c>
      <c r="AT135" s="7" t="s">
        <v>2497</v>
      </c>
      <c r="AU135" s="28">
        <f>COUNTIFS('Recipe Ingredients'!$A$2:$A$2500,A135,'Recipe Ingredients'!$G$2:$G$2500,"Basket")</f>
        <v>5</v>
      </c>
      <c r="AV135" s="28">
        <f>COUNTIFS('Recipe Ingredients'!$A$2:$A$2500,A135,'Recipe Ingredients'!$G$2:$G$2500,"Protein")+COUNTIFS('Recipe Ingredients'!$A$2:$A$2500,A135,'Recipe Ingredients'!$G$2:$G$2500,"Pantry")</f>
        <v>0</v>
      </c>
      <c r="AW135" s="31">
        <f t="shared" si="29"/>
        <v>1</v>
      </c>
      <c r="AX135" s="28" t="str">
        <f>IF(AW135&gt;='Start Here'!$C$6,"Yes","No")</f>
        <v>Yes</v>
      </c>
      <c r="AY135" s="7" t="s">
        <v>115</v>
      </c>
      <c r="AZ135" s="7" t="s">
        <v>2498</v>
      </c>
      <c r="BA135" s="7" t="s">
        <v>2499</v>
      </c>
      <c r="BB135" s="32" t="s">
        <v>964</v>
      </c>
    </row>
    <row r="136" spans="1:54" ht="96" customHeight="1" x14ac:dyDescent="0.25">
      <c r="A136" s="22" t="s">
        <v>2500</v>
      </c>
      <c r="B136" s="23" t="s">
        <v>2501</v>
      </c>
      <c r="C136" s="22" t="s">
        <v>1067</v>
      </c>
      <c r="D136" s="22" t="s">
        <v>1081</v>
      </c>
      <c r="E136" s="22" t="s">
        <v>1081</v>
      </c>
      <c r="F136" s="7" t="s">
        <v>2502</v>
      </c>
      <c r="G136" s="22" t="s">
        <v>1045</v>
      </c>
      <c r="H136" s="27" t="s">
        <v>2503</v>
      </c>
      <c r="I136" s="27" t="s">
        <v>2504</v>
      </c>
      <c r="J136" s="7" t="s">
        <v>2505</v>
      </c>
      <c r="K136" s="7" t="s">
        <v>2506</v>
      </c>
      <c r="L136" s="7" t="s">
        <v>203</v>
      </c>
      <c r="M136" s="22" t="s">
        <v>1051</v>
      </c>
      <c r="N136" s="28">
        <v>10</v>
      </c>
      <c r="O136" s="28">
        <v>0</v>
      </c>
      <c r="P136" s="28">
        <f t="shared" si="24"/>
        <v>10</v>
      </c>
      <c r="Q136" s="22" t="str">
        <f t="shared" si="25"/>
        <v>No-cook</v>
      </c>
      <c r="R136" s="28">
        <v>4</v>
      </c>
      <c r="S136" s="22">
        <v>280</v>
      </c>
      <c r="T136" s="22">
        <v>4</v>
      </c>
      <c r="U136" s="29">
        <f>SUMIFS('Recipe Ingredients'!$I$2:$I$2500,'Recipe Ingredients'!$A$2:$A$2500,A136)/R136</f>
        <v>147.5</v>
      </c>
      <c r="V136" s="29">
        <f>SUMIFS('Recipe Ingredients'!$J$2:$J$2500,'Recipe Ingredients'!$A$2:$A$2500,A136)/R136</f>
        <v>9.4910000000000014</v>
      </c>
      <c r="W136" s="29">
        <f>SUMIFS('Recipe Ingredients'!$K$2:$K$2500,'Recipe Ingredients'!$A$2:$A$2500,A136)/R136</f>
        <v>21.594000000000001</v>
      </c>
      <c r="X136" s="29">
        <f>SUMIFS('Recipe Ingredients'!$L$2:$L$2500,'Recipe Ingredients'!$A$2:$A$2500,A136)/R136</f>
        <v>7.2250000000000005</v>
      </c>
      <c r="Y136" s="29">
        <f>SUMIFS('Recipe Ingredients'!$M$2:$M$2500,'Recipe Ingredients'!$A$2:$A$2500,A136)/R136</f>
        <v>21.826499999999999</v>
      </c>
      <c r="Z136" s="29">
        <f>SUMIFS('Recipe Ingredients'!$N$2:$N$2500,'Recipe Ingredients'!$A$2:$A$2500,A136)/R136</f>
        <v>108.56</v>
      </c>
      <c r="AA136" s="29">
        <f>SUMIFS('Recipe Ingredients'!$O$2:$O$2500,'Recipe Ingredients'!$A$2:$A$2500,A136)/R136</f>
        <v>673.85</v>
      </c>
      <c r="AB136" s="30">
        <f>SUMIFS('Recipe Ingredients'!$P$2:$P$2500,'Recipe Ingredients'!$A$2:$A$2500,A136)/R136</f>
        <v>2.7894500000000004</v>
      </c>
      <c r="AC136" s="30">
        <f>SUMIFS('Recipe Ingredients'!$Q$2:$Q$2500,'Recipe Ingredients'!$A$2:$A$2500,A136)/R136</f>
        <v>0.31604000000000004</v>
      </c>
      <c r="AD136" s="29">
        <f>SUMIFS('Recipe Ingredients'!$R$2:$R$2500,'Recipe Ingredients'!$A$2:$A$2500,A136)/R136</f>
        <v>51.93</v>
      </c>
      <c r="AE136" s="30">
        <f>SUMIFS('Recipe Ingredients'!$S$2:$S$2500,'Recipe Ingredients'!$A$2:$A$2500,A136)/R136</f>
        <v>1.3242500000000001</v>
      </c>
      <c r="AF136" s="31">
        <f>IFERROR(V136/'Start Here'!$C$10,0)</f>
        <v>0.37964000000000003</v>
      </c>
      <c r="AG136" s="31">
        <f>IFERROR(W136/'Start Here'!$C$11,0)</f>
        <v>0.26992500000000003</v>
      </c>
      <c r="AH136" s="31">
        <f>IFERROR(X136/'Start Here'!$C$12,0)</f>
        <v>9.0312500000000011E-3</v>
      </c>
      <c r="AI136" s="31">
        <f>IFERROR(Y136/'Start Here'!$C$13,0)</f>
        <v>0.29102</v>
      </c>
      <c r="AJ136" s="31">
        <f>IFERROR(Z136/'Start Here'!$C$14,0)</f>
        <v>0.54280000000000006</v>
      </c>
      <c r="AK136" s="31">
        <f>IFERROR(AA136/'Start Here'!$C$15,0)</f>
        <v>0.33692500000000003</v>
      </c>
      <c r="AL136" s="31">
        <f>IFERROR(AB136/'Start Here'!$C$16,0)</f>
        <v>0.23245416666666671</v>
      </c>
      <c r="AM136" s="31">
        <f>IFERROR(AC136/'Start Here'!$C$17,0)</f>
        <v>0.22574285714285719</v>
      </c>
      <c r="AN136" s="31">
        <f>IFERROR(AD136/'Start Here'!$C$18,0)</f>
        <v>0.13847999999999999</v>
      </c>
      <c r="AO136" s="31">
        <f>IFERROR(AE136/'Start Here'!$C$19,0)</f>
        <v>9.4589285714285723E-2</v>
      </c>
      <c r="AP136" s="22" t="str">
        <f t="shared" si="26"/>
        <v>Folate</v>
      </c>
      <c r="AQ136" s="7" t="str">
        <f t="shared" si="27"/>
        <v>Best for better folate intake: one serving gives about 54% of your daily folate from the produce alone.</v>
      </c>
      <c r="AR136" s="7" t="str">
        <f t="shared" si="28"/>
        <v>Fibre (38%), Vitamin C (27%), Vitamin K (29%), Potassium (34%)</v>
      </c>
      <c r="AS136" s="7" t="s">
        <v>2507</v>
      </c>
      <c r="AT136" s="7" t="s">
        <v>2508</v>
      </c>
      <c r="AU136" s="28">
        <f>COUNTIFS('Recipe Ingredients'!$A$2:$A$2500,A136,'Recipe Ingredients'!$G$2:$G$2500,"Basket")</f>
        <v>5</v>
      </c>
      <c r="AV136" s="28">
        <f>COUNTIFS('Recipe Ingredients'!$A$2:$A$2500,A136,'Recipe Ingredients'!$G$2:$G$2500,"Protein")+COUNTIFS('Recipe Ingredients'!$A$2:$A$2500,A136,'Recipe Ingredients'!$G$2:$G$2500,"Pantry")</f>
        <v>2</v>
      </c>
      <c r="AW136" s="31">
        <f t="shared" si="29"/>
        <v>0.7142857142857143</v>
      </c>
      <c r="AX136" s="28" t="str">
        <f>IF(AW136&gt;='Start Here'!$C$6,"Yes","No")</f>
        <v>No</v>
      </c>
      <c r="AY136" s="7" t="s">
        <v>115</v>
      </c>
      <c r="AZ136" s="7" t="s">
        <v>2509</v>
      </c>
      <c r="BA136" s="7" t="s">
        <v>2510</v>
      </c>
      <c r="BB136" s="32" t="s">
        <v>964</v>
      </c>
    </row>
    <row r="137" spans="1:54" ht="96" customHeight="1" x14ac:dyDescent="0.25">
      <c r="A137" s="22" t="s">
        <v>2511</v>
      </c>
      <c r="B137" s="23" t="s">
        <v>2512</v>
      </c>
      <c r="C137" s="22" t="s">
        <v>1067</v>
      </c>
      <c r="D137" s="22" t="s">
        <v>967</v>
      </c>
      <c r="E137" s="22" t="s">
        <v>296</v>
      </c>
      <c r="F137" s="7" t="s">
        <v>2513</v>
      </c>
      <c r="G137" s="22" t="s">
        <v>1005</v>
      </c>
      <c r="H137" s="27" t="s">
        <v>2514</v>
      </c>
      <c r="I137" s="27" t="s">
        <v>2515</v>
      </c>
      <c r="J137" s="7" t="s">
        <v>2516</v>
      </c>
      <c r="K137" s="7" t="s">
        <v>2517</v>
      </c>
      <c r="L137" s="7" t="s">
        <v>203</v>
      </c>
      <c r="M137" s="22" t="s">
        <v>958</v>
      </c>
      <c r="N137" s="28">
        <v>15</v>
      </c>
      <c r="O137" s="28">
        <v>0</v>
      </c>
      <c r="P137" s="28">
        <f t="shared" si="24"/>
        <v>15</v>
      </c>
      <c r="Q137" s="22" t="str">
        <f t="shared" si="25"/>
        <v>No-cook</v>
      </c>
      <c r="R137" s="28">
        <v>4</v>
      </c>
      <c r="S137" s="22">
        <v>190</v>
      </c>
      <c r="T137" s="22">
        <v>7</v>
      </c>
      <c r="U137" s="29">
        <f>SUMIFS('Recipe Ingredients'!$I$2:$I$2500,'Recipe Ingredients'!$A$2:$A$2500,A137)/R137</f>
        <v>265</v>
      </c>
      <c r="V137" s="29">
        <f>SUMIFS('Recipe Ingredients'!$J$2:$J$2500,'Recipe Ingredients'!$A$2:$A$2500,A137)/R137</f>
        <v>4.8232499999999998</v>
      </c>
      <c r="W137" s="29">
        <f>SUMIFS('Recipe Ingredients'!$K$2:$K$2500,'Recipe Ingredients'!$A$2:$A$2500,A137)/R137</f>
        <v>108.39349999999999</v>
      </c>
      <c r="X137" s="29">
        <f>SUMIFS('Recipe Ingredients'!$L$2:$L$2500,'Recipe Ingredients'!$A$2:$A$2500,A137)/R137</f>
        <v>50.375</v>
      </c>
      <c r="Y137" s="29">
        <f>SUMIFS('Recipe Ingredients'!$M$2:$M$2500,'Recipe Ingredients'!$A$2:$A$2500,A137)/R137</f>
        <v>24.215249999999997</v>
      </c>
      <c r="Z137" s="29">
        <f>SUMIFS('Recipe Ingredients'!$N$2:$N$2500,'Recipe Ingredients'!$A$2:$A$2500,A137)/R137</f>
        <v>67.944999999999993</v>
      </c>
      <c r="AA137" s="29">
        <f>SUMIFS('Recipe Ingredients'!$O$2:$O$2500,'Recipe Ingredients'!$A$2:$A$2500,A137)/R137</f>
        <v>529.57500000000005</v>
      </c>
      <c r="AB137" s="30">
        <f>SUMIFS('Recipe Ingredients'!$P$2:$P$2500,'Recipe Ingredients'!$A$2:$A$2500,A137)/R137</f>
        <v>1.4793750000000001</v>
      </c>
      <c r="AC137" s="30">
        <f>SUMIFS('Recipe Ingredients'!$Q$2:$Q$2500,'Recipe Ingredients'!$A$2:$A$2500,A137)/R137</f>
        <v>0.32648500000000003</v>
      </c>
      <c r="AD137" s="29">
        <f>SUMIFS('Recipe Ingredients'!$R$2:$R$2500,'Recipe Ingredients'!$A$2:$A$2500,A137)/R137</f>
        <v>34.762500000000003</v>
      </c>
      <c r="AE137" s="30">
        <f>SUMIFS('Recipe Ingredients'!$S$2:$S$2500,'Recipe Ingredients'!$A$2:$A$2500,A137)/R137</f>
        <v>0.72937499999999988</v>
      </c>
      <c r="AF137" s="31">
        <f>IFERROR(V137/'Start Here'!$C$10,0)</f>
        <v>0.19292999999999999</v>
      </c>
      <c r="AG137" s="31">
        <f>IFERROR(W137/'Start Here'!$C$11,0)</f>
        <v>1.3549187499999999</v>
      </c>
      <c r="AH137" s="31">
        <f>IFERROR(X137/'Start Here'!$C$12,0)</f>
        <v>6.2968750000000004E-2</v>
      </c>
      <c r="AI137" s="31">
        <f>IFERROR(Y137/'Start Here'!$C$13,0)</f>
        <v>0.32286999999999999</v>
      </c>
      <c r="AJ137" s="31">
        <f>IFERROR(Z137/'Start Here'!$C$14,0)</f>
        <v>0.33972499999999994</v>
      </c>
      <c r="AK137" s="31">
        <f>IFERROR(AA137/'Start Here'!$C$15,0)</f>
        <v>0.26478750000000001</v>
      </c>
      <c r="AL137" s="31">
        <f>IFERROR(AB137/'Start Here'!$C$16,0)</f>
        <v>0.12328125000000001</v>
      </c>
      <c r="AM137" s="31">
        <f>IFERROR(AC137/'Start Here'!$C$17,0)</f>
        <v>0.23320357142857145</v>
      </c>
      <c r="AN137" s="31">
        <f>IFERROR(AD137/'Start Here'!$C$18,0)</f>
        <v>9.2700000000000005E-2</v>
      </c>
      <c r="AO137" s="31">
        <f>IFERROR(AE137/'Start Here'!$C$19,0)</f>
        <v>5.2098214285714275E-2</v>
      </c>
      <c r="AP137" s="22" t="str">
        <f t="shared" si="26"/>
        <v>Vitamin C</v>
      </c>
      <c r="AQ137" s="7" t="str">
        <f t="shared" si="27"/>
        <v>Best for better vitamin C intake: one serving gives about 135% of your daily vitamin C from the produce alone.</v>
      </c>
      <c r="AR137" s="7" t="str">
        <f t="shared" si="28"/>
        <v>Vitamin K (32%), Folate (34%), Potassium (26%)</v>
      </c>
      <c r="AS137" s="7" t="s">
        <v>2518</v>
      </c>
      <c r="AT137" s="7" t="s">
        <v>2519</v>
      </c>
      <c r="AU137" s="28">
        <f>COUNTIFS('Recipe Ingredients'!$A$2:$A$2500,A137,'Recipe Ingredients'!$G$2:$G$2500,"Basket")</f>
        <v>6</v>
      </c>
      <c r="AV137" s="28">
        <f>COUNTIFS('Recipe Ingredients'!$A$2:$A$2500,A137,'Recipe Ingredients'!$G$2:$G$2500,"Protein")+COUNTIFS('Recipe Ingredients'!$A$2:$A$2500,A137,'Recipe Ingredients'!$G$2:$G$2500,"Pantry")</f>
        <v>4</v>
      </c>
      <c r="AW137" s="31">
        <f t="shared" si="29"/>
        <v>0.6</v>
      </c>
      <c r="AX137" s="28" t="str">
        <f>IF(AW137&gt;='Start Here'!$C$6,"Yes","No")</f>
        <v>No</v>
      </c>
      <c r="AY137" s="7" t="s">
        <v>115</v>
      </c>
      <c r="AZ137" s="7" t="s">
        <v>2520</v>
      </c>
      <c r="BA137" s="7" t="s">
        <v>2521</v>
      </c>
      <c r="BB137" s="32" t="s">
        <v>964</v>
      </c>
    </row>
    <row r="138" spans="1:54" ht="96" customHeight="1" x14ac:dyDescent="0.25">
      <c r="A138" s="22" t="s">
        <v>2522</v>
      </c>
      <c r="B138" s="23" t="s">
        <v>2523</v>
      </c>
      <c r="C138" s="22" t="s">
        <v>1067</v>
      </c>
      <c r="D138" s="22" t="s">
        <v>967</v>
      </c>
      <c r="E138" s="22" t="s">
        <v>2524</v>
      </c>
      <c r="F138" s="7" t="s">
        <v>2525</v>
      </c>
      <c r="G138" s="22" t="s">
        <v>2526</v>
      </c>
      <c r="H138" s="27" t="s">
        <v>2527</v>
      </c>
      <c r="I138" s="27" t="s">
        <v>2528</v>
      </c>
      <c r="J138" s="7" t="s">
        <v>2529</v>
      </c>
      <c r="K138" s="7" t="s">
        <v>2530</v>
      </c>
      <c r="L138" s="7" t="s">
        <v>974</v>
      </c>
      <c r="M138" s="22" t="s">
        <v>958</v>
      </c>
      <c r="N138" s="28">
        <v>10</v>
      </c>
      <c r="O138" s="28">
        <v>0</v>
      </c>
      <c r="P138" s="28">
        <f t="shared" si="24"/>
        <v>10</v>
      </c>
      <c r="Q138" s="22" t="str">
        <f t="shared" si="25"/>
        <v>No-cook</v>
      </c>
      <c r="R138" s="28">
        <v>4</v>
      </c>
      <c r="S138" s="22">
        <v>110</v>
      </c>
      <c r="T138" s="22">
        <v>2</v>
      </c>
      <c r="U138" s="29">
        <f>SUMIFS('Recipe Ingredients'!$I$2:$I$2500,'Recipe Ingredients'!$A$2:$A$2500,A138)/R138</f>
        <v>275.5</v>
      </c>
      <c r="V138" s="29">
        <f>SUMIFS('Recipe Ingredients'!$J$2:$J$2500,'Recipe Ingredients'!$A$2:$A$2500,A138)/R138</f>
        <v>4.7465000000000002</v>
      </c>
      <c r="W138" s="29">
        <f>SUMIFS('Recipe Ingredients'!$K$2:$K$2500,'Recipe Ingredients'!$A$2:$A$2500,A138)/R138</f>
        <v>116.44425</v>
      </c>
      <c r="X138" s="29">
        <f>SUMIFS('Recipe Ingredients'!$L$2:$L$2500,'Recipe Ingredients'!$A$2:$A$2500,A138)/R138</f>
        <v>23.0975</v>
      </c>
      <c r="Y138" s="29">
        <f>SUMIFS('Recipe Ingredients'!$M$2:$M$2500,'Recipe Ingredients'!$A$2:$A$2500,A138)/R138</f>
        <v>6.5092500000000006</v>
      </c>
      <c r="Z138" s="29">
        <f>SUMIFS('Recipe Ingredients'!$N$2:$N$2500,'Recipe Ingredients'!$A$2:$A$2500,A138)/R138</f>
        <v>51.440000000000005</v>
      </c>
      <c r="AA138" s="29">
        <f>SUMIFS('Recipe Ingredients'!$O$2:$O$2500,'Recipe Ingredients'!$A$2:$A$2500,A138)/R138</f>
        <v>317.29750000000001</v>
      </c>
      <c r="AB138" s="30">
        <f>SUMIFS('Recipe Ingredients'!$P$2:$P$2500,'Recipe Ingredients'!$A$2:$A$2500,A138)/R138</f>
        <v>0.22459999999999999</v>
      </c>
      <c r="AC138" s="30">
        <f>SUMIFS('Recipe Ingredients'!$Q$2:$Q$2500,'Recipe Ingredients'!$A$2:$A$2500,A138)/R138</f>
        <v>0.28545250000000005</v>
      </c>
      <c r="AD138" s="29">
        <f>SUMIFS('Recipe Ingredients'!$R$2:$R$2500,'Recipe Ingredients'!$A$2:$A$2500,A138)/R138</f>
        <v>34.380000000000003</v>
      </c>
      <c r="AE138" s="30">
        <f>SUMIFS('Recipe Ingredients'!$S$2:$S$2500,'Recipe Ingredients'!$A$2:$A$2500,A138)/R138</f>
        <v>1.7168749999999999</v>
      </c>
      <c r="AF138" s="31">
        <f>IFERROR(V138/'Start Here'!$C$10,0)</f>
        <v>0.18986</v>
      </c>
      <c r="AG138" s="31">
        <f>IFERROR(W138/'Start Here'!$C$11,0)</f>
        <v>1.455553125</v>
      </c>
      <c r="AH138" s="31">
        <f>IFERROR(X138/'Start Here'!$C$12,0)</f>
        <v>2.8871875000000002E-2</v>
      </c>
      <c r="AI138" s="31">
        <f>IFERROR(Y138/'Start Here'!$C$13,0)</f>
        <v>8.6790000000000006E-2</v>
      </c>
      <c r="AJ138" s="31">
        <f>IFERROR(Z138/'Start Here'!$C$14,0)</f>
        <v>0.25720000000000004</v>
      </c>
      <c r="AK138" s="31">
        <f>IFERROR(AA138/'Start Here'!$C$15,0)</f>
        <v>0.15864875000000001</v>
      </c>
      <c r="AL138" s="31">
        <f>IFERROR(AB138/'Start Here'!$C$16,0)</f>
        <v>1.8716666666666666E-2</v>
      </c>
      <c r="AM138" s="31">
        <f>IFERROR(AC138/'Start Here'!$C$17,0)</f>
        <v>0.2038946428571429</v>
      </c>
      <c r="AN138" s="31">
        <f>IFERROR(AD138/'Start Here'!$C$18,0)</f>
        <v>9.1680000000000011E-2</v>
      </c>
      <c r="AO138" s="31">
        <f>IFERROR(AE138/'Start Here'!$C$19,0)</f>
        <v>0.12263392857142856</v>
      </c>
      <c r="AP138" s="22" t="str">
        <f t="shared" si="26"/>
        <v>Vitamin C</v>
      </c>
      <c r="AQ138" s="7" t="str">
        <f t="shared" si="27"/>
        <v>Best for better vitamin C intake: one serving gives about 146% of your daily vitamin C from the produce alone.</v>
      </c>
      <c r="AR138" s="7" t="str">
        <f t="shared" si="28"/>
        <v>Folate (26%)</v>
      </c>
      <c r="AS138" s="7" t="s">
        <v>2531</v>
      </c>
      <c r="AT138" s="7" t="s">
        <v>2532</v>
      </c>
      <c r="AU138" s="28">
        <f>COUNTIFS('Recipe Ingredients'!$A$2:$A$2500,A138,'Recipe Ingredients'!$G$2:$G$2500,"Basket")</f>
        <v>4</v>
      </c>
      <c r="AV138" s="28">
        <f>COUNTIFS('Recipe Ingredients'!$A$2:$A$2500,A138,'Recipe Ingredients'!$G$2:$G$2500,"Protein")+COUNTIFS('Recipe Ingredients'!$A$2:$A$2500,A138,'Recipe Ingredients'!$G$2:$G$2500,"Pantry")</f>
        <v>1</v>
      </c>
      <c r="AW138" s="31">
        <f t="shared" si="29"/>
        <v>0.8</v>
      </c>
      <c r="AX138" s="28" t="str">
        <f>IF(AW138&gt;='Start Here'!$C$6,"Yes","No")</f>
        <v>Yes</v>
      </c>
      <c r="AY138" s="7" t="s">
        <v>115</v>
      </c>
      <c r="AZ138" s="7" t="s">
        <v>2533</v>
      </c>
      <c r="BA138" s="7" t="s">
        <v>2534</v>
      </c>
      <c r="BB138" s="32" t="s">
        <v>964</v>
      </c>
    </row>
    <row r="139" spans="1:54" ht="96" customHeight="1" x14ac:dyDescent="0.25">
      <c r="A139" s="22" t="s">
        <v>2535</v>
      </c>
      <c r="B139" s="23" t="s">
        <v>2536</v>
      </c>
      <c r="C139" s="22" t="s">
        <v>1067</v>
      </c>
      <c r="D139" s="22" t="s">
        <v>1081</v>
      </c>
      <c r="E139" s="22" t="s">
        <v>1081</v>
      </c>
      <c r="F139" s="7" t="s">
        <v>2537</v>
      </c>
      <c r="G139" s="22" t="s">
        <v>2434</v>
      </c>
      <c r="H139" s="27" t="s">
        <v>2538</v>
      </c>
      <c r="I139" s="7"/>
      <c r="J139" s="7" t="s">
        <v>2539</v>
      </c>
      <c r="K139" s="7" t="s">
        <v>2540</v>
      </c>
      <c r="L139" s="7" t="s">
        <v>203</v>
      </c>
      <c r="M139" s="22" t="s">
        <v>1051</v>
      </c>
      <c r="N139" s="28">
        <v>15</v>
      </c>
      <c r="O139" s="28">
        <v>0</v>
      </c>
      <c r="P139" s="28">
        <f t="shared" si="24"/>
        <v>15</v>
      </c>
      <c r="Q139" s="22" t="str">
        <f t="shared" si="25"/>
        <v>No-cook</v>
      </c>
      <c r="R139" s="28">
        <v>6</v>
      </c>
      <c r="S139" s="22">
        <v>60</v>
      </c>
      <c r="T139" s="22">
        <v>1</v>
      </c>
      <c r="U139" s="29">
        <f>SUMIFS('Recipe Ingredients'!$I$2:$I$2500,'Recipe Ingredients'!$A$2:$A$2500,A139)/R139</f>
        <v>99.166666666666671</v>
      </c>
      <c r="V139" s="29">
        <f>SUMIFS('Recipe Ingredients'!$J$2:$J$2500,'Recipe Ingredients'!$A$2:$A$2500,A139)/R139</f>
        <v>2.0659999999999998</v>
      </c>
      <c r="W139" s="29">
        <f>SUMIFS('Recipe Ingredients'!$K$2:$K$2500,'Recipe Ingredients'!$A$2:$A$2500,A139)/R139</f>
        <v>57.413666666666671</v>
      </c>
      <c r="X139" s="29">
        <f>SUMIFS('Recipe Ingredients'!$L$2:$L$2500,'Recipe Ingredients'!$A$2:$A$2500,A139)/R139</f>
        <v>2.0916666666666663</v>
      </c>
      <c r="Y139" s="29">
        <f>SUMIFS('Recipe Ingredients'!$M$2:$M$2500,'Recipe Ingredients'!$A$2:$A$2500,A139)/R139</f>
        <v>1.8333333333333333</v>
      </c>
      <c r="Z139" s="29">
        <f>SUMIFS('Recipe Ingredients'!$N$2:$N$2500,'Recipe Ingredients'!$A$2:$A$2500,A139)/R139</f>
        <v>23.831666666666667</v>
      </c>
      <c r="AA139" s="29">
        <f>SUMIFS('Recipe Ingredients'!$O$2:$O$2500,'Recipe Ingredients'!$A$2:$A$2500,A139)/R139</f>
        <v>154.08000000000001</v>
      </c>
      <c r="AB139" s="30">
        <f>SUMIFS('Recipe Ingredients'!$P$2:$P$2500,'Recipe Ingredients'!$A$2:$A$2500,A139)/R139</f>
        <v>0.26871666666666666</v>
      </c>
      <c r="AC139" s="30">
        <f>SUMIFS('Recipe Ingredients'!$Q$2:$Q$2500,'Recipe Ingredients'!$A$2:$A$2500,A139)/R139</f>
        <v>4.9633333333333328E-2</v>
      </c>
      <c r="AD139" s="29">
        <f>SUMIFS('Recipe Ingredients'!$R$2:$R$2500,'Recipe Ingredients'!$A$2:$A$2500,A139)/R139</f>
        <v>12.319999999999999</v>
      </c>
      <c r="AE139" s="30">
        <f>SUMIFS('Recipe Ingredients'!$S$2:$S$2500,'Recipe Ingredients'!$A$2:$A$2500,A139)/R139</f>
        <v>0.3816666666666666</v>
      </c>
      <c r="AF139" s="31">
        <f>IFERROR(V139/'Start Here'!$C$10,0)</f>
        <v>8.2639999999999991E-2</v>
      </c>
      <c r="AG139" s="31">
        <f>IFERROR(W139/'Start Here'!$C$11,0)</f>
        <v>0.71767083333333337</v>
      </c>
      <c r="AH139" s="31">
        <f>IFERROR(X139/'Start Here'!$C$12,0)</f>
        <v>2.6145833333333329E-3</v>
      </c>
      <c r="AI139" s="31">
        <f>IFERROR(Y139/'Start Here'!$C$13,0)</f>
        <v>2.4444444444444442E-2</v>
      </c>
      <c r="AJ139" s="31">
        <f>IFERROR(Z139/'Start Here'!$C$14,0)</f>
        <v>0.11915833333333334</v>
      </c>
      <c r="AK139" s="31">
        <f>IFERROR(AA139/'Start Here'!$C$15,0)</f>
        <v>7.7040000000000011E-2</v>
      </c>
      <c r="AL139" s="31">
        <f>IFERROR(AB139/'Start Here'!$C$16,0)</f>
        <v>2.2393055555555555E-2</v>
      </c>
      <c r="AM139" s="31">
        <f>IFERROR(AC139/'Start Here'!$C$17,0)</f>
        <v>3.545238095238095E-2</v>
      </c>
      <c r="AN139" s="31">
        <f>IFERROR(AD139/'Start Here'!$C$18,0)</f>
        <v>3.2853333333333332E-2</v>
      </c>
      <c r="AO139" s="31">
        <f>IFERROR(AE139/'Start Here'!$C$19,0)</f>
        <v>2.7261904761904758E-2</v>
      </c>
      <c r="AP139" s="22" t="str">
        <f t="shared" si="26"/>
        <v>Vitamin C</v>
      </c>
      <c r="AQ139" s="7" t="str">
        <f t="shared" si="27"/>
        <v>Best for better vitamin C intake: one serving gives about 72% of your daily vitamin C from the produce alone.</v>
      </c>
      <c r="AR139" s="7" t="str">
        <f t="shared" si="28"/>
        <v/>
      </c>
      <c r="AS139" s="7" t="s">
        <v>2541</v>
      </c>
      <c r="AT139" s="7" t="s">
        <v>2542</v>
      </c>
      <c r="AU139" s="28">
        <f>COUNTIFS('Recipe Ingredients'!$A$2:$A$2500,A139,'Recipe Ingredients'!$G$2:$G$2500,"Basket")</f>
        <v>3</v>
      </c>
      <c r="AV139" s="28">
        <f>COUNTIFS('Recipe Ingredients'!$A$2:$A$2500,A139,'Recipe Ingredients'!$G$2:$G$2500,"Protein")+COUNTIFS('Recipe Ingredients'!$A$2:$A$2500,A139,'Recipe Ingredients'!$G$2:$G$2500,"Pantry")</f>
        <v>2</v>
      </c>
      <c r="AW139" s="31">
        <f t="shared" si="29"/>
        <v>0.6</v>
      </c>
      <c r="AX139" s="28" t="str">
        <f>IF(AW139&gt;='Start Here'!$C$6,"Yes","No")</f>
        <v>No</v>
      </c>
      <c r="AY139" s="7" t="s">
        <v>115</v>
      </c>
      <c r="AZ139" s="7" t="s">
        <v>2543</v>
      </c>
      <c r="BA139" s="7" t="s">
        <v>2544</v>
      </c>
      <c r="BB139" s="32" t="s">
        <v>964</v>
      </c>
    </row>
    <row r="140" spans="1:54" ht="96" customHeight="1" x14ac:dyDescent="0.25">
      <c r="A140" s="22" t="s">
        <v>2545</v>
      </c>
      <c r="B140" s="23" t="s">
        <v>2546</v>
      </c>
      <c r="C140" s="22" t="s">
        <v>1067</v>
      </c>
      <c r="D140" s="22" t="s">
        <v>967</v>
      </c>
      <c r="E140" s="22" t="s">
        <v>2524</v>
      </c>
      <c r="F140" s="7" t="s">
        <v>2547</v>
      </c>
      <c r="G140" s="22" t="s">
        <v>2434</v>
      </c>
      <c r="H140" s="27" t="s">
        <v>2548</v>
      </c>
      <c r="I140" s="7"/>
      <c r="J140" s="7" t="s">
        <v>2549</v>
      </c>
      <c r="K140" s="7" t="s">
        <v>2550</v>
      </c>
      <c r="L140" s="7" t="s">
        <v>203</v>
      </c>
      <c r="M140" s="22" t="s">
        <v>1051</v>
      </c>
      <c r="N140" s="28">
        <v>15</v>
      </c>
      <c r="O140" s="28">
        <v>0</v>
      </c>
      <c r="P140" s="28">
        <f t="shared" si="24"/>
        <v>15</v>
      </c>
      <c r="Q140" s="22" t="str">
        <f t="shared" si="25"/>
        <v>No-cook</v>
      </c>
      <c r="R140" s="28">
        <v>4</v>
      </c>
      <c r="S140" s="22">
        <v>120</v>
      </c>
      <c r="T140" s="22">
        <v>2</v>
      </c>
      <c r="U140" s="29">
        <f>SUMIFS('Recipe Ingredients'!$I$2:$I$2500,'Recipe Ingredients'!$A$2:$A$2500,A140)/R140</f>
        <v>174.5</v>
      </c>
      <c r="V140" s="29">
        <f>SUMIFS('Recipe Ingredients'!$J$2:$J$2500,'Recipe Ingredients'!$A$2:$A$2500,A140)/R140</f>
        <v>3.7439999999999993</v>
      </c>
      <c r="W140" s="29">
        <f>SUMIFS('Recipe Ingredients'!$K$2:$K$2500,'Recipe Ingredients'!$A$2:$A$2500,A140)/R140</f>
        <v>73.810500000000005</v>
      </c>
      <c r="X140" s="29">
        <f>SUMIFS('Recipe Ingredients'!$L$2:$L$2500,'Recipe Ingredients'!$A$2:$A$2500,A140)/R140</f>
        <v>46.647500000000001</v>
      </c>
      <c r="Y140" s="29">
        <f>SUMIFS('Recipe Ingredients'!$M$2:$M$2500,'Recipe Ingredients'!$A$2:$A$2500,A140)/R140</f>
        <v>0</v>
      </c>
      <c r="Z140" s="29">
        <f>SUMIFS('Recipe Ingredients'!$N$2:$N$2500,'Recipe Ingredients'!$A$2:$A$2500,A140)/R140</f>
        <v>42.087500000000006</v>
      </c>
      <c r="AA140" s="29">
        <f>SUMIFS('Recipe Ingredients'!$O$2:$O$2500,'Recipe Ingredients'!$A$2:$A$2500,A140)/R140</f>
        <v>299.255</v>
      </c>
      <c r="AB140" s="30">
        <f>SUMIFS('Recipe Ingredients'!$P$2:$P$2500,'Recipe Ingredients'!$A$2:$A$2500,A140)/R140</f>
        <v>0.30482499999999996</v>
      </c>
      <c r="AC140" s="30">
        <f>SUMIFS('Recipe Ingredients'!$Q$2:$Q$2500,'Recipe Ingredients'!$A$2:$A$2500,A140)/R140</f>
        <v>0.11193749999999998</v>
      </c>
      <c r="AD140" s="29">
        <f>SUMIFS('Recipe Ingredients'!$R$2:$R$2500,'Recipe Ingredients'!$A$2:$A$2500,A140)/R140</f>
        <v>18.817500000000003</v>
      </c>
      <c r="AE140" s="30">
        <f>SUMIFS('Recipe Ingredients'!$S$2:$S$2500,'Recipe Ingredients'!$A$2:$A$2500,A140)/R140</f>
        <v>0.3669</v>
      </c>
      <c r="AF140" s="31">
        <f>IFERROR(V140/'Start Here'!$C$10,0)</f>
        <v>0.14975999999999998</v>
      </c>
      <c r="AG140" s="31">
        <f>IFERROR(W140/'Start Here'!$C$11,0)</f>
        <v>0.92263125000000001</v>
      </c>
      <c r="AH140" s="31">
        <f>IFERROR(X140/'Start Here'!$C$12,0)</f>
        <v>5.8309375000000004E-2</v>
      </c>
      <c r="AI140" s="31">
        <f>IFERROR(Y140/'Start Here'!$C$13,0)</f>
        <v>0</v>
      </c>
      <c r="AJ140" s="31">
        <f>IFERROR(Z140/'Start Here'!$C$14,0)</f>
        <v>0.21043750000000003</v>
      </c>
      <c r="AK140" s="31">
        <f>IFERROR(AA140/'Start Here'!$C$15,0)</f>
        <v>0.1496275</v>
      </c>
      <c r="AL140" s="31">
        <f>IFERROR(AB140/'Start Here'!$C$16,0)</f>
        <v>2.5402083333333329E-2</v>
      </c>
      <c r="AM140" s="31">
        <f>IFERROR(AC140/'Start Here'!$C$17,0)</f>
        <v>7.9955357142857134E-2</v>
      </c>
      <c r="AN140" s="31">
        <f>IFERROR(AD140/'Start Here'!$C$18,0)</f>
        <v>5.0180000000000009E-2</v>
      </c>
      <c r="AO140" s="31">
        <f>IFERROR(AE140/'Start Here'!$C$19,0)</f>
        <v>2.6207142857142856E-2</v>
      </c>
      <c r="AP140" s="22" t="str">
        <f t="shared" si="26"/>
        <v>Vitamin C</v>
      </c>
      <c r="AQ140" s="7" t="str">
        <f t="shared" si="27"/>
        <v>Best for better vitamin C intake: one serving gives about 92% of your daily vitamin C from the produce alone.</v>
      </c>
      <c r="AR140" s="7" t="str">
        <f t="shared" si="28"/>
        <v/>
      </c>
      <c r="AS140" s="7" t="s">
        <v>2551</v>
      </c>
      <c r="AT140" s="7" t="s">
        <v>2552</v>
      </c>
      <c r="AU140" s="28">
        <f>COUNTIFS('Recipe Ingredients'!$A$2:$A$2500,A140,'Recipe Ingredients'!$G$2:$G$2500,"Basket")</f>
        <v>4</v>
      </c>
      <c r="AV140" s="28">
        <f>COUNTIFS('Recipe Ingredients'!$A$2:$A$2500,A140,'Recipe Ingredients'!$G$2:$G$2500,"Protein")+COUNTIFS('Recipe Ingredients'!$A$2:$A$2500,A140,'Recipe Ingredients'!$G$2:$G$2500,"Pantry")</f>
        <v>1</v>
      </c>
      <c r="AW140" s="31">
        <f t="shared" si="29"/>
        <v>0.8</v>
      </c>
      <c r="AX140" s="28" t="str">
        <f>IF(AW140&gt;='Start Here'!$C$6,"Yes","No")</f>
        <v>Yes</v>
      </c>
      <c r="AY140" s="7" t="s">
        <v>115</v>
      </c>
      <c r="AZ140" s="7" t="s">
        <v>2553</v>
      </c>
      <c r="BA140" s="7" t="s">
        <v>2554</v>
      </c>
      <c r="BB140" s="32" t="s">
        <v>964</v>
      </c>
    </row>
    <row r="141" spans="1:54" ht="96" customHeight="1" x14ac:dyDescent="0.25">
      <c r="A141" s="22" t="s">
        <v>2555</v>
      </c>
      <c r="B141" s="23" t="s">
        <v>2556</v>
      </c>
      <c r="C141" s="22" t="s">
        <v>1067</v>
      </c>
      <c r="D141" s="22" t="s">
        <v>967</v>
      </c>
      <c r="E141" s="22" t="s">
        <v>296</v>
      </c>
      <c r="F141" s="7" t="s">
        <v>2557</v>
      </c>
      <c r="G141" s="22" t="s">
        <v>2558</v>
      </c>
      <c r="H141" s="27" t="s">
        <v>2559</v>
      </c>
      <c r="I141" s="27" t="s">
        <v>2560</v>
      </c>
      <c r="J141" s="7" t="s">
        <v>2561</v>
      </c>
      <c r="K141" s="7" t="s">
        <v>2562</v>
      </c>
      <c r="L141" s="7" t="s">
        <v>147</v>
      </c>
      <c r="M141" s="22" t="s">
        <v>958</v>
      </c>
      <c r="N141" s="28">
        <v>10</v>
      </c>
      <c r="O141" s="28">
        <v>0</v>
      </c>
      <c r="P141" s="28">
        <f t="shared" si="24"/>
        <v>10</v>
      </c>
      <c r="Q141" s="22" t="str">
        <f t="shared" si="25"/>
        <v>No-cook</v>
      </c>
      <c r="R141" s="28">
        <v>6</v>
      </c>
      <c r="S141" s="22">
        <v>110</v>
      </c>
      <c r="T141" s="22">
        <v>3</v>
      </c>
      <c r="U141" s="29">
        <f>SUMIFS('Recipe Ingredients'!$I$2:$I$2500,'Recipe Ingredients'!$A$2:$A$2500,A141)/R141</f>
        <v>193.83333333333334</v>
      </c>
      <c r="V141" s="29">
        <f>SUMIFS('Recipe Ingredients'!$J$2:$J$2500,'Recipe Ingredients'!$A$2:$A$2500,A141)/R141</f>
        <v>2.0849999999999995</v>
      </c>
      <c r="W141" s="29">
        <f>SUMIFS('Recipe Ingredients'!$K$2:$K$2500,'Recipe Ingredients'!$A$2:$A$2500,A141)/R141</f>
        <v>35.666166666666669</v>
      </c>
      <c r="X141" s="29">
        <f>SUMIFS('Recipe Ingredients'!$L$2:$L$2500,'Recipe Ingredients'!$A$2:$A$2500,A141)/R141</f>
        <v>51.996666666666663</v>
      </c>
      <c r="Y141" s="29">
        <f>SUMIFS('Recipe Ingredients'!$M$2:$M$2500,'Recipe Ingredients'!$A$2:$A$2500,A141)/R141</f>
        <v>5.6371666666666664</v>
      </c>
      <c r="Z141" s="29">
        <f>SUMIFS('Recipe Ingredients'!$N$2:$N$2500,'Recipe Ingredients'!$A$2:$A$2500,A141)/R141</f>
        <v>17.341666666666665</v>
      </c>
      <c r="AA141" s="29">
        <f>SUMIFS('Recipe Ingredients'!$O$2:$O$2500,'Recipe Ingredients'!$A$2:$A$2500,A141)/R141</f>
        <v>286.3</v>
      </c>
      <c r="AB141" s="30">
        <f>SUMIFS('Recipe Ingredients'!$P$2:$P$2500,'Recipe Ingredients'!$A$2:$A$2500,A141)/R141</f>
        <v>0.6626333333333333</v>
      </c>
      <c r="AC141" s="30">
        <f>SUMIFS('Recipe Ingredients'!$Q$2:$Q$2500,'Recipe Ingredients'!$A$2:$A$2500,A141)/R141</f>
        <v>9.854166666666668E-2</v>
      </c>
      <c r="AD141" s="29">
        <f>SUMIFS('Recipe Ingredients'!$R$2:$R$2500,'Recipe Ingredients'!$A$2:$A$2500,A141)/R141</f>
        <v>25.348333333333333</v>
      </c>
      <c r="AE141" s="30">
        <f>SUMIFS('Recipe Ingredients'!$S$2:$S$2500,'Recipe Ingredients'!$A$2:$A$2500,A141)/R141</f>
        <v>0.76815</v>
      </c>
      <c r="AF141" s="31">
        <f>IFERROR(V141/'Start Here'!$C$10,0)</f>
        <v>8.3399999999999974E-2</v>
      </c>
      <c r="AG141" s="31">
        <f>IFERROR(W141/'Start Here'!$C$11,0)</f>
        <v>0.44582708333333337</v>
      </c>
      <c r="AH141" s="31">
        <f>IFERROR(X141/'Start Here'!$C$12,0)</f>
        <v>6.4995833333333322E-2</v>
      </c>
      <c r="AI141" s="31">
        <f>IFERROR(Y141/'Start Here'!$C$13,0)</f>
        <v>7.5162222222222214E-2</v>
      </c>
      <c r="AJ141" s="31">
        <f>IFERROR(Z141/'Start Here'!$C$14,0)</f>
        <v>8.6708333333333332E-2</v>
      </c>
      <c r="AK141" s="31">
        <f>IFERROR(AA141/'Start Here'!$C$15,0)</f>
        <v>0.14315</v>
      </c>
      <c r="AL141" s="31">
        <f>IFERROR(AB141/'Start Here'!$C$16,0)</f>
        <v>5.5219444444444439E-2</v>
      </c>
      <c r="AM141" s="31">
        <f>IFERROR(AC141/'Start Here'!$C$17,0)</f>
        <v>7.0386904761904776E-2</v>
      </c>
      <c r="AN141" s="31">
        <f>IFERROR(AD141/'Start Here'!$C$18,0)</f>
        <v>6.7595555555555548E-2</v>
      </c>
      <c r="AO141" s="31">
        <f>IFERROR(AE141/'Start Here'!$C$19,0)</f>
        <v>5.4867857142857142E-2</v>
      </c>
      <c r="AP141" s="22" t="str">
        <f t="shared" si="26"/>
        <v>Vitamin C</v>
      </c>
      <c r="AQ141" s="7" t="str">
        <f t="shared" si="27"/>
        <v>Best for better vitamin C intake: one serving gives about 45% of your daily vitamin C from the produce alone.</v>
      </c>
      <c r="AR141" s="7" t="str">
        <f t="shared" si="28"/>
        <v/>
      </c>
      <c r="AS141" s="7" t="s">
        <v>2563</v>
      </c>
      <c r="AT141" s="7" t="s">
        <v>2564</v>
      </c>
      <c r="AU141" s="28">
        <f>COUNTIFS('Recipe Ingredients'!$A$2:$A$2500,A141,'Recipe Ingredients'!$G$2:$G$2500,"Basket")</f>
        <v>6</v>
      </c>
      <c r="AV141" s="28">
        <f>COUNTIFS('Recipe Ingredients'!$A$2:$A$2500,A141,'Recipe Ingredients'!$G$2:$G$2500,"Protein")+COUNTIFS('Recipe Ingredients'!$A$2:$A$2500,A141,'Recipe Ingredients'!$G$2:$G$2500,"Pantry")</f>
        <v>2</v>
      </c>
      <c r="AW141" s="31">
        <f t="shared" si="29"/>
        <v>0.75</v>
      </c>
      <c r="AX141" s="28" t="str">
        <f>IF(AW141&gt;='Start Here'!$C$6,"Yes","No")</f>
        <v>No</v>
      </c>
      <c r="AY141" s="7" t="s">
        <v>115</v>
      </c>
      <c r="AZ141" s="7" t="s">
        <v>2565</v>
      </c>
      <c r="BA141" s="7" t="s">
        <v>2566</v>
      </c>
      <c r="BB141" s="32" t="s">
        <v>964</v>
      </c>
    </row>
    <row r="142" spans="1:54" ht="96" customHeight="1" x14ac:dyDescent="0.25">
      <c r="A142" s="22" t="s">
        <v>2567</v>
      </c>
      <c r="B142" s="23" t="s">
        <v>2568</v>
      </c>
      <c r="C142" s="22" t="s">
        <v>1067</v>
      </c>
      <c r="D142" s="22" t="s">
        <v>1094</v>
      </c>
      <c r="E142" s="22" t="s">
        <v>1081</v>
      </c>
      <c r="F142" s="7" t="s">
        <v>2569</v>
      </c>
      <c r="G142" s="22" t="s">
        <v>1359</v>
      </c>
      <c r="H142" s="27" t="s">
        <v>2570</v>
      </c>
      <c r="I142" s="27" t="s">
        <v>2571</v>
      </c>
      <c r="J142" s="7" t="s">
        <v>2572</v>
      </c>
      <c r="K142" s="7" t="s">
        <v>2573</v>
      </c>
      <c r="L142" s="7" t="s">
        <v>2574</v>
      </c>
      <c r="M142" s="22" t="s">
        <v>958</v>
      </c>
      <c r="N142" s="28">
        <v>10</v>
      </c>
      <c r="O142" s="28">
        <v>40</v>
      </c>
      <c r="P142" s="28">
        <f t="shared" si="24"/>
        <v>50</v>
      </c>
      <c r="Q142" s="22" t="str">
        <f t="shared" si="25"/>
        <v>Standard</v>
      </c>
      <c r="R142" s="28">
        <v>2</v>
      </c>
      <c r="S142" s="22">
        <v>240</v>
      </c>
      <c r="T142" s="22">
        <v>7</v>
      </c>
      <c r="U142" s="29">
        <f>SUMIFS('Recipe Ingredients'!$I$2:$I$2500,'Recipe Ingredients'!$A$2:$A$2500,A142)/R142</f>
        <v>388.5</v>
      </c>
      <c r="V142" s="29">
        <f>SUMIFS('Recipe Ingredients'!$J$2:$J$2500,'Recipe Ingredients'!$A$2:$A$2500,A142)/R142</f>
        <v>9.849499999999999</v>
      </c>
      <c r="W142" s="29">
        <f>SUMIFS('Recipe Ingredients'!$K$2:$K$2500,'Recipe Ingredients'!$A$2:$A$2500,A142)/R142</f>
        <v>21.690999999999999</v>
      </c>
      <c r="X142" s="29">
        <f>SUMIFS('Recipe Ingredients'!$L$2:$L$2500,'Recipe Ingredients'!$A$2:$A$2500,A142)/R142</f>
        <v>11.26</v>
      </c>
      <c r="Y142" s="29">
        <f>SUMIFS('Recipe Ingredients'!$M$2:$M$2500,'Recipe Ingredients'!$A$2:$A$2500,A142)/R142</f>
        <v>8.1100000000000012</v>
      </c>
      <c r="Z142" s="29">
        <f>SUMIFS('Recipe Ingredients'!$N$2:$N$2500,'Recipe Ingredients'!$A$2:$A$2500,A142)/R142</f>
        <v>30.28</v>
      </c>
      <c r="AA142" s="29">
        <f>SUMIFS('Recipe Ingredients'!$O$2:$O$2500,'Recipe Ingredients'!$A$2:$A$2500,A142)/R142</f>
        <v>459.69499999999999</v>
      </c>
      <c r="AB142" s="30">
        <f>SUMIFS('Recipe Ingredients'!$P$2:$P$2500,'Recipe Ingredients'!$A$2:$A$2500,A142)/R142</f>
        <v>1.31735</v>
      </c>
      <c r="AC142" s="30">
        <f>SUMIFS('Recipe Ingredients'!$Q$2:$Q$2500,'Recipe Ingredients'!$A$2:$A$2500,A142)/R142</f>
        <v>0.18265000000000001</v>
      </c>
      <c r="AD142" s="29">
        <f>SUMIFS('Recipe Ingredients'!$R$2:$R$2500,'Recipe Ingredients'!$A$2:$A$2500,A142)/R142</f>
        <v>31.819999999999997</v>
      </c>
      <c r="AE142" s="30">
        <f>SUMIFS('Recipe Ingredients'!$S$2:$S$2500,'Recipe Ingredients'!$A$2:$A$2500,A142)/R142</f>
        <v>0.88229999999999997</v>
      </c>
      <c r="AF142" s="31">
        <f>IFERROR(V142/'Start Here'!$C$10,0)</f>
        <v>0.39397999999999994</v>
      </c>
      <c r="AG142" s="31">
        <f>IFERROR(W142/'Start Here'!$C$11,0)</f>
        <v>0.27113749999999998</v>
      </c>
      <c r="AH142" s="31">
        <f>IFERROR(X142/'Start Here'!$C$12,0)</f>
        <v>1.4074999999999999E-2</v>
      </c>
      <c r="AI142" s="31">
        <f>IFERROR(Y142/'Start Here'!$C$13,0)</f>
        <v>0.10813333333333335</v>
      </c>
      <c r="AJ142" s="31">
        <f>IFERROR(Z142/'Start Here'!$C$14,0)</f>
        <v>0.15140000000000001</v>
      </c>
      <c r="AK142" s="31">
        <f>IFERROR(AA142/'Start Here'!$C$15,0)</f>
        <v>0.22984750000000001</v>
      </c>
      <c r="AL142" s="31">
        <f>IFERROR(AB142/'Start Here'!$C$16,0)</f>
        <v>0.10977916666666666</v>
      </c>
      <c r="AM142" s="31">
        <f>IFERROR(AC142/'Start Here'!$C$17,0)</f>
        <v>0.13046428571428573</v>
      </c>
      <c r="AN142" s="31">
        <f>IFERROR(AD142/'Start Here'!$C$18,0)</f>
        <v>8.4853333333333322E-2</v>
      </c>
      <c r="AO142" s="31">
        <f>IFERROR(AE142/'Start Here'!$C$19,0)</f>
        <v>6.3021428571428575E-2</v>
      </c>
      <c r="AP142" s="22" t="str">
        <f t="shared" si="26"/>
        <v>Fibre</v>
      </c>
      <c r="AQ142" s="7" t="str">
        <f t="shared" si="27"/>
        <v>Best for better fibre intake: one serving gives about 39% of your daily fibre from the produce alone.</v>
      </c>
      <c r="AR142" s="7" t="str">
        <f t="shared" si="28"/>
        <v>Vitamin C (27%)</v>
      </c>
      <c r="AS142" s="7" t="s">
        <v>2575</v>
      </c>
      <c r="AT142" s="7" t="s">
        <v>2576</v>
      </c>
      <c r="AU142" s="28">
        <f>COUNTIFS('Recipe Ingredients'!$A$2:$A$2500,A142,'Recipe Ingredients'!$G$2:$G$2500,"Basket")</f>
        <v>3</v>
      </c>
      <c r="AV142" s="28">
        <f>COUNTIFS('Recipe Ingredients'!$A$2:$A$2500,A142,'Recipe Ingredients'!$G$2:$G$2500,"Protein")+COUNTIFS('Recipe Ingredients'!$A$2:$A$2500,A142,'Recipe Ingredients'!$G$2:$G$2500,"Pantry")</f>
        <v>3</v>
      </c>
      <c r="AW142" s="31">
        <f t="shared" si="29"/>
        <v>0.5</v>
      </c>
      <c r="AX142" s="28" t="str">
        <f>IF(AW142&gt;='Start Here'!$C$6,"Yes","No")</f>
        <v>No</v>
      </c>
      <c r="AY142" s="7" t="s">
        <v>115</v>
      </c>
      <c r="AZ142" s="7" t="s">
        <v>2577</v>
      </c>
      <c r="BA142" s="7" t="s">
        <v>2578</v>
      </c>
      <c r="BB142" s="32" t="s">
        <v>964</v>
      </c>
    </row>
    <row r="143" spans="1:54" ht="96" customHeight="1" x14ac:dyDescent="0.25">
      <c r="A143" s="22" t="s">
        <v>2579</v>
      </c>
      <c r="B143" s="23" t="s">
        <v>2580</v>
      </c>
      <c r="C143" s="22" t="s">
        <v>1067</v>
      </c>
      <c r="D143" s="22" t="s">
        <v>1081</v>
      </c>
      <c r="E143" s="22" t="s">
        <v>1081</v>
      </c>
      <c r="F143" s="7" t="s">
        <v>2581</v>
      </c>
      <c r="G143" s="22" t="s">
        <v>2434</v>
      </c>
      <c r="H143" s="27" t="s">
        <v>2582</v>
      </c>
      <c r="I143" s="7"/>
      <c r="J143" s="7" t="s">
        <v>2583</v>
      </c>
      <c r="K143" s="7" t="s">
        <v>2584</v>
      </c>
      <c r="L143" s="7" t="s">
        <v>203</v>
      </c>
      <c r="M143" s="22" t="s">
        <v>958</v>
      </c>
      <c r="N143" s="28">
        <v>10</v>
      </c>
      <c r="O143" s="28">
        <v>12</v>
      </c>
      <c r="P143" s="28">
        <f t="shared" si="24"/>
        <v>22</v>
      </c>
      <c r="Q143" s="22" t="str">
        <f t="shared" si="25"/>
        <v>Quick</v>
      </c>
      <c r="R143" s="28">
        <v>4</v>
      </c>
      <c r="S143" s="22">
        <v>150</v>
      </c>
      <c r="T143" s="22">
        <v>5</v>
      </c>
      <c r="U143" s="29">
        <f>SUMIFS('Recipe Ingredients'!$I$2:$I$2500,'Recipe Ingredients'!$A$2:$A$2500,A143)/R143</f>
        <v>107.5</v>
      </c>
      <c r="V143" s="29">
        <f>SUMIFS('Recipe Ingredients'!$J$2:$J$2500,'Recipe Ingredients'!$A$2:$A$2500,A143)/R143</f>
        <v>1.02</v>
      </c>
      <c r="W143" s="29">
        <f>SUMIFS('Recipe Ingredients'!$K$2:$K$2500,'Recipe Ingredients'!$A$2:$A$2500,A143)/R143</f>
        <v>4.5500000000000007</v>
      </c>
      <c r="X143" s="29">
        <f>SUMIFS('Recipe Ingredients'!$L$2:$L$2500,'Recipe Ingredients'!$A$2:$A$2500,A143)/R143</f>
        <v>22.8</v>
      </c>
      <c r="Y143" s="29">
        <f>SUMIFS('Recipe Ingredients'!$M$2:$M$2500,'Recipe Ingredients'!$A$2:$A$2500,A143)/R143</f>
        <v>45.71</v>
      </c>
      <c r="Z143" s="29">
        <f>SUMIFS('Recipe Ingredients'!$N$2:$N$2500,'Recipe Ingredients'!$A$2:$A$2500,A143)/R143</f>
        <v>7.1</v>
      </c>
      <c r="AA143" s="29">
        <f>SUMIFS('Recipe Ingredients'!$O$2:$O$2500,'Recipe Ingredients'!$A$2:$A$2500,A143)/R143</f>
        <v>213.125</v>
      </c>
      <c r="AB143" s="30">
        <f>SUMIFS('Recipe Ingredients'!$P$2:$P$2500,'Recipe Ingredients'!$A$2:$A$2500,A143)/R143</f>
        <v>0.25</v>
      </c>
      <c r="AC143" s="30">
        <f>SUMIFS('Recipe Ingredients'!$Q$2:$Q$2500,'Recipe Ingredients'!$A$2:$A$2500,A143)/R143</f>
        <v>9.762499999999999E-2</v>
      </c>
      <c r="AD143" s="29">
        <f>SUMIFS('Recipe Ingredients'!$R$2:$R$2500,'Recipe Ingredients'!$A$2:$A$2500,A143)/R143</f>
        <v>11.8</v>
      </c>
      <c r="AE143" s="30">
        <f>SUMIFS('Recipe Ingredients'!$S$2:$S$2500,'Recipe Ingredients'!$A$2:$A$2500,A143)/R143</f>
        <v>0.59775</v>
      </c>
      <c r="AF143" s="31">
        <f>IFERROR(V143/'Start Here'!$C$10,0)</f>
        <v>4.0800000000000003E-2</v>
      </c>
      <c r="AG143" s="31">
        <f>IFERROR(W143/'Start Here'!$C$11,0)</f>
        <v>5.6875000000000009E-2</v>
      </c>
      <c r="AH143" s="31">
        <f>IFERROR(X143/'Start Here'!$C$12,0)</f>
        <v>2.8500000000000001E-2</v>
      </c>
      <c r="AI143" s="31">
        <f>IFERROR(Y143/'Start Here'!$C$13,0)</f>
        <v>0.60946666666666671</v>
      </c>
      <c r="AJ143" s="31">
        <f>IFERROR(Z143/'Start Here'!$C$14,0)</f>
        <v>3.5499999999999997E-2</v>
      </c>
      <c r="AK143" s="31">
        <f>IFERROR(AA143/'Start Here'!$C$15,0)</f>
        <v>0.1065625</v>
      </c>
      <c r="AL143" s="31">
        <f>IFERROR(AB143/'Start Here'!$C$16,0)</f>
        <v>2.0833333333333332E-2</v>
      </c>
      <c r="AM143" s="31">
        <f>IFERROR(AC143/'Start Here'!$C$17,0)</f>
        <v>6.9732142857142854E-2</v>
      </c>
      <c r="AN143" s="31">
        <f>IFERROR(AD143/'Start Here'!$C$18,0)</f>
        <v>3.1466666666666671E-2</v>
      </c>
      <c r="AO143" s="31">
        <f>IFERROR(AE143/'Start Here'!$C$19,0)</f>
        <v>4.2696428571428573E-2</v>
      </c>
      <c r="AP143" s="22" t="str">
        <f t="shared" si="26"/>
        <v>Vitamin K</v>
      </c>
      <c r="AQ143" s="7" t="str">
        <f t="shared" si="27"/>
        <v>Best for better vitamin K intake: one serving gives about 61% of your daily vitamin K from the produce alone.</v>
      </c>
      <c r="AR143" s="7" t="str">
        <f t="shared" si="28"/>
        <v/>
      </c>
      <c r="AS143" s="7" t="s">
        <v>2585</v>
      </c>
      <c r="AT143" s="7" t="s">
        <v>2586</v>
      </c>
      <c r="AU143" s="28">
        <f>COUNTIFS('Recipe Ingredients'!$A$2:$A$2500,A143,'Recipe Ingredients'!$G$2:$G$2500,"Basket")</f>
        <v>2</v>
      </c>
      <c r="AV143" s="28">
        <f>COUNTIFS('Recipe Ingredients'!$A$2:$A$2500,A143,'Recipe Ingredients'!$G$2:$G$2500,"Protein")+COUNTIFS('Recipe Ingredients'!$A$2:$A$2500,A143,'Recipe Ingredients'!$G$2:$G$2500,"Pantry")</f>
        <v>3</v>
      </c>
      <c r="AW143" s="31">
        <f t="shared" si="29"/>
        <v>0.4</v>
      </c>
      <c r="AX143" s="28" t="str">
        <f>IF(AW143&gt;='Start Here'!$C$6,"Yes","No")</f>
        <v>No</v>
      </c>
      <c r="AY143" s="7" t="s">
        <v>115</v>
      </c>
      <c r="AZ143" s="7" t="s">
        <v>2587</v>
      </c>
      <c r="BA143" s="7" t="s">
        <v>2588</v>
      </c>
      <c r="BB143" s="32" t="s">
        <v>964</v>
      </c>
    </row>
    <row r="144" spans="1:54" ht="96" customHeight="1" x14ac:dyDescent="0.25">
      <c r="A144" s="22" t="s">
        <v>2589</v>
      </c>
      <c r="B144" s="23" t="s">
        <v>2590</v>
      </c>
      <c r="C144" s="22" t="s">
        <v>1344</v>
      </c>
      <c r="D144" s="22" t="s">
        <v>1345</v>
      </c>
      <c r="E144" s="22" t="s">
        <v>1145</v>
      </c>
      <c r="F144" s="7" t="s">
        <v>2591</v>
      </c>
      <c r="G144" s="22" t="s">
        <v>1457</v>
      </c>
      <c r="H144" s="27" t="s">
        <v>2592</v>
      </c>
      <c r="I144" s="27" t="s">
        <v>2593</v>
      </c>
      <c r="J144" s="7" t="s">
        <v>2594</v>
      </c>
      <c r="K144" s="7" t="s">
        <v>2595</v>
      </c>
      <c r="L144" s="7" t="s">
        <v>580</v>
      </c>
      <c r="M144" s="22" t="s">
        <v>2596</v>
      </c>
      <c r="N144" s="28">
        <v>15</v>
      </c>
      <c r="O144" s="28">
        <v>15</v>
      </c>
      <c r="P144" s="28">
        <f t="shared" si="24"/>
        <v>30</v>
      </c>
      <c r="Q144" s="22" t="str">
        <f t="shared" si="25"/>
        <v>Standard</v>
      </c>
      <c r="R144" s="28">
        <v>4</v>
      </c>
      <c r="S144" s="22">
        <v>380</v>
      </c>
      <c r="T144" s="22">
        <v>32</v>
      </c>
      <c r="U144" s="29">
        <f>SUMIFS('Recipe Ingredients'!$I$2:$I$2500,'Recipe Ingredients'!$A$2:$A$2500,A144)/R144</f>
        <v>326.25</v>
      </c>
      <c r="V144" s="29">
        <f>SUMIFS('Recipe Ingredients'!$J$2:$J$2500,'Recipe Ingredients'!$A$2:$A$2500,A144)/R144</f>
        <v>5.3342499999999999</v>
      </c>
      <c r="W144" s="29">
        <f>SUMIFS('Recipe Ingredients'!$K$2:$K$2500,'Recipe Ingredients'!$A$2:$A$2500,A144)/R144</f>
        <v>27.660499999999999</v>
      </c>
      <c r="X144" s="29">
        <f>SUMIFS('Recipe Ingredients'!$L$2:$L$2500,'Recipe Ingredients'!$A$2:$A$2500,A144)/R144</f>
        <v>714.19749999999999</v>
      </c>
      <c r="Y144" s="29">
        <f>SUMIFS('Recipe Ingredients'!$M$2:$M$2500,'Recipe Ingredients'!$A$2:$A$2500,A144)/R144</f>
        <v>209.44749999999999</v>
      </c>
      <c r="Z144" s="29">
        <f>SUMIFS('Recipe Ingredients'!$N$2:$N$2500,'Recipe Ingredients'!$A$2:$A$2500,A144)/R144</f>
        <v>235.11249999999998</v>
      </c>
      <c r="AA144" s="29">
        <f>SUMIFS('Recipe Ingredients'!$O$2:$O$2500,'Recipe Ingredients'!$A$2:$A$2500,A144)/R144</f>
        <v>697.63250000000005</v>
      </c>
      <c r="AB144" s="30">
        <f>SUMIFS('Recipe Ingredients'!$P$2:$P$2500,'Recipe Ingredients'!$A$2:$A$2500,A144)/R144</f>
        <v>0.54807500000000009</v>
      </c>
      <c r="AC144" s="30">
        <f>SUMIFS('Recipe Ingredients'!$Q$2:$Q$2500,'Recipe Ingredients'!$A$2:$A$2500,A144)/R144</f>
        <v>0.24878499999999998</v>
      </c>
      <c r="AD144" s="29">
        <f>SUMIFS('Recipe Ingredients'!$R$2:$R$2500,'Recipe Ingredients'!$A$2:$A$2500,A144)/R144</f>
        <v>43.392499999999991</v>
      </c>
      <c r="AE144" s="30">
        <f>SUMIFS('Recipe Ingredients'!$S$2:$S$2500,'Recipe Ingredients'!$A$2:$A$2500,A144)/R144</f>
        <v>2.4935500000000004</v>
      </c>
      <c r="AF144" s="31">
        <f>IFERROR(V144/'Start Here'!$C$10,0)</f>
        <v>0.21337</v>
      </c>
      <c r="AG144" s="31">
        <f>IFERROR(W144/'Start Here'!$C$11,0)</f>
        <v>0.34575624999999999</v>
      </c>
      <c r="AH144" s="31">
        <f>IFERROR(X144/'Start Here'!$C$12,0)</f>
        <v>0.89274687499999994</v>
      </c>
      <c r="AI144" s="31">
        <f>IFERROR(Y144/'Start Here'!$C$13,0)</f>
        <v>2.7926333333333333</v>
      </c>
      <c r="AJ144" s="31">
        <f>IFERROR(Z144/'Start Here'!$C$14,0)</f>
        <v>1.1755624999999998</v>
      </c>
      <c r="AK144" s="31">
        <f>IFERROR(AA144/'Start Here'!$C$15,0)</f>
        <v>0.34881625000000005</v>
      </c>
      <c r="AL144" s="31">
        <f>IFERROR(AB144/'Start Here'!$C$16,0)</f>
        <v>4.5672916666666674E-2</v>
      </c>
      <c r="AM144" s="31">
        <f>IFERROR(AC144/'Start Here'!$C$17,0)</f>
        <v>0.17770357142857143</v>
      </c>
      <c r="AN144" s="31">
        <f>IFERROR(AD144/'Start Here'!$C$18,0)</f>
        <v>0.11571333333333331</v>
      </c>
      <c r="AO144" s="31">
        <f>IFERROR(AE144/'Start Here'!$C$19,0)</f>
        <v>0.17811071428571432</v>
      </c>
      <c r="AP144" s="22" t="str">
        <f t="shared" si="26"/>
        <v>Vitamin K</v>
      </c>
      <c r="AQ144" s="7" t="str">
        <f t="shared" si="27"/>
        <v>Best for better vitamin K intake: one serving gives about 279% of your daily vitamin K from the produce alone.</v>
      </c>
      <c r="AR144" s="7" t="str">
        <f t="shared" si="28"/>
        <v>Vitamin C (35%), Vitamin A (89%), Folate (118%), Potassium (35%)</v>
      </c>
      <c r="AS144" s="7" t="s">
        <v>2597</v>
      </c>
      <c r="AT144" s="7" t="s">
        <v>2598</v>
      </c>
      <c r="AU144" s="28">
        <f>COUNTIFS('Recipe Ingredients'!$A$2:$A$2500,A144,'Recipe Ingredients'!$G$2:$G$2500,"Basket")</f>
        <v>8</v>
      </c>
      <c r="AV144" s="28">
        <f>COUNTIFS('Recipe Ingredients'!$A$2:$A$2500,A144,'Recipe Ingredients'!$G$2:$G$2500,"Protein")+COUNTIFS('Recipe Ingredients'!$A$2:$A$2500,A144,'Recipe Ingredients'!$G$2:$G$2500,"Pantry")</f>
        <v>3</v>
      </c>
      <c r="AW144" s="31">
        <f t="shared" si="29"/>
        <v>0.72727272727272729</v>
      </c>
      <c r="AX144" s="28" t="str">
        <f>IF(AW144&gt;='Start Here'!$C$6,"Yes","No")</f>
        <v>No</v>
      </c>
      <c r="AY144" s="7" t="s">
        <v>115</v>
      </c>
      <c r="AZ144" s="7" t="s">
        <v>2599</v>
      </c>
      <c r="BA144" s="7" t="s">
        <v>2600</v>
      </c>
      <c r="BB144" s="32" t="s">
        <v>964</v>
      </c>
    </row>
    <row r="145" spans="1:54" ht="96" customHeight="1" x14ac:dyDescent="0.25">
      <c r="A145" s="22" t="s">
        <v>2601</v>
      </c>
      <c r="B145" s="23" t="s">
        <v>2602</v>
      </c>
      <c r="C145" s="22" t="s">
        <v>1344</v>
      </c>
      <c r="D145" s="22" t="s">
        <v>1345</v>
      </c>
      <c r="E145" s="22" t="s">
        <v>1227</v>
      </c>
      <c r="F145" s="7" t="s">
        <v>2603</v>
      </c>
      <c r="G145" s="22" t="s">
        <v>1893</v>
      </c>
      <c r="H145" s="27" t="s">
        <v>2604</v>
      </c>
      <c r="I145" s="27" t="s">
        <v>2605</v>
      </c>
      <c r="J145" s="7" t="s">
        <v>2606</v>
      </c>
      <c r="K145" s="7" t="s">
        <v>2607</v>
      </c>
      <c r="L145" s="7" t="s">
        <v>203</v>
      </c>
      <c r="M145" s="22" t="s">
        <v>958</v>
      </c>
      <c r="N145" s="28">
        <v>20</v>
      </c>
      <c r="O145" s="28">
        <v>10</v>
      </c>
      <c r="P145" s="28">
        <f t="shared" si="24"/>
        <v>30</v>
      </c>
      <c r="Q145" s="22" t="str">
        <f t="shared" si="25"/>
        <v>Standard</v>
      </c>
      <c r="R145" s="28">
        <v>4</v>
      </c>
      <c r="S145" s="22">
        <v>260</v>
      </c>
      <c r="T145" s="22">
        <v>10</v>
      </c>
      <c r="U145" s="29">
        <f>SUMIFS('Recipe Ingredients'!$I$2:$I$2500,'Recipe Ingredients'!$A$2:$A$2500,A145)/R145</f>
        <v>384</v>
      </c>
      <c r="V145" s="29">
        <f>SUMIFS('Recipe Ingredients'!$J$2:$J$2500,'Recipe Ingredients'!$A$2:$A$2500,A145)/R145</f>
        <v>9.4189999999999987</v>
      </c>
      <c r="W145" s="29">
        <f>SUMIFS('Recipe Ingredients'!$K$2:$K$2500,'Recipe Ingredients'!$A$2:$A$2500,A145)/R145</f>
        <v>52.91599999999999</v>
      </c>
      <c r="X145" s="29">
        <f>SUMIFS('Recipe Ingredients'!$L$2:$L$2500,'Recipe Ingredients'!$A$2:$A$2500,A145)/R145</f>
        <v>381.68499999999995</v>
      </c>
      <c r="Y145" s="29">
        <f>SUMIFS('Recipe Ingredients'!$M$2:$M$2500,'Recipe Ingredients'!$A$2:$A$2500,A145)/R145</f>
        <v>89.473499999999973</v>
      </c>
      <c r="Z145" s="29">
        <f>SUMIFS('Recipe Ingredients'!$N$2:$N$2500,'Recipe Ingredients'!$A$2:$A$2500,A145)/R145</f>
        <v>132.935</v>
      </c>
      <c r="AA145" s="29">
        <f>SUMIFS('Recipe Ingredients'!$O$2:$O$2500,'Recipe Ingredients'!$A$2:$A$2500,A145)/R145</f>
        <v>1172.47</v>
      </c>
      <c r="AB145" s="30">
        <f>SUMIFS('Recipe Ingredients'!$P$2:$P$2500,'Recipe Ingredients'!$A$2:$A$2500,A145)/R145</f>
        <v>1.5551500000000003</v>
      </c>
      <c r="AC145" s="30">
        <f>SUMIFS('Recipe Ingredients'!$Q$2:$Q$2500,'Recipe Ingredients'!$A$2:$A$2500,A145)/R145</f>
        <v>0.63699749999999999</v>
      </c>
      <c r="AD145" s="29">
        <f>SUMIFS('Recipe Ingredients'!$R$2:$R$2500,'Recipe Ingredients'!$A$2:$A$2500,A145)/R145</f>
        <v>72.875000000000014</v>
      </c>
      <c r="AE145" s="30">
        <f>SUMIFS('Recipe Ingredients'!$S$2:$S$2500,'Recipe Ingredients'!$A$2:$A$2500,A145)/R145</f>
        <v>2.0790249999999997</v>
      </c>
      <c r="AF145" s="31">
        <f>IFERROR(V145/'Start Here'!$C$10,0)</f>
        <v>0.37675999999999993</v>
      </c>
      <c r="AG145" s="31">
        <f>IFERROR(W145/'Start Here'!$C$11,0)</f>
        <v>0.66144999999999987</v>
      </c>
      <c r="AH145" s="31">
        <f>IFERROR(X145/'Start Here'!$C$12,0)</f>
        <v>0.47710624999999995</v>
      </c>
      <c r="AI145" s="31">
        <f>IFERROR(Y145/'Start Here'!$C$13,0)</f>
        <v>1.1929799999999997</v>
      </c>
      <c r="AJ145" s="31">
        <f>IFERROR(Z145/'Start Here'!$C$14,0)</f>
        <v>0.66467500000000002</v>
      </c>
      <c r="AK145" s="31">
        <f>IFERROR(AA145/'Start Here'!$C$15,0)</f>
        <v>0.58623500000000006</v>
      </c>
      <c r="AL145" s="31">
        <f>IFERROR(AB145/'Start Here'!$C$16,0)</f>
        <v>0.12959583333333335</v>
      </c>
      <c r="AM145" s="31">
        <f>IFERROR(AC145/'Start Here'!$C$17,0)</f>
        <v>0.4549982142857143</v>
      </c>
      <c r="AN145" s="31">
        <f>IFERROR(AD145/'Start Here'!$C$18,0)</f>
        <v>0.19433333333333336</v>
      </c>
      <c r="AO145" s="31">
        <f>IFERROR(AE145/'Start Here'!$C$19,0)</f>
        <v>0.14850178571428568</v>
      </c>
      <c r="AP145" s="22" t="str">
        <f t="shared" si="26"/>
        <v>Vitamin K</v>
      </c>
      <c r="AQ145" s="7" t="str">
        <f t="shared" si="27"/>
        <v>Best for better vitamin K intake: one serving gives about 119% of your daily vitamin K from the produce alone.</v>
      </c>
      <c r="AR145" s="7" t="str">
        <f t="shared" si="28"/>
        <v>Fibre (38%), Vitamin C (66%), Vitamin A (48%), Folate (66%), Potassium (59%), Vitamin B6 (45%)</v>
      </c>
      <c r="AS145" s="7" t="s">
        <v>2608</v>
      </c>
      <c r="AT145" s="7" t="s">
        <v>2609</v>
      </c>
      <c r="AU145" s="28">
        <f>COUNTIFS('Recipe Ingredients'!$A$2:$A$2500,A145,'Recipe Ingredients'!$G$2:$G$2500,"Basket")</f>
        <v>8</v>
      </c>
      <c r="AV145" s="28">
        <f>COUNTIFS('Recipe Ingredients'!$A$2:$A$2500,A145,'Recipe Ingredients'!$G$2:$G$2500,"Protein")+COUNTIFS('Recipe Ingredients'!$A$2:$A$2500,A145,'Recipe Ingredients'!$G$2:$G$2500,"Pantry")</f>
        <v>3</v>
      </c>
      <c r="AW145" s="31">
        <f t="shared" si="29"/>
        <v>0.72727272727272729</v>
      </c>
      <c r="AX145" s="28" t="str">
        <f>IF(AW145&gt;='Start Here'!$C$6,"Yes","No")</f>
        <v>No</v>
      </c>
      <c r="AY145" s="7" t="s">
        <v>115</v>
      </c>
      <c r="AZ145" s="7" t="s">
        <v>2610</v>
      </c>
      <c r="BA145" s="7" t="s">
        <v>2611</v>
      </c>
      <c r="BB145" s="32" t="s">
        <v>964</v>
      </c>
    </row>
    <row r="146" spans="1:54" ht="96" customHeight="1" x14ac:dyDescent="0.25">
      <c r="A146" s="22" t="s">
        <v>2612</v>
      </c>
      <c r="B146" s="23" t="s">
        <v>2613</v>
      </c>
      <c r="C146" s="22" t="s">
        <v>1344</v>
      </c>
      <c r="D146" s="22" t="s">
        <v>1345</v>
      </c>
      <c r="E146" s="22" t="s">
        <v>1145</v>
      </c>
      <c r="F146" s="7" t="s">
        <v>2614</v>
      </c>
      <c r="G146" s="22" t="s">
        <v>1405</v>
      </c>
      <c r="H146" s="27" t="s">
        <v>2615</v>
      </c>
      <c r="I146" s="27" t="s">
        <v>2616</v>
      </c>
      <c r="J146" s="7" t="s">
        <v>2617</v>
      </c>
      <c r="K146" s="7" t="s">
        <v>2618</v>
      </c>
      <c r="L146" s="7" t="s">
        <v>1010</v>
      </c>
      <c r="M146" s="22" t="s">
        <v>958</v>
      </c>
      <c r="N146" s="28">
        <v>20</v>
      </c>
      <c r="O146" s="28">
        <v>25</v>
      </c>
      <c r="P146" s="28">
        <f t="shared" si="24"/>
        <v>45</v>
      </c>
      <c r="Q146" s="22" t="str">
        <f t="shared" si="25"/>
        <v>Standard</v>
      </c>
      <c r="R146" s="28">
        <v>4</v>
      </c>
      <c r="S146" s="22">
        <v>420</v>
      </c>
      <c r="T146" s="22">
        <v>14</v>
      </c>
      <c r="U146" s="29">
        <f>SUMIFS('Recipe Ingredients'!$I$2:$I$2500,'Recipe Ingredients'!$A$2:$A$2500,A146)/R146</f>
        <v>289.75</v>
      </c>
      <c r="V146" s="29">
        <f>SUMIFS('Recipe Ingredients'!$J$2:$J$2500,'Recipe Ingredients'!$A$2:$A$2500,A146)/R146</f>
        <v>6.0807499999999983</v>
      </c>
      <c r="W146" s="29">
        <f>SUMIFS('Recipe Ingredients'!$K$2:$K$2500,'Recipe Ingredients'!$A$2:$A$2500,A146)/R146</f>
        <v>75.571499999999986</v>
      </c>
      <c r="X146" s="29">
        <f>SUMIFS('Recipe Ingredients'!$L$2:$L$2500,'Recipe Ingredients'!$A$2:$A$2500,A146)/R146</f>
        <v>108.9025</v>
      </c>
      <c r="Y146" s="29">
        <f>SUMIFS('Recipe Ingredients'!$M$2:$M$2500,'Recipe Ingredients'!$A$2:$A$2500,A146)/R146</f>
        <v>182.45825000000002</v>
      </c>
      <c r="Z146" s="29">
        <f>SUMIFS('Recipe Ingredients'!$N$2:$N$2500,'Recipe Ingredients'!$A$2:$A$2500,A146)/R146</f>
        <v>64.585000000000008</v>
      </c>
      <c r="AA146" s="29">
        <f>SUMIFS('Recipe Ingredients'!$O$2:$O$2500,'Recipe Ingredients'!$A$2:$A$2500,A146)/R146</f>
        <v>654.79750000000001</v>
      </c>
      <c r="AB146" s="30">
        <f>SUMIFS('Recipe Ingredients'!$P$2:$P$2500,'Recipe Ingredients'!$A$2:$A$2500,A146)/R146</f>
        <v>1.0058000000000002</v>
      </c>
      <c r="AC146" s="30">
        <f>SUMIFS('Recipe Ingredients'!$Q$2:$Q$2500,'Recipe Ingredients'!$A$2:$A$2500,A146)/R146</f>
        <v>0.26257750000000002</v>
      </c>
      <c r="AD146" s="29">
        <f>SUMIFS('Recipe Ingredients'!$R$2:$R$2500,'Recipe Ingredients'!$A$2:$A$2500,A146)/R146</f>
        <v>43.23</v>
      </c>
      <c r="AE146" s="30">
        <f>SUMIFS('Recipe Ingredients'!$S$2:$S$2500,'Recipe Ingredients'!$A$2:$A$2500,A146)/R146</f>
        <v>1.7033499999999999</v>
      </c>
      <c r="AF146" s="31">
        <f>IFERROR(V146/'Start Here'!$C$10,0)</f>
        <v>0.24322999999999995</v>
      </c>
      <c r="AG146" s="31">
        <f>IFERROR(W146/'Start Here'!$C$11,0)</f>
        <v>0.94464374999999978</v>
      </c>
      <c r="AH146" s="31">
        <f>IFERROR(X146/'Start Here'!$C$12,0)</f>
        <v>0.13612812500000002</v>
      </c>
      <c r="AI146" s="31">
        <f>IFERROR(Y146/'Start Here'!$C$13,0)</f>
        <v>2.4327766666666668</v>
      </c>
      <c r="AJ146" s="31">
        <f>IFERROR(Z146/'Start Here'!$C$14,0)</f>
        <v>0.32292500000000002</v>
      </c>
      <c r="AK146" s="31">
        <f>IFERROR(AA146/'Start Here'!$C$15,0)</f>
        <v>0.32739875000000002</v>
      </c>
      <c r="AL146" s="31">
        <f>IFERROR(AB146/'Start Here'!$C$16,0)</f>
        <v>8.3816666666666692E-2</v>
      </c>
      <c r="AM146" s="31">
        <f>IFERROR(AC146/'Start Here'!$C$17,0)</f>
        <v>0.18755535714285718</v>
      </c>
      <c r="AN146" s="31">
        <f>IFERROR(AD146/'Start Here'!$C$18,0)</f>
        <v>0.11527999999999999</v>
      </c>
      <c r="AO146" s="31">
        <f>IFERROR(AE146/'Start Here'!$C$19,0)</f>
        <v>0.12166785714285713</v>
      </c>
      <c r="AP146" s="22" t="str">
        <f t="shared" si="26"/>
        <v>Vitamin K</v>
      </c>
      <c r="AQ146" s="7" t="str">
        <f t="shared" si="27"/>
        <v>Best for better vitamin K intake: one serving gives about 243% of your daily vitamin K from the produce alone.</v>
      </c>
      <c r="AR146" s="7" t="str">
        <f t="shared" si="28"/>
        <v>Vitamin C (94%), Folate (32%), Potassium (33%)</v>
      </c>
      <c r="AS146" s="7" t="s">
        <v>2619</v>
      </c>
      <c r="AT146" s="7" t="s">
        <v>2620</v>
      </c>
      <c r="AU146" s="28">
        <f>COUNTIFS('Recipe Ingredients'!$A$2:$A$2500,A146,'Recipe Ingredients'!$G$2:$G$2500,"Basket")</f>
        <v>8</v>
      </c>
      <c r="AV146" s="28">
        <f>COUNTIFS('Recipe Ingredients'!$A$2:$A$2500,A146,'Recipe Ingredients'!$G$2:$G$2500,"Protein")+COUNTIFS('Recipe Ingredients'!$A$2:$A$2500,A146,'Recipe Ingredients'!$G$2:$G$2500,"Pantry")</f>
        <v>3</v>
      </c>
      <c r="AW146" s="31">
        <f t="shared" si="29"/>
        <v>0.72727272727272729</v>
      </c>
      <c r="AX146" s="28" t="str">
        <f>IF(AW146&gt;='Start Here'!$C$6,"Yes","No")</f>
        <v>No</v>
      </c>
      <c r="AY146" s="7" t="s">
        <v>115</v>
      </c>
      <c r="AZ146" s="7" t="s">
        <v>2621</v>
      </c>
      <c r="BA146" s="7" t="s">
        <v>2622</v>
      </c>
      <c r="BB146" s="32" t="s">
        <v>964</v>
      </c>
    </row>
    <row r="147" spans="1:54" ht="96" customHeight="1" x14ac:dyDescent="0.25">
      <c r="A147" s="22" t="s">
        <v>2623</v>
      </c>
      <c r="B147" s="23" t="s">
        <v>2624</v>
      </c>
      <c r="C147" s="22" t="s">
        <v>1344</v>
      </c>
      <c r="D147" s="22" t="s">
        <v>1345</v>
      </c>
      <c r="E147" s="22" t="s">
        <v>1145</v>
      </c>
      <c r="F147" s="7" t="s">
        <v>2625</v>
      </c>
      <c r="G147" s="22" t="s">
        <v>2626</v>
      </c>
      <c r="H147" s="27" t="s">
        <v>2627</v>
      </c>
      <c r="I147" s="27" t="s">
        <v>2628</v>
      </c>
      <c r="J147" s="7" t="s">
        <v>2629</v>
      </c>
      <c r="K147" s="7" t="s">
        <v>2630</v>
      </c>
      <c r="L147" s="7" t="s">
        <v>1010</v>
      </c>
      <c r="M147" s="22" t="s">
        <v>1051</v>
      </c>
      <c r="N147" s="28">
        <v>20</v>
      </c>
      <c r="O147" s="28">
        <v>30</v>
      </c>
      <c r="P147" s="28">
        <f t="shared" si="24"/>
        <v>50</v>
      </c>
      <c r="Q147" s="22" t="str">
        <f t="shared" si="25"/>
        <v>Standard</v>
      </c>
      <c r="R147" s="28">
        <v>4</v>
      </c>
      <c r="S147" s="22">
        <v>430</v>
      </c>
      <c r="T147" s="22">
        <v>13</v>
      </c>
      <c r="U147" s="29">
        <f>SUMIFS('Recipe Ingredients'!$I$2:$I$2500,'Recipe Ingredients'!$A$2:$A$2500,A147)/R147</f>
        <v>281.5</v>
      </c>
      <c r="V147" s="29">
        <f>SUMIFS('Recipe Ingredients'!$J$2:$J$2500,'Recipe Ingredients'!$A$2:$A$2500,A147)/R147</f>
        <v>6.4330000000000007</v>
      </c>
      <c r="W147" s="29">
        <f>SUMIFS('Recipe Ingredients'!$K$2:$K$2500,'Recipe Ingredients'!$A$2:$A$2500,A147)/R147</f>
        <v>76.881750000000011</v>
      </c>
      <c r="X147" s="29">
        <f>SUMIFS('Recipe Ingredients'!$L$2:$L$2500,'Recipe Ingredients'!$A$2:$A$2500,A147)/R147</f>
        <v>208.32249999999999</v>
      </c>
      <c r="Y147" s="29">
        <f>SUMIFS('Recipe Ingredients'!$M$2:$M$2500,'Recipe Ingredients'!$A$2:$A$2500,A147)/R147</f>
        <v>209.31975</v>
      </c>
      <c r="Z147" s="29">
        <f>SUMIFS('Recipe Ingredients'!$N$2:$N$2500,'Recipe Ingredients'!$A$2:$A$2500,A147)/R147</f>
        <v>136.07999999999998</v>
      </c>
      <c r="AA147" s="29">
        <f>SUMIFS('Recipe Ingredients'!$O$2:$O$2500,'Recipe Ingredients'!$A$2:$A$2500,A147)/R147</f>
        <v>844.05250000000001</v>
      </c>
      <c r="AB147" s="30">
        <f>SUMIFS('Recipe Ingredients'!$P$2:$P$2500,'Recipe Ingredients'!$A$2:$A$2500,A147)/R147</f>
        <v>1.4288499999999997</v>
      </c>
      <c r="AC147" s="30">
        <f>SUMIFS('Recipe Ingredients'!$Q$2:$Q$2500,'Recipe Ingredients'!$A$2:$A$2500,A147)/R147</f>
        <v>0.38884250000000004</v>
      </c>
      <c r="AD147" s="29">
        <f>SUMIFS('Recipe Ingredients'!$R$2:$R$2500,'Recipe Ingredients'!$A$2:$A$2500,A147)/R147</f>
        <v>62.625</v>
      </c>
      <c r="AE147" s="30">
        <f>SUMIFS('Recipe Ingredients'!$S$2:$S$2500,'Recipe Ingredients'!$A$2:$A$2500,A147)/R147</f>
        <v>2.6241000000000003</v>
      </c>
      <c r="AF147" s="31">
        <f>IFERROR(V147/'Start Here'!$C$10,0)</f>
        <v>0.25732000000000005</v>
      </c>
      <c r="AG147" s="31">
        <f>IFERROR(W147/'Start Here'!$C$11,0)</f>
        <v>0.96102187500000014</v>
      </c>
      <c r="AH147" s="31">
        <f>IFERROR(X147/'Start Here'!$C$12,0)</f>
        <v>0.26040312500000001</v>
      </c>
      <c r="AI147" s="31">
        <f>IFERROR(Y147/'Start Here'!$C$13,0)</f>
        <v>2.7909299999999999</v>
      </c>
      <c r="AJ147" s="31">
        <f>IFERROR(Z147/'Start Here'!$C$14,0)</f>
        <v>0.68039999999999989</v>
      </c>
      <c r="AK147" s="31">
        <f>IFERROR(AA147/'Start Here'!$C$15,0)</f>
        <v>0.42202624999999999</v>
      </c>
      <c r="AL147" s="31">
        <f>IFERROR(AB147/'Start Here'!$C$16,0)</f>
        <v>0.11907083333333331</v>
      </c>
      <c r="AM147" s="31">
        <f>IFERROR(AC147/'Start Here'!$C$17,0)</f>
        <v>0.2777446428571429</v>
      </c>
      <c r="AN147" s="31">
        <f>IFERROR(AD147/'Start Here'!$C$18,0)</f>
        <v>0.16700000000000001</v>
      </c>
      <c r="AO147" s="31">
        <f>IFERROR(AE147/'Start Here'!$C$19,0)</f>
        <v>0.18743571428571432</v>
      </c>
      <c r="AP147" s="22" t="str">
        <f t="shared" si="26"/>
        <v>Vitamin K</v>
      </c>
      <c r="AQ147" s="7" t="str">
        <f t="shared" si="27"/>
        <v>Best for better vitamin K intake: one serving gives about 279% of your daily vitamin K from the produce alone.</v>
      </c>
      <c r="AR147" s="7" t="str">
        <f t="shared" si="28"/>
        <v>Fibre (26%), Vitamin C (96%), Vitamin A (26%), Folate (68%), Potassium (42%), Vitamin B6 (28%)</v>
      </c>
      <c r="AS147" s="7" t="s">
        <v>2631</v>
      </c>
      <c r="AT147" s="7" t="s">
        <v>2632</v>
      </c>
      <c r="AU147" s="28">
        <f>COUNTIFS('Recipe Ingredients'!$A$2:$A$2500,A147,'Recipe Ingredients'!$G$2:$G$2500,"Basket")</f>
        <v>9</v>
      </c>
      <c r="AV147" s="28">
        <f>COUNTIFS('Recipe Ingredients'!$A$2:$A$2500,A147,'Recipe Ingredients'!$G$2:$G$2500,"Protein")+COUNTIFS('Recipe Ingredients'!$A$2:$A$2500,A147,'Recipe Ingredients'!$G$2:$G$2500,"Pantry")</f>
        <v>2</v>
      </c>
      <c r="AW147" s="31">
        <f t="shared" si="29"/>
        <v>0.81818181818181823</v>
      </c>
      <c r="AX147" s="28" t="str">
        <f>IF(AW147&gt;='Start Here'!$C$6,"Yes","No")</f>
        <v>Yes</v>
      </c>
      <c r="AY147" s="7" t="s">
        <v>115</v>
      </c>
      <c r="AZ147" s="7" t="s">
        <v>2633</v>
      </c>
      <c r="BA147" s="7" t="s">
        <v>2634</v>
      </c>
      <c r="BB147" s="32" t="s">
        <v>964</v>
      </c>
    </row>
    <row r="148" spans="1:54" ht="96" customHeight="1" x14ac:dyDescent="0.25">
      <c r="A148" s="22" t="s">
        <v>2635</v>
      </c>
      <c r="B148" s="23" t="s">
        <v>2636</v>
      </c>
      <c r="C148" s="22" t="s">
        <v>1344</v>
      </c>
      <c r="D148" s="22" t="s">
        <v>1345</v>
      </c>
      <c r="E148" s="22" t="s">
        <v>1145</v>
      </c>
      <c r="F148" s="7" t="s">
        <v>2637</v>
      </c>
      <c r="G148" s="22" t="s">
        <v>2638</v>
      </c>
      <c r="H148" s="27" t="s">
        <v>2639</v>
      </c>
      <c r="I148" s="27" t="s">
        <v>2640</v>
      </c>
      <c r="J148" s="7" t="s">
        <v>2641</v>
      </c>
      <c r="K148" s="7" t="s">
        <v>2642</v>
      </c>
      <c r="L148" s="7" t="s">
        <v>126</v>
      </c>
      <c r="M148" s="22" t="s">
        <v>2596</v>
      </c>
      <c r="N148" s="28">
        <v>15</v>
      </c>
      <c r="O148" s="28">
        <v>25</v>
      </c>
      <c r="P148" s="28">
        <f t="shared" si="24"/>
        <v>40</v>
      </c>
      <c r="Q148" s="22" t="str">
        <f t="shared" si="25"/>
        <v>Standard</v>
      </c>
      <c r="R148" s="28">
        <v>4</v>
      </c>
      <c r="S148" s="22">
        <v>560</v>
      </c>
      <c r="T148" s="22">
        <v>35</v>
      </c>
      <c r="U148" s="29">
        <f>SUMIFS('Recipe Ingredients'!$I$2:$I$2500,'Recipe Ingredients'!$A$2:$A$2500,A148)/R148</f>
        <v>236.25</v>
      </c>
      <c r="V148" s="29">
        <f>SUMIFS('Recipe Ingredients'!$J$2:$J$2500,'Recipe Ingredients'!$A$2:$A$2500,A148)/R148</f>
        <v>8.0425000000000004</v>
      </c>
      <c r="W148" s="29">
        <f>SUMIFS('Recipe Ingredients'!$K$2:$K$2500,'Recipe Ingredients'!$A$2:$A$2500,A148)/R148</f>
        <v>52.426750000000006</v>
      </c>
      <c r="X148" s="29">
        <f>SUMIFS('Recipe Ingredients'!$L$2:$L$2500,'Recipe Ingredients'!$A$2:$A$2500,A148)/R148</f>
        <v>53.3825</v>
      </c>
      <c r="Y148" s="29">
        <f>SUMIFS('Recipe Ingredients'!$M$2:$M$2500,'Recipe Ingredients'!$A$2:$A$2500,A148)/R148</f>
        <v>35.287000000000006</v>
      </c>
      <c r="Z148" s="29">
        <f>SUMIFS('Recipe Ingredients'!$N$2:$N$2500,'Recipe Ingredients'!$A$2:$A$2500,A148)/R148</f>
        <v>85.787500000000009</v>
      </c>
      <c r="AA148" s="29">
        <f>SUMIFS('Recipe Ingredients'!$O$2:$O$2500,'Recipe Ingredients'!$A$2:$A$2500,A148)/R148</f>
        <v>666.0474999999999</v>
      </c>
      <c r="AB148" s="30">
        <f>SUMIFS('Recipe Ingredients'!$P$2:$P$2500,'Recipe Ingredients'!$A$2:$A$2500,A148)/R148</f>
        <v>1.5426500000000001</v>
      </c>
      <c r="AC148" s="30">
        <f>SUMIFS('Recipe Ingredients'!$Q$2:$Q$2500,'Recipe Ingredients'!$A$2:$A$2500,A148)/R148</f>
        <v>0.336225</v>
      </c>
      <c r="AD148" s="29">
        <f>SUMIFS('Recipe Ingredients'!$R$2:$R$2500,'Recipe Ingredients'!$A$2:$A$2500,A148)/R148</f>
        <v>52.025000000000006</v>
      </c>
      <c r="AE148" s="30">
        <f>SUMIFS('Recipe Ingredients'!$S$2:$S$2500,'Recipe Ingredients'!$A$2:$A$2500,A148)/R148</f>
        <v>1.3534249999999999</v>
      </c>
      <c r="AF148" s="31">
        <f>IFERROR(V148/'Start Here'!$C$10,0)</f>
        <v>0.32170000000000004</v>
      </c>
      <c r="AG148" s="31">
        <f>IFERROR(W148/'Start Here'!$C$11,0)</f>
        <v>0.65533437500000002</v>
      </c>
      <c r="AH148" s="31">
        <f>IFERROR(X148/'Start Here'!$C$12,0)</f>
        <v>6.6728124999999999E-2</v>
      </c>
      <c r="AI148" s="31">
        <f>IFERROR(Y148/'Start Here'!$C$13,0)</f>
        <v>0.47049333333333343</v>
      </c>
      <c r="AJ148" s="31">
        <f>IFERROR(Z148/'Start Here'!$C$14,0)</f>
        <v>0.42893750000000003</v>
      </c>
      <c r="AK148" s="31">
        <f>IFERROR(AA148/'Start Here'!$C$15,0)</f>
        <v>0.33302374999999995</v>
      </c>
      <c r="AL148" s="31">
        <f>IFERROR(AB148/'Start Here'!$C$16,0)</f>
        <v>0.12855416666666666</v>
      </c>
      <c r="AM148" s="31">
        <f>IFERROR(AC148/'Start Here'!$C$17,0)</f>
        <v>0.24016071428571431</v>
      </c>
      <c r="AN148" s="31">
        <f>IFERROR(AD148/'Start Here'!$C$18,0)</f>
        <v>0.13873333333333335</v>
      </c>
      <c r="AO148" s="31">
        <f>IFERROR(AE148/'Start Here'!$C$19,0)</f>
        <v>9.6673214285714279E-2</v>
      </c>
      <c r="AP148" s="22" t="str">
        <f t="shared" si="26"/>
        <v>Vitamin C</v>
      </c>
      <c r="AQ148" s="7" t="str">
        <f t="shared" si="27"/>
        <v>Best for better vitamin C intake: one serving gives about 66% of your daily vitamin C from the produce alone.</v>
      </c>
      <c r="AR148" s="7" t="str">
        <f t="shared" si="28"/>
        <v>Fibre (32%), Vitamin K (47%), Folate (43%), Potassium (33%)</v>
      </c>
      <c r="AS148" s="7" t="s">
        <v>2643</v>
      </c>
      <c r="AT148" s="7" t="s">
        <v>2644</v>
      </c>
      <c r="AU148" s="28">
        <f>COUNTIFS('Recipe Ingredients'!$A$2:$A$2500,A148,'Recipe Ingredients'!$G$2:$G$2500,"Basket")</f>
        <v>8</v>
      </c>
      <c r="AV148" s="28">
        <f>COUNTIFS('Recipe Ingredients'!$A$2:$A$2500,A148,'Recipe Ingredients'!$G$2:$G$2500,"Protein")+COUNTIFS('Recipe Ingredients'!$A$2:$A$2500,A148,'Recipe Ingredients'!$G$2:$G$2500,"Pantry")</f>
        <v>5</v>
      </c>
      <c r="AW148" s="31">
        <f t="shared" si="29"/>
        <v>0.61538461538461542</v>
      </c>
      <c r="AX148" s="28" t="str">
        <f>IF(AW148&gt;='Start Here'!$C$6,"Yes","No")</f>
        <v>No</v>
      </c>
      <c r="AY148" s="7" t="s">
        <v>115</v>
      </c>
      <c r="AZ148" s="7" t="s">
        <v>2645</v>
      </c>
      <c r="BA148" s="7" t="s">
        <v>2646</v>
      </c>
      <c r="BB148" s="32" t="s">
        <v>964</v>
      </c>
    </row>
    <row r="149" spans="1:54" ht="96" customHeight="1" x14ac:dyDescent="0.25">
      <c r="A149" s="22" t="s">
        <v>2647</v>
      </c>
      <c r="B149" s="23" t="s">
        <v>2648</v>
      </c>
      <c r="C149" s="22" t="s">
        <v>1344</v>
      </c>
      <c r="D149" s="22" t="s">
        <v>1345</v>
      </c>
      <c r="E149" s="22" t="s">
        <v>1145</v>
      </c>
      <c r="F149" s="7" t="s">
        <v>2649</v>
      </c>
      <c r="G149" s="22" t="s">
        <v>1967</v>
      </c>
      <c r="H149" s="27" t="s">
        <v>2650</v>
      </c>
      <c r="I149" s="27" t="s">
        <v>2651</v>
      </c>
      <c r="J149" s="7" t="s">
        <v>2652</v>
      </c>
      <c r="K149" s="7" t="s">
        <v>2653</v>
      </c>
      <c r="L149" s="7" t="s">
        <v>1010</v>
      </c>
      <c r="M149" s="22" t="s">
        <v>958</v>
      </c>
      <c r="N149" s="28">
        <v>15</v>
      </c>
      <c r="O149" s="28">
        <v>15</v>
      </c>
      <c r="P149" s="28">
        <f t="shared" si="24"/>
        <v>30</v>
      </c>
      <c r="Q149" s="22" t="str">
        <f t="shared" si="25"/>
        <v>Standard</v>
      </c>
      <c r="R149" s="28">
        <v>4</v>
      </c>
      <c r="S149" s="22">
        <v>400</v>
      </c>
      <c r="T149" s="22">
        <v>12</v>
      </c>
      <c r="U149" s="29">
        <f>SUMIFS('Recipe Ingredients'!$I$2:$I$2500,'Recipe Ingredients'!$A$2:$A$2500,A149)/R149</f>
        <v>203.75</v>
      </c>
      <c r="V149" s="29">
        <f>SUMIFS('Recipe Ingredients'!$J$2:$J$2500,'Recipe Ingredients'!$A$2:$A$2500,A149)/R149</f>
        <v>4.3192500000000003</v>
      </c>
      <c r="W149" s="29">
        <f>SUMIFS('Recipe Ingredients'!$K$2:$K$2500,'Recipe Ingredients'!$A$2:$A$2500,A149)/R149</f>
        <v>73.401750000000007</v>
      </c>
      <c r="X149" s="29">
        <f>SUMIFS('Recipe Ingredients'!$L$2:$L$2500,'Recipe Ingredients'!$A$2:$A$2500,A149)/R149</f>
        <v>58.422499999999999</v>
      </c>
      <c r="Y149" s="29">
        <f>SUMIFS('Recipe Ingredients'!$M$2:$M$2500,'Recipe Ingredients'!$A$2:$A$2500,A149)/R149</f>
        <v>5.9017499999999998</v>
      </c>
      <c r="Z149" s="29">
        <f>SUMIFS('Recipe Ingredients'!$N$2:$N$2500,'Recipe Ingredients'!$A$2:$A$2500,A149)/R149</f>
        <v>77.75500000000001</v>
      </c>
      <c r="AA149" s="29">
        <f>SUMIFS('Recipe Ingredients'!$O$2:$O$2500,'Recipe Ingredients'!$A$2:$A$2500,A149)/R149</f>
        <v>595.27</v>
      </c>
      <c r="AB149" s="30">
        <f>SUMIFS('Recipe Ingredients'!$P$2:$P$2500,'Recipe Ingredients'!$A$2:$A$2500,A149)/R149</f>
        <v>1.3953249999999999</v>
      </c>
      <c r="AC149" s="30">
        <f>SUMIFS('Recipe Ingredients'!$Q$2:$Q$2500,'Recipe Ingredients'!$A$2:$A$2500,A149)/R149</f>
        <v>0.38116250000000002</v>
      </c>
      <c r="AD149" s="29">
        <f>SUMIFS('Recipe Ingredients'!$R$2:$R$2500,'Recipe Ingredients'!$A$2:$A$2500,A149)/R149</f>
        <v>44.645000000000003</v>
      </c>
      <c r="AE149" s="30">
        <f>SUMIFS('Recipe Ingredients'!$S$2:$S$2500,'Recipe Ingredients'!$A$2:$A$2500,A149)/R149</f>
        <v>1.72045</v>
      </c>
      <c r="AF149" s="31">
        <f>IFERROR(V149/'Start Here'!$C$10,0)</f>
        <v>0.17277000000000001</v>
      </c>
      <c r="AG149" s="31">
        <f>IFERROR(W149/'Start Here'!$C$11,0)</f>
        <v>0.91752187500000004</v>
      </c>
      <c r="AH149" s="31">
        <f>IFERROR(X149/'Start Here'!$C$12,0)</f>
        <v>7.3028124999999999E-2</v>
      </c>
      <c r="AI149" s="31">
        <f>IFERROR(Y149/'Start Here'!$C$13,0)</f>
        <v>7.8689999999999996E-2</v>
      </c>
      <c r="AJ149" s="31">
        <f>IFERROR(Z149/'Start Here'!$C$14,0)</f>
        <v>0.38877500000000004</v>
      </c>
      <c r="AK149" s="31">
        <f>IFERROR(AA149/'Start Here'!$C$15,0)</f>
        <v>0.29763499999999998</v>
      </c>
      <c r="AL149" s="31">
        <f>IFERROR(AB149/'Start Here'!$C$16,0)</f>
        <v>0.11627708333333332</v>
      </c>
      <c r="AM149" s="31">
        <f>IFERROR(AC149/'Start Here'!$C$17,0)</f>
        <v>0.27225892857142858</v>
      </c>
      <c r="AN149" s="31">
        <f>IFERROR(AD149/'Start Here'!$C$18,0)</f>
        <v>0.11905333333333334</v>
      </c>
      <c r="AO149" s="31">
        <f>IFERROR(AE149/'Start Here'!$C$19,0)</f>
        <v>0.12288928571428571</v>
      </c>
      <c r="AP149" s="22" t="str">
        <f t="shared" si="26"/>
        <v>Vitamin C</v>
      </c>
      <c r="AQ149" s="7" t="str">
        <f t="shared" si="27"/>
        <v>Best for better vitamin C intake: one serving gives about 92% of your daily vitamin C from the produce alone.</v>
      </c>
      <c r="AR149" s="7" t="str">
        <f t="shared" si="28"/>
        <v>Folate (39%), Potassium (30%), Vitamin B6 (27%)</v>
      </c>
      <c r="AS149" s="7" t="s">
        <v>2654</v>
      </c>
      <c r="AT149" s="7" t="s">
        <v>2655</v>
      </c>
      <c r="AU149" s="28">
        <f>COUNTIFS('Recipe Ingredients'!$A$2:$A$2500,A149,'Recipe Ingredients'!$G$2:$G$2500,"Basket")</f>
        <v>8</v>
      </c>
      <c r="AV149" s="28">
        <f>COUNTIFS('Recipe Ingredients'!$A$2:$A$2500,A149,'Recipe Ingredients'!$G$2:$G$2500,"Protein")+COUNTIFS('Recipe Ingredients'!$A$2:$A$2500,A149,'Recipe Ingredients'!$G$2:$G$2500,"Pantry")</f>
        <v>2</v>
      </c>
      <c r="AW149" s="31">
        <f t="shared" si="29"/>
        <v>0.8</v>
      </c>
      <c r="AX149" s="28" t="str">
        <f>IF(AW149&gt;='Start Here'!$C$6,"Yes","No")</f>
        <v>Yes</v>
      </c>
      <c r="AY149" s="7" t="s">
        <v>115</v>
      </c>
      <c r="AZ149" s="7" t="s">
        <v>2656</v>
      </c>
      <c r="BA149" s="7" t="s">
        <v>2657</v>
      </c>
      <c r="BB149" s="32" t="s">
        <v>964</v>
      </c>
    </row>
    <row r="150" spans="1:54" ht="96" customHeight="1" x14ac:dyDescent="0.25">
      <c r="A150" s="22" t="s">
        <v>2658</v>
      </c>
      <c r="B150" s="23" t="s">
        <v>2659</v>
      </c>
      <c r="C150" s="22" t="s">
        <v>1344</v>
      </c>
      <c r="D150" s="22" t="s">
        <v>1553</v>
      </c>
      <c r="E150" s="22" t="s">
        <v>1531</v>
      </c>
      <c r="F150" s="7" t="s">
        <v>2660</v>
      </c>
      <c r="G150" s="22" t="s">
        <v>1181</v>
      </c>
      <c r="H150" s="27" t="s">
        <v>2661</v>
      </c>
      <c r="I150" s="27" t="s">
        <v>2662</v>
      </c>
      <c r="J150" s="7" t="s">
        <v>2663</v>
      </c>
      <c r="K150" s="7" t="s">
        <v>2664</v>
      </c>
      <c r="L150" s="7" t="s">
        <v>563</v>
      </c>
      <c r="M150" s="22" t="s">
        <v>958</v>
      </c>
      <c r="N150" s="28">
        <v>5</v>
      </c>
      <c r="O150" s="28">
        <v>15</v>
      </c>
      <c r="P150" s="28">
        <f t="shared" si="24"/>
        <v>20</v>
      </c>
      <c r="Q150" s="22" t="str">
        <f t="shared" si="25"/>
        <v>Quick</v>
      </c>
      <c r="R150" s="28">
        <v>4</v>
      </c>
      <c r="S150" s="22">
        <v>240</v>
      </c>
      <c r="T150" s="22">
        <v>7</v>
      </c>
      <c r="U150" s="29">
        <f>SUMIFS('Recipe Ingredients'!$I$2:$I$2500,'Recipe Ingredients'!$A$2:$A$2500,A150)/R150</f>
        <v>127</v>
      </c>
      <c r="V150" s="29">
        <f>SUMIFS('Recipe Ingredients'!$J$2:$J$2500,'Recipe Ingredients'!$A$2:$A$2500,A150)/R150</f>
        <v>3.3707500000000006</v>
      </c>
      <c r="W150" s="29">
        <f>SUMIFS('Recipe Ingredients'!$K$2:$K$2500,'Recipe Ingredients'!$A$2:$A$2500,A150)/R150</f>
        <v>21.303250000000002</v>
      </c>
      <c r="X150" s="29">
        <f>SUMIFS('Recipe Ingredients'!$L$2:$L$2500,'Recipe Ingredients'!$A$2:$A$2500,A150)/R150</f>
        <v>23.824999999999999</v>
      </c>
      <c r="Y150" s="29">
        <f>SUMIFS('Recipe Ingredients'!$M$2:$M$2500,'Recipe Ingredients'!$A$2:$A$2500,A150)/R150</f>
        <v>33.158249999999995</v>
      </c>
      <c r="Z150" s="29">
        <f>SUMIFS('Recipe Ingredients'!$N$2:$N$2500,'Recipe Ingredients'!$A$2:$A$2500,A150)/R150</f>
        <v>49.552500000000002</v>
      </c>
      <c r="AA150" s="29">
        <f>SUMIFS('Recipe Ingredients'!$O$2:$O$2500,'Recipe Ingredients'!$A$2:$A$2500,A150)/R150</f>
        <v>324.11250000000001</v>
      </c>
      <c r="AB150" s="30">
        <f>SUMIFS('Recipe Ingredients'!$P$2:$P$2500,'Recipe Ingredients'!$A$2:$A$2500,A150)/R150</f>
        <v>0.25370000000000004</v>
      </c>
      <c r="AC150" s="30">
        <f>SUMIFS('Recipe Ingredients'!$Q$2:$Q$2500,'Recipe Ingredients'!$A$2:$A$2500,A150)/R150</f>
        <v>0.13607</v>
      </c>
      <c r="AD150" s="29">
        <f>SUMIFS('Recipe Ingredients'!$R$2:$R$2500,'Recipe Ingredients'!$A$2:$A$2500,A150)/R150</f>
        <v>38.662500000000001</v>
      </c>
      <c r="AE150" s="30">
        <f>SUMIFS('Recipe Ingredients'!$S$2:$S$2500,'Recipe Ingredients'!$A$2:$A$2500,A150)/R150</f>
        <v>0.85315000000000007</v>
      </c>
      <c r="AF150" s="31">
        <f>IFERROR(V150/'Start Here'!$C$10,0)</f>
        <v>0.13483000000000003</v>
      </c>
      <c r="AG150" s="31">
        <f>IFERROR(W150/'Start Here'!$C$11,0)</f>
        <v>0.266290625</v>
      </c>
      <c r="AH150" s="31">
        <f>IFERROR(X150/'Start Here'!$C$12,0)</f>
        <v>2.9781249999999999E-2</v>
      </c>
      <c r="AI150" s="31">
        <f>IFERROR(Y150/'Start Here'!$C$13,0)</f>
        <v>0.44210999999999995</v>
      </c>
      <c r="AJ150" s="31">
        <f>IFERROR(Z150/'Start Here'!$C$14,0)</f>
        <v>0.2477625</v>
      </c>
      <c r="AK150" s="31">
        <f>IFERROR(AA150/'Start Here'!$C$15,0)</f>
        <v>0.16205625000000001</v>
      </c>
      <c r="AL150" s="31">
        <f>IFERROR(AB150/'Start Here'!$C$16,0)</f>
        <v>2.114166666666667E-2</v>
      </c>
      <c r="AM150" s="31">
        <f>IFERROR(AC150/'Start Here'!$C$17,0)</f>
        <v>9.719285714285715E-2</v>
      </c>
      <c r="AN150" s="31">
        <f>IFERROR(AD150/'Start Here'!$C$18,0)</f>
        <v>0.1031</v>
      </c>
      <c r="AO150" s="31">
        <f>IFERROR(AE150/'Start Here'!$C$19,0)</f>
        <v>6.0939285714285717E-2</v>
      </c>
      <c r="AP150" s="22" t="str">
        <f t="shared" si="26"/>
        <v>Vitamin K</v>
      </c>
      <c r="AQ150" s="7" t="str">
        <f t="shared" si="27"/>
        <v>Best for better vitamin K intake: one serving gives about 44% of your daily vitamin K from the produce alone.</v>
      </c>
      <c r="AR150" s="7" t="str">
        <f t="shared" si="28"/>
        <v>Vitamin C (27%)</v>
      </c>
      <c r="AS150" s="7" t="s">
        <v>2665</v>
      </c>
      <c r="AT150" s="7" t="s">
        <v>2666</v>
      </c>
      <c r="AU150" s="28">
        <f>COUNTIFS('Recipe Ingredients'!$A$2:$A$2500,A150,'Recipe Ingredients'!$G$2:$G$2500,"Basket")</f>
        <v>6</v>
      </c>
      <c r="AV150" s="28">
        <f>COUNTIFS('Recipe Ingredients'!$A$2:$A$2500,A150,'Recipe Ingredients'!$G$2:$G$2500,"Protein")+COUNTIFS('Recipe Ingredients'!$A$2:$A$2500,A150,'Recipe Ingredients'!$G$2:$G$2500,"Pantry")</f>
        <v>3</v>
      </c>
      <c r="AW150" s="31">
        <f t="shared" si="29"/>
        <v>0.66666666666666663</v>
      </c>
      <c r="AX150" s="28" t="str">
        <f>IF(AW150&gt;='Start Here'!$C$6,"Yes","No")</f>
        <v>No</v>
      </c>
      <c r="AY150" s="7" t="s">
        <v>115</v>
      </c>
      <c r="AZ150" s="7" t="s">
        <v>2667</v>
      </c>
      <c r="BA150" s="7" t="s">
        <v>2668</v>
      </c>
      <c r="BB150" s="32" t="s">
        <v>964</v>
      </c>
    </row>
    <row r="151" spans="1:54" ht="96" customHeight="1" x14ac:dyDescent="0.25">
      <c r="A151" s="22" t="s">
        <v>2669</v>
      </c>
      <c r="B151" s="23" t="s">
        <v>2670</v>
      </c>
      <c r="C151" s="22" t="s">
        <v>1344</v>
      </c>
      <c r="D151" s="22" t="s">
        <v>1553</v>
      </c>
      <c r="E151" s="22" t="s">
        <v>2671</v>
      </c>
      <c r="F151" s="7" t="s">
        <v>2672</v>
      </c>
      <c r="G151" s="22" t="s">
        <v>1147</v>
      </c>
      <c r="H151" s="27" t="s">
        <v>2673</v>
      </c>
      <c r="I151" s="27" t="s">
        <v>2674</v>
      </c>
      <c r="J151" s="7" t="s">
        <v>2675</v>
      </c>
      <c r="K151" s="7" t="s">
        <v>2676</v>
      </c>
      <c r="L151" s="7" t="s">
        <v>563</v>
      </c>
      <c r="M151" s="22" t="s">
        <v>958</v>
      </c>
      <c r="N151" s="28">
        <v>10</v>
      </c>
      <c r="O151" s="28">
        <v>20</v>
      </c>
      <c r="P151" s="28">
        <f t="shared" si="24"/>
        <v>30</v>
      </c>
      <c r="Q151" s="22" t="str">
        <f t="shared" si="25"/>
        <v>Standard</v>
      </c>
      <c r="R151" s="28">
        <v>4</v>
      </c>
      <c r="S151" s="22">
        <v>280</v>
      </c>
      <c r="T151" s="22">
        <v>8</v>
      </c>
      <c r="U151" s="29">
        <f>SUMIFS('Recipe Ingredients'!$I$2:$I$2500,'Recipe Ingredients'!$A$2:$A$2500,A151)/R151</f>
        <v>80.75</v>
      </c>
      <c r="V151" s="29">
        <f>SUMIFS('Recipe Ingredients'!$J$2:$J$2500,'Recipe Ingredients'!$A$2:$A$2500,A151)/R151</f>
        <v>2.0735000000000001</v>
      </c>
      <c r="W151" s="29">
        <f>SUMIFS('Recipe Ingredients'!$K$2:$K$2500,'Recipe Ingredients'!$A$2:$A$2500,A151)/R151</f>
        <v>26.28</v>
      </c>
      <c r="X151" s="29">
        <f>SUMIFS('Recipe Ingredients'!$L$2:$L$2500,'Recipe Ingredients'!$A$2:$A$2500,A151)/R151</f>
        <v>43.715000000000003</v>
      </c>
      <c r="Y151" s="29">
        <f>SUMIFS('Recipe Ingredients'!$M$2:$M$2500,'Recipe Ingredients'!$A$2:$A$2500,A151)/R151</f>
        <v>45.8825</v>
      </c>
      <c r="Z151" s="29">
        <f>SUMIFS('Recipe Ingredients'!$N$2:$N$2500,'Recipe Ingredients'!$A$2:$A$2500,A151)/R151</f>
        <v>39.04</v>
      </c>
      <c r="AA151" s="29">
        <f>SUMIFS('Recipe Ingredients'!$O$2:$O$2500,'Recipe Ingredients'!$A$2:$A$2500,A151)/R151</f>
        <v>215.32</v>
      </c>
      <c r="AB151" s="30">
        <f>SUMIFS('Recipe Ingredients'!$P$2:$P$2500,'Recipe Ingredients'!$A$2:$A$2500,A151)/R151</f>
        <v>0.42162500000000003</v>
      </c>
      <c r="AC151" s="30">
        <f>SUMIFS('Recipe Ingredients'!$Q$2:$Q$2500,'Recipe Ingredients'!$A$2:$A$2500,A151)/R151</f>
        <v>9.9917499999999992E-2</v>
      </c>
      <c r="AD151" s="29">
        <f>SUMIFS('Recipe Ingredients'!$R$2:$R$2500,'Recipe Ingredients'!$A$2:$A$2500,A151)/R151</f>
        <v>22.72</v>
      </c>
      <c r="AE151" s="30">
        <f>SUMIFS('Recipe Ingredients'!$S$2:$S$2500,'Recipe Ingredients'!$A$2:$A$2500,A151)/R151</f>
        <v>0.61140000000000005</v>
      </c>
      <c r="AF151" s="31">
        <f>IFERROR(V151/'Start Here'!$C$10,0)</f>
        <v>8.294E-2</v>
      </c>
      <c r="AG151" s="31">
        <f>IFERROR(W151/'Start Here'!$C$11,0)</f>
        <v>0.32850000000000001</v>
      </c>
      <c r="AH151" s="31">
        <f>IFERROR(X151/'Start Here'!$C$12,0)</f>
        <v>5.4643750000000005E-2</v>
      </c>
      <c r="AI151" s="31">
        <f>IFERROR(Y151/'Start Here'!$C$13,0)</f>
        <v>0.61176666666666668</v>
      </c>
      <c r="AJ151" s="31">
        <f>IFERROR(Z151/'Start Here'!$C$14,0)</f>
        <v>0.19519999999999998</v>
      </c>
      <c r="AK151" s="31">
        <f>IFERROR(AA151/'Start Here'!$C$15,0)</f>
        <v>0.10765999999999999</v>
      </c>
      <c r="AL151" s="31">
        <f>IFERROR(AB151/'Start Here'!$C$16,0)</f>
        <v>3.5135416666666669E-2</v>
      </c>
      <c r="AM151" s="31">
        <f>IFERROR(AC151/'Start Here'!$C$17,0)</f>
        <v>7.1369642857142854E-2</v>
      </c>
      <c r="AN151" s="31">
        <f>IFERROR(AD151/'Start Here'!$C$18,0)</f>
        <v>6.0586666666666664E-2</v>
      </c>
      <c r="AO151" s="31">
        <f>IFERROR(AE151/'Start Here'!$C$19,0)</f>
        <v>4.3671428571428576E-2</v>
      </c>
      <c r="AP151" s="22" t="str">
        <f t="shared" si="26"/>
        <v>Vitamin K</v>
      </c>
      <c r="AQ151" s="7" t="str">
        <f t="shared" si="27"/>
        <v>Best for better vitamin K intake: one serving gives about 61% of your daily vitamin K from the produce alone.</v>
      </c>
      <c r="AR151" s="7" t="str">
        <f t="shared" si="28"/>
        <v>Vitamin C (33%)</v>
      </c>
      <c r="AS151" s="7" t="s">
        <v>2665</v>
      </c>
      <c r="AT151" s="7" t="s">
        <v>2677</v>
      </c>
      <c r="AU151" s="28">
        <f>COUNTIFS('Recipe Ingredients'!$A$2:$A$2500,A151,'Recipe Ingredients'!$G$2:$G$2500,"Basket")</f>
        <v>4</v>
      </c>
      <c r="AV151" s="28">
        <f>COUNTIFS('Recipe Ingredients'!$A$2:$A$2500,A151,'Recipe Ingredients'!$G$2:$G$2500,"Protein")+COUNTIFS('Recipe Ingredients'!$A$2:$A$2500,A151,'Recipe Ingredients'!$G$2:$G$2500,"Pantry")</f>
        <v>5</v>
      </c>
      <c r="AW151" s="31">
        <f t="shared" si="29"/>
        <v>0.44444444444444442</v>
      </c>
      <c r="AX151" s="28" t="str">
        <f>IF(AW151&gt;='Start Here'!$C$6,"Yes","No")</f>
        <v>No</v>
      </c>
      <c r="AY151" s="7" t="s">
        <v>115</v>
      </c>
      <c r="AZ151" s="7" t="s">
        <v>2678</v>
      </c>
      <c r="BA151" s="7" t="s">
        <v>2679</v>
      </c>
      <c r="BB151" s="32" t="s">
        <v>964</v>
      </c>
    </row>
    <row r="152" spans="1:54" ht="96" customHeight="1" x14ac:dyDescent="0.25">
      <c r="A152" s="22" t="s">
        <v>2680</v>
      </c>
      <c r="B152" s="23" t="s">
        <v>2681</v>
      </c>
      <c r="C152" s="22" t="s">
        <v>1344</v>
      </c>
      <c r="D152" s="22" t="s">
        <v>296</v>
      </c>
      <c r="E152" s="22" t="s">
        <v>296</v>
      </c>
      <c r="F152" s="7" t="s">
        <v>2682</v>
      </c>
      <c r="G152" s="22" t="s">
        <v>1731</v>
      </c>
      <c r="H152" s="27" t="s">
        <v>2683</v>
      </c>
      <c r="I152" s="27" t="s">
        <v>2684</v>
      </c>
      <c r="J152" s="7" t="s">
        <v>2685</v>
      </c>
      <c r="K152" s="7" t="s">
        <v>2686</v>
      </c>
      <c r="L152" s="7" t="s">
        <v>563</v>
      </c>
      <c r="M152" s="22" t="s">
        <v>1051</v>
      </c>
      <c r="N152" s="28">
        <v>15</v>
      </c>
      <c r="O152" s="28">
        <v>25</v>
      </c>
      <c r="P152" s="28">
        <f t="shared" si="24"/>
        <v>40</v>
      </c>
      <c r="Q152" s="22" t="str">
        <f t="shared" si="25"/>
        <v>Standard</v>
      </c>
      <c r="R152" s="28">
        <v>2</v>
      </c>
      <c r="S152" s="22">
        <v>280</v>
      </c>
      <c r="T152" s="22">
        <v>3</v>
      </c>
      <c r="U152" s="29">
        <f>SUMIFS('Recipe Ingredients'!$I$2:$I$2500,'Recipe Ingredients'!$A$2:$A$2500,A152)/R152</f>
        <v>252.5</v>
      </c>
      <c r="V152" s="29">
        <f>SUMIFS('Recipe Ingredients'!$J$2:$J$2500,'Recipe Ingredients'!$A$2:$A$2500,A152)/R152</f>
        <v>7.8205</v>
      </c>
      <c r="W152" s="29">
        <f>SUMIFS('Recipe Ingredients'!$K$2:$K$2500,'Recipe Ingredients'!$A$2:$A$2500,A152)/R152</f>
        <v>45.735500000000002</v>
      </c>
      <c r="X152" s="29">
        <f>SUMIFS('Recipe Ingredients'!$L$2:$L$2500,'Recipe Ingredients'!$A$2:$A$2500,A152)/R152</f>
        <v>51.56</v>
      </c>
      <c r="Y152" s="29">
        <f>SUMIFS('Recipe Ingredients'!$M$2:$M$2500,'Recipe Ingredients'!$A$2:$A$2500,A152)/R152</f>
        <v>21.306999999999999</v>
      </c>
      <c r="Z152" s="29">
        <f>SUMIFS('Recipe Ingredients'!$N$2:$N$2500,'Recipe Ingredients'!$A$2:$A$2500,A152)/R152</f>
        <v>50.964999999999996</v>
      </c>
      <c r="AA152" s="29">
        <f>SUMIFS('Recipe Ingredients'!$O$2:$O$2500,'Recipe Ingredients'!$A$2:$A$2500,A152)/R152</f>
        <v>1449.6399999999999</v>
      </c>
      <c r="AB152" s="30">
        <f>SUMIFS('Recipe Ingredients'!$P$2:$P$2500,'Recipe Ingredients'!$A$2:$A$2500,A152)/R152</f>
        <v>1.0196500000000002</v>
      </c>
      <c r="AC152" s="30">
        <f>SUMIFS('Recipe Ingredients'!$Q$2:$Q$2500,'Recipe Ingredients'!$A$2:$A$2500,A152)/R152</f>
        <v>0.56886999999999999</v>
      </c>
      <c r="AD152" s="29">
        <f>SUMIFS('Recipe Ingredients'!$R$2:$R$2500,'Recipe Ingredients'!$A$2:$A$2500,A152)/R152</f>
        <v>43.105000000000004</v>
      </c>
      <c r="AE152" s="30">
        <f>SUMIFS('Recipe Ingredients'!$S$2:$S$2500,'Recipe Ingredients'!$A$2:$A$2500,A152)/R152</f>
        <v>1.2563500000000003</v>
      </c>
      <c r="AF152" s="31">
        <f>IFERROR(V152/'Start Here'!$C$10,0)</f>
        <v>0.31281999999999999</v>
      </c>
      <c r="AG152" s="31">
        <f>IFERROR(W152/'Start Here'!$C$11,0)</f>
        <v>0.57169375</v>
      </c>
      <c r="AH152" s="31">
        <f>IFERROR(X152/'Start Here'!$C$12,0)</f>
        <v>6.4450000000000007E-2</v>
      </c>
      <c r="AI152" s="31">
        <f>IFERROR(Y152/'Start Here'!$C$13,0)</f>
        <v>0.28409333333333331</v>
      </c>
      <c r="AJ152" s="31">
        <f>IFERROR(Z152/'Start Here'!$C$14,0)</f>
        <v>0.25482499999999997</v>
      </c>
      <c r="AK152" s="31">
        <f>IFERROR(AA152/'Start Here'!$C$15,0)</f>
        <v>0.72481999999999991</v>
      </c>
      <c r="AL152" s="31">
        <f>IFERROR(AB152/'Start Here'!$C$16,0)</f>
        <v>8.4970833333333343E-2</v>
      </c>
      <c r="AM152" s="31">
        <f>IFERROR(AC152/'Start Here'!$C$17,0)</f>
        <v>0.4063357142857143</v>
      </c>
      <c r="AN152" s="31">
        <f>IFERROR(AD152/'Start Here'!$C$18,0)</f>
        <v>0.11494666666666668</v>
      </c>
      <c r="AO152" s="31">
        <f>IFERROR(AE152/'Start Here'!$C$19,0)</f>
        <v>8.973928571428573E-2</v>
      </c>
      <c r="AP152" s="22" t="str">
        <f t="shared" si="26"/>
        <v>Potassium</v>
      </c>
      <c r="AQ152" s="7" t="str">
        <f t="shared" si="27"/>
        <v>Best for better potassium intake: one serving gives about 72% of your daily potassium from the produce alone.</v>
      </c>
      <c r="AR152" s="7" t="str">
        <f t="shared" si="28"/>
        <v>Fibre (31%), Vitamin C (57%), Vitamin K (28%), Folate (25%), Vitamin B6 (41%)</v>
      </c>
      <c r="AS152" s="7" t="s">
        <v>1737</v>
      </c>
      <c r="AT152" s="7" t="s">
        <v>2687</v>
      </c>
      <c r="AU152" s="28">
        <f>COUNTIFS('Recipe Ingredients'!$A$2:$A$2500,A152,'Recipe Ingredients'!$G$2:$G$2500,"Basket")</f>
        <v>7</v>
      </c>
      <c r="AV152" s="28">
        <f>COUNTIFS('Recipe Ingredients'!$A$2:$A$2500,A152,'Recipe Ingredients'!$G$2:$G$2500,"Protein")+COUNTIFS('Recipe Ingredients'!$A$2:$A$2500,A152,'Recipe Ingredients'!$G$2:$G$2500,"Pantry")</f>
        <v>1</v>
      </c>
      <c r="AW152" s="31">
        <f t="shared" si="29"/>
        <v>0.875</v>
      </c>
      <c r="AX152" s="28" t="str">
        <f>IF(AW152&gt;='Start Here'!$C$6,"Yes","No")</f>
        <v>Yes</v>
      </c>
      <c r="AY152" s="7" t="s">
        <v>115</v>
      </c>
      <c r="AZ152" s="7" t="s">
        <v>2688</v>
      </c>
      <c r="BA152" s="7" t="s">
        <v>2689</v>
      </c>
      <c r="BB152" s="32" t="s">
        <v>964</v>
      </c>
    </row>
    <row r="153" spans="1:54" ht="96" customHeight="1" x14ac:dyDescent="0.25">
      <c r="A153" s="22" t="s">
        <v>2690</v>
      </c>
      <c r="B153" s="23" t="s">
        <v>2691</v>
      </c>
      <c r="C153" s="22" t="s">
        <v>1344</v>
      </c>
      <c r="D153" s="22" t="s">
        <v>296</v>
      </c>
      <c r="E153" s="22" t="s">
        <v>296</v>
      </c>
      <c r="F153" s="7" t="s">
        <v>2692</v>
      </c>
      <c r="G153" s="22" t="s">
        <v>2693</v>
      </c>
      <c r="H153" s="27" t="s">
        <v>2694</v>
      </c>
      <c r="I153" s="7"/>
      <c r="J153" s="7" t="s">
        <v>2695</v>
      </c>
      <c r="K153" s="7" t="s">
        <v>2686</v>
      </c>
      <c r="L153" s="7" t="s">
        <v>974</v>
      </c>
      <c r="M153" s="22" t="s">
        <v>1051</v>
      </c>
      <c r="N153" s="28">
        <v>10</v>
      </c>
      <c r="O153" s="28">
        <v>20</v>
      </c>
      <c r="P153" s="28">
        <f t="shared" si="24"/>
        <v>30</v>
      </c>
      <c r="Q153" s="22" t="str">
        <f t="shared" si="25"/>
        <v>Standard</v>
      </c>
      <c r="R153" s="28">
        <v>4</v>
      </c>
      <c r="S153" s="22">
        <v>90</v>
      </c>
      <c r="T153" s="22">
        <v>3</v>
      </c>
      <c r="U153" s="29">
        <f>SUMIFS('Recipe Ingredients'!$I$2:$I$2500,'Recipe Ingredients'!$A$2:$A$2500,A153)/R153</f>
        <v>50</v>
      </c>
      <c r="V153" s="29">
        <f>SUMIFS('Recipe Ingredients'!$J$2:$J$2500,'Recipe Ingredients'!$A$2:$A$2500,A153)/R153</f>
        <v>2.0499999999999998</v>
      </c>
      <c r="W153" s="29">
        <f>SUMIFS('Recipe Ingredients'!$K$2:$K$2500,'Recipe Ingredients'!$A$2:$A$2500,A153)/R153</f>
        <v>46.7</v>
      </c>
      <c r="X153" s="29">
        <f>SUMIFS('Recipe Ingredients'!$L$2:$L$2500,'Recipe Ingredients'!$A$2:$A$2500,A153)/R153</f>
        <v>120.5</v>
      </c>
      <c r="Y153" s="29">
        <f>SUMIFS('Recipe Ingredients'!$M$2:$M$2500,'Recipe Ingredients'!$A$2:$A$2500,A153)/R153</f>
        <v>195</v>
      </c>
      <c r="Z153" s="29">
        <f>SUMIFS('Recipe Ingredients'!$N$2:$N$2500,'Recipe Ingredients'!$A$2:$A$2500,A153)/R153</f>
        <v>31</v>
      </c>
      <c r="AA153" s="29">
        <f>SUMIFS('Recipe Ingredients'!$O$2:$O$2500,'Recipe Ingredients'!$A$2:$A$2500,A153)/R153</f>
        <v>174</v>
      </c>
      <c r="AB153" s="30">
        <f>SUMIFS('Recipe Ingredients'!$P$2:$P$2500,'Recipe Ingredients'!$A$2:$A$2500,A153)/R153</f>
        <v>0.33</v>
      </c>
      <c r="AC153" s="30">
        <f>SUMIFS('Recipe Ingredients'!$Q$2:$Q$2500,'Recipe Ingredients'!$A$2:$A$2500,A153)/R153</f>
        <v>7.3499999999999996E-2</v>
      </c>
      <c r="AD153" s="29">
        <f>SUMIFS('Recipe Ingredients'!$R$2:$R$2500,'Recipe Ingredients'!$A$2:$A$2500,A153)/R153</f>
        <v>16.5</v>
      </c>
      <c r="AE153" s="30">
        <f>SUMIFS('Recipe Ingredients'!$S$2:$S$2500,'Recipe Ingredients'!$A$2:$A$2500,A153)/R153</f>
        <v>0.8</v>
      </c>
      <c r="AF153" s="31">
        <f>IFERROR(V153/'Start Here'!$C$10,0)</f>
        <v>8.199999999999999E-2</v>
      </c>
      <c r="AG153" s="31">
        <f>IFERROR(W153/'Start Here'!$C$11,0)</f>
        <v>0.58374999999999999</v>
      </c>
      <c r="AH153" s="31">
        <f>IFERROR(X153/'Start Here'!$C$12,0)</f>
        <v>0.15062500000000001</v>
      </c>
      <c r="AI153" s="31">
        <f>IFERROR(Y153/'Start Here'!$C$13,0)</f>
        <v>2.6</v>
      </c>
      <c r="AJ153" s="31">
        <f>IFERROR(Z153/'Start Here'!$C$14,0)</f>
        <v>0.155</v>
      </c>
      <c r="AK153" s="31">
        <f>IFERROR(AA153/'Start Here'!$C$15,0)</f>
        <v>8.6999999999999994E-2</v>
      </c>
      <c r="AL153" s="31">
        <f>IFERROR(AB153/'Start Here'!$C$16,0)</f>
        <v>2.75E-2</v>
      </c>
      <c r="AM153" s="31">
        <f>IFERROR(AC153/'Start Here'!$C$17,0)</f>
        <v>5.2499999999999998E-2</v>
      </c>
      <c r="AN153" s="31">
        <f>IFERROR(AD153/'Start Here'!$C$18,0)</f>
        <v>4.3999999999999997E-2</v>
      </c>
      <c r="AO153" s="31">
        <f>IFERROR(AE153/'Start Here'!$C$19,0)</f>
        <v>5.7142857142857148E-2</v>
      </c>
      <c r="AP153" s="22" t="str">
        <f t="shared" si="26"/>
        <v>Vitamin K</v>
      </c>
      <c r="AQ153" s="7" t="str">
        <f t="shared" si="27"/>
        <v>Best for better vitamin K intake: one serving gives about 260% of your daily vitamin K from the produce alone.</v>
      </c>
      <c r="AR153" s="7" t="str">
        <f t="shared" si="28"/>
        <v>Vitamin C (58%)</v>
      </c>
      <c r="AS153" s="7" t="s">
        <v>2696</v>
      </c>
      <c r="AT153" s="7" t="s">
        <v>648</v>
      </c>
      <c r="AU153" s="28">
        <f>COUNTIFS('Recipe Ingredients'!$A$2:$A$2500,A153,'Recipe Ingredients'!$G$2:$G$2500,"Basket")</f>
        <v>1</v>
      </c>
      <c r="AV153" s="28">
        <f>COUNTIFS('Recipe Ingredients'!$A$2:$A$2500,A153,'Recipe Ingredients'!$G$2:$G$2500,"Protein")+COUNTIFS('Recipe Ingredients'!$A$2:$A$2500,A153,'Recipe Ingredients'!$G$2:$G$2500,"Pantry")</f>
        <v>1</v>
      </c>
      <c r="AW153" s="31">
        <f t="shared" si="29"/>
        <v>0.5</v>
      </c>
      <c r="AX153" s="28" t="str">
        <f>IF(AW153&gt;='Start Here'!$C$6,"Yes","No")</f>
        <v>No</v>
      </c>
      <c r="AY153" s="7" t="s">
        <v>115</v>
      </c>
      <c r="AZ153" s="7" t="s">
        <v>2697</v>
      </c>
      <c r="BA153" s="7" t="s">
        <v>2698</v>
      </c>
      <c r="BB153" s="32" t="s">
        <v>964</v>
      </c>
    </row>
    <row r="154" spans="1:54" ht="96" customHeight="1" x14ac:dyDescent="0.25">
      <c r="A154" s="22" t="s">
        <v>2699</v>
      </c>
      <c r="B154" s="23" t="s">
        <v>2700</v>
      </c>
      <c r="C154" s="22" t="s">
        <v>1344</v>
      </c>
      <c r="D154" s="22" t="s">
        <v>296</v>
      </c>
      <c r="E154" s="22" t="s">
        <v>1531</v>
      </c>
      <c r="F154" s="7" t="s">
        <v>2701</v>
      </c>
      <c r="G154" s="22" t="s">
        <v>1457</v>
      </c>
      <c r="H154" s="27" t="s">
        <v>2702</v>
      </c>
      <c r="I154" s="27" t="s">
        <v>2703</v>
      </c>
      <c r="J154" s="7" t="s">
        <v>2704</v>
      </c>
      <c r="K154" s="7" t="s">
        <v>2705</v>
      </c>
      <c r="L154" s="7" t="s">
        <v>974</v>
      </c>
      <c r="M154" s="22" t="s">
        <v>1051</v>
      </c>
      <c r="N154" s="28">
        <v>20</v>
      </c>
      <c r="O154" s="28">
        <v>10</v>
      </c>
      <c r="P154" s="28">
        <f t="shared" si="24"/>
        <v>30</v>
      </c>
      <c r="Q154" s="22" t="str">
        <f t="shared" si="25"/>
        <v>Standard</v>
      </c>
      <c r="R154" s="28">
        <v>6</v>
      </c>
      <c r="S154" s="22">
        <v>120</v>
      </c>
      <c r="T154" s="22">
        <v>3</v>
      </c>
      <c r="U154" s="29">
        <f>SUMIFS('Recipe Ingredients'!$I$2:$I$2500,'Recipe Ingredients'!$A$2:$A$2500,A154)/R154</f>
        <v>177.5</v>
      </c>
      <c r="V154" s="29">
        <f>SUMIFS('Recipe Ingredients'!$J$2:$J$2500,'Recipe Ingredients'!$A$2:$A$2500,A154)/R154</f>
        <v>3.6209999999999991</v>
      </c>
      <c r="W154" s="29">
        <f>SUMIFS('Recipe Ingredients'!$K$2:$K$2500,'Recipe Ingredients'!$A$2:$A$2500,A154)/R154</f>
        <v>74.96916666666668</v>
      </c>
      <c r="X154" s="29">
        <f>SUMIFS('Recipe Ingredients'!$L$2:$L$2500,'Recipe Ingredients'!$A$2:$A$2500,A154)/R154</f>
        <v>72.38000000000001</v>
      </c>
      <c r="Y154" s="29">
        <f>SUMIFS('Recipe Ingredients'!$M$2:$M$2500,'Recipe Ingredients'!$A$2:$A$2500,A154)/R154</f>
        <v>102.31316666666665</v>
      </c>
      <c r="Z154" s="29">
        <f>SUMIFS('Recipe Ingredients'!$N$2:$N$2500,'Recipe Ingredients'!$A$2:$A$2500,A154)/R154</f>
        <v>58.515000000000008</v>
      </c>
      <c r="AA154" s="29">
        <f>SUMIFS('Recipe Ingredients'!$O$2:$O$2500,'Recipe Ingredients'!$A$2:$A$2500,A154)/R154</f>
        <v>494.99666666666667</v>
      </c>
      <c r="AB154" s="30">
        <f>SUMIFS('Recipe Ingredients'!$P$2:$P$2500,'Recipe Ingredients'!$A$2:$A$2500,A154)/R154</f>
        <v>0.69933333333333325</v>
      </c>
      <c r="AC154" s="30">
        <f>SUMIFS('Recipe Ingredients'!$Q$2:$Q$2500,'Recipe Ingredients'!$A$2:$A$2500,A154)/R154</f>
        <v>0.27597833333333338</v>
      </c>
      <c r="AD154" s="29">
        <f>SUMIFS('Recipe Ingredients'!$R$2:$R$2500,'Recipe Ingredients'!$A$2:$A$2500,A154)/R154</f>
        <v>27.7</v>
      </c>
      <c r="AE154" s="30">
        <f>SUMIFS('Recipe Ingredients'!$S$2:$S$2500,'Recipe Ingredients'!$A$2:$A$2500,A154)/R154</f>
        <v>1.4144499999999998</v>
      </c>
      <c r="AF154" s="31">
        <f>IFERROR(V154/'Start Here'!$C$10,0)</f>
        <v>0.14483999999999997</v>
      </c>
      <c r="AG154" s="31">
        <f>IFERROR(W154/'Start Here'!$C$11,0)</f>
        <v>0.93711458333333353</v>
      </c>
      <c r="AH154" s="31">
        <f>IFERROR(X154/'Start Here'!$C$12,0)</f>
        <v>9.0475000000000014E-2</v>
      </c>
      <c r="AI154" s="31">
        <f>IFERROR(Y154/'Start Here'!$C$13,0)</f>
        <v>1.3641755555555553</v>
      </c>
      <c r="AJ154" s="31">
        <f>IFERROR(Z154/'Start Here'!$C$14,0)</f>
        <v>0.29257500000000003</v>
      </c>
      <c r="AK154" s="31">
        <f>IFERROR(AA154/'Start Here'!$C$15,0)</f>
        <v>0.24749833333333335</v>
      </c>
      <c r="AL154" s="31">
        <f>IFERROR(AB154/'Start Here'!$C$16,0)</f>
        <v>5.8277777777777769E-2</v>
      </c>
      <c r="AM154" s="31">
        <f>IFERROR(AC154/'Start Here'!$C$17,0)</f>
        <v>0.197127380952381</v>
      </c>
      <c r="AN154" s="31">
        <f>IFERROR(AD154/'Start Here'!$C$18,0)</f>
        <v>7.3866666666666664E-2</v>
      </c>
      <c r="AO154" s="31">
        <f>IFERROR(AE154/'Start Here'!$C$19,0)</f>
        <v>0.10103214285714283</v>
      </c>
      <c r="AP154" s="22" t="str">
        <f t="shared" si="26"/>
        <v>Vitamin K</v>
      </c>
      <c r="AQ154" s="7" t="str">
        <f t="shared" si="27"/>
        <v>Best for better vitamin K intake: one serving gives about 136% of your daily vitamin K from the produce alone.</v>
      </c>
      <c r="AR154" s="7" t="str">
        <f t="shared" si="28"/>
        <v>Vitamin C (94%), Folate (29%)</v>
      </c>
      <c r="AS154" s="7" t="s">
        <v>2706</v>
      </c>
      <c r="AT154" s="7" t="s">
        <v>2707</v>
      </c>
      <c r="AU154" s="28">
        <f>COUNTIFS('Recipe Ingredients'!$A$2:$A$2500,A154,'Recipe Ingredients'!$G$2:$G$2500,"Basket")</f>
        <v>10</v>
      </c>
      <c r="AV154" s="28">
        <f>COUNTIFS('Recipe Ingredients'!$A$2:$A$2500,A154,'Recipe Ingredients'!$G$2:$G$2500,"Protein")+COUNTIFS('Recipe Ingredients'!$A$2:$A$2500,A154,'Recipe Ingredients'!$G$2:$G$2500,"Pantry")</f>
        <v>1</v>
      </c>
      <c r="AW154" s="31">
        <f t="shared" si="29"/>
        <v>0.90909090909090906</v>
      </c>
      <c r="AX154" s="28" t="str">
        <f>IF(AW154&gt;='Start Here'!$C$6,"Yes","No")</f>
        <v>Yes</v>
      </c>
      <c r="AY154" s="7" t="s">
        <v>115</v>
      </c>
      <c r="AZ154" s="7" t="s">
        <v>2708</v>
      </c>
      <c r="BA154" s="7" t="s">
        <v>2709</v>
      </c>
      <c r="BB154" s="32" t="s">
        <v>964</v>
      </c>
    </row>
    <row r="155" spans="1:54" ht="96" customHeight="1" x14ac:dyDescent="0.25">
      <c r="A155" s="22" t="s">
        <v>2710</v>
      </c>
      <c r="B155" s="23" t="s">
        <v>2711</v>
      </c>
      <c r="C155" s="22" t="s">
        <v>1344</v>
      </c>
      <c r="D155" s="22" t="s">
        <v>296</v>
      </c>
      <c r="E155" s="22" t="s">
        <v>1522</v>
      </c>
      <c r="F155" s="7" t="s">
        <v>2712</v>
      </c>
      <c r="G155" s="22" t="s">
        <v>953</v>
      </c>
      <c r="H155" s="27" t="s">
        <v>2713</v>
      </c>
      <c r="I155" s="27" t="s">
        <v>2714</v>
      </c>
      <c r="J155" s="7" t="s">
        <v>2715</v>
      </c>
      <c r="K155" s="7" t="s">
        <v>2716</v>
      </c>
      <c r="L155" s="7" t="s">
        <v>203</v>
      </c>
      <c r="M155" s="22" t="s">
        <v>958</v>
      </c>
      <c r="N155" s="28">
        <v>15</v>
      </c>
      <c r="O155" s="28">
        <v>25</v>
      </c>
      <c r="P155" s="28">
        <f t="shared" si="24"/>
        <v>40</v>
      </c>
      <c r="Q155" s="22" t="str">
        <f t="shared" si="25"/>
        <v>Standard</v>
      </c>
      <c r="R155" s="28">
        <v>2</v>
      </c>
      <c r="S155" s="22">
        <v>260</v>
      </c>
      <c r="T155" s="22">
        <v>12</v>
      </c>
      <c r="U155" s="29">
        <f>SUMIFS('Recipe Ingredients'!$I$2:$I$2500,'Recipe Ingredients'!$A$2:$A$2500,A155)/R155</f>
        <v>81.5</v>
      </c>
      <c r="V155" s="29">
        <f>SUMIFS('Recipe Ingredients'!$J$2:$J$2500,'Recipe Ingredients'!$A$2:$A$2500,A155)/R155</f>
        <v>1.9915000000000003</v>
      </c>
      <c r="W155" s="29">
        <f>SUMIFS('Recipe Ingredients'!$K$2:$K$2500,'Recipe Ingredients'!$A$2:$A$2500,A155)/R155</f>
        <v>7.093</v>
      </c>
      <c r="X155" s="29">
        <f>SUMIFS('Recipe Ingredients'!$L$2:$L$2500,'Recipe Ingredients'!$A$2:$A$2500,A155)/R155</f>
        <v>74.099999999999994</v>
      </c>
      <c r="Y155" s="29">
        <f>SUMIFS('Recipe Ingredients'!$M$2:$M$2500,'Recipe Ingredients'!$A$2:$A$2500,A155)/R155</f>
        <v>88.085499999999996</v>
      </c>
      <c r="Z155" s="29">
        <f>SUMIFS('Recipe Ingredients'!$N$2:$N$2500,'Recipe Ingredients'!$A$2:$A$2500,A155)/R155</f>
        <v>55.295000000000002</v>
      </c>
      <c r="AA155" s="29">
        <f>SUMIFS('Recipe Ingredients'!$O$2:$O$2500,'Recipe Ingredients'!$A$2:$A$2500,A155)/R155</f>
        <v>341.16499999999996</v>
      </c>
      <c r="AB155" s="30">
        <f>SUMIFS('Recipe Ingredients'!$P$2:$P$2500,'Recipe Ingredients'!$A$2:$A$2500,A155)/R155</f>
        <v>0.35194999999999993</v>
      </c>
      <c r="AC155" s="30">
        <f>SUMIFS('Recipe Ingredients'!$Q$2:$Q$2500,'Recipe Ingredients'!$A$2:$A$2500,A155)/R155</f>
        <v>0.14497499999999999</v>
      </c>
      <c r="AD155" s="29">
        <f>SUMIFS('Recipe Ingredients'!$R$2:$R$2500,'Recipe Ingredients'!$A$2:$A$2500,A155)/R155</f>
        <v>24.45</v>
      </c>
      <c r="AE155" s="30">
        <f>SUMIFS('Recipe Ingredients'!$S$2:$S$2500,'Recipe Ingredients'!$A$2:$A$2500,A155)/R155</f>
        <v>1.2914999999999999</v>
      </c>
      <c r="AF155" s="31">
        <f>IFERROR(V155/'Start Here'!$C$10,0)</f>
        <v>7.9660000000000009E-2</v>
      </c>
      <c r="AG155" s="31">
        <f>IFERROR(W155/'Start Here'!$C$11,0)</f>
        <v>8.8662500000000005E-2</v>
      </c>
      <c r="AH155" s="31">
        <f>IFERROR(X155/'Start Here'!$C$12,0)</f>
        <v>9.2624999999999999E-2</v>
      </c>
      <c r="AI155" s="31">
        <f>IFERROR(Y155/'Start Here'!$C$13,0)</f>
        <v>1.1744733333333333</v>
      </c>
      <c r="AJ155" s="31">
        <f>IFERROR(Z155/'Start Here'!$C$14,0)</f>
        <v>0.27647500000000003</v>
      </c>
      <c r="AK155" s="31">
        <f>IFERROR(AA155/'Start Here'!$C$15,0)</f>
        <v>0.17058249999999997</v>
      </c>
      <c r="AL155" s="31">
        <f>IFERROR(AB155/'Start Here'!$C$16,0)</f>
        <v>2.932916666666666E-2</v>
      </c>
      <c r="AM155" s="31">
        <f>IFERROR(AC155/'Start Here'!$C$17,0)</f>
        <v>0.10355357142857143</v>
      </c>
      <c r="AN155" s="31">
        <f>IFERROR(AD155/'Start Here'!$C$18,0)</f>
        <v>6.5199999999999994E-2</v>
      </c>
      <c r="AO155" s="31">
        <f>IFERROR(AE155/'Start Here'!$C$19,0)</f>
        <v>9.2249999999999985E-2</v>
      </c>
      <c r="AP155" s="22" t="str">
        <f t="shared" si="26"/>
        <v>Vitamin K</v>
      </c>
      <c r="AQ155" s="7" t="str">
        <f t="shared" si="27"/>
        <v>Best for better vitamin K intake: one serving gives about 117% of your daily vitamin K from the produce alone.</v>
      </c>
      <c r="AR155" s="7" t="str">
        <f t="shared" si="28"/>
        <v>Folate (28%)</v>
      </c>
      <c r="AS155" s="7" t="s">
        <v>2717</v>
      </c>
      <c r="AT155" s="7" t="s">
        <v>2718</v>
      </c>
      <c r="AU155" s="28">
        <f>COUNTIFS('Recipe Ingredients'!$A$2:$A$2500,A155,'Recipe Ingredients'!$G$2:$G$2500,"Basket")</f>
        <v>5</v>
      </c>
      <c r="AV155" s="28">
        <f>COUNTIFS('Recipe Ingredients'!$A$2:$A$2500,A155,'Recipe Ingredients'!$G$2:$G$2500,"Protein")+COUNTIFS('Recipe Ingredients'!$A$2:$A$2500,A155,'Recipe Ingredients'!$G$2:$G$2500,"Pantry")</f>
        <v>2</v>
      </c>
      <c r="AW155" s="31">
        <f t="shared" si="29"/>
        <v>0.7142857142857143</v>
      </c>
      <c r="AX155" s="28" t="str">
        <f>IF(AW155&gt;='Start Here'!$C$6,"Yes","No")</f>
        <v>No</v>
      </c>
      <c r="AY155" s="7" t="s">
        <v>115</v>
      </c>
      <c r="AZ155" s="7" t="s">
        <v>2719</v>
      </c>
      <c r="BA155" s="7" t="s">
        <v>2720</v>
      </c>
      <c r="BB155" s="32" t="s">
        <v>964</v>
      </c>
    </row>
    <row r="156" spans="1:54" ht="96" customHeight="1" x14ac:dyDescent="0.25">
      <c r="A156" s="22" t="s">
        <v>2721</v>
      </c>
      <c r="B156" s="23" t="s">
        <v>2722</v>
      </c>
      <c r="C156" s="22" t="s">
        <v>1344</v>
      </c>
      <c r="D156" s="22" t="s">
        <v>296</v>
      </c>
      <c r="E156" s="22" t="s">
        <v>296</v>
      </c>
      <c r="F156" s="7" t="s">
        <v>2723</v>
      </c>
      <c r="G156" s="22" t="s">
        <v>1181</v>
      </c>
      <c r="H156" s="27" t="s">
        <v>2724</v>
      </c>
      <c r="I156" s="27" t="s">
        <v>2725</v>
      </c>
      <c r="J156" s="7" t="s">
        <v>2726</v>
      </c>
      <c r="K156" s="7" t="s">
        <v>2727</v>
      </c>
      <c r="L156" s="7" t="s">
        <v>126</v>
      </c>
      <c r="M156" s="22" t="s">
        <v>1051</v>
      </c>
      <c r="N156" s="28">
        <v>5</v>
      </c>
      <c r="O156" s="28">
        <v>30</v>
      </c>
      <c r="P156" s="28">
        <f t="shared" si="24"/>
        <v>35</v>
      </c>
      <c r="Q156" s="22" t="str">
        <f t="shared" si="25"/>
        <v>Standard</v>
      </c>
      <c r="R156" s="28">
        <v>16</v>
      </c>
      <c r="S156" s="22">
        <v>170</v>
      </c>
      <c r="T156" s="22">
        <v>7</v>
      </c>
      <c r="U156" s="29">
        <f>SUMIFS('Recipe Ingredients'!$I$2:$I$2500,'Recipe Ingredients'!$A$2:$A$2500,A156)/R156</f>
        <v>49.0625</v>
      </c>
      <c r="V156" s="29">
        <f>SUMIFS('Recipe Ingredients'!$J$2:$J$2500,'Recipe Ingredients'!$A$2:$A$2500,A156)/R156</f>
        <v>3.45425</v>
      </c>
      <c r="W156" s="29">
        <f>SUMIFS('Recipe Ingredients'!$K$2:$K$2500,'Recipe Ingredients'!$A$2:$A$2500,A156)/R156</f>
        <v>3.6556875000000004</v>
      </c>
      <c r="X156" s="29">
        <f>SUMIFS('Recipe Ingredients'!$L$2:$L$2500,'Recipe Ingredients'!$A$2:$A$2500,A156)/R156</f>
        <v>0.25124999999999997</v>
      </c>
      <c r="Y156" s="29">
        <f>SUMIFS('Recipe Ingredients'!$M$2:$M$2500,'Recipe Ingredients'!$A$2:$A$2500,A156)/R156</f>
        <v>7.5374999999999998E-2</v>
      </c>
      <c r="Z156" s="29">
        <f>SUMIFS('Recipe Ingredients'!$N$2:$N$2500,'Recipe Ingredients'!$A$2:$A$2500,A156)/R156</f>
        <v>88.60499999999999</v>
      </c>
      <c r="AA156" s="29">
        <f>SUMIFS('Recipe Ingredients'!$O$2:$O$2500,'Recipe Ingredients'!$A$2:$A$2500,A156)/R156</f>
        <v>270.13875000000002</v>
      </c>
      <c r="AB156" s="30">
        <f>SUMIFS('Recipe Ingredients'!$P$2:$P$2500,'Recipe Ingredients'!$A$2:$A$2500,A156)/R156</f>
        <v>3.0680875000000003</v>
      </c>
      <c r="AC156" s="30">
        <f>SUMIFS('Recipe Ingredients'!$Q$2:$Q$2500,'Recipe Ingredients'!$A$2:$A$2500,A156)/R156</f>
        <v>0.13242187499999999</v>
      </c>
      <c r="AD156" s="29">
        <f>SUMIFS('Recipe Ingredients'!$R$2:$R$2500,'Recipe Ingredients'!$A$2:$A$2500,A156)/R156</f>
        <v>62.073749999999997</v>
      </c>
      <c r="AE156" s="30">
        <f>SUMIFS('Recipe Ingredients'!$S$2:$S$2500,'Recipe Ingredients'!$A$2:$A$2500,A156)/R156</f>
        <v>1.7470750000000002</v>
      </c>
      <c r="AF156" s="31">
        <f>IFERROR(V156/'Start Here'!$C$10,0)</f>
        <v>0.13817000000000002</v>
      </c>
      <c r="AG156" s="31">
        <f>IFERROR(W156/'Start Here'!$C$11,0)</f>
        <v>4.5696093750000007E-2</v>
      </c>
      <c r="AH156" s="31">
        <f>IFERROR(X156/'Start Here'!$C$12,0)</f>
        <v>3.1406249999999994E-4</v>
      </c>
      <c r="AI156" s="31">
        <f>IFERROR(Y156/'Start Here'!$C$13,0)</f>
        <v>1.005E-3</v>
      </c>
      <c r="AJ156" s="31">
        <f>IFERROR(Z156/'Start Here'!$C$14,0)</f>
        <v>0.44302499999999995</v>
      </c>
      <c r="AK156" s="31">
        <f>IFERROR(AA156/'Start Here'!$C$15,0)</f>
        <v>0.13506937500000002</v>
      </c>
      <c r="AL156" s="31">
        <f>IFERROR(AB156/'Start Here'!$C$16,0)</f>
        <v>0.25567395833333334</v>
      </c>
      <c r="AM156" s="31">
        <f>IFERROR(AC156/'Start Here'!$C$17,0)</f>
        <v>9.4587053571428575E-2</v>
      </c>
      <c r="AN156" s="31">
        <f>IFERROR(AD156/'Start Here'!$C$18,0)</f>
        <v>0.16552999999999998</v>
      </c>
      <c r="AO156" s="31">
        <f>IFERROR(AE156/'Start Here'!$C$19,0)</f>
        <v>0.12479107142857145</v>
      </c>
      <c r="AP156" s="22" t="str">
        <f t="shared" si="26"/>
        <v>Folate</v>
      </c>
      <c r="AQ156" s="7" t="str">
        <f t="shared" si="27"/>
        <v>Best for better folate intake: one serving gives about 44% of your daily folate from the produce alone.</v>
      </c>
      <c r="AR156" s="7" t="str">
        <f t="shared" si="28"/>
        <v>Vitamin E (26%)</v>
      </c>
      <c r="AS156" s="7" t="s">
        <v>2728</v>
      </c>
      <c r="AT156" s="7" t="s">
        <v>2729</v>
      </c>
      <c r="AU156" s="28">
        <f>COUNTIFS('Recipe Ingredients'!$A$2:$A$2500,A156,'Recipe Ingredients'!$G$2:$G$2500,"Basket")</f>
        <v>2</v>
      </c>
      <c r="AV156" s="28">
        <f>COUNTIFS('Recipe Ingredients'!$A$2:$A$2500,A156,'Recipe Ingredients'!$G$2:$G$2500,"Protein")+COUNTIFS('Recipe Ingredients'!$A$2:$A$2500,A156,'Recipe Ingredients'!$G$2:$G$2500,"Pantry")</f>
        <v>2</v>
      </c>
      <c r="AW156" s="31">
        <f t="shared" si="29"/>
        <v>0.5</v>
      </c>
      <c r="AX156" s="28" t="str">
        <f>IF(AW156&gt;='Start Here'!$C$6,"Yes","No")</f>
        <v>No</v>
      </c>
      <c r="AY156" s="7" t="s">
        <v>115</v>
      </c>
      <c r="AZ156" s="7" t="s">
        <v>2730</v>
      </c>
      <c r="BA156" s="7" t="s">
        <v>2731</v>
      </c>
      <c r="BB156" s="32" t="s">
        <v>964</v>
      </c>
    </row>
    <row r="157" spans="1:54" ht="96" customHeight="1" x14ac:dyDescent="0.25">
      <c r="A157" s="22" t="s">
        <v>2732</v>
      </c>
      <c r="B157" s="23" t="s">
        <v>2733</v>
      </c>
      <c r="C157" s="22" t="s">
        <v>1344</v>
      </c>
      <c r="D157" s="22" t="s">
        <v>296</v>
      </c>
      <c r="E157" s="22" t="s">
        <v>296</v>
      </c>
      <c r="F157" s="7" t="s">
        <v>2734</v>
      </c>
      <c r="G157" s="22" t="s">
        <v>2492</v>
      </c>
      <c r="H157" s="7"/>
      <c r="I157" s="7"/>
      <c r="J157" s="7" t="s">
        <v>2735</v>
      </c>
      <c r="K157" s="7" t="s">
        <v>2736</v>
      </c>
      <c r="L157" s="7" t="s">
        <v>2195</v>
      </c>
      <c r="M157" s="22" t="s">
        <v>1051</v>
      </c>
      <c r="N157" s="28">
        <v>5</v>
      </c>
      <c r="O157" s="28">
        <v>0</v>
      </c>
      <c r="P157" s="28">
        <f t="shared" si="24"/>
        <v>5</v>
      </c>
      <c r="Q157" s="22" t="str">
        <f t="shared" si="25"/>
        <v>No-cook</v>
      </c>
      <c r="R157" s="28">
        <v>2</v>
      </c>
      <c r="S157" s="22">
        <v>50</v>
      </c>
      <c r="T157" s="22">
        <v>1</v>
      </c>
      <c r="U157" s="29">
        <f>SUMIFS('Recipe Ingredients'!$I$2:$I$2500,'Recipe Ingredients'!$A$2:$A$2500,A157)/R157</f>
        <v>228.5</v>
      </c>
      <c r="V157" s="29">
        <f>SUMIFS('Recipe Ingredients'!$J$2:$J$2500,'Recipe Ingredients'!$A$2:$A$2500,A157)/R157</f>
        <v>2.9364999999999997</v>
      </c>
      <c r="W157" s="29">
        <f>SUMIFS('Recipe Ingredients'!$K$2:$K$2500,'Recipe Ingredients'!$A$2:$A$2500,A157)/R157</f>
        <v>12.76</v>
      </c>
      <c r="X157" s="29">
        <f>SUMIFS('Recipe Ingredients'!$L$2:$L$2500,'Recipe Ingredients'!$A$2:$A$2500,A157)/R157</f>
        <v>517.21500000000003</v>
      </c>
      <c r="Y157" s="29">
        <f>SUMIFS('Recipe Ingredients'!$M$2:$M$2500,'Recipe Ingredients'!$A$2:$A$2500,A157)/R157</f>
        <v>32.835999999999991</v>
      </c>
      <c r="Z157" s="29">
        <f>SUMIFS('Recipe Ingredients'!$N$2:$N$2500,'Recipe Ingredients'!$A$2:$A$2500,A157)/R157</f>
        <v>23.484999999999999</v>
      </c>
      <c r="AA157" s="29">
        <f>SUMIFS('Recipe Ingredients'!$O$2:$O$2500,'Recipe Ingredients'!$A$2:$A$2500,A157)/R157</f>
        <v>433.77499999999998</v>
      </c>
      <c r="AB157" s="30">
        <f>SUMIFS('Recipe Ingredients'!$P$2:$P$2500,'Recipe Ingredients'!$A$2:$A$2500,A157)/R157</f>
        <v>0.48515000000000008</v>
      </c>
      <c r="AC157" s="30">
        <f>SUMIFS('Recipe Ingredients'!$Q$2:$Q$2500,'Recipe Ingredients'!$A$2:$A$2500,A157)/R157</f>
        <v>0.15169000000000002</v>
      </c>
      <c r="AD157" s="29">
        <f>SUMIFS('Recipe Ingredients'!$R$2:$R$2500,'Recipe Ingredients'!$A$2:$A$2500,A157)/R157</f>
        <v>27.905000000000001</v>
      </c>
      <c r="AE157" s="30">
        <f>SUMIFS('Recipe Ingredients'!$S$2:$S$2500,'Recipe Ingredients'!$A$2:$A$2500,A157)/R157</f>
        <v>0.70640000000000003</v>
      </c>
      <c r="AF157" s="31">
        <f>IFERROR(V157/'Start Here'!$C$10,0)</f>
        <v>0.11745999999999998</v>
      </c>
      <c r="AG157" s="31">
        <f>IFERROR(W157/'Start Here'!$C$11,0)</f>
        <v>0.1595</v>
      </c>
      <c r="AH157" s="31">
        <f>IFERROR(X157/'Start Here'!$C$12,0)</f>
        <v>0.64651875000000003</v>
      </c>
      <c r="AI157" s="31">
        <f>IFERROR(Y157/'Start Here'!$C$13,0)</f>
        <v>0.43781333333333322</v>
      </c>
      <c r="AJ157" s="31">
        <f>IFERROR(Z157/'Start Here'!$C$14,0)</f>
        <v>0.117425</v>
      </c>
      <c r="AK157" s="31">
        <f>IFERROR(AA157/'Start Here'!$C$15,0)</f>
        <v>0.21688749999999998</v>
      </c>
      <c r="AL157" s="31">
        <f>IFERROR(AB157/'Start Here'!$C$16,0)</f>
        <v>4.0429166666666676E-2</v>
      </c>
      <c r="AM157" s="31">
        <f>IFERROR(AC157/'Start Here'!$C$17,0)</f>
        <v>0.10835000000000002</v>
      </c>
      <c r="AN157" s="31">
        <f>IFERROR(AD157/'Start Here'!$C$18,0)</f>
        <v>7.4413333333333331E-2</v>
      </c>
      <c r="AO157" s="31">
        <f>IFERROR(AE157/'Start Here'!$C$19,0)</f>
        <v>5.045714285714286E-2</v>
      </c>
      <c r="AP157" s="22" t="str">
        <f t="shared" si="26"/>
        <v>Vitamin A</v>
      </c>
      <c r="AQ157" s="7" t="str">
        <f t="shared" si="27"/>
        <v>Best for better vitamin A intake: one serving gives about 65% of your daily vitamin A from the produce alone.</v>
      </c>
      <c r="AR157" s="7" t="str">
        <f t="shared" si="28"/>
        <v>Vitamin K (44%)</v>
      </c>
      <c r="AS157" s="7" t="s">
        <v>1462</v>
      </c>
      <c r="AT157" s="7" t="s">
        <v>2737</v>
      </c>
      <c r="AU157" s="28">
        <f>COUNTIFS('Recipe Ingredients'!$A$2:$A$2500,A157,'Recipe Ingredients'!$G$2:$G$2500,"Basket")</f>
        <v>3</v>
      </c>
      <c r="AV157" s="28">
        <f>COUNTIFS('Recipe Ingredients'!$A$2:$A$2500,A157,'Recipe Ingredients'!$G$2:$G$2500,"Protein")+COUNTIFS('Recipe Ingredients'!$A$2:$A$2500,A157,'Recipe Ingredients'!$G$2:$G$2500,"Pantry")</f>
        <v>1</v>
      </c>
      <c r="AW157" s="31">
        <f t="shared" si="29"/>
        <v>0.75</v>
      </c>
      <c r="AX157" s="28" t="str">
        <f>IF(AW157&gt;='Start Here'!$C$6,"Yes","No")</f>
        <v>No</v>
      </c>
      <c r="AY157" s="7" t="s">
        <v>115</v>
      </c>
      <c r="AZ157" s="7" t="s">
        <v>2738</v>
      </c>
      <c r="BA157" s="7" t="s">
        <v>2739</v>
      </c>
      <c r="BB157" s="32" t="s">
        <v>964</v>
      </c>
    </row>
  </sheetData>
  <autoFilter ref="A1:BB157" xr:uid="{00000000-0009-0000-0000-000004000000}"/>
  <conditionalFormatting sqref="AW2:AW157">
    <cfRule type="colorScale" priority="1">
      <colorScale>
        <cfvo type="num" val="0.4"/>
        <cfvo type="num" val="0.7"/>
        <cfvo type="num" val="1"/>
        <color rgb="FFF8CBAD"/>
        <color rgb="FFFFEB9C"/>
        <color rgb="FFC6EFCE"/>
      </colorScale>
    </cfRule>
  </conditionalFormatting>
  <conditionalFormatting sqref="AX2:AX157">
    <cfRule type="cellIs" dxfId="1" priority="2" operator="equal">
      <formula>"Yes"</formula>
    </cfRule>
  </conditionalFormatting>
  <conditionalFormatting sqref="AF2:AO157">
    <cfRule type="colorScale" priority="3">
      <colorScale>
        <cfvo type="num" val="0"/>
        <cfvo type="num" val="1"/>
        <color rgb="FFFFFFFF"/>
        <color rgb="FF63BE7B"/>
      </colorScale>
    </cfRule>
  </conditionalFormatting>
  <dataValidations count="2">
    <dataValidation type="list" allowBlank="1" sqref="BB2:BB157" xr:uid="{00000000-0002-0000-0400-000000000000}">
      <formula1>"Draft,Tested,Photographed,Live,Retired"</formula1>
    </dataValidation>
    <dataValidation type="list" allowBlank="1" sqref="C2:C157" xr:uid="{00000000-0002-0000-0400-000001000000}">
      <formula1>"Stews &amp; Sauces,Breakfast Plates,Salads &amp; Cooked Sides,Fruit Plates &amp; Desserts,Bowls &amp; Snacks"</formula1>
    </dataValidation>
  </dataValidations>
  <hyperlinks>
    <hyperlink ref="H2" r:id="rId1" xr:uid="{00000000-0004-0000-0400-000000000000}"/>
    <hyperlink ref="I2" r:id="rId2" xr:uid="{00000000-0004-0000-0400-000001000000}"/>
    <hyperlink ref="H3" r:id="rId3" xr:uid="{00000000-0004-0000-0400-000002000000}"/>
    <hyperlink ref="I3" r:id="rId4" xr:uid="{00000000-0004-0000-0400-000003000000}"/>
    <hyperlink ref="H4" r:id="rId5" xr:uid="{00000000-0004-0000-0400-000004000000}"/>
    <hyperlink ref="I4" r:id="rId6" xr:uid="{00000000-0004-0000-0400-000005000000}"/>
    <hyperlink ref="H5" r:id="rId7" xr:uid="{00000000-0004-0000-0400-000006000000}"/>
    <hyperlink ref="I5" r:id="rId8" xr:uid="{00000000-0004-0000-0400-000007000000}"/>
    <hyperlink ref="H6" r:id="rId9" xr:uid="{00000000-0004-0000-0400-000008000000}"/>
    <hyperlink ref="I6" r:id="rId10" xr:uid="{00000000-0004-0000-0400-000009000000}"/>
    <hyperlink ref="H7" r:id="rId11" xr:uid="{00000000-0004-0000-0400-00000A000000}"/>
    <hyperlink ref="I7" r:id="rId12" xr:uid="{00000000-0004-0000-0400-00000B000000}"/>
    <hyperlink ref="H8" r:id="rId13" xr:uid="{00000000-0004-0000-0400-00000C000000}"/>
    <hyperlink ref="I8" r:id="rId14" xr:uid="{00000000-0004-0000-0400-00000D000000}"/>
    <hyperlink ref="H9" r:id="rId15" xr:uid="{00000000-0004-0000-0400-00000E000000}"/>
    <hyperlink ref="I9" r:id="rId16" xr:uid="{00000000-0004-0000-0400-00000F000000}"/>
    <hyperlink ref="H10" r:id="rId17" xr:uid="{00000000-0004-0000-0400-000010000000}"/>
    <hyperlink ref="I10" r:id="rId18" xr:uid="{00000000-0004-0000-0400-000011000000}"/>
    <hyperlink ref="H11" r:id="rId19" xr:uid="{00000000-0004-0000-0400-000012000000}"/>
    <hyperlink ref="I11" r:id="rId20" xr:uid="{00000000-0004-0000-0400-000013000000}"/>
    <hyperlink ref="H12" r:id="rId21" xr:uid="{00000000-0004-0000-0400-000014000000}"/>
    <hyperlink ref="I12" r:id="rId22" xr:uid="{00000000-0004-0000-0400-000015000000}"/>
    <hyperlink ref="H13" r:id="rId23" xr:uid="{00000000-0004-0000-0400-000016000000}"/>
    <hyperlink ref="I13" r:id="rId24" xr:uid="{00000000-0004-0000-0400-000017000000}"/>
    <hyperlink ref="H14" r:id="rId25" xr:uid="{00000000-0004-0000-0400-000018000000}"/>
    <hyperlink ref="I14" r:id="rId26" xr:uid="{00000000-0004-0000-0400-000019000000}"/>
    <hyperlink ref="H15" r:id="rId27" xr:uid="{00000000-0004-0000-0400-00001A000000}"/>
    <hyperlink ref="I15" r:id="rId28" xr:uid="{00000000-0004-0000-0400-00001B000000}"/>
    <hyperlink ref="H16" r:id="rId29" xr:uid="{00000000-0004-0000-0400-00001C000000}"/>
    <hyperlink ref="I16" r:id="rId30" xr:uid="{00000000-0004-0000-0400-00001D000000}"/>
    <hyperlink ref="H17" r:id="rId31" xr:uid="{00000000-0004-0000-0400-00001E000000}"/>
    <hyperlink ref="I17" r:id="rId32" xr:uid="{00000000-0004-0000-0400-00001F000000}"/>
    <hyperlink ref="H18" r:id="rId33" xr:uid="{00000000-0004-0000-0400-000020000000}"/>
    <hyperlink ref="I18" r:id="rId34" xr:uid="{00000000-0004-0000-0400-000021000000}"/>
    <hyperlink ref="H19" r:id="rId35" xr:uid="{00000000-0004-0000-0400-000022000000}"/>
    <hyperlink ref="I19" r:id="rId36" xr:uid="{00000000-0004-0000-0400-000023000000}"/>
    <hyperlink ref="H20" r:id="rId37" xr:uid="{00000000-0004-0000-0400-000024000000}"/>
    <hyperlink ref="I20" r:id="rId38" xr:uid="{00000000-0004-0000-0400-000025000000}"/>
    <hyperlink ref="H21" r:id="rId39" xr:uid="{00000000-0004-0000-0400-000026000000}"/>
    <hyperlink ref="I21" r:id="rId40" xr:uid="{00000000-0004-0000-0400-000027000000}"/>
    <hyperlink ref="H22" r:id="rId41" xr:uid="{00000000-0004-0000-0400-000028000000}"/>
    <hyperlink ref="I22" r:id="rId42" xr:uid="{00000000-0004-0000-0400-000029000000}"/>
    <hyperlink ref="H23" r:id="rId43" xr:uid="{00000000-0004-0000-0400-00002A000000}"/>
    <hyperlink ref="I23" r:id="rId44" xr:uid="{00000000-0004-0000-0400-00002B000000}"/>
    <hyperlink ref="H24" r:id="rId45" xr:uid="{00000000-0004-0000-0400-00002C000000}"/>
    <hyperlink ref="I24" r:id="rId46" xr:uid="{00000000-0004-0000-0400-00002D000000}"/>
    <hyperlink ref="H25" r:id="rId47" xr:uid="{00000000-0004-0000-0400-00002E000000}"/>
    <hyperlink ref="I25" r:id="rId48" xr:uid="{00000000-0004-0000-0400-00002F000000}"/>
    <hyperlink ref="H26" r:id="rId49" xr:uid="{00000000-0004-0000-0400-000030000000}"/>
    <hyperlink ref="I26" r:id="rId50" xr:uid="{00000000-0004-0000-0400-000031000000}"/>
    <hyperlink ref="H27" r:id="rId51" xr:uid="{00000000-0004-0000-0400-000032000000}"/>
    <hyperlink ref="I27" r:id="rId52" xr:uid="{00000000-0004-0000-0400-000033000000}"/>
    <hyperlink ref="H28" r:id="rId53" xr:uid="{00000000-0004-0000-0400-000034000000}"/>
    <hyperlink ref="I28" r:id="rId54" xr:uid="{00000000-0004-0000-0400-000035000000}"/>
    <hyperlink ref="H29" r:id="rId55" xr:uid="{00000000-0004-0000-0400-000036000000}"/>
    <hyperlink ref="I29" r:id="rId56" xr:uid="{00000000-0004-0000-0400-000037000000}"/>
    <hyperlink ref="H30" r:id="rId57" xr:uid="{00000000-0004-0000-0400-000038000000}"/>
    <hyperlink ref="I30" r:id="rId58" xr:uid="{00000000-0004-0000-0400-000039000000}"/>
    <hyperlink ref="H31" r:id="rId59" xr:uid="{00000000-0004-0000-0400-00003A000000}"/>
    <hyperlink ref="I31" r:id="rId60" xr:uid="{00000000-0004-0000-0400-00003B000000}"/>
    <hyperlink ref="H32" r:id="rId61" xr:uid="{00000000-0004-0000-0400-00003C000000}"/>
    <hyperlink ref="I32" r:id="rId62" xr:uid="{00000000-0004-0000-0400-00003D000000}"/>
    <hyperlink ref="H33" r:id="rId63" xr:uid="{00000000-0004-0000-0400-00003E000000}"/>
    <hyperlink ref="I33" r:id="rId64" xr:uid="{00000000-0004-0000-0400-00003F000000}"/>
    <hyperlink ref="H34" r:id="rId65" xr:uid="{00000000-0004-0000-0400-000040000000}"/>
    <hyperlink ref="I34" r:id="rId66" xr:uid="{00000000-0004-0000-0400-000041000000}"/>
    <hyperlink ref="H35" r:id="rId67" xr:uid="{00000000-0004-0000-0400-000042000000}"/>
    <hyperlink ref="I35" r:id="rId68" xr:uid="{00000000-0004-0000-0400-000043000000}"/>
    <hyperlink ref="H36" r:id="rId69" xr:uid="{00000000-0004-0000-0400-000044000000}"/>
    <hyperlink ref="I36" r:id="rId70" xr:uid="{00000000-0004-0000-0400-000045000000}"/>
    <hyperlink ref="H37" r:id="rId71" xr:uid="{00000000-0004-0000-0400-000046000000}"/>
    <hyperlink ref="I37" r:id="rId72" xr:uid="{00000000-0004-0000-0400-000047000000}"/>
    <hyperlink ref="H38" r:id="rId73" xr:uid="{00000000-0004-0000-0400-000048000000}"/>
    <hyperlink ref="I38" r:id="rId74" xr:uid="{00000000-0004-0000-0400-000049000000}"/>
    <hyperlink ref="H39" r:id="rId75" xr:uid="{00000000-0004-0000-0400-00004A000000}"/>
    <hyperlink ref="I39" r:id="rId76" xr:uid="{00000000-0004-0000-0400-00004B000000}"/>
    <hyperlink ref="H40" r:id="rId77" xr:uid="{00000000-0004-0000-0400-00004C000000}"/>
    <hyperlink ref="I40" r:id="rId78" xr:uid="{00000000-0004-0000-0400-00004D000000}"/>
    <hyperlink ref="H41" r:id="rId79" xr:uid="{00000000-0004-0000-0400-00004E000000}"/>
    <hyperlink ref="I41" r:id="rId80" xr:uid="{00000000-0004-0000-0400-00004F000000}"/>
    <hyperlink ref="H42" r:id="rId81" xr:uid="{00000000-0004-0000-0400-000050000000}"/>
    <hyperlink ref="I42" r:id="rId82" xr:uid="{00000000-0004-0000-0400-000051000000}"/>
    <hyperlink ref="H43" r:id="rId83" xr:uid="{00000000-0004-0000-0400-000052000000}"/>
    <hyperlink ref="I43" r:id="rId84" xr:uid="{00000000-0004-0000-0400-000053000000}"/>
    <hyperlink ref="H44" r:id="rId85" xr:uid="{00000000-0004-0000-0400-000054000000}"/>
    <hyperlink ref="I44" r:id="rId86" xr:uid="{00000000-0004-0000-0400-000055000000}"/>
    <hyperlink ref="H45" r:id="rId87" xr:uid="{00000000-0004-0000-0400-000056000000}"/>
    <hyperlink ref="I45" r:id="rId88" xr:uid="{00000000-0004-0000-0400-000057000000}"/>
    <hyperlink ref="H46" r:id="rId89" xr:uid="{00000000-0004-0000-0400-000058000000}"/>
    <hyperlink ref="I46" r:id="rId90" xr:uid="{00000000-0004-0000-0400-000059000000}"/>
    <hyperlink ref="H47" r:id="rId91" xr:uid="{00000000-0004-0000-0400-00005A000000}"/>
    <hyperlink ref="I47" r:id="rId92" xr:uid="{00000000-0004-0000-0400-00005B000000}"/>
    <hyperlink ref="H48" r:id="rId93" xr:uid="{00000000-0004-0000-0400-00005C000000}"/>
    <hyperlink ref="I48" r:id="rId94" xr:uid="{00000000-0004-0000-0400-00005D000000}"/>
    <hyperlink ref="H49" r:id="rId95" xr:uid="{00000000-0004-0000-0400-00005E000000}"/>
    <hyperlink ref="I49" r:id="rId96" xr:uid="{00000000-0004-0000-0400-00005F000000}"/>
    <hyperlink ref="H50" r:id="rId97" xr:uid="{00000000-0004-0000-0400-000060000000}"/>
    <hyperlink ref="I50" r:id="rId98" xr:uid="{00000000-0004-0000-0400-000061000000}"/>
    <hyperlink ref="H51" r:id="rId99" xr:uid="{00000000-0004-0000-0400-000062000000}"/>
    <hyperlink ref="I51" r:id="rId100" xr:uid="{00000000-0004-0000-0400-000063000000}"/>
    <hyperlink ref="H52" r:id="rId101" xr:uid="{00000000-0004-0000-0400-000064000000}"/>
    <hyperlink ref="I52" r:id="rId102" xr:uid="{00000000-0004-0000-0400-000065000000}"/>
    <hyperlink ref="H53" r:id="rId103" xr:uid="{00000000-0004-0000-0400-000066000000}"/>
    <hyperlink ref="I53" r:id="rId104" xr:uid="{00000000-0004-0000-0400-000067000000}"/>
    <hyperlink ref="H54" r:id="rId105" xr:uid="{00000000-0004-0000-0400-000068000000}"/>
    <hyperlink ref="I54" r:id="rId106" xr:uid="{00000000-0004-0000-0400-000069000000}"/>
    <hyperlink ref="H55" r:id="rId107" xr:uid="{00000000-0004-0000-0400-00006A000000}"/>
    <hyperlink ref="I55" r:id="rId108" xr:uid="{00000000-0004-0000-0400-00006B000000}"/>
    <hyperlink ref="H56" r:id="rId109" xr:uid="{00000000-0004-0000-0400-00006C000000}"/>
    <hyperlink ref="I56" r:id="rId110" xr:uid="{00000000-0004-0000-0400-00006D000000}"/>
    <hyperlink ref="H57" r:id="rId111" xr:uid="{00000000-0004-0000-0400-00006E000000}"/>
    <hyperlink ref="I57" r:id="rId112" xr:uid="{00000000-0004-0000-0400-00006F000000}"/>
    <hyperlink ref="H58" r:id="rId113" xr:uid="{00000000-0004-0000-0400-000070000000}"/>
    <hyperlink ref="I58" r:id="rId114" xr:uid="{00000000-0004-0000-0400-000071000000}"/>
    <hyperlink ref="H59" r:id="rId115" xr:uid="{00000000-0004-0000-0400-000072000000}"/>
    <hyperlink ref="I59" r:id="rId116" xr:uid="{00000000-0004-0000-0400-000073000000}"/>
    <hyperlink ref="H60" r:id="rId117" xr:uid="{00000000-0004-0000-0400-000074000000}"/>
    <hyperlink ref="I60" r:id="rId118" xr:uid="{00000000-0004-0000-0400-000075000000}"/>
    <hyperlink ref="H61" r:id="rId119" xr:uid="{00000000-0004-0000-0400-000076000000}"/>
    <hyperlink ref="I61" r:id="rId120" xr:uid="{00000000-0004-0000-0400-000077000000}"/>
    <hyperlink ref="H62" r:id="rId121" xr:uid="{00000000-0004-0000-0400-000078000000}"/>
    <hyperlink ref="I62" r:id="rId122" xr:uid="{00000000-0004-0000-0400-000079000000}"/>
    <hyperlink ref="H63" r:id="rId123" xr:uid="{00000000-0004-0000-0400-00007A000000}"/>
    <hyperlink ref="I63" r:id="rId124" xr:uid="{00000000-0004-0000-0400-00007B000000}"/>
    <hyperlink ref="H64" r:id="rId125" xr:uid="{00000000-0004-0000-0400-00007C000000}"/>
    <hyperlink ref="I64" r:id="rId126" xr:uid="{00000000-0004-0000-0400-00007D000000}"/>
    <hyperlink ref="H65" r:id="rId127" xr:uid="{00000000-0004-0000-0400-00007E000000}"/>
    <hyperlink ref="I65" r:id="rId128" xr:uid="{00000000-0004-0000-0400-00007F000000}"/>
    <hyperlink ref="H66" r:id="rId129" xr:uid="{00000000-0004-0000-0400-000080000000}"/>
    <hyperlink ref="I66" r:id="rId130" xr:uid="{00000000-0004-0000-0400-000081000000}"/>
    <hyperlink ref="H67" r:id="rId131" xr:uid="{00000000-0004-0000-0400-000082000000}"/>
    <hyperlink ref="I67" r:id="rId132" xr:uid="{00000000-0004-0000-0400-000083000000}"/>
    <hyperlink ref="H68" r:id="rId133" xr:uid="{00000000-0004-0000-0400-000084000000}"/>
    <hyperlink ref="I68" r:id="rId134" xr:uid="{00000000-0004-0000-0400-000085000000}"/>
    <hyperlink ref="H69" r:id="rId135" xr:uid="{00000000-0004-0000-0400-000086000000}"/>
    <hyperlink ref="I69" r:id="rId136" xr:uid="{00000000-0004-0000-0400-000087000000}"/>
    <hyperlink ref="H70" r:id="rId137" xr:uid="{00000000-0004-0000-0400-000088000000}"/>
    <hyperlink ref="H71" r:id="rId138" xr:uid="{00000000-0004-0000-0400-000089000000}"/>
    <hyperlink ref="I71" r:id="rId139" xr:uid="{00000000-0004-0000-0400-00008A000000}"/>
    <hyperlink ref="H72" r:id="rId140" xr:uid="{00000000-0004-0000-0400-00008B000000}"/>
    <hyperlink ref="I72" r:id="rId141" xr:uid="{00000000-0004-0000-0400-00008C000000}"/>
    <hyperlink ref="H73" r:id="rId142" xr:uid="{00000000-0004-0000-0400-00008D000000}"/>
    <hyperlink ref="I73" r:id="rId143" xr:uid="{00000000-0004-0000-0400-00008E000000}"/>
    <hyperlink ref="H74" r:id="rId144" xr:uid="{00000000-0004-0000-0400-00008F000000}"/>
    <hyperlink ref="H75" r:id="rId145" xr:uid="{00000000-0004-0000-0400-000090000000}"/>
    <hyperlink ref="I75" r:id="rId146" xr:uid="{00000000-0004-0000-0400-000091000000}"/>
    <hyperlink ref="H76" r:id="rId147" xr:uid="{00000000-0004-0000-0400-000092000000}"/>
    <hyperlink ref="H77" r:id="rId148" xr:uid="{00000000-0004-0000-0400-000093000000}"/>
    <hyperlink ref="I77" r:id="rId149" xr:uid="{00000000-0004-0000-0400-000094000000}"/>
    <hyperlink ref="H78" r:id="rId150" xr:uid="{00000000-0004-0000-0400-000095000000}"/>
    <hyperlink ref="I78" r:id="rId151" xr:uid="{00000000-0004-0000-0400-000096000000}"/>
    <hyperlink ref="H79" r:id="rId152" xr:uid="{00000000-0004-0000-0400-000097000000}"/>
    <hyperlink ref="I79" r:id="rId153" xr:uid="{00000000-0004-0000-0400-000098000000}"/>
    <hyperlink ref="H80" r:id="rId154" xr:uid="{00000000-0004-0000-0400-000099000000}"/>
    <hyperlink ref="H81" r:id="rId155" xr:uid="{00000000-0004-0000-0400-00009A000000}"/>
    <hyperlink ref="I81" r:id="rId156" xr:uid="{00000000-0004-0000-0400-00009B000000}"/>
    <hyperlink ref="H82" r:id="rId157" xr:uid="{00000000-0004-0000-0400-00009C000000}"/>
    <hyperlink ref="I82" r:id="rId158" xr:uid="{00000000-0004-0000-0400-00009D000000}"/>
    <hyperlink ref="H83" r:id="rId159" xr:uid="{00000000-0004-0000-0400-00009E000000}"/>
    <hyperlink ref="I83" r:id="rId160" xr:uid="{00000000-0004-0000-0400-00009F000000}"/>
    <hyperlink ref="H84" r:id="rId161" xr:uid="{00000000-0004-0000-0400-0000A0000000}"/>
    <hyperlink ref="I84" r:id="rId162" xr:uid="{00000000-0004-0000-0400-0000A1000000}"/>
    <hyperlink ref="H85" r:id="rId163" xr:uid="{00000000-0004-0000-0400-0000A2000000}"/>
    <hyperlink ref="I85" r:id="rId164" xr:uid="{00000000-0004-0000-0400-0000A3000000}"/>
    <hyperlink ref="H86" r:id="rId165" xr:uid="{00000000-0004-0000-0400-0000A4000000}"/>
    <hyperlink ref="I86" r:id="rId166" xr:uid="{00000000-0004-0000-0400-0000A5000000}"/>
    <hyperlink ref="H87" r:id="rId167" xr:uid="{00000000-0004-0000-0400-0000A6000000}"/>
    <hyperlink ref="I87" r:id="rId168" xr:uid="{00000000-0004-0000-0400-0000A7000000}"/>
    <hyperlink ref="H88" r:id="rId169" xr:uid="{00000000-0004-0000-0400-0000A8000000}"/>
    <hyperlink ref="I88" r:id="rId170" xr:uid="{00000000-0004-0000-0400-0000A9000000}"/>
    <hyperlink ref="H89" r:id="rId171" xr:uid="{00000000-0004-0000-0400-0000AA000000}"/>
    <hyperlink ref="I89" r:id="rId172" xr:uid="{00000000-0004-0000-0400-0000AB000000}"/>
    <hyperlink ref="H90" r:id="rId173" xr:uid="{00000000-0004-0000-0400-0000AC000000}"/>
    <hyperlink ref="I90" r:id="rId174" xr:uid="{00000000-0004-0000-0400-0000AD000000}"/>
    <hyperlink ref="H91" r:id="rId175" xr:uid="{00000000-0004-0000-0400-0000AE000000}"/>
    <hyperlink ref="I91" r:id="rId176" xr:uid="{00000000-0004-0000-0400-0000AF000000}"/>
    <hyperlink ref="H92" r:id="rId177" xr:uid="{00000000-0004-0000-0400-0000B0000000}"/>
    <hyperlink ref="I92" r:id="rId178" xr:uid="{00000000-0004-0000-0400-0000B1000000}"/>
    <hyperlink ref="H93" r:id="rId179" xr:uid="{00000000-0004-0000-0400-0000B2000000}"/>
    <hyperlink ref="I93" r:id="rId180" xr:uid="{00000000-0004-0000-0400-0000B3000000}"/>
    <hyperlink ref="H94" r:id="rId181" xr:uid="{00000000-0004-0000-0400-0000B4000000}"/>
    <hyperlink ref="I94" r:id="rId182" xr:uid="{00000000-0004-0000-0400-0000B5000000}"/>
    <hyperlink ref="H95" r:id="rId183" xr:uid="{00000000-0004-0000-0400-0000B6000000}"/>
    <hyperlink ref="I95" r:id="rId184" xr:uid="{00000000-0004-0000-0400-0000B7000000}"/>
    <hyperlink ref="H96" r:id="rId185" xr:uid="{00000000-0004-0000-0400-0000B8000000}"/>
    <hyperlink ref="I96" r:id="rId186" xr:uid="{00000000-0004-0000-0400-0000B9000000}"/>
    <hyperlink ref="H97" r:id="rId187" xr:uid="{00000000-0004-0000-0400-0000BA000000}"/>
    <hyperlink ref="I97" r:id="rId188" xr:uid="{00000000-0004-0000-0400-0000BB000000}"/>
    <hyperlink ref="H98" r:id="rId189" xr:uid="{00000000-0004-0000-0400-0000BC000000}"/>
    <hyperlink ref="I98" r:id="rId190" xr:uid="{00000000-0004-0000-0400-0000BD000000}"/>
    <hyperlink ref="H99" r:id="rId191" xr:uid="{00000000-0004-0000-0400-0000BE000000}"/>
    <hyperlink ref="I99" r:id="rId192" xr:uid="{00000000-0004-0000-0400-0000BF000000}"/>
    <hyperlink ref="H100" r:id="rId193" xr:uid="{00000000-0004-0000-0400-0000C0000000}"/>
    <hyperlink ref="I100" r:id="rId194" xr:uid="{00000000-0004-0000-0400-0000C1000000}"/>
    <hyperlink ref="H101" r:id="rId195" xr:uid="{00000000-0004-0000-0400-0000C2000000}"/>
    <hyperlink ref="I101" r:id="rId196" xr:uid="{00000000-0004-0000-0400-0000C3000000}"/>
    <hyperlink ref="H102" r:id="rId197" xr:uid="{00000000-0004-0000-0400-0000C4000000}"/>
    <hyperlink ref="I102" r:id="rId198" xr:uid="{00000000-0004-0000-0400-0000C5000000}"/>
    <hyperlink ref="H103" r:id="rId199" xr:uid="{00000000-0004-0000-0400-0000C6000000}"/>
    <hyperlink ref="I103" r:id="rId200" xr:uid="{00000000-0004-0000-0400-0000C7000000}"/>
    <hyperlink ref="H104" r:id="rId201" xr:uid="{00000000-0004-0000-0400-0000C8000000}"/>
    <hyperlink ref="H105" r:id="rId202" xr:uid="{00000000-0004-0000-0400-0000C9000000}"/>
    <hyperlink ref="H106" r:id="rId203" xr:uid="{00000000-0004-0000-0400-0000CA000000}"/>
    <hyperlink ref="I106" r:id="rId204" xr:uid="{00000000-0004-0000-0400-0000CB000000}"/>
    <hyperlink ref="H107" r:id="rId205" xr:uid="{00000000-0004-0000-0400-0000CC000000}"/>
    <hyperlink ref="I107" r:id="rId206" xr:uid="{00000000-0004-0000-0400-0000CD000000}"/>
    <hyperlink ref="H108" r:id="rId207" xr:uid="{00000000-0004-0000-0400-0000CE000000}"/>
    <hyperlink ref="I108" r:id="rId208" xr:uid="{00000000-0004-0000-0400-0000CF000000}"/>
    <hyperlink ref="H109" r:id="rId209" xr:uid="{00000000-0004-0000-0400-0000D0000000}"/>
    <hyperlink ref="I109" r:id="rId210" xr:uid="{00000000-0004-0000-0400-0000D1000000}"/>
    <hyperlink ref="H110" r:id="rId211" xr:uid="{00000000-0004-0000-0400-0000D2000000}"/>
    <hyperlink ref="I110" r:id="rId212" xr:uid="{00000000-0004-0000-0400-0000D3000000}"/>
    <hyperlink ref="H111" r:id="rId213" xr:uid="{00000000-0004-0000-0400-0000D4000000}"/>
    <hyperlink ref="I111" r:id="rId214" xr:uid="{00000000-0004-0000-0400-0000D5000000}"/>
    <hyperlink ref="H112" r:id="rId215" xr:uid="{00000000-0004-0000-0400-0000D6000000}"/>
    <hyperlink ref="I112" r:id="rId216" xr:uid="{00000000-0004-0000-0400-0000D7000000}"/>
    <hyperlink ref="H113" r:id="rId217" xr:uid="{00000000-0004-0000-0400-0000D8000000}"/>
    <hyperlink ref="I113" r:id="rId218" xr:uid="{00000000-0004-0000-0400-0000D9000000}"/>
    <hyperlink ref="H114" r:id="rId219" xr:uid="{00000000-0004-0000-0400-0000DA000000}"/>
    <hyperlink ref="I114" r:id="rId220" xr:uid="{00000000-0004-0000-0400-0000DB000000}"/>
    <hyperlink ref="H115" r:id="rId221" xr:uid="{00000000-0004-0000-0400-0000DC000000}"/>
    <hyperlink ref="I115" r:id="rId222" xr:uid="{00000000-0004-0000-0400-0000DD000000}"/>
    <hyperlink ref="H116" r:id="rId223" xr:uid="{00000000-0004-0000-0400-0000DE000000}"/>
    <hyperlink ref="I116" r:id="rId224" xr:uid="{00000000-0004-0000-0400-0000DF000000}"/>
    <hyperlink ref="H117" r:id="rId225" xr:uid="{00000000-0004-0000-0400-0000E0000000}"/>
    <hyperlink ref="I117" r:id="rId226" xr:uid="{00000000-0004-0000-0400-0000E1000000}"/>
    <hyperlink ref="H118" r:id="rId227" xr:uid="{00000000-0004-0000-0400-0000E2000000}"/>
    <hyperlink ref="I118" r:id="rId228" xr:uid="{00000000-0004-0000-0400-0000E3000000}"/>
    <hyperlink ref="H119" r:id="rId229" xr:uid="{00000000-0004-0000-0400-0000E4000000}"/>
    <hyperlink ref="I119" r:id="rId230" xr:uid="{00000000-0004-0000-0400-0000E5000000}"/>
    <hyperlink ref="H120" r:id="rId231" xr:uid="{00000000-0004-0000-0400-0000E6000000}"/>
    <hyperlink ref="I120" r:id="rId232" xr:uid="{00000000-0004-0000-0400-0000E7000000}"/>
    <hyperlink ref="H121" r:id="rId233" xr:uid="{00000000-0004-0000-0400-0000E8000000}"/>
    <hyperlink ref="I121" r:id="rId234" xr:uid="{00000000-0004-0000-0400-0000E9000000}"/>
    <hyperlink ref="H122" r:id="rId235" xr:uid="{00000000-0004-0000-0400-0000EA000000}"/>
    <hyperlink ref="I122" r:id="rId236" xr:uid="{00000000-0004-0000-0400-0000EB000000}"/>
    <hyperlink ref="H123" r:id="rId237" xr:uid="{00000000-0004-0000-0400-0000EC000000}"/>
    <hyperlink ref="I123" r:id="rId238" xr:uid="{00000000-0004-0000-0400-0000ED000000}"/>
    <hyperlink ref="H124" r:id="rId239" xr:uid="{00000000-0004-0000-0400-0000EE000000}"/>
    <hyperlink ref="H125" r:id="rId240" xr:uid="{00000000-0004-0000-0400-0000EF000000}"/>
    <hyperlink ref="I125" r:id="rId241" xr:uid="{00000000-0004-0000-0400-0000F0000000}"/>
    <hyperlink ref="H126" r:id="rId242" xr:uid="{00000000-0004-0000-0400-0000F1000000}"/>
    <hyperlink ref="I126" r:id="rId243" xr:uid="{00000000-0004-0000-0400-0000F2000000}"/>
    <hyperlink ref="H127" r:id="rId244" xr:uid="{00000000-0004-0000-0400-0000F3000000}"/>
    <hyperlink ref="I127" r:id="rId245" xr:uid="{00000000-0004-0000-0400-0000F4000000}"/>
    <hyperlink ref="H128" r:id="rId246" xr:uid="{00000000-0004-0000-0400-0000F5000000}"/>
    <hyperlink ref="I128" r:id="rId247" xr:uid="{00000000-0004-0000-0400-0000F6000000}"/>
    <hyperlink ref="H129" r:id="rId248" xr:uid="{00000000-0004-0000-0400-0000F7000000}"/>
    <hyperlink ref="I129" r:id="rId249" xr:uid="{00000000-0004-0000-0400-0000F8000000}"/>
    <hyperlink ref="H130" r:id="rId250" xr:uid="{00000000-0004-0000-0400-0000F9000000}"/>
    <hyperlink ref="H131" r:id="rId251" xr:uid="{00000000-0004-0000-0400-0000FA000000}"/>
    <hyperlink ref="H132" r:id="rId252" xr:uid="{00000000-0004-0000-0400-0000FB000000}"/>
    <hyperlink ref="I132" r:id="rId253" xr:uid="{00000000-0004-0000-0400-0000FC000000}"/>
    <hyperlink ref="H133" r:id="rId254" xr:uid="{00000000-0004-0000-0400-0000FD000000}"/>
    <hyperlink ref="H134" r:id="rId255" xr:uid="{00000000-0004-0000-0400-0000FE000000}"/>
    <hyperlink ref="I134" r:id="rId256" xr:uid="{00000000-0004-0000-0400-0000FF000000}"/>
    <hyperlink ref="H136" r:id="rId257" xr:uid="{00000000-0004-0000-0400-000000010000}"/>
    <hyperlink ref="I136" r:id="rId258" xr:uid="{00000000-0004-0000-0400-000001010000}"/>
    <hyperlink ref="H137" r:id="rId259" xr:uid="{00000000-0004-0000-0400-000002010000}"/>
    <hyperlink ref="I137" r:id="rId260" xr:uid="{00000000-0004-0000-0400-000003010000}"/>
    <hyperlink ref="H138" r:id="rId261" xr:uid="{00000000-0004-0000-0400-000004010000}"/>
    <hyperlink ref="I138" r:id="rId262" xr:uid="{00000000-0004-0000-0400-000005010000}"/>
    <hyperlink ref="H139" r:id="rId263" xr:uid="{00000000-0004-0000-0400-000006010000}"/>
    <hyperlink ref="H140" r:id="rId264" xr:uid="{00000000-0004-0000-0400-000007010000}"/>
    <hyperlink ref="H141" r:id="rId265" xr:uid="{00000000-0004-0000-0400-000008010000}"/>
    <hyperlink ref="I141" r:id="rId266" xr:uid="{00000000-0004-0000-0400-000009010000}"/>
    <hyperlink ref="H142" r:id="rId267" xr:uid="{00000000-0004-0000-0400-00000A010000}"/>
    <hyperlink ref="I142" r:id="rId268" xr:uid="{00000000-0004-0000-0400-00000B010000}"/>
    <hyperlink ref="H143" r:id="rId269" xr:uid="{00000000-0004-0000-0400-00000C010000}"/>
    <hyperlink ref="H144" r:id="rId270" xr:uid="{00000000-0004-0000-0400-00000D010000}"/>
    <hyperlink ref="I144" r:id="rId271" xr:uid="{00000000-0004-0000-0400-00000E010000}"/>
    <hyperlink ref="H145" r:id="rId272" xr:uid="{00000000-0004-0000-0400-00000F010000}"/>
    <hyperlink ref="I145" r:id="rId273" xr:uid="{00000000-0004-0000-0400-000010010000}"/>
    <hyperlink ref="H146" r:id="rId274" xr:uid="{00000000-0004-0000-0400-000011010000}"/>
    <hyperlink ref="I146" r:id="rId275" xr:uid="{00000000-0004-0000-0400-000012010000}"/>
    <hyperlink ref="H147" r:id="rId276" xr:uid="{00000000-0004-0000-0400-000013010000}"/>
    <hyperlink ref="I147" r:id="rId277" xr:uid="{00000000-0004-0000-0400-000014010000}"/>
    <hyperlink ref="H148" r:id="rId278" xr:uid="{00000000-0004-0000-0400-000015010000}"/>
    <hyperlink ref="I148" r:id="rId279" xr:uid="{00000000-0004-0000-0400-000016010000}"/>
    <hyperlink ref="H149" r:id="rId280" xr:uid="{00000000-0004-0000-0400-000017010000}"/>
    <hyperlink ref="I149" r:id="rId281" xr:uid="{00000000-0004-0000-0400-000018010000}"/>
    <hyperlink ref="H150" r:id="rId282" xr:uid="{00000000-0004-0000-0400-000019010000}"/>
    <hyperlink ref="I150" r:id="rId283" xr:uid="{00000000-0004-0000-0400-00001A010000}"/>
    <hyperlink ref="H151" r:id="rId284" xr:uid="{00000000-0004-0000-0400-00001B010000}"/>
    <hyperlink ref="I151" r:id="rId285" xr:uid="{00000000-0004-0000-0400-00001C010000}"/>
    <hyperlink ref="H152" r:id="rId286" xr:uid="{00000000-0004-0000-0400-00001D010000}"/>
    <hyperlink ref="I152" r:id="rId287" xr:uid="{00000000-0004-0000-0400-00001E010000}"/>
    <hyperlink ref="H153" r:id="rId288" xr:uid="{00000000-0004-0000-0400-00001F010000}"/>
    <hyperlink ref="H154" r:id="rId289" xr:uid="{00000000-0004-0000-0400-000020010000}"/>
    <hyperlink ref="I154" r:id="rId290" xr:uid="{00000000-0004-0000-0400-000021010000}"/>
    <hyperlink ref="H155" r:id="rId291" xr:uid="{00000000-0004-0000-0400-000022010000}"/>
    <hyperlink ref="I155" r:id="rId292" xr:uid="{00000000-0004-0000-0400-000023010000}"/>
    <hyperlink ref="H156" r:id="rId293" xr:uid="{00000000-0004-0000-0400-000024010000}"/>
    <hyperlink ref="I156" r:id="rId294" xr:uid="{00000000-0004-0000-0400-000025010000}"/>
  </hyperlink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S1407"/>
  <sheetViews>
    <sheetView workbookViewId="0">
      <pane xSplit="2" ySplit="1" topLeftCell="C2" activePane="bottomRight" state="frozen"/>
      <selection pane="topRight"/>
      <selection pane="bottomLeft"/>
      <selection pane="bottomRight"/>
    </sheetView>
  </sheetViews>
  <sheetFormatPr defaultRowHeight="15" x14ac:dyDescent="0.25"/>
  <cols>
    <col min="1" max="1" width="10" style="1" customWidth="1"/>
    <col min="2" max="2" width="32" style="1" customWidth="1"/>
    <col min="3" max="3" width="34" style="1" customWidth="1"/>
    <col min="4" max="4" width="7" style="1" customWidth="1"/>
    <col min="5" max="5" width="12" style="1" customWidth="1"/>
    <col min="6" max="6" width="10" style="1" customWidth="1"/>
    <col min="7" max="7" width="9" style="1" customWidth="1"/>
    <col min="8" max="8" width="34" style="1" customWidth="1"/>
    <col min="9" max="9" width="8" style="1" customWidth="1"/>
    <col min="10" max="19" width="9" style="1" customWidth="1"/>
  </cols>
  <sheetData>
    <row r="1" spans="1:19" ht="31.5" customHeight="1" x14ac:dyDescent="0.25">
      <c r="A1" s="21" t="s">
        <v>2740</v>
      </c>
      <c r="B1" s="21" t="s">
        <v>906</v>
      </c>
      <c r="C1" s="21" t="s">
        <v>2741</v>
      </c>
      <c r="D1" s="21" t="s">
        <v>2742</v>
      </c>
      <c r="E1" s="21" t="s">
        <v>2743</v>
      </c>
      <c r="F1" s="21" t="s">
        <v>2744</v>
      </c>
      <c r="G1" s="21" t="s">
        <v>706</v>
      </c>
      <c r="H1" s="21" t="s">
        <v>2745</v>
      </c>
      <c r="I1" s="21" t="s">
        <v>2746</v>
      </c>
      <c r="J1" s="21" t="s">
        <v>9</v>
      </c>
      <c r="K1" s="21" t="s">
        <v>11</v>
      </c>
      <c r="L1" s="21" t="s">
        <v>701</v>
      </c>
      <c r="M1" s="21" t="s">
        <v>15</v>
      </c>
      <c r="N1" s="21" t="s">
        <v>17</v>
      </c>
      <c r="O1" s="21" t="s">
        <v>19</v>
      </c>
      <c r="P1" s="21" t="s">
        <v>21</v>
      </c>
      <c r="Q1" s="21" t="s">
        <v>23</v>
      </c>
      <c r="R1" s="21" t="s">
        <v>25</v>
      </c>
      <c r="S1" s="21" t="s">
        <v>27</v>
      </c>
    </row>
    <row r="2" spans="1:19" ht="15" customHeight="1" x14ac:dyDescent="0.25">
      <c r="A2" s="22" t="s">
        <v>947</v>
      </c>
      <c r="B2" s="33" t="str">
        <f>IFERROR(INDEX(Recipes!$B$2:$B$500,MATCH(A2,Recipes!$A$2:$A$500,0)),"")</f>
        <v>Mango &amp; Passion Fruit Overnight Oats</v>
      </c>
      <c r="C2" s="7" t="s">
        <v>2747</v>
      </c>
      <c r="D2" s="34">
        <v>1</v>
      </c>
      <c r="E2" s="22" t="s">
        <v>2748</v>
      </c>
      <c r="F2" s="22"/>
      <c r="G2" s="22" t="s">
        <v>2749</v>
      </c>
      <c r="H2" s="7"/>
      <c r="I2" s="35"/>
      <c r="J2" s="30">
        <f>IF(OR($F2="",$I2=""),0,IFERROR(INDEX(Nutrition!$D$2:$D$300,MATCH($F2,Nutrition!$A$2:$A$300,0))*$I2/100,0))</f>
        <v>0</v>
      </c>
      <c r="K2" s="30">
        <f>IF(OR($F2="",$I2=""),0,IFERROR(INDEX(Nutrition!$E$2:$E$300,MATCH($F2,Nutrition!$A$2:$A$300,0))*$I2/100,0))</f>
        <v>0</v>
      </c>
      <c r="L2" s="30">
        <f>IF(OR($F2="",$I2=""),0,IFERROR(INDEX(Nutrition!$F$2:$F$300,MATCH($F2,Nutrition!$A$2:$A$300,0))*$I2/100,0))</f>
        <v>0</v>
      </c>
      <c r="M2" s="30">
        <f>IF(OR($F2="",$I2=""),0,IFERROR(INDEX(Nutrition!$G$2:$G$300,MATCH($F2,Nutrition!$A$2:$A$300,0))*$I2/100,0))</f>
        <v>0</v>
      </c>
      <c r="N2" s="30">
        <f>IF(OR($F2="",$I2=""),0,IFERROR(INDEX(Nutrition!$H$2:$H$300,MATCH($F2,Nutrition!$A$2:$A$300,0))*$I2/100,0))</f>
        <v>0</v>
      </c>
      <c r="O2" s="30">
        <f>IF(OR($F2="",$I2=""),0,IFERROR(INDEX(Nutrition!$I$2:$I$300,MATCH($F2,Nutrition!$A$2:$A$300,0))*$I2/100,0))</f>
        <v>0</v>
      </c>
      <c r="P2" s="30">
        <f>IF(OR($F2="",$I2=""),0,IFERROR(INDEX(Nutrition!$J$2:$J$300,MATCH($F2,Nutrition!$A$2:$A$300,0))*$I2/100,0))</f>
        <v>0</v>
      </c>
      <c r="Q2" s="30">
        <f>IF(OR($F2="",$I2=""),0,IFERROR(INDEX(Nutrition!$K$2:$K$300,MATCH($F2,Nutrition!$A$2:$A$300,0))*$I2/100,0))</f>
        <v>0</v>
      </c>
      <c r="R2" s="30">
        <f>IF(OR($F2="",$I2=""),0,IFERROR(INDEX(Nutrition!$L$2:$L$300,MATCH($F2,Nutrition!$A$2:$A$300,0))*$I2/100,0))</f>
        <v>0</v>
      </c>
      <c r="S2" s="30">
        <f>IF(OR($F2="",$I2=""),0,IFERROR(INDEX(Nutrition!$M$2:$M$300,MATCH($F2,Nutrition!$A$2:$A$300,0))*$I2/100,0))</f>
        <v>0</v>
      </c>
    </row>
    <row r="3" spans="1:19" ht="15" customHeight="1" x14ac:dyDescent="0.25">
      <c r="A3" s="22" t="s">
        <v>947</v>
      </c>
      <c r="B3" s="33" t="str">
        <f>IFERROR(INDEX(Recipes!$B$2:$B$500,MATCH(A3,Recipes!$A$2:$A$500,0)),"")</f>
        <v>Mango &amp; Passion Fruit Overnight Oats</v>
      </c>
      <c r="C3" s="7" t="s">
        <v>2750</v>
      </c>
      <c r="D3" s="34">
        <v>1</v>
      </c>
      <c r="E3" s="22" t="s">
        <v>2748</v>
      </c>
      <c r="F3" s="22"/>
      <c r="G3" s="22" t="s">
        <v>2749</v>
      </c>
      <c r="H3" s="7"/>
      <c r="I3" s="35"/>
      <c r="J3" s="30">
        <f>IF(OR($F3="",$I3=""),0,IFERROR(INDEX(Nutrition!$D$2:$D$300,MATCH($F3,Nutrition!$A$2:$A$300,0))*$I3/100,0))</f>
        <v>0</v>
      </c>
      <c r="K3" s="30">
        <f>IF(OR($F3="",$I3=""),0,IFERROR(INDEX(Nutrition!$E$2:$E$300,MATCH($F3,Nutrition!$A$2:$A$300,0))*$I3/100,0))</f>
        <v>0</v>
      </c>
      <c r="L3" s="30">
        <f>IF(OR($F3="",$I3=""),0,IFERROR(INDEX(Nutrition!$F$2:$F$300,MATCH($F3,Nutrition!$A$2:$A$300,0))*$I3/100,0))</f>
        <v>0</v>
      </c>
      <c r="M3" s="30">
        <f>IF(OR($F3="",$I3=""),0,IFERROR(INDEX(Nutrition!$G$2:$G$300,MATCH($F3,Nutrition!$A$2:$A$300,0))*$I3/100,0))</f>
        <v>0</v>
      </c>
      <c r="N3" s="30">
        <f>IF(OR($F3="",$I3=""),0,IFERROR(INDEX(Nutrition!$H$2:$H$300,MATCH($F3,Nutrition!$A$2:$A$300,0))*$I3/100,0))</f>
        <v>0</v>
      </c>
      <c r="O3" s="30">
        <f>IF(OR($F3="",$I3=""),0,IFERROR(INDEX(Nutrition!$I$2:$I$300,MATCH($F3,Nutrition!$A$2:$A$300,0))*$I3/100,0))</f>
        <v>0</v>
      </c>
      <c r="P3" s="30">
        <f>IF(OR($F3="",$I3=""),0,IFERROR(INDEX(Nutrition!$J$2:$J$300,MATCH($F3,Nutrition!$A$2:$A$300,0))*$I3/100,0))</f>
        <v>0</v>
      </c>
      <c r="Q3" s="30">
        <f>IF(OR($F3="",$I3=""),0,IFERROR(INDEX(Nutrition!$K$2:$K$300,MATCH($F3,Nutrition!$A$2:$A$300,0))*$I3/100,0))</f>
        <v>0</v>
      </c>
      <c r="R3" s="30">
        <f>IF(OR($F3="",$I3=""),0,IFERROR(INDEX(Nutrition!$L$2:$L$300,MATCH($F3,Nutrition!$A$2:$A$300,0))*$I3/100,0))</f>
        <v>0</v>
      </c>
      <c r="S3" s="30">
        <f>IF(OR($F3="",$I3=""),0,IFERROR(INDEX(Nutrition!$M$2:$M$300,MATCH($F3,Nutrition!$A$2:$A$300,0))*$I3/100,0))</f>
        <v>0</v>
      </c>
    </row>
    <row r="4" spans="1:19" ht="15" customHeight="1" x14ac:dyDescent="0.25">
      <c r="A4" s="22" t="s">
        <v>947</v>
      </c>
      <c r="B4" s="33" t="str">
        <f>IFERROR(INDEX(Recipes!$B$2:$B$500,MATCH(A4,Recipes!$A$2:$A$500,0)),"")</f>
        <v>Mango &amp; Passion Fruit Overnight Oats</v>
      </c>
      <c r="C4" s="7" t="s">
        <v>2751</v>
      </c>
      <c r="D4" s="34">
        <v>0.5</v>
      </c>
      <c r="E4" s="22" t="s">
        <v>2748</v>
      </c>
      <c r="F4" s="22"/>
      <c r="G4" s="22" t="s">
        <v>2749</v>
      </c>
      <c r="H4" s="7"/>
      <c r="I4" s="35"/>
      <c r="J4" s="30">
        <f>IF(OR($F4="",$I4=""),0,IFERROR(INDEX(Nutrition!$D$2:$D$300,MATCH($F4,Nutrition!$A$2:$A$300,0))*$I4/100,0))</f>
        <v>0</v>
      </c>
      <c r="K4" s="30">
        <f>IF(OR($F4="",$I4=""),0,IFERROR(INDEX(Nutrition!$E$2:$E$300,MATCH($F4,Nutrition!$A$2:$A$300,0))*$I4/100,0))</f>
        <v>0</v>
      </c>
      <c r="L4" s="30">
        <f>IF(OR($F4="",$I4=""),0,IFERROR(INDEX(Nutrition!$F$2:$F$300,MATCH($F4,Nutrition!$A$2:$A$300,0))*$I4/100,0))</f>
        <v>0</v>
      </c>
      <c r="M4" s="30">
        <f>IF(OR($F4="",$I4=""),0,IFERROR(INDEX(Nutrition!$G$2:$G$300,MATCH($F4,Nutrition!$A$2:$A$300,0))*$I4/100,0))</f>
        <v>0</v>
      </c>
      <c r="N4" s="30">
        <f>IF(OR($F4="",$I4=""),0,IFERROR(INDEX(Nutrition!$H$2:$H$300,MATCH($F4,Nutrition!$A$2:$A$300,0))*$I4/100,0))</f>
        <v>0</v>
      </c>
      <c r="O4" s="30">
        <f>IF(OR($F4="",$I4=""),0,IFERROR(INDEX(Nutrition!$I$2:$I$300,MATCH($F4,Nutrition!$A$2:$A$300,0))*$I4/100,0))</f>
        <v>0</v>
      </c>
      <c r="P4" s="30">
        <f>IF(OR($F4="",$I4=""),0,IFERROR(INDEX(Nutrition!$J$2:$J$300,MATCH($F4,Nutrition!$A$2:$A$300,0))*$I4/100,0))</f>
        <v>0</v>
      </c>
      <c r="Q4" s="30">
        <f>IF(OR($F4="",$I4=""),0,IFERROR(INDEX(Nutrition!$K$2:$K$300,MATCH($F4,Nutrition!$A$2:$A$300,0))*$I4/100,0))</f>
        <v>0</v>
      </c>
      <c r="R4" s="30">
        <f>IF(OR($F4="",$I4=""),0,IFERROR(INDEX(Nutrition!$L$2:$L$300,MATCH($F4,Nutrition!$A$2:$A$300,0))*$I4/100,0))</f>
        <v>0</v>
      </c>
      <c r="S4" s="30">
        <f>IF(OR($F4="",$I4=""),0,IFERROR(INDEX(Nutrition!$M$2:$M$300,MATCH($F4,Nutrition!$A$2:$A$300,0))*$I4/100,0))</f>
        <v>0</v>
      </c>
    </row>
    <row r="5" spans="1:19" ht="15" customHeight="1" x14ac:dyDescent="0.25">
      <c r="A5" s="22" t="s">
        <v>947</v>
      </c>
      <c r="B5" s="33" t="str">
        <f>IFERROR(INDEX(Recipes!$B$2:$B$500,MATCH(A5,Recipes!$A$2:$A$500,0)),"")</f>
        <v>Mango &amp; Passion Fruit Overnight Oats</v>
      </c>
      <c r="C5" s="7" t="s">
        <v>2752</v>
      </c>
      <c r="D5" s="34">
        <v>1</v>
      </c>
      <c r="E5" s="22" t="s">
        <v>2753</v>
      </c>
      <c r="F5" s="22"/>
      <c r="G5" s="22" t="s">
        <v>2749</v>
      </c>
      <c r="H5" s="7"/>
      <c r="I5" s="35"/>
      <c r="J5" s="30">
        <f>IF(OR($F5="",$I5=""),0,IFERROR(INDEX(Nutrition!$D$2:$D$300,MATCH($F5,Nutrition!$A$2:$A$300,0))*$I5/100,0))</f>
        <v>0</v>
      </c>
      <c r="K5" s="30">
        <f>IF(OR($F5="",$I5=""),0,IFERROR(INDEX(Nutrition!$E$2:$E$300,MATCH($F5,Nutrition!$A$2:$A$300,0))*$I5/100,0))</f>
        <v>0</v>
      </c>
      <c r="L5" s="30">
        <f>IF(OR($F5="",$I5=""),0,IFERROR(INDEX(Nutrition!$F$2:$F$300,MATCH($F5,Nutrition!$A$2:$A$300,0))*$I5/100,0))</f>
        <v>0</v>
      </c>
      <c r="M5" s="30">
        <f>IF(OR($F5="",$I5=""),0,IFERROR(INDEX(Nutrition!$G$2:$G$300,MATCH($F5,Nutrition!$A$2:$A$300,0))*$I5/100,0))</f>
        <v>0</v>
      </c>
      <c r="N5" s="30">
        <f>IF(OR($F5="",$I5=""),0,IFERROR(INDEX(Nutrition!$H$2:$H$300,MATCH($F5,Nutrition!$A$2:$A$300,0))*$I5/100,0))</f>
        <v>0</v>
      </c>
      <c r="O5" s="30">
        <f>IF(OR($F5="",$I5=""),0,IFERROR(INDEX(Nutrition!$I$2:$I$300,MATCH($F5,Nutrition!$A$2:$A$300,0))*$I5/100,0))</f>
        <v>0</v>
      </c>
      <c r="P5" s="30">
        <f>IF(OR($F5="",$I5=""),0,IFERROR(INDEX(Nutrition!$J$2:$J$300,MATCH($F5,Nutrition!$A$2:$A$300,0))*$I5/100,0))</f>
        <v>0</v>
      </c>
      <c r="Q5" s="30">
        <f>IF(OR($F5="",$I5=""),0,IFERROR(INDEX(Nutrition!$K$2:$K$300,MATCH($F5,Nutrition!$A$2:$A$300,0))*$I5/100,0))</f>
        <v>0</v>
      </c>
      <c r="R5" s="30">
        <f>IF(OR($F5="",$I5=""),0,IFERROR(INDEX(Nutrition!$L$2:$L$300,MATCH($F5,Nutrition!$A$2:$A$300,0))*$I5/100,0))</f>
        <v>0</v>
      </c>
      <c r="S5" s="30">
        <f>IF(OR($F5="",$I5=""),0,IFERROR(INDEX(Nutrition!$M$2:$M$300,MATCH($F5,Nutrition!$A$2:$A$300,0))*$I5/100,0))</f>
        <v>0</v>
      </c>
    </row>
    <row r="6" spans="1:19" ht="15" customHeight="1" x14ac:dyDescent="0.25">
      <c r="A6" s="22" t="s">
        <v>947</v>
      </c>
      <c r="B6" s="33" t="str">
        <f>IFERROR(INDEX(Recipes!$B$2:$B$500,MATCH(A6,Recipes!$A$2:$A$500,0)),"")</f>
        <v>Mango &amp; Passion Fruit Overnight Oats</v>
      </c>
      <c r="C6" s="7" t="s">
        <v>168</v>
      </c>
      <c r="D6" s="34">
        <v>1</v>
      </c>
      <c r="E6" s="22" t="s">
        <v>2754</v>
      </c>
      <c r="F6" s="22" t="s">
        <v>167</v>
      </c>
      <c r="G6" s="22" t="s">
        <v>2755</v>
      </c>
      <c r="H6" s="7" t="s">
        <v>2756</v>
      </c>
      <c r="I6" s="35">
        <v>336</v>
      </c>
      <c r="J6" s="30">
        <f>IF(OR($F6="",$I6=""),0,IFERROR(INDEX(Nutrition!$D$2:$D$300,MATCH($F6,Nutrition!$A$2:$A$300,0))*$I6/100,0))</f>
        <v>5.3760000000000003</v>
      </c>
      <c r="K6" s="30">
        <f>IF(OR($F6="",$I6=""),0,IFERROR(INDEX(Nutrition!$E$2:$E$300,MATCH($F6,Nutrition!$A$2:$A$300,0))*$I6/100,0))</f>
        <v>122.304</v>
      </c>
      <c r="L6" s="30">
        <f>IF(OR($F6="",$I6=""),0,IFERROR(INDEX(Nutrition!$F$2:$F$300,MATCH($F6,Nutrition!$A$2:$A$300,0))*$I6/100,0))</f>
        <v>181.44</v>
      </c>
      <c r="M6" s="30">
        <f>IF(OR($F6="",$I6=""),0,IFERROR(INDEX(Nutrition!$G$2:$G$300,MATCH($F6,Nutrition!$A$2:$A$300,0))*$I6/100,0))</f>
        <v>14.112</v>
      </c>
      <c r="N6" s="30">
        <f>IF(OR($F6="",$I6=""),0,IFERROR(INDEX(Nutrition!$H$2:$H$300,MATCH($F6,Nutrition!$A$2:$A$300,0))*$I6/100,0))</f>
        <v>144.47999999999999</v>
      </c>
      <c r="O6" s="30">
        <f>IF(OR($F6="",$I6=""),0,IFERROR(INDEX(Nutrition!$I$2:$I$300,MATCH($F6,Nutrition!$A$2:$A$300,0))*$I6/100,0))</f>
        <v>564.48</v>
      </c>
      <c r="P6" s="30">
        <f>IF(OR($F6="",$I6=""),0,IFERROR(INDEX(Nutrition!$J$2:$J$300,MATCH($F6,Nutrition!$A$2:$A$300,0))*$I6/100,0))</f>
        <v>3.0240000000000005</v>
      </c>
      <c r="Q6" s="30">
        <f>IF(OR($F6="",$I6=""),0,IFERROR(INDEX(Nutrition!$K$2:$K$300,MATCH($F6,Nutrition!$A$2:$A$300,0))*$I6/100,0))</f>
        <v>0.39983999999999997</v>
      </c>
      <c r="R6" s="30">
        <f>IF(OR($F6="",$I6=""),0,IFERROR(INDEX(Nutrition!$L$2:$L$300,MATCH($F6,Nutrition!$A$2:$A$300,0))*$I6/100,0))</f>
        <v>33.6</v>
      </c>
      <c r="S6" s="30">
        <f>IF(OR($F6="",$I6=""),0,IFERROR(INDEX(Nutrition!$M$2:$M$300,MATCH($F6,Nutrition!$A$2:$A$300,0))*$I6/100,0))</f>
        <v>0.53759999999999997</v>
      </c>
    </row>
    <row r="7" spans="1:19" ht="15" customHeight="1" x14ac:dyDescent="0.25">
      <c r="A7" s="22" t="s">
        <v>947</v>
      </c>
      <c r="B7" s="33" t="str">
        <f>IFERROR(INDEX(Recipes!$B$2:$B$500,MATCH(A7,Recipes!$A$2:$A$500,0)),"")</f>
        <v>Mango &amp; Passion Fruit Overnight Oats</v>
      </c>
      <c r="C7" s="7" t="s">
        <v>252</v>
      </c>
      <c r="D7" s="34">
        <v>2</v>
      </c>
      <c r="E7" s="22" t="s">
        <v>2754</v>
      </c>
      <c r="F7" s="22" t="s">
        <v>251</v>
      </c>
      <c r="G7" s="22" t="s">
        <v>2755</v>
      </c>
      <c r="H7" s="7" t="s">
        <v>2757</v>
      </c>
      <c r="I7" s="35">
        <v>36</v>
      </c>
      <c r="J7" s="30">
        <f>IF(OR($F7="",$I7=""),0,IFERROR(INDEX(Nutrition!$D$2:$D$300,MATCH($F7,Nutrition!$A$2:$A$300,0))*$I7/100,0))</f>
        <v>3.7440000000000002</v>
      </c>
      <c r="K7" s="30">
        <f>IF(OR($F7="",$I7=""),0,IFERROR(INDEX(Nutrition!$E$2:$E$300,MATCH($F7,Nutrition!$A$2:$A$300,0))*$I7/100,0))</f>
        <v>10.8</v>
      </c>
      <c r="L7" s="30">
        <f>IF(OR($F7="",$I7=""),0,IFERROR(INDEX(Nutrition!$F$2:$F$300,MATCH($F7,Nutrition!$A$2:$A$300,0))*$I7/100,0))</f>
        <v>23.04</v>
      </c>
      <c r="M7" s="30">
        <f>IF(OR($F7="",$I7=""),0,IFERROR(INDEX(Nutrition!$G$2:$G$300,MATCH($F7,Nutrition!$A$2:$A$300,0))*$I7/100,0))</f>
        <v>0.252</v>
      </c>
      <c r="N7" s="30">
        <f>IF(OR($F7="",$I7=""),0,IFERROR(INDEX(Nutrition!$H$2:$H$300,MATCH($F7,Nutrition!$A$2:$A$300,0))*$I7/100,0))</f>
        <v>5.04</v>
      </c>
      <c r="O7" s="30">
        <f>IF(OR($F7="",$I7=""),0,IFERROR(INDEX(Nutrition!$I$2:$I$300,MATCH($F7,Nutrition!$A$2:$A$300,0))*$I7/100,0))</f>
        <v>125.28</v>
      </c>
      <c r="P7" s="30">
        <f>IF(OR($F7="",$I7=""),0,IFERROR(INDEX(Nutrition!$J$2:$J$300,MATCH($F7,Nutrition!$A$2:$A$300,0))*$I7/100,0))</f>
        <v>7.1999999999999998E-3</v>
      </c>
      <c r="Q7" s="30">
        <f>IF(OR($F7="",$I7=""),0,IFERROR(INDEX(Nutrition!$K$2:$K$300,MATCH($F7,Nutrition!$A$2:$A$300,0))*$I7/100,0))</f>
        <v>3.6000000000000004E-2</v>
      </c>
      <c r="R7" s="30">
        <f>IF(OR($F7="",$I7=""),0,IFERROR(INDEX(Nutrition!$L$2:$L$300,MATCH($F7,Nutrition!$A$2:$A$300,0))*$I7/100,0))</f>
        <v>10.44</v>
      </c>
      <c r="S7" s="30">
        <f>IF(OR($F7="",$I7=""),0,IFERROR(INDEX(Nutrition!$M$2:$M$300,MATCH($F7,Nutrition!$A$2:$A$300,0))*$I7/100,0))</f>
        <v>0.57600000000000007</v>
      </c>
    </row>
    <row r="8" spans="1:19" ht="15" customHeight="1" x14ac:dyDescent="0.25">
      <c r="A8" s="22" t="s">
        <v>947</v>
      </c>
      <c r="B8" s="33" t="str">
        <f>IFERROR(INDEX(Recipes!$B$2:$B$500,MATCH(A8,Recipes!$A$2:$A$500,0)),"")</f>
        <v>Mango &amp; Passion Fruit Overnight Oats</v>
      </c>
      <c r="C8" s="7" t="s">
        <v>2758</v>
      </c>
      <c r="D8" s="34">
        <v>1</v>
      </c>
      <c r="E8" s="22" t="s">
        <v>2759</v>
      </c>
      <c r="F8" s="22"/>
      <c r="G8" s="22" t="s">
        <v>2749</v>
      </c>
      <c r="H8" s="7" t="s">
        <v>2760</v>
      </c>
      <c r="I8" s="35"/>
      <c r="J8" s="30">
        <f>IF(OR($F8="",$I8=""),0,IFERROR(INDEX(Nutrition!$D$2:$D$300,MATCH($F8,Nutrition!$A$2:$A$300,0))*$I8/100,0))</f>
        <v>0</v>
      </c>
      <c r="K8" s="30">
        <f>IF(OR($F8="",$I8=""),0,IFERROR(INDEX(Nutrition!$E$2:$E$300,MATCH($F8,Nutrition!$A$2:$A$300,0))*$I8/100,0))</f>
        <v>0</v>
      </c>
      <c r="L8" s="30">
        <f>IF(OR($F8="",$I8=""),0,IFERROR(INDEX(Nutrition!$F$2:$F$300,MATCH($F8,Nutrition!$A$2:$A$300,0))*$I8/100,0))</f>
        <v>0</v>
      </c>
      <c r="M8" s="30">
        <f>IF(OR($F8="",$I8=""),0,IFERROR(INDEX(Nutrition!$G$2:$G$300,MATCH($F8,Nutrition!$A$2:$A$300,0))*$I8/100,0))</f>
        <v>0</v>
      </c>
      <c r="N8" s="30">
        <f>IF(OR($F8="",$I8=""),0,IFERROR(INDEX(Nutrition!$H$2:$H$300,MATCH($F8,Nutrition!$A$2:$A$300,0))*$I8/100,0))</f>
        <v>0</v>
      </c>
      <c r="O8" s="30">
        <f>IF(OR($F8="",$I8=""),0,IFERROR(INDEX(Nutrition!$I$2:$I$300,MATCH($F8,Nutrition!$A$2:$A$300,0))*$I8/100,0))</f>
        <v>0</v>
      </c>
      <c r="P8" s="30">
        <f>IF(OR($F8="",$I8=""),0,IFERROR(INDEX(Nutrition!$J$2:$J$300,MATCH($F8,Nutrition!$A$2:$A$300,0))*$I8/100,0))</f>
        <v>0</v>
      </c>
      <c r="Q8" s="30">
        <f>IF(OR($F8="",$I8=""),0,IFERROR(INDEX(Nutrition!$K$2:$K$300,MATCH($F8,Nutrition!$A$2:$A$300,0))*$I8/100,0))</f>
        <v>0</v>
      </c>
      <c r="R8" s="30">
        <f>IF(OR($F8="",$I8=""),0,IFERROR(INDEX(Nutrition!$L$2:$L$300,MATCH($F8,Nutrition!$A$2:$A$300,0))*$I8/100,0))</f>
        <v>0</v>
      </c>
      <c r="S8" s="30">
        <f>IF(OR($F8="",$I8=""),0,IFERROR(INDEX(Nutrition!$M$2:$M$300,MATCH($F8,Nutrition!$A$2:$A$300,0))*$I8/100,0))</f>
        <v>0</v>
      </c>
    </row>
    <row r="9" spans="1:19" ht="15" customHeight="1" x14ac:dyDescent="0.25">
      <c r="A9" s="22" t="s">
        <v>965</v>
      </c>
      <c r="B9" s="33" t="str">
        <f>IFERROR(INDEX(Recipes!$B$2:$B$500,MATCH(A9,Recipes!$A$2:$A$500,0)),"")</f>
        <v>Pawpaw Boats with Yoghurt &amp; Groundnut Crunch</v>
      </c>
      <c r="C9" s="7" t="s">
        <v>160</v>
      </c>
      <c r="D9" s="34">
        <v>1</v>
      </c>
      <c r="E9" s="22" t="s">
        <v>2754</v>
      </c>
      <c r="F9" s="22" t="s">
        <v>159</v>
      </c>
      <c r="G9" s="22" t="s">
        <v>2755</v>
      </c>
      <c r="H9" s="7" t="s">
        <v>2761</v>
      </c>
      <c r="I9" s="35">
        <v>275</v>
      </c>
      <c r="J9" s="30">
        <f>IF(OR($F9="",$I9=""),0,IFERROR(INDEX(Nutrition!$D$2:$D$300,MATCH($F9,Nutrition!$A$2:$A$300,0))*$I9/100,0))</f>
        <v>4.6749999999999998</v>
      </c>
      <c r="K9" s="30">
        <f>IF(OR($F9="",$I9=""),0,IFERROR(INDEX(Nutrition!$E$2:$E$300,MATCH($F9,Nutrition!$A$2:$A$300,0))*$I9/100,0))</f>
        <v>167.47499999999999</v>
      </c>
      <c r="L9" s="30">
        <f>IF(OR($F9="",$I9=""),0,IFERROR(INDEX(Nutrition!$F$2:$F$300,MATCH($F9,Nutrition!$A$2:$A$300,0))*$I9/100,0))</f>
        <v>129.25</v>
      </c>
      <c r="M9" s="30">
        <f>IF(OR($F9="",$I9=""),0,IFERROR(INDEX(Nutrition!$G$2:$G$300,MATCH($F9,Nutrition!$A$2:$A$300,0))*$I9/100,0))</f>
        <v>7.15</v>
      </c>
      <c r="N9" s="30">
        <f>IF(OR($F9="",$I9=""),0,IFERROR(INDEX(Nutrition!$H$2:$H$300,MATCH($F9,Nutrition!$A$2:$A$300,0))*$I9/100,0))</f>
        <v>101.75</v>
      </c>
      <c r="O9" s="30">
        <f>IF(OR($F9="",$I9=""),0,IFERROR(INDEX(Nutrition!$I$2:$I$300,MATCH($F9,Nutrition!$A$2:$A$300,0))*$I9/100,0))</f>
        <v>500.5</v>
      </c>
      <c r="P9" s="30">
        <f>IF(OR($F9="",$I9=""),0,IFERROR(INDEX(Nutrition!$J$2:$J$300,MATCH($F9,Nutrition!$A$2:$A$300,0))*$I9/100,0))</f>
        <v>0.82499999999999996</v>
      </c>
      <c r="Q9" s="30">
        <f>IF(OR($F9="",$I9=""),0,IFERROR(INDEX(Nutrition!$K$2:$K$300,MATCH($F9,Nutrition!$A$2:$A$300,0))*$I9/100,0))</f>
        <v>0.1045</v>
      </c>
      <c r="R9" s="30">
        <f>IF(OR($F9="",$I9=""),0,IFERROR(INDEX(Nutrition!$L$2:$L$300,MATCH($F9,Nutrition!$A$2:$A$300,0))*$I9/100,0))</f>
        <v>57.75</v>
      </c>
      <c r="S9" s="30">
        <f>IF(OR($F9="",$I9=""),0,IFERROR(INDEX(Nutrition!$M$2:$M$300,MATCH($F9,Nutrition!$A$2:$A$300,0))*$I9/100,0))</f>
        <v>0.6875</v>
      </c>
    </row>
    <row r="10" spans="1:19" ht="15" customHeight="1" x14ac:dyDescent="0.25">
      <c r="A10" s="22" t="s">
        <v>965</v>
      </c>
      <c r="B10" s="33" t="str">
        <f>IFERROR(INDEX(Recipes!$B$2:$B$500,MATCH(A10,Recipes!$A$2:$A$500,0)),"")</f>
        <v>Pawpaw Boats with Yoghurt &amp; Groundnut Crunch</v>
      </c>
      <c r="C10" s="7" t="s">
        <v>2762</v>
      </c>
      <c r="D10" s="34">
        <v>1</v>
      </c>
      <c r="E10" s="22" t="s">
        <v>2748</v>
      </c>
      <c r="F10" s="22"/>
      <c r="G10" s="22" t="s">
        <v>2749</v>
      </c>
      <c r="H10" s="7"/>
      <c r="I10" s="35"/>
      <c r="J10" s="30">
        <f>IF(OR($F10="",$I10=""),0,IFERROR(INDEX(Nutrition!$D$2:$D$300,MATCH($F10,Nutrition!$A$2:$A$300,0))*$I10/100,0))</f>
        <v>0</v>
      </c>
      <c r="K10" s="30">
        <f>IF(OR($F10="",$I10=""),0,IFERROR(INDEX(Nutrition!$E$2:$E$300,MATCH($F10,Nutrition!$A$2:$A$300,0))*$I10/100,0))</f>
        <v>0</v>
      </c>
      <c r="L10" s="30">
        <f>IF(OR($F10="",$I10=""),0,IFERROR(INDEX(Nutrition!$F$2:$F$300,MATCH($F10,Nutrition!$A$2:$A$300,0))*$I10/100,0))</f>
        <v>0</v>
      </c>
      <c r="M10" s="30">
        <f>IF(OR($F10="",$I10=""),0,IFERROR(INDEX(Nutrition!$G$2:$G$300,MATCH($F10,Nutrition!$A$2:$A$300,0))*$I10/100,0))</f>
        <v>0</v>
      </c>
      <c r="N10" s="30">
        <f>IF(OR($F10="",$I10=""),0,IFERROR(INDEX(Nutrition!$H$2:$H$300,MATCH($F10,Nutrition!$A$2:$A$300,0))*$I10/100,0))</f>
        <v>0</v>
      </c>
      <c r="O10" s="30">
        <f>IF(OR($F10="",$I10=""),0,IFERROR(INDEX(Nutrition!$I$2:$I$300,MATCH($F10,Nutrition!$A$2:$A$300,0))*$I10/100,0))</f>
        <v>0</v>
      </c>
      <c r="P10" s="30">
        <f>IF(OR($F10="",$I10=""),0,IFERROR(INDEX(Nutrition!$J$2:$J$300,MATCH($F10,Nutrition!$A$2:$A$300,0))*$I10/100,0))</f>
        <v>0</v>
      </c>
      <c r="Q10" s="30">
        <f>IF(OR($F10="",$I10=""),0,IFERROR(INDEX(Nutrition!$K$2:$K$300,MATCH($F10,Nutrition!$A$2:$A$300,0))*$I10/100,0))</f>
        <v>0</v>
      </c>
      <c r="R10" s="30">
        <f>IF(OR($F10="",$I10=""),0,IFERROR(INDEX(Nutrition!$L$2:$L$300,MATCH($F10,Nutrition!$A$2:$A$300,0))*$I10/100,0))</f>
        <v>0</v>
      </c>
      <c r="S10" s="30">
        <f>IF(OR($F10="",$I10=""),0,IFERROR(INDEX(Nutrition!$M$2:$M$300,MATCH($F10,Nutrition!$A$2:$A$300,0))*$I10/100,0))</f>
        <v>0</v>
      </c>
    </row>
    <row r="11" spans="1:19" ht="15" customHeight="1" x14ac:dyDescent="0.25">
      <c r="A11" s="22" t="s">
        <v>965</v>
      </c>
      <c r="B11" s="33" t="str">
        <f>IFERROR(INDEX(Recipes!$B$2:$B$500,MATCH(A11,Recipes!$A$2:$A$500,0)),"")</f>
        <v>Pawpaw Boats with Yoghurt &amp; Groundnut Crunch</v>
      </c>
      <c r="C11" s="7" t="s">
        <v>2763</v>
      </c>
      <c r="D11" s="34">
        <v>0.5</v>
      </c>
      <c r="E11" s="22" t="s">
        <v>2748</v>
      </c>
      <c r="F11" s="22"/>
      <c r="G11" s="22" t="s">
        <v>2749</v>
      </c>
      <c r="H11" s="7"/>
      <c r="I11" s="35"/>
      <c r="J11" s="30">
        <f>IF(OR($F11="",$I11=""),0,IFERROR(INDEX(Nutrition!$D$2:$D$300,MATCH($F11,Nutrition!$A$2:$A$300,0))*$I11/100,0))</f>
        <v>0</v>
      </c>
      <c r="K11" s="30">
        <f>IF(OR($F11="",$I11=""),0,IFERROR(INDEX(Nutrition!$E$2:$E$300,MATCH($F11,Nutrition!$A$2:$A$300,0))*$I11/100,0))</f>
        <v>0</v>
      </c>
      <c r="L11" s="30">
        <f>IF(OR($F11="",$I11=""),0,IFERROR(INDEX(Nutrition!$F$2:$F$300,MATCH($F11,Nutrition!$A$2:$A$300,0))*$I11/100,0))</f>
        <v>0</v>
      </c>
      <c r="M11" s="30">
        <f>IF(OR($F11="",$I11=""),0,IFERROR(INDEX(Nutrition!$G$2:$G$300,MATCH($F11,Nutrition!$A$2:$A$300,0))*$I11/100,0))</f>
        <v>0</v>
      </c>
      <c r="N11" s="30">
        <f>IF(OR($F11="",$I11=""),0,IFERROR(INDEX(Nutrition!$H$2:$H$300,MATCH($F11,Nutrition!$A$2:$A$300,0))*$I11/100,0))</f>
        <v>0</v>
      </c>
      <c r="O11" s="30">
        <f>IF(OR($F11="",$I11=""),0,IFERROR(INDEX(Nutrition!$I$2:$I$300,MATCH($F11,Nutrition!$A$2:$A$300,0))*$I11/100,0))</f>
        <v>0</v>
      </c>
      <c r="P11" s="30">
        <f>IF(OR($F11="",$I11=""),0,IFERROR(INDEX(Nutrition!$J$2:$J$300,MATCH($F11,Nutrition!$A$2:$A$300,0))*$I11/100,0))</f>
        <v>0</v>
      </c>
      <c r="Q11" s="30">
        <f>IF(OR($F11="",$I11=""),0,IFERROR(INDEX(Nutrition!$K$2:$K$300,MATCH($F11,Nutrition!$A$2:$A$300,0))*$I11/100,0))</f>
        <v>0</v>
      </c>
      <c r="R11" s="30">
        <f>IF(OR($F11="",$I11=""),0,IFERROR(INDEX(Nutrition!$L$2:$L$300,MATCH($F11,Nutrition!$A$2:$A$300,0))*$I11/100,0))</f>
        <v>0</v>
      </c>
      <c r="S11" s="30">
        <f>IF(OR($F11="",$I11=""),0,IFERROR(INDEX(Nutrition!$M$2:$M$300,MATCH($F11,Nutrition!$A$2:$A$300,0))*$I11/100,0))</f>
        <v>0</v>
      </c>
    </row>
    <row r="12" spans="1:19" ht="15" customHeight="1" x14ac:dyDescent="0.25">
      <c r="A12" s="22" t="s">
        <v>965</v>
      </c>
      <c r="B12" s="33" t="str">
        <f>IFERROR(INDEX(Recipes!$B$2:$B$500,MATCH(A12,Recipes!$A$2:$A$500,0)),"")</f>
        <v>Pawpaw Boats with Yoghurt &amp; Groundnut Crunch</v>
      </c>
      <c r="C12" s="7" t="s">
        <v>139</v>
      </c>
      <c r="D12" s="34">
        <v>0.5</v>
      </c>
      <c r="E12" s="22" t="s">
        <v>2748</v>
      </c>
      <c r="F12" s="22" t="s">
        <v>138</v>
      </c>
      <c r="G12" s="22" t="s">
        <v>2755</v>
      </c>
      <c r="H12" s="7" t="s">
        <v>2756</v>
      </c>
      <c r="I12" s="35">
        <v>82</v>
      </c>
      <c r="J12" s="30">
        <f>IF(OR($F12="",$I12=""),0,IFERROR(INDEX(Nutrition!$D$2:$D$300,MATCH($F12,Nutrition!$A$2:$A$300,0))*$I12/100,0))</f>
        <v>1.1479999999999999</v>
      </c>
      <c r="K12" s="30">
        <f>IF(OR($F12="",$I12=""),0,IFERROR(INDEX(Nutrition!$E$2:$E$300,MATCH($F12,Nutrition!$A$2:$A$300,0))*$I12/100,0))</f>
        <v>39.195999999999998</v>
      </c>
      <c r="L12" s="30">
        <f>IF(OR($F12="",$I12=""),0,IFERROR(INDEX(Nutrition!$F$2:$F$300,MATCH($F12,Nutrition!$A$2:$A$300,0))*$I12/100,0))</f>
        <v>2.46</v>
      </c>
      <c r="M12" s="30">
        <f>IF(OR($F12="",$I12=""),0,IFERROR(INDEX(Nutrition!$G$2:$G$300,MATCH($F12,Nutrition!$A$2:$A$300,0))*$I12/100,0))</f>
        <v>0.57399999999999995</v>
      </c>
      <c r="N12" s="30">
        <f>IF(OR($F12="",$I12=""),0,IFERROR(INDEX(Nutrition!$H$2:$H$300,MATCH($F12,Nutrition!$A$2:$A$300,0))*$I12/100,0))</f>
        <v>14.76</v>
      </c>
      <c r="O12" s="30">
        <f>IF(OR($F12="",$I12=""),0,IFERROR(INDEX(Nutrition!$I$2:$I$300,MATCH($F12,Nutrition!$A$2:$A$300,0))*$I12/100,0))</f>
        <v>89.38</v>
      </c>
      <c r="P12" s="30">
        <f>IF(OR($F12="",$I12=""),0,IFERROR(INDEX(Nutrition!$J$2:$J$300,MATCH($F12,Nutrition!$A$2:$A$300,0))*$I12/100,0))</f>
        <v>1.6400000000000001E-2</v>
      </c>
      <c r="Q12" s="30">
        <f>IF(OR($F12="",$I12=""),0,IFERROR(INDEX(Nutrition!$K$2:$K$300,MATCH($F12,Nutrition!$A$2:$A$300,0))*$I12/100,0))</f>
        <v>9.1840000000000005E-2</v>
      </c>
      <c r="R12" s="30">
        <f>IF(OR($F12="",$I12=""),0,IFERROR(INDEX(Nutrition!$L$2:$L$300,MATCH($F12,Nutrition!$A$2:$A$300,0))*$I12/100,0))</f>
        <v>9.84</v>
      </c>
      <c r="S12" s="30">
        <f>IF(OR($F12="",$I12=""),0,IFERROR(INDEX(Nutrition!$M$2:$M$300,MATCH($F12,Nutrition!$A$2:$A$300,0))*$I12/100,0))</f>
        <v>0.23779999999999998</v>
      </c>
    </row>
    <row r="13" spans="1:19" ht="15" customHeight="1" x14ac:dyDescent="0.25">
      <c r="A13" s="22" t="s">
        <v>965</v>
      </c>
      <c r="B13" s="33" t="str">
        <f>IFERROR(INDEX(Recipes!$B$2:$B$500,MATCH(A13,Recipes!$A$2:$A$500,0)),"")</f>
        <v>Pawpaw Boats with Yoghurt &amp; Groundnut Crunch</v>
      </c>
      <c r="C13" s="7" t="s">
        <v>213</v>
      </c>
      <c r="D13" s="34">
        <v>1</v>
      </c>
      <c r="E13" s="22" t="s">
        <v>2754</v>
      </c>
      <c r="F13" s="22" t="s">
        <v>212</v>
      </c>
      <c r="G13" s="22" t="s">
        <v>2755</v>
      </c>
      <c r="H13" s="7" t="s">
        <v>2764</v>
      </c>
      <c r="I13" s="35">
        <v>67</v>
      </c>
      <c r="J13" s="30">
        <f>IF(OR($F13="",$I13=""),0,IFERROR(INDEX(Nutrition!$D$2:$D$300,MATCH($F13,Nutrition!$A$2:$A$300,0))*$I13/100,0))</f>
        <v>1.8759999999999999</v>
      </c>
      <c r="K13" s="30">
        <f>IF(OR($F13="",$I13=""),0,IFERROR(INDEX(Nutrition!$E$2:$E$300,MATCH($F13,Nutrition!$A$2:$A$300,0))*$I13/100,0))</f>
        <v>19.497</v>
      </c>
      <c r="L13" s="30">
        <f>IF(OR($F13="",$I13=""),0,IFERROR(INDEX(Nutrition!$F$2:$F$300,MATCH($F13,Nutrition!$A$2:$A$300,0))*$I13/100,0))</f>
        <v>1.34</v>
      </c>
      <c r="M13" s="30">
        <f>IF(OR($F13="",$I13=""),0,IFERROR(INDEX(Nutrition!$G$2:$G$300,MATCH($F13,Nutrition!$A$2:$A$300,0))*$I13/100,0))</f>
        <v>0.40199999999999997</v>
      </c>
      <c r="N13" s="30">
        <f>IF(OR($F13="",$I13=""),0,IFERROR(INDEX(Nutrition!$H$2:$H$300,MATCH($F13,Nutrition!$A$2:$A$300,0))*$I13/100,0))</f>
        <v>5.36</v>
      </c>
      <c r="O13" s="30">
        <f>IF(OR($F13="",$I13=""),0,IFERROR(INDEX(Nutrition!$I$2:$I$300,MATCH($F13,Nutrition!$A$2:$A$300,0))*$I13/100,0))</f>
        <v>68.34</v>
      </c>
      <c r="P13" s="30">
        <f>IF(OR($F13="",$I13=""),0,IFERROR(INDEX(Nutrition!$J$2:$J$300,MATCH($F13,Nutrition!$A$2:$A$300,0))*$I13/100,0))</f>
        <v>0.1474</v>
      </c>
      <c r="Q13" s="30">
        <f>IF(OR($F13="",$I13=""),0,IFERROR(INDEX(Nutrition!$K$2:$K$300,MATCH($F13,Nutrition!$A$2:$A$300,0))*$I13/100,0))</f>
        <v>2.8809999999999999E-2</v>
      </c>
      <c r="R13" s="30">
        <f>IF(OR($F13="",$I13=""),0,IFERROR(INDEX(Nutrition!$L$2:$L$300,MATCH($F13,Nutrition!$A$2:$A$300,0))*$I13/100,0))</f>
        <v>4.0199999999999996</v>
      </c>
      <c r="S13" s="30">
        <f>IF(OR($F13="",$I13=""),0,IFERROR(INDEX(Nutrition!$M$2:$M$300,MATCH($F13,Nutrition!$A$2:$A$300,0))*$I13/100,0))</f>
        <v>0.40199999999999997</v>
      </c>
    </row>
    <row r="14" spans="1:19" ht="15" customHeight="1" x14ac:dyDescent="0.25">
      <c r="A14" s="22" t="s">
        <v>965</v>
      </c>
      <c r="B14" s="33" t="str">
        <f>IFERROR(INDEX(Recipes!$B$2:$B$500,MATCH(A14,Recipes!$A$2:$A$500,0)),"")</f>
        <v>Pawpaw Boats with Yoghurt &amp; Groundnut Crunch</v>
      </c>
      <c r="C14" s="7" t="s">
        <v>428</v>
      </c>
      <c r="D14" s="34">
        <v>1</v>
      </c>
      <c r="E14" s="22" t="s">
        <v>2753</v>
      </c>
      <c r="F14" s="22" t="s">
        <v>427</v>
      </c>
      <c r="G14" s="22" t="s">
        <v>2755</v>
      </c>
      <c r="H14" s="7" t="s">
        <v>2765</v>
      </c>
      <c r="I14" s="35">
        <v>15</v>
      </c>
      <c r="J14" s="30">
        <f>IF(OR($F14="",$I14=""),0,IFERROR(INDEX(Nutrition!$D$2:$D$300,MATCH($F14,Nutrition!$A$2:$A$300,0))*$I14/100,0))</f>
        <v>1.2749999999999999</v>
      </c>
      <c r="K14" s="30">
        <f>IF(OR($F14="",$I14=""),0,IFERROR(INDEX(Nutrition!$E$2:$E$300,MATCH($F14,Nutrition!$A$2:$A$300,0))*$I14/100,0))</f>
        <v>0</v>
      </c>
      <c r="L14" s="30">
        <f>IF(OR($F14="",$I14=""),0,IFERROR(INDEX(Nutrition!$F$2:$F$300,MATCH($F14,Nutrition!$A$2:$A$300,0))*$I14/100,0))</f>
        <v>0</v>
      </c>
      <c r="M14" s="30">
        <f>IF(OR($F14="",$I14=""),0,IFERROR(INDEX(Nutrition!$G$2:$G$300,MATCH($F14,Nutrition!$A$2:$A$300,0))*$I14/100,0))</f>
        <v>0</v>
      </c>
      <c r="N14" s="30">
        <f>IF(OR($F14="",$I14=""),0,IFERROR(INDEX(Nutrition!$H$2:$H$300,MATCH($F14,Nutrition!$A$2:$A$300,0))*$I14/100,0))</f>
        <v>36</v>
      </c>
      <c r="O14" s="30">
        <f>IF(OR($F14="",$I14=""),0,IFERROR(INDEX(Nutrition!$I$2:$I$300,MATCH($F14,Nutrition!$A$2:$A$300,0))*$I14/100,0))</f>
        <v>105.75</v>
      </c>
      <c r="P14" s="30">
        <f>IF(OR($F14="",$I14=""),0,IFERROR(INDEX(Nutrition!$J$2:$J$300,MATCH($F14,Nutrition!$A$2:$A$300,0))*$I14/100,0))</f>
        <v>1.2495000000000001</v>
      </c>
      <c r="Q14" s="30">
        <f>IF(OR($F14="",$I14=""),0,IFERROR(INDEX(Nutrition!$K$2:$K$300,MATCH($F14,Nutrition!$A$2:$A$300,0))*$I14/100,0))</f>
        <v>5.2199999999999996E-2</v>
      </c>
      <c r="R14" s="30">
        <f>IF(OR($F14="",$I14=""),0,IFERROR(INDEX(Nutrition!$L$2:$L$300,MATCH($F14,Nutrition!$A$2:$A$300,0))*$I14/100,0))</f>
        <v>25.2</v>
      </c>
      <c r="S14" s="30">
        <f>IF(OR($F14="",$I14=""),0,IFERROR(INDEX(Nutrition!$M$2:$M$300,MATCH($F14,Nutrition!$A$2:$A$300,0))*$I14/100,0))</f>
        <v>0.68700000000000006</v>
      </c>
    </row>
    <row r="15" spans="1:19" ht="15" customHeight="1" x14ac:dyDescent="0.25">
      <c r="A15" s="22" t="s">
        <v>965</v>
      </c>
      <c r="B15" s="33" t="str">
        <f>IFERROR(INDEX(Recipes!$B$2:$B$500,MATCH(A15,Recipes!$A$2:$A$500,0)),"")</f>
        <v>Pawpaw Boats with Yoghurt &amp; Groundnut Crunch</v>
      </c>
      <c r="C15" s="7" t="s">
        <v>2758</v>
      </c>
      <c r="D15" s="34">
        <v>1</v>
      </c>
      <c r="E15" s="22" t="s">
        <v>2753</v>
      </c>
      <c r="F15" s="22"/>
      <c r="G15" s="22" t="s">
        <v>2749</v>
      </c>
      <c r="H15" s="7"/>
      <c r="I15" s="35"/>
      <c r="J15" s="30">
        <f>IF(OR($F15="",$I15=""),0,IFERROR(INDEX(Nutrition!$D$2:$D$300,MATCH($F15,Nutrition!$A$2:$A$300,0))*$I15/100,0))</f>
        <v>0</v>
      </c>
      <c r="K15" s="30">
        <f>IF(OR($F15="",$I15=""),0,IFERROR(INDEX(Nutrition!$E$2:$E$300,MATCH($F15,Nutrition!$A$2:$A$300,0))*$I15/100,0))</f>
        <v>0</v>
      </c>
      <c r="L15" s="30">
        <f>IF(OR($F15="",$I15=""),0,IFERROR(INDEX(Nutrition!$F$2:$F$300,MATCH($F15,Nutrition!$A$2:$A$300,0))*$I15/100,0))</f>
        <v>0</v>
      </c>
      <c r="M15" s="30">
        <f>IF(OR($F15="",$I15=""),0,IFERROR(INDEX(Nutrition!$G$2:$G$300,MATCH($F15,Nutrition!$A$2:$A$300,0))*$I15/100,0))</f>
        <v>0</v>
      </c>
      <c r="N15" s="30">
        <f>IF(OR($F15="",$I15=""),0,IFERROR(INDEX(Nutrition!$H$2:$H$300,MATCH($F15,Nutrition!$A$2:$A$300,0))*$I15/100,0))</f>
        <v>0</v>
      </c>
      <c r="O15" s="30">
        <f>IF(OR($F15="",$I15=""),0,IFERROR(INDEX(Nutrition!$I$2:$I$300,MATCH($F15,Nutrition!$A$2:$A$300,0))*$I15/100,0))</f>
        <v>0</v>
      </c>
      <c r="P15" s="30">
        <f>IF(OR($F15="",$I15=""),0,IFERROR(INDEX(Nutrition!$J$2:$J$300,MATCH($F15,Nutrition!$A$2:$A$300,0))*$I15/100,0))</f>
        <v>0</v>
      </c>
      <c r="Q15" s="30">
        <f>IF(OR($F15="",$I15=""),0,IFERROR(INDEX(Nutrition!$K$2:$K$300,MATCH($F15,Nutrition!$A$2:$A$300,0))*$I15/100,0))</f>
        <v>0</v>
      </c>
      <c r="R15" s="30">
        <f>IF(OR($F15="",$I15=""),0,IFERROR(INDEX(Nutrition!$L$2:$L$300,MATCH($F15,Nutrition!$A$2:$A$300,0))*$I15/100,0))</f>
        <v>0</v>
      </c>
      <c r="S15" s="30">
        <f>IF(OR($F15="",$I15=""),0,IFERROR(INDEX(Nutrition!$M$2:$M$300,MATCH($F15,Nutrition!$A$2:$A$300,0))*$I15/100,0))</f>
        <v>0</v>
      </c>
    </row>
    <row r="16" spans="1:19" ht="15" customHeight="1" x14ac:dyDescent="0.25">
      <c r="A16" s="22" t="s">
        <v>978</v>
      </c>
      <c r="B16" s="33" t="str">
        <f>IFERROR(INDEX(Recipes!$B$2:$B$500,MATCH(A16,Recipes!$A$2:$A$500,0)),"")</f>
        <v>Banana Oat Pancakes with Pineapple Compote</v>
      </c>
      <c r="C16" s="7" t="s">
        <v>110</v>
      </c>
      <c r="D16" s="34">
        <v>2</v>
      </c>
      <c r="E16" s="22" t="s">
        <v>2754</v>
      </c>
      <c r="F16" s="22" t="s">
        <v>109</v>
      </c>
      <c r="G16" s="22" t="s">
        <v>2755</v>
      </c>
      <c r="H16" s="7" t="s">
        <v>2766</v>
      </c>
      <c r="I16" s="35">
        <v>236</v>
      </c>
      <c r="J16" s="30">
        <f>IF(OR($F16="",$I16=""),0,IFERROR(INDEX(Nutrition!$D$2:$D$300,MATCH($F16,Nutrition!$A$2:$A$300,0))*$I16/100,0))</f>
        <v>6.1360000000000001</v>
      </c>
      <c r="K16" s="30">
        <f>IF(OR($F16="",$I16=""),0,IFERROR(INDEX(Nutrition!$E$2:$E$300,MATCH($F16,Nutrition!$A$2:$A$300,0))*$I16/100,0))</f>
        <v>20.531999999999996</v>
      </c>
      <c r="L16" s="30">
        <f>IF(OR($F16="",$I16=""),0,IFERROR(INDEX(Nutrition!$F$2:$F$300,MATCH($F16,Nutrition!$A$2:$A$300,0))*$I16/100,0))</f>
        <v>7.08</v>
      </c>
      <c r="M16" s="30">
        <f>IF(OR($F16="",$I16=""),0,IFERROR(INDEX(Nutrition!$G$2:$G$300,MATCH($F16,Nutrition!$A$2:$A$300,0))*$I16/100,0))</f>
        <v>1.18</v>
      </c>
      <c r="N16" s="30">
        <f>IF(OR($F16="",$I16=""),0,IFERROR(INDEX(Nutrition!$H$2:$H$300,MATCH($F16,Nutrition!$A$2:$A$300,0))*$I16/100,0))</f>
        <v>47.2</v>
      </c>
      <c r="O16" s="30">
        <f>IF(OR($F16="",$I16=""),0,IFERROR(INDEX(Nutrition!$I$2:$I$300,MATCH($F16,Nutrition!$A$2:$A$300,0))*$I16/100,0))</f>
        <v>844.88</v>
      </c>
      <c r="P16" s="30">
        <f>IF(OR($F16="",$I16=""),0,IFERROR(INDEX(Nutrition!$J$2:$J$300,MATCH($F16,Nutrition!$A$2:$A$300,0))*$I16/100,0))</f>
        <v>0.23600000000000002</v>
      </c>
      <c r="Q16" s="30">
        <f>IF(OR($F16="",$I16=""),0,IFERROR(INDEX(Nutrition!$K$2:$K$300,MATCH($F16,Nutrition!$A$2:$A$300,0))*$I16/100,0))</f>
        <v>0.86612</v>
      </c>
      <c r="R16" s="30">
        <f>IF(OR($F16="",$I16=""),0,IFERROR(INDEX(Nutrition!$L$2:$L$300,MATCH($F16,Nutrition!$A$2:$A$300,0))*$I16/100,0))</f>
        <v>63.72</v>
      </c>
      <c r="S16" s="30">
        <f>IF(OR($F16="",$I16=""),0,IFERROR(INDEX(Nutrition!$M$2:$M$300,MATCH($F16,Nutrition!$A$2:$A$300,0))*$I16/100,0))</f>
        <v>0.61360000000000003</v>
      </c>
    </row>
    <row r="17" spans="1:19" ht="15" customHeight="1" x14ac:dyDescent="0.25">
      <c r="A17" s="22" t="s">
        <v>978</v>
      </c>
      <c r="B17" s="33" t="str">
        <f>IFERROR(INDEX(Recipes!$B$2:$B$500,MATCH(A17,Recipes!$A$2:$A$500,0)),"")</f>
        <v>Banana Oat Pancakes with Pineapple Compote</v>
      </c>
      <c r="C17" s="7" t="s">
        <v>2767</v>
      </c>
      <c r="D17" s="34">
        <v>2</v>
      </c>
      <c r="E17" s="22" t="s">
        <v>2754</v>
      </c>
      <c r="F17" s="22"/>
      <c r="G17" s="22" t="s">
        <v>2768</v>
      </c>
      <c r="H17" s="7"/>
      <c r="I17" s="35"/>
      <c r="J17" s="30">
        <f>IF(OR($F17="",$I17=""),0,IFERROR(INDEX(Nutrition!$D$2:$D$300,MATCH($F17,Nutrition!$A$2:$A$300,0))*$I17/100,0))</f>
        <v>0</v>
      </c>
      <c r="K17" s="30">
        <f>IF(OR($F17="",$I17=""),0,IFERROR(INDEX(Nutrition!$E$2:$E$300,MATCH($F17,Nutrition!$A$2:$A$300,0))*$I17/100,0))</f>
        <v>0</v>
      </c>
      <c r="L17" s="30">
        <f>IF(OR($F17="",$I17=""),0,IFERROR(INDEX(Nutrition!$F$2:$F$300,MATCH($F17,Nutrition!$A$2:$A$300,0))*$I17/100,0))</f>
        <v>0</v>
      </c>
      <c r="M17" s="30">
        <f>IF(OR($F17="",$I17=""),0,IFERROR(INDEX(Nutrition!$G$2:$G$300,MATCH($F17,Nutrition!$A$2:$A$300,0))*$I17/100,0))</f>
        <v>0</v>
      </c>
      <c r="N17" s="30">
        <f>IF(OR($F17="",$I17=""),0,IFERROR(INDEX(Nutrition!$H$2:$H$300,MATCH($F17,Nutrition!$A$2:$A$300,0))*$I17/100,0))</f>
        <v>0</v>
      </c>
      <c r="O17" s="30">
        <f>IF(OR($F17="",$I17=""),0,IFERROR(INDEX(Nutrition!$I$2:$I$300,MATCH($F17,Nutrition!$A$2:$A$300,0))*$I17/100,0))</f>
        <v>0</v>
      </c>
      <c r="P17" s="30">
        <f>IF(OR($F17="",$I17=""),0,IFERROR(INDEX(Nutrition!$J$2:$J$300,MATCH($F17,Nutrition!$A$2:$A$300,0))*$I17/100,0))</f>
        <v>0</v>
      </c>
      <c r="Q17" s="30">
        <f>IF(OR($F17="",$I17=""),0,IFERROR(INDEX(Nutrition!$K$2:$K$300,MATCH($F17,Nutrition!$A$2:$A$300,0))*$I17/100,0))</f>
        <v>0</v>
      </c>
      <c r="R17" s="30">
        <f>IF(OR($F17="",$I17=""),0,IFERROR(INDEX(Nutrition!$L$2:$L$300,MATCH($F17,Nutrition!$A$2:$A$300,0))*$I17/100,0))</f>
        <v>0</v>
      </c>
      <c r="S17" s="30">
        <f>IF(OR($F17="",$I17=""),0,IFERROR(INDEX(Nutrition!$M$2:$M$300,MATCH($F17,Nutrition!$A$2:$A$300,0))*$I17/100,0))</f>
        <v>0</v>
      </c>
    </row>
    <row r="18" spans="1:19" ht="15" customHeight="1" x14ac:dyDescent="0.25">
      <c r="A18" s="22" t="s">
        <v>978</v>
      </c>
      <c r="B18" s="33" t="str">
        <f>IFERROR(INDEX(Recipes!$B$2:$B$500,MATCH(A18,Recipes!$A$2:$A$500,0)),"")</f>
        <v>Banana Oat Pancakes with Pineapple Compote</v>
      </c>
      <c r="C18" s="7" t="s">
        <v>2747</v>
      </c>
      <c r="D18" s="34">
        <v>1</v>
      </c>
      <c r="E18" s="22" t="s">
        <v>2748</v>
      </c>
      <c r="F18" s="22"/>
      <c r="G18" s="22" t="s">
        <v>2749</v>
      </c>
      <c r="H18" s="7" t="s">
        <v>2769</v>
      </c>
      <c r="I18" s="35"/>
      <c r="J18" s="30">
        <f>IF(OR($F18="",$I18=""),0,IFERROR(INDEX(Nutrition!$D$2:$D$300,MATCH($F18,Nutrition!$A$2:$A$300,0))*$I18/100,0))</f>
        <v>0</v>
      </c>
      <c r="K18" s="30">
        <f>IF(OR($F18="",$I18=""),0,IFERROR(INDEX(Nutrition!$E$2:$E$300,MATCH($F18,Nutrition!$A$2:$A$300,0))*$I18/100,0))</f>
        <v>0</v>
      </c>
      <c r="L18" s="30">
        <f>IF(OR($F18="",$I18=""),0,IFERROR(INDEX(Nutrition!$F$2:$F$300,MATCH($F18,Nutrition!$A$2:$A$300,0))*$I18/100,0))</f>
        <v>0</v>
      </c>
      <c r="M18" s="30">
        <f>IF(OR($F18="",$I18=""),0,IFERROR(INDEX(Nutrition!$G$2:$G$300,MATCH($F18,Nutrition!$A$2:$A$300,0))*$I18/100,0))</f>
        <v>0</v>
      </c>
      <c r="N18" s="30">
        <f>IF(OR($F18="",$I18=""),0,IFERROR(INDEX(Nutrition!$H$2:$H$300,MATCH($F18,Nutrition!$A$2:$A$300,0))*$I18/100,0))</f>
        <v>0</v>
      </c>
      <c r="O18" s="30">
        <f>IF(OR($F18="",$I18=""),0,IFERROR(INDEX(Nutrition!$I$2:$I$300,MATCH($F18,Nutrition!$A$2:$A$300,0))*$I18/100,0))</f>
        <v>0</v>
      </c>
      <c r="P18" s="30">
        <f>IF(OR($F18="",$I18=""),0,IFERROR(INDEX(Nutrition!$J$2:$J$300,MATCH($F18,Nutrition!$A$2:$A$300,0))*$I18/100,0))</f>
        <v>0</v>
      </c>
      <c r="Q18" s="30">
        <f>IF(OR($F18="",$I18=""),0,IFERROR(INDEX(Nutrition!$K$2:$K$300,MATCH($F18,Nutrition!$A$2:$A$300,0))*$I18/100,0))</f>
        <v>0</v>
      </c>
      <c r="R18" s="30">
        <f>IF(OR($F18="",$I18=""),0,IFERROR(INDEX(Nutrition!$L$2:$L$300,MATCH($F18,Nutrition!$A$2:$A$300,0))*$I18/100,0))</f>
        <v>0</v>
      </c>
      <c r="S18" s="30">
        <f>IF(OR($F18="",$I18=""),0,IFERROR(INDEX(Nutrition!$M$2:$M$300,MATCH($F18,Nutrition!$A$2:$A$300,0))*$I18/100,0))</f>
        <v>0</v>
      </c>
    </row>
    <row r="19" spans="1:19" ht="15" customHeight="1" x14ac:dyDescent="0.25">
      <c r="A19" s="22" t="s">
        <v>978</v>
      </c>
      <c r="B19" s="33" t="str">
        <f>IFERROR(INDEX(Recipes!$B$2:$B$500,MATCH(A19,Recipes!$A$2:$A$500,0)),"")</f>
        <v>Banana Oat Pancakes with Pineapple Compote</v>
      </c>
      <c r="C19" s="7" t="s">
        <v>2770</v>
      </c>
      <c r="D19" s="34">
        <v>0.5</v>
      </c>
      <c r="E19" s="22" t="s">
        <v>2759</v>
      </c>
      <c r="F19" s="22"/>
      <c r="G19" s="22" t="s">
        <v>2749</v>
      </c>
      <c r="H19" s="7"/>
      <c r="I19" s="35"/>
      <c r="J19" s="30">
        <f>IF(OR($F19="",$I19=""),0,IFERROR(INDEX(Nutrition!$D$2:$D$300,MATCH($F19,Nutrition!$A$2:$A$300,0))*$I19/100,0))</f>
        <v>0</v>
      </c>
      <c r="K19" s="30">
        <f>IF(OR($F19="",$I19=""),0,IFERROR(INDEX(Nutrition!$E$2:$E$300,MATCH($F19,Nutrition!$A$2:$A$300,0))*$I19/100,0))</f>
        <v>0</v>
      </c>
      <c r="L19" s="30">
        <f>IF(OR($F19="",$I19=""),0,IFERROR(INDEX(Nutrition!$F$2:$F$300,MATCH($F19,Nutrition!$A$2:$A$300,0))*$I19/100,0))</f>
        <v>0</v>
      </c>
      <c r="M19" s="30">
        <f>IF(OR($F19="",$I19=""),0,IFERROR(INDEX(Nutrition!$G$2:$G$300,MATCH($F19,Nutrition!$A$2:$A$300,0))*$I19/100,0))</f>
        <v>0</v>
      </c>
      <c r="N19" s="30">
        <f>IF(OR($F19="",$I19=""),0,IFERROR(INDEX(Nutrition!$H$2:$H$300,MATCH($F19,Nutrition!$A$2:$A$300,0))*$I19/100,0))</f>
        <v>0</v>
      </c>
      <c r="O19" s="30">
        <f>IF(OR($F19="",$I19=""),0,IFERROR(INDEX(Nutrition!$I$2:$I$300,MATCH($F19,Nutrition!$A$2:$A$300,0))*$I19/100,0))</f>
        <v>0</v>
      </c>
      <c r="P19" s="30">
        <f>IF(OR($F19="",$I19=""),0,IFERROR(INDEX(Nutrition!$J$2:$J$300,MATCH($F19,Nutrition!$A$2:$A$300,0))*$I19/100,0))</f>
        <v>0</v>
      </c>
      <c r="Q19" s="30">
        <f>IF(OR($F19="",$I19=""),0,IFERROR(INDEX(Nutrition!$K$2:$K$300,MATCH($F19,Nutrition!$A$2:$A$300,0))*$I19/100,0))</f>
        <v>0</v>
      </c>
      <c r="R19" s="30">
        <f>IF(OR($F19="",$I19=""),0,IFERROR(INDEX(Nutrition!$L$2:$L$300,MATCH($F19,Nutrition!$A$2:$A$300,0))*$I19/100,0))</f>
        <v>0</v>
      </c>
      <c r="S19" s="30">
        <f>IF(OR($F19="",$I19=""),0,IFERROR(INDEX(Nutrition!$M$2:$M$300,MATCH($F19,Nutrition!$A$2:$A$300,0))*$I19/100,0))</f>
        <v>0</v>
      </c>
    </row>
    <row r="20" spans="1:19" ht="15" customHeight="1" x14ac:dyDescent="0.25">
      <c r="A20" s="22" t="s">
        <v>978</v>
      </c>
      <c r="B20" s="33" t="str">
        <f>IFERROR(INDEX(Recipes!$B$2:$B$500,MATCH(A20,Recipes!$A$2:$A$500,0)),"")</f>
        <v>Banana Oat Pancakes with Pineapple Compote</v>
      </c>
      <c r="C20" s="7" t="s">
        <v>139</v>
      </c>
      <c r="D20" s="34">
        <v>1</v>
      </c>
      <c r="E20" s="22" t="s">
        <v>2748</v>
      </c>
      <c r="F20" s="22" t="s">
        <v>138</v>
      </c>
      <c r="G20" s="22" t="s">
        <v>2755</v>
      </c>
      <c r="H20" s="7" t="s">
        <v>2771</v>
      </c>
      <c r="I20" s="35">
        <v>165</v>
      </c>
      <c r="J20" s="30">
        <f>IF(OR($F20="",$I20=""),0,IFERROR(INDEX(Nutrition!$D$2:$D$300,MATCH($F20,Nutrition!$A$2:$A$300,0))*$I20/100,0))</f>
        <v>2.3099999999999996</v>
      </c>
      <c r="K20" s="30">
        <f>IF(OR($F20="",$I20=""),0,IFERROR(INDEX(Nutrition!$E$2:$E$300,MATCH($F20,Nutrition!$A$2:$A$300,0))*$I20/100,0))</f>
        <v>78.86999999999999</v>
      </c>
      <c r="L20" s="30">
        <f>IF(OR($F20="",$I20=""),0,IFERROR(INDEX(Nutrition!$F$2:$F$300,MATCH($F20,Nutrition!$A$2:$A$300,0))*$I20/100,0))</f>
        <v>4.95</v>
      </c>
      <c r="M20" s="30">
        <f>IF(OR($F20="",$I20=""),0,IFERROR(INDEX(Nutrition!$G$2:$G$300,MATCH($F20,Nutrition!$A$2:$A$300,0))*$I20/100,0))</f>
        <v>1.1549999999999998</v>
      </c>
      <c r="N20" s="30">
        <f>IF(OR($F20="",$I20=""),0,IFERROR(INDEX(Nutrition!$H$2:$H$300,MATCH($F20,Nutrition!$A$2:$A$300,0))*$I20/100,0))</f>
        <v>29.7</v>
      </c>
      <c r="O20" s="30">
        <f>IF(OR($F20="",$I20=""),0,IFERROR(INDEX(Nutrition!$I$2:$I$300,MATCH($F20,Nutrition!$A$2:$A$300,0))*$I20/100,0))</f>
        <v>179.85</v>
      </c>
      <c r="P20" s="30">
        <f>IF(OR($F20="",$I20=""),0,IFERROR(INDEX(Nutrition!$J$2:$J$300,MATCH($F20,Nutrition!$A$2:$A$300,0))*$I20/100,0))</f>
        <v>3.3000000000000002E-2</v>
      </c>
      <c r="Q20" s="30">
        <f>IF(OR($F20="",$I20=""),0,IFERROR(INDEX(Nutrition!$K$2:$K$300,MATCH($F20,Nutrition!$A$2:$A$300,0))*$I20/100,0))</f>
        <v>0.18479999999999999</v>
      </c>
      <c r="R20" s="30">
        <f>IF(OR($F20="",$I20=""),0,IFERROR(INDEX(Nutrition!$L$2:$L$300,MATCH($F20,Nutrition!$A$2:$A$300,0))*$I20/100,0))</f>
        <v>19.8</v>
      </c>
      <c r="S20" s="30">
        <f>IF(OR($F20="",$I20=""),0,IFERROR(INDEX(Nutrition!$M$2:$M$300,MATCH($F20,Nutrition!$A$2:$A$300,0))*$I20/100,0))</f>
        <v>0.47849999999999993</v>
      </c>
    </row>
    <row r="21" spans="1:19" ht="15" customHeight="1" x14ac:dyDescent="0.25">
      <c r="A21" s="22" t="s">
        <v>978</v>
      </c>
      <c r="B21" s="33" t="str">
        <f>IFERROR(INDEX(Recipes!$B$2:$B$500,MATCH(A21,Recipes!$A$2:$A$500,0)),"")</f>
        <v>Banana Oat Pancakes with Pineapple Compote</v>
      </c>
      <c r="C21" s="7" t="s">
        <v>213</v>
      </c>
      <c r="D21" s="34">
        <v>0.5</v>
      </c>
      <c r="E21" s="22" t="s">
        <v>2754</v>
      </c>
      <c r="F21" s="22" t="s">
        <v>212</v>
      </c>
      <c r="G21" s="22" t="s">
        <v>2755</v>
      </c>
      <c r="H21" s="7"/>
      <c r="I21" s="35">
        <v>34</v>
      </c>
      <c r="J21" s="30">
        <f>IF(OR($F21="",$I21=""),0,IFERROR(INDEX(Nutrition!$D$2:$D$300,MATCH($F21,Nutrition!$A$2:$A$300,0))*$I21/100,0))</f>
        <v>0.95199999999999985</v>
      </c>
      <c r="K21" s="30">
        <f>IF(OR($F21="",$I21=""),0,IFERROR(INDEX(Nutrition!$E$2:$E$300,MATCH($F21,Nutrition!$A$2:$A$300,0))*$I21/100,0))</f>
        <v>9.8940000000000001</v>
      </c>
      <c r="L21" s="30">
        <f>IF(OR($F21="",$I21=""),0,IFERROR(INDEX(Nutrition!$F$2:$F$300,MATCH($F21,Nutrition!$A$2:$A$300,0))*$I21/100,0))</f>
        <v>0.68</v>
      </c>
      <c r="M21" s="30">
        <f>IF(OR($F21="",$I21=""),0,IFERROR(INDEX(Nutrition!$G$2:$G$300,MATCH($F21,Nutrition!$A$2:$A$300,0))*$I21/100,0))</f>
        <v>0.20399999999999999</v>
      </c>
      <c r="N21" s="30">
        <f>IF(OR($F21="",$I21=""),0,IFERROR(INDEX(Nutrition!$H$2:$H$300,MATCH($F21,Nutrition!$A$2:$A$300,0))*$I21/100,0))</f>
        <v>2.72</v>
      </c>
      <c r="O21" s="30">
        <f>IF(OR($F21="",$I21=""),0,IFERROR(INDEX(Nutrition!$I$2:$I$300,MATCH($F21,Nutrition!$A$2:$A$300,0))*$I21/100,0))</f>
        <v>34.68</v>
      </c>
      <c r="P21" s="30">
        <f>IF(OR($F21="",$I21=""),0,IFERROR(INDEX(Nutrition!$J$2:$J$300,MATCH($F21,Nutrition!$A$2:$A$300,0))*$I21/100,0))</f>
        <v>7.4800000000000005E-2</v>
      </c>
      <c r="Q21" s="30">
        <f>IF(OR($F21="",$I21=""),0,IFERROR(INDEX(Nutrition!$K$2:$K$300,MATCH($F21,Nutrition!$A$2:$A$300,0))*$I21/100,0))</f>
        <v>1.4619999999999999E-2</v>
      </c>
      <c r="R21" s="30">
        <f>IF(OR($F21="",$I21=""),0,IFERROR(INDEX(Nutrition!$L$2:$L$300,MATCH($F21,Nutrition!$A$2:$A$300,0))*$I21/100,0))</f>
        <v>2.04</v>
      </c>
      <c r="S21" s="30">
        <f>IF(OR($F21="",$I21=""),0,IFERROR(INDEX(Nutrition!$M$2:$M$300,MATCH($F21,Nutrition!$A$2:$A$300,0))*$I21/100,0))</f>
        <v>0.20399999999999999</v>
      </c>
    </row>
    <row r="22" spans="1:19" ht="15" customHeight="1" x14ac:dyDescent="0.25">
      <c r="A22" s="22" t="s">
        <v>978</v>
      </c>
      <c r="B22" s="33" t="str">
        <f>IFERROR(INDEX(Recipes!$B$2:$B$500,MATCH(A22,Recipes!$A$2:$A$500,0)),"")</f>
        <v>Banana Oat Pancakes with Pineapple Compote</v>
      </c>
      <c r="C22" s="7" t="s">
        <v>2772</v>
      </c>
      <c r="D22" s="34">
        <v>1</v>
      </c>
      <c r="E22" s="22" t="s">
        <v>2759</v>
      </c>
      <c r="F22" s="22"/>
      <c r="G22" s="22" t="s">
        <v>2773</v>
      </c>
      <c r="H22" s="7"/>
      <c r="I22" s="35"/>
      <c r="J22" s="30">
        <f>IF(OR($F22="",$I22=""),0,IFERROR(INDEX(Nutrition!$D$2:$D$300,MATCH($F22,Nutrition!$A$2:$A$300,0))*$I22/100,0))</f>
        <v>0</v>
      </c>
      <c r="K22" s="30">
        <f>IF(OR($F22="",$I22=""),0,IFERROR(INDEX(Nutrition!$E$2:$E$300,MATCH($F22,Nutrition!$A$2:$A$300,0))*$I22/100,0))</f>
        <v>0</v>
      </c>
      <c r="L22" s="30">
        <f>IF(OR($F22="",$I22=""),0,IFERROR(INDEX(Nutrition!$F$2:$F$300,MATCH($F22,Nutrition!$A$2:$A$300,0))*$I22/100,0))</f>
        <v>0</v>
      </c>
      <c r="M22" s="30">
        <f>IF(OR($F22="",$I22=""),0,IFERROR(INDEX(Nutrition!$G$2:$G$300,MATCH($F22,Nutrition!$A$2:$A$300,0))*$I22/100,0))</f>
        <v>0</v>
      </c>
      <c r="N22" s="30">
        <f>IF(OR($F22="",$I22=""),0,IFERROR(INDEX(Nutrition!$H$2:$H$300,MATCH($F22,Nutrition!$A$2:$A$300,0))*$I22/100,0))</f>
        <v>0</v>
      </c>
      <c r="O22" s="30">
        <f>IF(OR($F22="",$I22=""),0,IFERROR(INDEX(Nutrition!$I$2:$I$300,MATCH($F22,Nutrition!$A$2:$A$300,0))*$I22/100,0))</f>
        <v>0</v>
      </c>
      <c r="P22" s="30">
        <f>IF(OR($F22="",$I22=""),0,IFERROR(INDEX(Nutrition!$J$2:$J$300,MATCH($F22,Nutrition!$A$2:$A$300,0))*$I22/100,0))</f>
        <v>0</v>
      </c>
      <c r="Q22" s="30">
        <f>IF(OR($F22="",$I22=""),0,IFERROR(INDEX(Nutrition!$K$2:$K$300,MATCH($F22,Nutrition!$A$2:$A$300,0))*$I22/100,0))</f>
        <v>0</v>
      </c>
      <c r="R22" s="30">
        <f>IF(OR($F22="",$I22=""),0,IFERROR(INDEX(Nutrition!$L$2:$L$300,MATCH($F22,Nutrition!$A$2:$A$300,0))*$I22/100,0))</f>
        <v>0</v>
      </c>
      <c r="S22" s="30">
        <f>IF(OR($F22="",$I22=""),0,IFERROR(INDEX(Nutrition!$M$2:$M$300,MATCH($F22,Nutrition!$A$2:$A$300,0))*$I22/100,0))</f>
        <v>0</v>
      </c>
    </row>
    <row r="23" spans="1:19" ht="15" customHeight="1" x14ac:dyDescent="0.25">
      <c r="A23" s="22" t="s">
        <v>989</v>
      </c>
      <c r="B23" s="33" t="str">
        <f>IFERROR(INDEX(Recipes!$B$2:$B$500,MATCH(A23,Recipes!$A$2:$A$500,0)),"")</f>
        <v>Shakshuka with Tatashe &amp; Efo</v>
      </c>
      <c r="C23" s="7" t="s">
        <v>446</v>
      </c>
      <c r="D23" s="34">
        <v>4</v>
      </c>
      <c r="E23" s="22" t="s">
        <v>2754</v>
      </c>
      <c r="F23" s="22" t="s">
        <v>445</v>
      </c>
      <c r="G23" s="22" t="s">
        <v>2755</v>
      </c>
      <c r="H23" s="7" t="s">
        <v>2774</v>
      </c>
      <c r="I23" s="35">
        <v>248</v>
      </c>
      <c r="J23" s="30">
        <f>IF(OR($F23="",$I23=""),0,IFERROR(INDEX(Nutrition!$D$2:$D$300,MATCH($F23,Nutrition!$A$2:$A$300,0))*$I23/100,0))</f>
        <v>2.9759999999999995</v>
      </c>
      <c r="K23" s="30">
        <f>IF(OR($F23="",$I23=""),0,IFERROR(INDEX(Nutrition!$E$2:$E$300,MATCH($F23,Nutrition!$A$2:$A$300,0))*$I23/100,0))</f>
        <v>33.975999999999999</v>
      </c>
      <c r="L23" s="30">
        <f>IF(OR($F23="",$I23=""),0,IFERROR(INDEX(Nutrition!$F$2:$F$300,MATCH($F23,Nutrition!$A$2:$A$300,0))*$I23/100,0))</f>
        <v>104.16</v>
      </c>
      <c r="M23" s="30">
        <f>IF(OR($F23="",$I23=""),0,IFERROR(INDEX(Nutrition!$G$2:$G$300,MATCH($F23,Nutrition!$A$2:$A$300,0))*$I23/100,0))</f>
        <v>19.591999999999999</v>
      </c>
      <c r="N23" s="30">
        <f>IF(OR($F23="",$I23=""),0,IFERROR(INDEX(Nutrition!$H$2:$H$300,MATCH($F23,Nutrition!$A$2:$A$300,0))*$I23/100,0))</f>
        <v>37.200000000000003</v>
      </c>
      <c r="O23" s="30">
        <f>IF(OR($F23="",$I23=""),0,IFERROR(INDEX(Nutrition!$I$2:$I$300,MATCH($F23,Nutrition!$A$2:$A$300,0))*$I23/100,0))</f>
        <v>587.76</v>
      </c>
      <c r="P23" s="30">
        <f>IF(OR($F23="",$I23=""),0,IFERROR(INDEX(Nutrition!$J$2:$J$300,MATCH($F23,Nutrition!$A$2:$A$300,0))*$I23/100,0))</f>
        <v>1.3392000000000002</v>
      </c>
      <c r="Q23" s="30">
        <f>IF(OR($F23="",$I23=""),0,IFERROR(INDEX(Nutrition!$K$2:$K$300,MATCH($F23,Nutrition!$A$2:$A$300,0))*$I23/100,0))</f>
        <v>0.19839999999999999</v>
      </c>
      <c r="R23" s="30">
        <f>IF(OR($F23="",$I23=""),0,IFERROR(INDEX(Nutrition!$L$2:$L$300,MATCH($F23,Nutrition!$A$2:$A$300,0))*$I23/100,0))</f>
        <v>27.28</v>
      </c>
      <c r="S23" s="30">
        <f>IF(OR($F23="",$I23=""),0,IFERROR(INDEX(Nutrition!$M$2:$M$300,MATCH($F23,Nutrition!$A$2:$A$300,0))*$I23/100,0))</f>
        <v>0.66960000000000008</v>
      </c>
    </row>
    <row r="24" spans="1:19" ht="15" customHeight="1" x14ac:dyDescent="0.25">
      <c r="A24" s="22" t="s">
        <v>989</v>
      </c>
      <c r="B24" s="33" t="str">
        <f>IFERROR(INDEX(Recipes!$B$2:$B$500,MATCH(A24,Recipes!$A$2:$A$500,0)),"")</f>
        <v>Shakshuka with Tatashe &amp; Efo</v>
      </c>
      <c r="C24" s="7" t="s">
        <v>462</v>
      </c>
      <c r="D24" s="34">
        <v>2</v>
      </c>
      <c r="E24" s="22" t="s">
        <v>2754</v>
      </c>
      <c r="F24" s="22" t="s">
        <v>461</v>
      </c>
      <c r="G24" s="22" t="s">
        <v>2755</v>
      </c>
      <c r="H24" s="7" t="s">
        <v>2775</v>
      </c>
      <c r="I24" s="35">
        <v>238</v>
      </c>
      <c r="J24" s="30">
        <f>IF(OR($F24="",$I24=""),0,IFERROR(INDEX(Nutrition!$D$2:$D$300,MATCH($F24,Nutrition!$A$2:$A$300,0))*$I24/100,0))</f>
        <v>4.9980000000000002</v>
      </c>
      <c r="K24" s="30">
        <f>IF(OR($F24="",$I24=""),0,IFERROR(INDEX(Nutrition!$E$2:$E$300,MATCH($F24,Nutrition!$A$2:$A$300,0))*$I24/100,0))</f>
        <v>303.92600000000004</v>
      </c>
      <c r="L24" s="30">
        <f>IF(OR($F24="",$I24=""),0,IFERROR(INDEX(Nutrition!$F$2:$F$300,MATCH($F24,Nutrition!$A$2:$A$300,0))*$I24/100,0))</f>
        <v>373.66</v>
      </c>
      <c r="M24" s="30">
        <f>IF(OR($F24="",$I24=""),0,IFERROR(INDEX(Nutrition!$G$2:$G$300,MATCH($F24,Nutrition!$A$2:$A$300,0))*$I24/100,0))</f>
        <v>11.662000000000001</v>
      </c>
      <c r="N24" s="30">
        <f>IF(OR($F24="",$I24=""),0,IFERROR(INDEX(Nutrition!$H$2:$H$300,MATCH($F24,Nutrition!$A$2:$A$300,0))*$I24/100,0))</f>
        <v>109.48</v>
      </c>
      <c r="O24" s="30">
        <f>IF(OR($F24="",$I24=""),0,IFERROR(INDEX(Nutrition!$I$2:$I$300,MATCH($F24,Nutrition!$A$2:$A$300,0))*$I24/100,0))</f>
        <v>502.18</v>
      </c>
      <c r="P24" s="30">
        <f>IF(OR($F24="",$I24=""),0,IFERROR(INDEX(Nutrition!$J$2:$J$300,MATCH($F24,Nutrition!$A$2:$A$300,0))*$I24/100,0))</f>
        <v>3.7604000000000002</v>
      </c>
      <c r="Q24" s="30">
        <f>IF(OR($F24="",$I24=""),0,IFERROR(INDEX(Nutrition!$K$2:$K$300,MATCH($F24,Nutrition!$A$2:$A$300,0))*$I24/100,0))</f>
        <v>0.69257999999999997</v>
      </c>
      <c r="R24" s="30">
        <f>IF(OR($F24="",$I24=""),0,IFERROR(INDEX(Nutrition!$L$2:$L$300,MATCH($F24,Nutrition!$A$2:$A$300,0))*$I24/100,0))</f>
        <v>28.56</v>
      </c>
      <c r="S24" s="30">
        <f>IF(OR($F24="",$I24=""),0,IFERROR(INDEX(Nutrition!$M$2:$M$300,MATCH($F24,Nutrition!$A$2:$A$300,0))*$I24/100,0))</f>
        <v>1.0234000000000001</v>
      </c>
    </row>
    <row r="25" spans="1:19" ht="15" customHeight="1" x14ac:dyDescent="0.25">
      <c r="A25" s="22" t="s">
        <v>989</v>
      </c>
      <c r="B25" s="33" t="str">
        <f>IFERROR(INDEX(Recipes!$B$2:$B$500,MATCH(A25,Recipes!$A$2:$A$500,0)),"")</f>
        <v>Shakshuka with Tatashe &amp; Efo</v>
      </c>
      <c r="C25" s="7" t="s">
        <v>473</v>
      </c>
      <c r="D25" s="34">
        <v>0.5</v>
      </c>
      <c r="E25" s="22" t="s">
        <v>2754</v>
      </c>
      <c r="F25" s="22" t="s">
        <v>472</v>
      </c>
      <c r="G25" s="22" t="s">
        <v>2755</v>
      </c>
      <c r="H25" s="7"/>
      <c r="I25" s="35">
        <v>5</v>
      </c>
      <c r="J25" s="30">
        <f>IF(OR($F25="",$I25=""),0,IFERROR(INDEX(Nutrition!$D$2:$D$300,MATCH($F25,Nutrition!$A$2:$A$300,0))*$I25/100,0))</f>
        <v>7.4999999999999997E-2</v>
      </c>
      <c r="K25" s="30">
        <f>IF(OR($F25="",$I25=""),0,IFERROR(INDEX(Nutrition!$E$2:$E$300,MATCH($F25,Nutrition!$A$2:$A$300,0))*$I25/100,0))</f>
        <v>7.1849999999999996</v>
      </c>
      <c r="L25" s="30">
        <f>IF(OR($F25="",$I25=""),0,IFERROR(INDEX(Nutrition!$F$2:$F$300,MATCH($F25,Nutrition!$A$2:$A$300,0))*$I25/100,0))</f>
        <v>2.4</v>
      </c>
      <c r="M25" s="30">
        <f>IF(OR($F25="",$I25=""),0,IFERROR(INDEX(Nutrition!$G$2:$G$300,MATCH($F25,Nutrition!$A$2:$A$300,0))*$I25/100,0))</f>
        <v>0.7</v>
      </c>
      <c r="N25" s="30">
        <f>IF(OR($F25="",$I25=""),0,IFERROR(INDEX(Nutrition!$H$2:$H$300,MATCH($F25,Nutrition!$A$2:$A$300,0))*$I25/100,0))</f>
        <v>1.1499999999999999</v>
      </c>
      <c r="O25" s="30">
        <f>IF(OR($F25="",$I25=""),0,IFERROR(INDEX(Nutrition!$I$2:$I$300,MATCH($F25,Nutrition!$A$2:$A$300,0))*$I25/100,0))</f>
        <v>16.100000000000001</v>
      </c>
      <c r="P25" s="30">
        <f>IF(OR($F25="",$I25=""),0,IFERROR(INDEX(Nutrition!$J$2:$J$300,MATCH($F25,Nutrition!$A$2:$A$300,0))*$I25/100,0))</f>
        <v>3.4499999999999996E-2</v>
      </c>
      <c r="Q25" s="30">
        <f>IF(OR($F25="",$I25=""),0,IFERROR(INDEX(Nutrition!$K$2:$K$300,MATCH($F25,Nutrition!$A$2:$A$300,0))*$I25/100,0))</f>
        <v>2.5300000000000003E-2</v>
      </c>
      <c r="R25" s="30">
        <f>IF(OR($F25="",$I25=""),0,IFERROR(INDEX(Nutrition!$L$2:$L$300,MATCH($F25,Nutrition!$A$2:$A$300,0))*$I25/100,0))</f>
        <v>1.1499999999999999</v>
      </c>
      <c r="S25" s="30">
        <f>IF(OR($F25="",$I25=""),0,IFERROR(INDEX(Nutrition!$M$2:$M$300,MATCH($F25,Nutrition!$A$2:$A$300,0))*$I25/100,0))</f>
        <v>5.1500000000000004E-2</v>
      </c>
    </row>
    <row r="26" spans="1:19" ht="15" customHeight="1" x14ac:dyDescent="0.25">
      <c r="A26" s="22" t="s">
        <v>989</v>
      </c>
      <c r="B26" s="33" t="str">
        <f>IFERROR(INDEX(Recipes!$B$2:$B$500,MATCH(A26,Recipes!$A$2:$A$500,0)),"")</f>
        <v>Shakshuka with Tatashe &amp; Efo</v>
      </c>
      <c r="C26" s="7" t="s">
        <v>482</v>
      </c>
      <c r="D26" s="34">
        <v>1</v>
      </c>
      <c r="E26" s="22" t="s">
        <v>2754</v>
      </c>
      <c r="F26" s="22" t="s">
        <v>481</v>
      </c>
      <c r="G26" s="22" t="s">
        <v>2755</v>
      </c>
      <c r="H26" s="7"/>
      <c r="I26" s="35">
        <v>110</v>
      </c>
      <c r="J26" s="30">
        <f>IF(OR($F26="",$I26=""),0,IFERROR(INDEX(Nutrition!$D$2:$D$300,MATCH($F26,Nutrition!$A$2:$A$300,0))*$I26/100,0))</f>
        <v>1.87</v>
      </c>
      <c r="K26" s="30">
        <f>IF(OR($F26="",$I26=""),0,IFERROR(INDEX(Nutrition!$E$2:$E$300,MATCH($F26,Nutrition!$A$2:$A$300,0))*$I26/100,0))</f>
        <v>8.14</v>
      </c>
      <c r="L26" s="30">
        <f>IF(OR($F26="",$I26=""),0,IFERROR(INDEX(Nutrition!$F$2:$F$300,MATCH($F26,Nutrition!$A$2:$A$300,0))*$I26/100,0))</f>
        <v>0</v>
      </c>
      <c r="M26" s="30">
        <f>IF(OR($F26="",$I26=""),0,IFERROR(INDEX(Nutrition!$G$2:$G$300,MATCH($F26,Nutrition!$A$2:$A$300,0))*$I26/100,0))</f>
        <v>0.44</v>
      </c>
      <c r="N26" s="30">
        <f>IF(OR($F26="",$I26=""),0,IFERROR(INDEX(Nutrition!$H$2:$H$300,MATCH($F26,Nutrition!$A$2:$A$300,0))*$I26/100,0))</f>
        <v>20.9</v>
      </c>
      <c r="O26" s="30">
        <f>IF(OR($F26="",$I26=""),0,IFERROR(INDEX(Nutrition!$I$2:$I$300,MATCH($F26,Nutrition!$A$2:$A$300,0))*$I26/100,0))</f>
        <v>160.6</v>
      </c>
      <c r="P26" s="30">
        <f>IF(OR($F26="",$I26=""),0,IFERROR(INDEX(Nutrition!$J$2:$J$300,MATCH($F26,Nutrition!$A$2:$A$300,0))*$I26/100,0))</f>
        <v>2.2000000000000002E-2</v>
      </c>
      <c r="Q26" s="30">
        <f>IF(OR($F26="",$I26=""),0,IFERROR(INDEX(Nutrition!$K$2:$K$300,MATCH($F26,Nutrition!$A$2:$A$300,0))*$I26/100,0))</f>
        <v>0.13200000000000001</v>
      </c>
      <c r="R26" s="30">
        <f>IF(OR($F26="",$I26=""),0,IFERROR(INDEX(Nutrition!$L$2:$L$300,MATCH($F26,Nutrition!$A$2:$A$300,0))*$I26/100,0))</f>
        <v>11</v>
      </c>
      <c r="S26" s="30">
        <f>IF(OR($F26="",$I26=""),0,IFERROR(INDEX(Nutrition!$M$2:$M$300,MATCH($F26,Nutrition!$A$2:$A$300,0))*$I26/100,0))</f>
        <v>0.23099999999999998</v>
      </c>
    </row>
    <row r="27" spans="1:19" ht="15" customHeight="1" x14ac:dyDescent="0.25">
      <c r="A27" s="22" t="s">
        <v>989</v>
      </c>
      <c r="B27" s="33" t="str">
        <f>IFERROR(INDEX(Recipes!$B$2:$B$500,MATCH(A27,Recipes!$A$2:$A$500,0)),"")</f>
        <v>Shakshuka with Tatashe &amp; Efo</v>
      </c>
      <c r="C27" s="7" t="s">
        <v>500</v>
      </c>
      <c r="D27" s="34">
        <v>2</v>
      </c>
      <c r="E27" s="22" t="s">
        <v>2776</v>
      </c>
      <c r="F27" s="22" t="s">
        <v>499</v>
      </c>
      <c r="G27" s="22" t="s">
        <v>2755</v>
      </c>
      <c r="H27" s="7"/>
      <c r="I27" s="35">
        <v>6</v>
      </c>
      <c r="J27" s="30">
        <f>IF(OR($F27="",$I27=""),0,IFERROR(INDEX(Nutrition!$D$2:$D$300,MATCH($F27,Nutrition!$A$2:$A$300,0))*$I27/100,0))</f>
        <v>0.126</v>
      </c>
      <c r="K27" s="30">
        <f>IF(OR($F27="",$I27=""),0,IFERROR(INDEX(Nutrition!$E$2:$E$300,MATCH($F27,Nutrition!$A$2:$A$300,0))*$I27/100,0))</f>
        <v>1.8719999999999999</v>
      </c>
      <c r="L27" s="30">
        <f>IF(OR($F27="",$I27=""),0,IFERROR(INDEX(Nutrition!$F$2:$F$300,MATCH($F27,Nutrition!$A$2:$A$300,0))*$I27/100,0))</f>
        <v>0</v>
      </c>
      <c r="M27" s="30">
        <f>IF(OR($F27="",$I27=""),0,IFERROR(INDEX(Nutrition!$G$2:$G$300,MATCH($F27,Nutrition!$A$2:$A$300,0))*$I27/100,0))</f>
        <v>0.10199999999999999</v>
      </c>
      <c r="N27" s="30">
        <f>IF(OR($F27="",$I27=""),0,IFERROR(INDEX(Nutrition!$H$2:$H$300,MATCH($F27,Nutrition!$A$2:$A$300,0))*$I27/100,0))</f>
        <v>0.18</v>
      </c>
      <c r="O27" s="30">
        <f>IF(OR($F27="",$I27=""),0,IFERROR(INDEX(Nutrition!$I$2:$I$300,MATCH($F27,Nutrition!$A$2:$A$300,0))*$I27/100,0))</f>
        <v>24.06</v>
      </c>
      <c r="P27" s="30">
        <f>IF(OR($F27="",$I27=""),0,IFERROR(INDEX(Nutrition!$J$2:$J$300,MATCH($F27,Nutrition!$A$2:$A$300,0))*$I27/100,0))</f>
        <v>4.7999999999999996E-3</v>
      </c>
      <c r="Q27" s="30">
        <f>IF(OR($F27="",$I27=""),0,IFERROR(INDEX(Nutrition!$K$2:$K$300,MATCH($F27,Nutrition!$A$2:$A$300,0))*$I27/100,0))</f>
        <v>7.4099999999999999E-2</v>
      </c>
      <c r="R27" s="30">
        <f>IF(OR($F27="",$I27=""),0,IFERROR(INDEX(Nutrition!$L$2:$L$300,MATCH($F27,Nutrition!$A$2:$A$300,0))*$I27/100,0))</f>
        <v>1.5</v>
      </c>
      <c r="S27" s="30">
        <f>IF(OR($F27="",$I27=""),0,IFERROR(INDEX(Nutrition!$M$2:$M$300,MATCH($F27,Nutrition!$A$2:$A$300,0))*$I27/100,0))</f>
        <v>0.10199999999999999</v>
      </c>
    </row>
    <row r="28" spans="1:19" ht="15" customHeight="1" x14ac:dyDescent="0.25">
      <c r="A28" s="22" t="s">
        <v>989</v>
      </c>
      <c r="B28" s="33" t="str">
        <f>IFERROR(INDEX(Recipes!$B$2:$B$500,MATCH(A28,Recipes!$A$2:$A$500,0)),"")</f>
        <v>Shakshuka with Tatashe &amp; Efo</v>
      </c>
      <c r="C28" s="7" t="s">
        <v>633</v>
      </c>
      <c r="D28" s="34">
        <v>1</v>
      </c>
      <c r="E28" s="22" t="s">
        <v>2748</v>
      </c>
      <c r="F28" s="22" t="s">
        <v>632</v>
      </c>
      <c r="G28" s="22" t="s">
        <v>2755</v>
      </c>
      <c r="H28" s="7" t="s">
        <v>2775</v>
      </c>
      <c r="I28" s="35">
        <v>28</v>
      </c>
      <c r="J28" s="30">
        <f>IF(OR($F28="",$I28=""),0,IFERROR(INDEX(Nutrition!$D$2:$D$300,MATCH($F28,Nutrition!$A$2:$A$300,0))*$I28/100,0))</f>
        <v>0.56000000000000005</v>
      </c>
      <c r="K28" s="30">
        <f>IF(OR($F28="",$I28=""),0,IFERROR(INDEX(Nutrition!$E$2:$E$300,MATCH($F28,Nutrition!$A$2:$A$300,0))*$I28/100,0))</f>
        <v>12.123999999999999</v>
      </c>
      <c r="L28" s="30">
        <f>IF(OR($F28="",$I28=""),0,IFERROR(INDEX(Nutrition!$F$2:$F$300,MATCH($F28,Nutrition!$A$2:$A$300,0))*$I28/100,0))</f>
        <v>40.880000000000003</v>
      </c>
      <c r="M28" s="30">
        <f>IF(OR($F28="",$I28=""),0,IFERROR(INDEX(Nutrition!$G$2:$G$300,MATCH($F28,Nutrition!$A$2:$A$300,0))*$I28/100,0))</f>
        <v>319.2</v>
      </c>
      <c r="N28" s="30">
        <f>IF(OR($F28="",$I28=""),0,IFERROR(INDEX(Nutrition!$H$2:$H$300,MATCH($F28,Nutrition!$A$2:$A$300,0))*$I28/100,0))</f>
        <v>23.8</v>
      </c>
      <c r="O28" s="30">
        <f>IF(OR($F28="",$I28=""),0,IFERROR(INDEX(Nutrition!$I$2:$I$300,MATCH($F28,Nutrition!$A$2:$A$300,0))*$I28/100,0))</f>
        <v>171.08</v>
      </c>
      <c r="P28" s="30">
        <f>IF(OR($F28="",$I28=""),0,IFERROR(INDEX(Nutrition!$J$2:$J$300,MATCH($F28,Nutrition!$A$2:$A$300,0))*$I28/100,0))</f>
        <v>0</v>
      </c>
      <c r="Q28" s="30">
        <f>IF(OR($F28="",$I28=""),0,IFERROR(INDEX(Nutrition!$K$2:$K$300,MATCH($F28,Nutrition!$A$2:$A$300,0))*$I28/100,0))</f>
        <v>5.3760000000000002E-2</v>
      </c>
      <c r="R28" s="30">
        <f>IF(OR($F28="",$I28=""),0,IFERROR(INDEX(Nutrition!$L$2:$L$300,MATCH($F28,Nutrition!$A$2:$A$300,0))*$I28/100,0))</f>
        <v>15.4</v>
      </c>
      <c r="S28" s="30">
        <f>IF(OR($F28="",$I28=""),0,IFERROR(INDEX(Nutrition!$M$2:$M$300,MATCH($F28,Nutrition!$A$2:$A$300,0))*$I28/100,0))</f>
        <v>0.64959999999999996</v>
      </c>
    </row>
    <row r="29" spans="1:19" ht="15" customHeight="1" x14ac:dyDescent="0.25">
      <c r="A29" s="22" t="s">
        <v>989</v>
      </c>
      <c r="B29" s="33" t="str">
        <f>IFERROR(INDEX(Recipes!$B$2:$B$500,MATCH(A29,Recipes!$A$2:$A$500,0)),"")</f>
        <v>Shakshuka with Tatashe &amp; Efo</v>
      </c>
      <c r="C29" s="7" t="s">
        <v>2767</v>
      </c>
      <c r="D29" s="34">
        <v>4</v>
      </c>
      <c r="E29" s="22" t="s">
        <v>2754</v>
      </c>
      <c r="F29" s="22"/>
      <c r="G29" s="22" t="s">
        <v>2768</v>
      </c>
      <c r="H29" s="7"/>
      <c r="I29" s="35"/>
      <c r="J29" s="30">
        <f>IF(OR($F29="",$I29=""),0,IFERROR(INDEX(Nutrition!$D$2:$D$300,MATCH($F29,Nutrition!$A$2:$A$300,0))*$I29/100,0))</f>
        <v>0</v>
      </c>
      <c r="K29" s="30">
        <f>IF(OR($F29="",$I29=""),0,IFERROR(INDEX(Nutrition!$E$2:$E$300,MATCH($F29,Nutrition!$A$2:$A$300,0))*$I29/100,0))</f>
        <v>0</v>
      </c>
      <c r="L29" s="30">
        <f>IF(OR($F29="",$I29=""),0,IFERROR(INDEX(Nutrition!$F$2:$F$300,MATCH($F29,Nutrition!$A$2:$A$300,0))*$I29/100,0))</f>
        <v>0</v>
      </c>
      <c r="M29" s="30">
        <f>IF(OR($F29="",$I29=""),0,IFERROR(INDEX(Nutrition!$G$2:$G$300,MATCH($F29,Nutrition!$A$2:$A$300,0))*$I29/100,0))</f>
        <v>0</v>
      </c>
      <c r="N29" s="30">
        <f>IF(OR($F29="",$I29=""),0,IFERROR(INDEX(Nutrition!$H$2:$H$300,MATCH($F29,Nutrition!$A$2:$A$300,0))*$I29/100,0))</f>
        <v>0</v>
      </c>
      <c r="O29" s="30">
        <f>IF(OR($F29="",$I29=""),0,IFERROR(INDEX(Nutrition!$I$2:$I$300,MATCH($F29,Nutrition!$A$2:$A$300,0))*$I29/100,0))</f>
        <v>0</v>
      </c>
      <c r="P29" s="30">
        <f>IF(OR($F29="",$I29=""),0,IFERROR(INDEX(Nutrition!$J$2:$J$300,MATCH($F29,Nutrition!$A$2:$A$300,0))*$I29/100,0))</f>
        <v>0</v>
      </c>
      <c r="Q29" s="30">
        <f>IF(OR($F29="",$I29=""),0,IFERROR(INDEX(Nutrition!$K$2:$K$300,MATCH($F29,Nutrition!$A$2:$A$300,0))*$I29/100,0))</f>
        <v>0</v>
      </c>
      <c r="R29" s="30">
        <f>IF(OR($F29="",$I29=""),0,IFERROR(INDEX(Nutrition!$L$2:$L$300,MATCH($F29,Nutrition!$A$2:$A$300,0))*$I29/100,0))</f>
        <v>0</v>
      </c>
      <c r="S29" s="30">
        <f>IF(OR($F29="",$I29=""),0,IFERROR(INDEX(Nutrition!$M$2:$M$300,MATCH($F29,Nutrition!$A$2:$A$300,0))*$I29/100,0))</f>
        <v>0</v>
      </c>
    </row>
    <row r="30" spans="1:19" ht="15" customHeight="1" x14ac:dyDescent="0.25">
      <c r="A30" s="22" t="s">
        <v>989</v>
      </c>
      <c r="B30" s="33" t="str">
        <f>IFERROR(INDEX(Recipes!$B$2:$B$500,MATCH(A30,Recipes!$A$2:$A$500,0)),"")</f>
        <v>Shakshuka with Tatashe &amp; Efo</v>
      </c>
      <c r="C30" s="7" t="s">
        <v>2777</v>
      </c>
      <c r="D30" s="34">
        <v>1</v>
      </c>
      <c r="E30" s="22" t="s">
        <v>2759</v>
      </c>
      <c r="F30" s="22"/>
      <c r="G30" s="22" t="s">
        <v>2749</v>
      </c>
      <c r="H30" s="7"/>
      <c r="I30" s="35"/>
      <c r="J30" s="30">
        <f>IF(OR($F30="",$I30=""),0,IFERROR(INDEX(Nutrition!$D$2:$D$300,MATCH($F30,Nutrition!$A$2:$A$300,0))*$I30/100,0))</f>
        <v>0</v>
      </c>
      <c r="K30" s="30">
        <f>IF(OR($F30="",$I30=""),0,IFERROR(INDEX(Nutrition!$E$2:$E$300,MATCH($F30,Nutrition!$A$2:$A$300,0))*$I30/100,0))</f>
        <v>0</v>
      </c>
      <c r="L30" s="30">
        <f>IF(OR($F30="",$I30=""),0,IFERROR(INDEX(Nutrition!$F$2:$F$300,MATCH($F30,Nutrition!$A$2:$A$300,0))*$I30/100,0))</f>
        <v>0</v>
      </c>
      <c r="M30" s="30">
        <f>IF(OR($F30="",$I30=""),0,IFERROR(INDEX(Nutrition!$G$2:$G$300,MATCH($F30,Nutrition!$A$2:$A$300,0))*$I30/100,0))</f>
        <v>0</v>
      </c>
      <c r="N30" s="30">
        <f>IF(OR($F30="",$I30=""),0,IFERROR(INDEX(Nutrition!$H$2:$H$300,MATCH($F30,Nutrition!$A$2:$A$300,0))*$I30/100,0))</f>
        <v>0</v>
      </c>
      <c r="O30" s="30">
        <f>IF(OR($F30="",$I30=""),0,IFERROR(INDEX(Nutrition!$I$2:$I$300,MATCH($F30,Nutrition!$A$2:$A$300,0))*$I30/100,0))</f>
        <v>0</v>
      </c>
      <c r="P30" s="30">
        <f>IF(OR($F30="",$I30=""),0,IFERROR(INDEX(Nutrition!$J$2:$J$300,MATCH($F30,Nutrition!$A$2:$A$300,0))*$I30/100,0))</f>
        <v>0</v>
      </c>
      <c r="Q30" s="30">
        <f>IF(OR($F30="",$I30=""),0,IFERROR(INDEX(Nutrition!$K$2:$K$300,MATCH($F30,Nutrition!$A$2:$A$300,0))*$I30/100,0))</f>
        <v>0</v>
      </c>
      <c r="R30" s="30">
        <f>IF(OR($F30="",$I30=""),0,IFERROR(INDEX(Nutrition!$L$2:$L$300,MATCH($F30,Nutrition!$A$2:$A$300,0))*$I30/100,0))</f>
        <v>0</v>
      </c>
      <c r="S30" s="30">
        <f>IF(OR($F30="",$I30=""),0,IFERROR(INDEX(Nutrition!$M$2:$M$300,MATCH($F30,Nutrition!$A$2:$A$300,0))*$I30/100,0))</f>
        <v>0</v>
      </c>
    </row>
    <row r="31" spans="1:19" ht="15" customHeight="1" x14ac:dyDescent="0.25">
      <c r="A31" s="22" t="s">
        <v>989</v>
      </c>
      <c r="B31" s="33" t="str">
        <f>IFERROR(INDEX(Recipes!$B$2:$B$500,MATCH(A31,Recipes!$A$2:$A$500,0)),"")</f>
        <v>Shakshuka with Tatashe &amp; Efo</v>
      </c>
      <c r="C31" s="7" t="s">
        <v>2778</v>
      </c>
      <c r="D31" s="34">
        <v>4</v>
      </c>
      <c r="E31" s="22" t="s">
        <v>2779</v>
      </c>
      <c r="F31" s="22"/>
      <c r="G31" s="22" t="s">
        <v>2749</v>
      </c>
      <c r="H31" s="7" t="s">
        <v>2780</v>
      </c>
      <c r="I31" s="35"/>
      <c r="J31" s="30">
        <f>IF(OR($F31="",$I31=""),0,IFERROR(INDEX(Nutrition!$D$2:$D$300,MATCH($F31,Nutrition!$A$2:$A$300,0))*$I31/100,0))</f>
        <v>0</v>
      </c>
      <c r="K31" s="30">
        <f>IF(OR($F31="",$I31=""),0,IFERROR(INDEX(Nutrition!$E$2:$E$300,MATCH($F31,Nutrition!$A$2:$A$300,0))*$I31/100,0))</f>
        <v>0</v>
      </c>
      <c r="L31" s="30">
        <f>IF(OR($F31="",$I31=""),0,IFERROR(INDEX(Nutrition!$F$2:$F$300,MATCH($F31,Nutrition!$A$2:$A$300,0))*$I31/100,0))</f>
        <v>0</v>
      </c>
      <c r="M31" s="30">
        <f>IF(OR($F31="",$I31=""),0,IFERROR(INDEX(Nutrition!$G$2:$G$300,MATCH($F31,Nutrition!$A$2:$A$300,0))*$I31/100,0))</f>
        <v>0</v>
      </c>
      <c r="N31" s="30">
        <f>IF(OR($F31="",$I31=""),0,IFERROR(INDEX(Nutrition!$H$2:$H$300,MATCH($F31,Nutrition!$A$2:$A$300,0))*$I31/100,0))</f>
        <v>0</v>
      </c>
      <c r="O31" s="30">
        <f>IF(OR($F31="",$I31=""),0,IFERROR(INDEX(Nutrition!$I$2:$I$300,MATCH($F31,Nutrition!$A$2:$A$300,0))*$I31/100,0))</f>
        <v>0</v>
      </c>
      <c r="P31" s="30">
        <f>IF(OR($F31="",$I31=""),0,IFERROR(INDEX(Nutrition!$J$2:$J$300,MATCH($F31,Nutrition!$A$2:$A$300,0))*$I31/100,0))</f>
        <v>0</v>
      </c>
      <c r="Q31" s="30">
        <f>IF(OR($F31="",$I31=""),0,IFERROR(INDEX(Nutrition!$K$2:$K$300,MATCH($F31,Nutrition!$A$2:$A$300,0))*$I31/100,0))</f>
        <v>0</v>
      </c>
      <c r="R31" s="30">
        <f>IF(OR($F31="",$I31=""),0,IFERROR(INDEX(Nutrition!$L$2:$L$300,MATCH($F31,Nutrition!$A$2:$A$300,0))*$I31/100,0))</f>
        <v>0</v>
      </c>
      <c r="S31" s="30">
        <f>IF(OR($F31="",$I31=""),0,IFERROR(INDEX(Nutrition!$M$2:$M$300,MATCH($F31,Nutrition!$A$2:$A$300,0))*$I31/100,0))</f>
        <v>0</v>
      </c>
    </row>
    <row r="32" spans="1:19" ht="15" customHeight="1" x14ac:dyDescent="0.25">
      <c r="A32" s="22" t="s">
        <v>989</v>
      </c>
      <c r="B32" s="33" t="str">
        <f>IFERROR(INDEX(Recipes!$B$2:$B$500,MATCH(A32,Recipes!$A$2:$A$500,0)),"")</f>
        <v>Shakshuka with Tatashe &amp; Efo</v>
      </c>
      <c r="C32" s="7" t="s">
        <v>2772</v>
      </c>
      <c r="D32" s="34">
        <v>1</v>
      </c>
      <c r="E32" s="22" t="s">
        <v>2753</v>
      </c>
      <c r="F32" s="22"/>
      <c r="G32" s="22" t="s">
        <v>2773</v>
      </c>
      <c r="H32" s="7"/>
      <c r="I32" s="35"/>
      <c r="J32" s="30">
        <f>IF(OR($F32="",$I32=""),0,IFERROR(INDEX(Nutrition!$D$2:$D$300,MATCH($F32,Nutrition!$A$2:$A$300,0))*$I32/100,0))</f>
        <v>0</v>
      </c>
      <c r="K32" s="30">
        <f>IF(OR($F32="",$I32=""),0,IFERROR(INDEX(Nutrition!$E$2:$E$300,MATCH($F32,Nutrition!$A$2:$A$300,0))*$I32/100,0))</f>
        <v>0</v>
      </c>
      <c r="L32" s="30">
        <f>IF(OR($F32="",$I32=""),0,IFERROR(INDEX(Nutrition!$F$2:$F$300,MATCH($F32,Nutrition!$A$2:$A$300,0))*$I32/100,0))</f>
        <v>0</v>
      </c>
      <c r="M32" s="30">
        <f>IF(OR($F32="",$I32=""),0,IFERROR(INDEX(Nutrition!$G$2:$G$300,MATCH($F32,Nutrition!$A$2:$A$300,0))*$I32/100,0))</f>
        <v>0</v>
      </c>
      <c r="N32" s="30">
        <f>IF(OR($F32="",$I32=""),0,IFERROR(INDEX(Nutrition!$H$2:$H$300,MATCH($F32,Nutrition!$A$2:$A$300,0))*$I32/100,0))</f>
        <v>0</v>
      </c>
      <c r="O32" s="30">
        <f>IF(OR($F32="",$I32=""),0,IFERROR(INDEX(Nutrition!$I$2:$I$300,MATCH($F32,Nutrition!$A$2:$A$300,0))*$I32/100,0))</f>
        <v>0</v>
      </c>
      <c r="P32" s="30">
        <f>IF(OR($F32="",$I32=""),0,IFERROR(INDEX(Nutrition!$J$2:$J$300,MATCH($F32,Nutrition!$A$2:$A$300,0))*$I32/100,0))</f>
        <v>0</v>
      </c>
      <c r="Q32" s="30">
        <f>IF(OR($F32="",$I32=""),0,IFERROR(INDEX(Nutrition!$K$2:$K$300,MATCH($F32,Nutrition!$A$2:$A$300,0))*$I32/100,0))</f>
        <v>0</v>
      </c>
      <c r="R32" s="30">
        <f>IF(OR($F32="",$I32=""),0,IFERROR(INDEX(Nutrition!$L$2:$L$300,MATCH($F32,Nutrition!$A$2:$A$300,0))*$I32/100,0))</f>
        <v>0</v>
      </c>
      <c r="S32" s="30">
        <f>IF(OR($F32="",$I32=""),0,IFERROR(INDEX(Nutrition!$M$2:$M$300,MATCH($F32,Nutrition!$A$2:$A$300,0))*$I32/100,0))</f>
        <v>0</v>
      </c>
    </row>
    <row r="33" spans="1:19" ht="15" customHeight="1" x14ac:dyDescent="0.25">
      <c r="A33" s="22" t="s">
        <v>989</v>
      </c>
      <c r="B33" s="33" t="str">
        <f>IFERROR(INDEX(Recipes!$B$2:$B$500,MATCH(A33,Recipes!$A$2:$A$500,0)),"")</f>
        <v>Shakshuka with Tatashe &amp; Efo</v>
      </c>
      <c r="C33" s="7" t="s">
        <v>2781</v>
      </c>
      <c r="D33" s="34">
        <v>1</v>
      </c>
      <c r="E33" s="22" t="s">
        <v>2782</v>
      </c>
      <c r="F33" s="22"/>
      <c r="G33" s="22" t="s">
        <v>2773</v>
      </c>
      <c r="H33" s="7"/>
      <c r="I33" s="35"/>
      <c r="J33" s="30">
        <f>IF(OR($F33="",$I33=""),0,IFERROR(INDEX(Nutrition!$D$2:$D$300,MATCH($F33,Nutrition!$A$2:$A$300,0))*$I33/100,0))</f>
        <v>0</v>
      </c>
      <c r="K33" s="30">
        <f>IF(OR($F33="",$I33=""),0,IFERROR(INDEX(Nutrition!$E$2:$E$300,MATCH($F33,Nutrition!$A$2:$A$300,0))*$I33/100,0))</f>
        <v>0</v>
      </c>
      <c r="L33" s="30">
        <f>IF(OR($F33="",$I33=""),0,IFERROR(INDEX(Nutrition!$F$2:$F$300,MATCH($F33,Nutrition!$A$2:$A$300,0))*$I33/100,0))</f>
        <v>0</v>
      </c>
      <c r="M33" s="30">
        <f>IF(OR($F33="",$I33=""),0,IFERROR(INDEX(Nutrition!$G$2:$G$300,MATCH($F33,Nutrition!$A$2:$A$300,0))*$I33/100,0))</f>
        <v>0</v>
      </c>
      <c r="N33" s="30">
        <f>IF(OR($F33="",$I33=""),0,IFERROR(INDEX(Nutrition!$H$2:$H$300,MATCH($F33,Nutrition!$A$2:$A$300,0))*$I33/100,0))</f>
        <v>0</v>
      </c>
      <c r="O33" s="30">
        <f>IF(OR($F33="",$I33=""),0,IFERROR(INDEX(Nutrition!$I$2:$I$300,MATCH($F33,Nutrition!$A$2:$A$300,0))*$I33/100,0))</f>
        <v>0</v>
      </c>
      <c r="P33" s="30">
        <f>IF(OR($F33="",$I33=""),0,IFERROR(INDEX(Nutrition!$J$2:$J$300,MATCH($F33,Nutrition!$A$2:$A$300,0))*$I33/100,0))</f>
        <v>0</v>
      </c>
      <c r="Q33" s="30">
        <f>IF(OR($F33="",$I33=""),0,IFERROR(INDEX(Nutrition!$K$2:$K$300,MATCH($F33,Nutrition!$A$2:$A$300,0))*$I33/100,0))</f>
        <v>0</v>
      </c>
      <c r="R33" s="30">
        <f>IF(OR($F33="",$I33=""),0,IFERROR(INDEX(Nutrition!$L$2:$L$300,MATCH($F33,Nutrition!$A$2:$A$300,0))*$I33/100,0))</f>
        <v>0</v>
      </c>
      <c r="S33" s="30">
        <f>IF(OR($F33="",$I33=""),0,IFERROR(INDEX(Nutrition!$M$2:$M$300,MATCH($F33,Nutrition!$A$2:$A$300,0))*$I33/100,0))</f>
        <v>0</v>
      </c>
    </row>
    <row r="34" spans="1:19" ht="15" customHeight="1" x14ac:dyDescent="0.25">
      <c r="A34" s="22" t="s">
        <v>1001</v>
      </c>
      <c r="B34" s="33" t="str">
        <f>IFERROR(INDEX(Recipes!$B$2:$B$500,MATCH(A34,Recipes!$A$2:$A$500,0)),"")</f>
        <v>Avocado Toast with Ata Rodo Salsa</v>
      </c>
      <c r="C34" s="7" t="s">
        <v>227</v>
      </c>
      <c r="D34" s="34">
        <v>1</v>
      </c>
      <c r="E34" s="22" t="s">
        <v>2754</v>
      </c>
      <c r="F34" s="22" t="s">
        <v>226</v>
      </c>
      <c r="G34" s="22" t="s">
        <v>2755</v>
      </c>
      <c r="H34" s="7" t="s">
        <v>2783</v>
      </c>
      <c r="I34" s="35">
        <v>201</v>
      </c>
      <c r="J34" s="30">
        <f>IF(OR($F34="",$I34=""),0,IFERROR(INDEX(Nutrition!$D$2:$D$300,MATCH($F34,Nutrition!$A$2:$A$300,0))*$I34/100,0))</f>
        <v>13.467000000000001</v>
      </c>
      <c r="K34" s="30">
        <f>IF(OR($F34="",$I34=""),0,IFERROR(INDEX(Nutrition!$E$2:$E$300,MATCH($F34,Nutrition!$A$2:$A$300,0))*$I34/100,0))</f>
        <v>20.100000000000001</v>
      </c>
      <c r="L34" s="30">
        <f>IF(OR($F34="",$I34=""),0,IFERROR(INDEX(Nutrition!$F$2:$F$300,MATCH($F34,Nutrition!$A$2:$A$300,0))*$I34/100,0))</f>
        <v>14.07</v>
      </c>
      <c r="M34" s="30">
        <f>IF(OR($F34="",$I34=""),0,IFERROR(INDEX(Nutrition!$G$2:$G$300,MATCH($F34,Nutrition!$A$2:$A$300,0))*$I34/100,0))</f>
        <v>42.21</v>
      </c>
      <c r="N34" s="30">
        <f>IF(OR($F34="",$I34=""),0,IFERROR(INDEX(Nutrition!$H$2:$H$300,MATCH($F34,Nutrition!$A$2:$A$300,0))*$I34/100,0))</f>
        <v>162.81</v>
      </c>
      <c r="O34" s="30">
        <f>IF(OR($F34="",$I34=""),0,IFERROR(INDEX(Nutrition!$I$2:$I$300,MATCH($F34,Nutrition!$A$2:$A$300,0))*$I34/100,0))</f>
        <v>974.85</v>
      </c>
      <c r="P34" s="30">
        <f>IF(OR($F34="",$I34=""),0,IFERROR(INDEX(Nutrition!$J$2:$J$300,MATCH($F34,Nutrition!$A$2:$A$300,0))*$I34/100,0))</f>
        <v>4.1607000000000003</v>
      </c>
      <c r="Q34" s="30">
        <f>IF(OR($F34="",$I34=""),0,IFERROR(INDEX(Nutrition!$K$2:$K$300,MATCH($F34,Nutrition!$A$2:$A$300,0))*$I34/100,0))</f>
        <v>0.51657000000000008</v>
      </c>
      <c r="R34" s="30">
        <f>IF(OR($F34="",$I34=""),0,IFERROR(INDEX(Nutrition!$L$2:$L$300,MATCH($F34,Nutrition!$A$2:$A$300,0))*$I34/100,0))</f>
        <v>58.29</v>
      </c>
      <c r="S34" s="30">
        <f>IF(OR($F34="",$I34=""),0,IFERROR(INDEX(Nutrition!$M$2:$M$300,MATCH($F34,Nutrition!$A$2:$A$300,0))*$I34/100,0))</f>
        <v>1.1055000000000001</v>
      </c>
    </row>
    <row r="35" spans="1:19" ht="15" customHeight="1" x14ac:dyDescent="0.25">
      <c r="A35" s="22" t="s">
        <v>1001</v>
      </c>
      <c r="B35" s="33" t="str">
        <f>IFERROR(INDEX(Recipes!$B$2:$B$500,MATCH(A35,Recipes!$A$2:$A$500,0)),"")</f>
        <v>Avocado Toast with Ata Rodo Salsa</v>
      </c>
      <c r="C35" s="7" t="s">
        <v>446</v>
      </c>
      <c r="D35" s="34">
        <v>2</v>
      </c>
      <c r="E35" s="22" t="s">
        <v>2754</v>
      </c>
      <c r="F35" s="22" t="s">
        <v>445</v>
      </c>
      <c r="G35" s="22" t="s">
        <v>2755</v>
      </c>
      <c r="H35" s="7"/>
      <c r="I35" s="35">
        <v>124</v>
      </c>
      <c r="J35" s="30">
        <f>IF(OR($F35="",$I35=""),0,IFERROR(INDEX(Nutrition!$D$2:$D$300,MATCH($F35,Nutrition!$A$2:$A$300,0))*$I35/100,0))</f>
        <v>1.4879999999999998</v>
      </c>
      <c r="K35" s="30">
        <f>IF(OR($F35="",$I35=""),0,IFERROR(INDEX(Nutrition!$E$2:$E$300,MATCH($F35,Nutrition!$A$2:$A$300,0))*$I35/100,0))</f>
        <v>16.988</v>
      </c>
      <c r="L35" s="30">
        <f>IF(OR($F35="",$I35=""),0,IFERROR(INDEX(Nutrition!$F$2:$F$300,MATCH($F35,Nutrition!$A$2:$A$300,0))*$I35/100,0))</f>
        <v>52.08</v>
      </c>
      <c r="M35" s="30">
        <f>IF(OR($F35="",$I35=""),0,IFERROR(INDEX(Nutrition!$G$2:$G$300,MATCH($F35,Nutrition!$A$2:$A$300,0))*$I35/100,0))</f>
        <v>9.7959999999999994</v>
      </c>
      <c r="N35" s="30">
        <f>IF(OR($F35="",$I35=""),0,IFERROR(INDEX(Nutrition!$H$2:$H$300,MATCH($F35,Nutrition!$A$2:$A$300,0))*$I35/100,0))</f>
        <v>18.600000000000001</v>
      </c>
      <c r="O35" s="30">
        <f>IF(OR($F35="",$I35=""),0,IFERROR(INDEX(Nutrition!$I$2:$I$300,MATCH($F35,Nutrition!$A$2:$A$300,0))*$I35/100,0))</f>
        <v>293.88</v>
      </c>
      <c r="P35" s="30">
        <f>IF(OR($F35="",$I35=""),0,IFERROR(INDEX(Nutrition!$J$2:$J$300,MATCH($F35,Nutrition!$A$2:$A$300,0))*$I35/100,0))</f>
        <v>0.66960000000000008</v>
      </c>
      <c r="Q35" s="30">
        <f>IF(OR($F35="",$I35=""),0,IFERROR(INDEX(Nutrition!$K$2:$K$300,MATCH($F35,Nutrition!$A$2:$A$300,0))*$I35/100,0))</f>
        <v>9.9199999999999997E-2</v>
      </c>
      <c r="R35" s="30">
        <f>IF(OR($F35="",$I35=""),0,IFERROR(INDEX(Nutrition!$L$2:$L$300,MATCH($F35,Nutrition!$A$2:$A$300,0))*$I35/100,0))</f>
        <v>13.64</v>
      </c>
      <c r="S35" s="30">
        <f>IF(OR($F35="",$I35=""),0,IFERROR(INDEX(Nutrition!$M$2:$M$300,MATCH($F35,Nutrition!$A$2:$A$300,0))*$I35/100,0))</f>
        <v>0.33480000000000004</v>
      </c>
    </row>
    <row r="36" spans="1:19" ht="15" customHeight="1" x14ac:dyDescent="0.25">
      <c r="A36" s="22" t="s">
        <v>1001</v>
      </c>
      <c r="B36" s="33" t="str">
        <f>IFERROR(INDEX(Recipes!$B$2:$B$500,MATCH(A36,Recipes!$A$2:$A$500,0)),"")</f>
        <v>Avocado Toast with Ata Rodo Salsa</v>
      </c>
      <c r="C36" s="7" t="s">
        <v>482</v>
      </c>
      <c r="D36" s="34">
        <v>0.25</v>
      </c>
      <c r="E36" s="22" t="s">
        <v>2754</v>
      </c>
      <c r="F36" s="22" t="s">
        <v>481</v>
      </c>
      <c r="G36" s="22" t="s">
        <v>2755</v>
      </c>
      <c r="H36" s="7" t="s">
        <v>2784</v>
      </c>
      <c r="I36" s="35">
        <v>28</v>
      </c>
      <c r="J36" s="30">
        <f>IF(OR($F36="",$I36=""),0,IFERROR(INDEX(Nutrition!$D$2:$D$300,MATCH($F36,Nutrition!$A$2:$A$300,0))*$I36/100,0))</f>
        <v>0.47600000000000003</v>
      </c>
      <c r="K36" s="30">
        <f>IF(OR($F36="",$I36=""),0,IFERROR(INDEX(Nutrition!$E$2:$E$300,MATCH($F36,Nutrition!$A$2:$A$300,0))*$I36/100,0))</f>
        <v>2.0720000000000001</v>
      </c>
      <c r="L36" s="30">
        <f>IF(OR($F36="",$I36=""),0,IFERROR(INDEX(Nutrition!$F$2:$F$300,MATCH($F36,Nutrition!$A$2:$A$300,0))*$I36/100,0))</f>
        <v>0</v>
      </c>
      <c r="M36" s="30">
        <f>IF(OR($F36="",$I36=""),0,IFERROR(INDEX(Nutrition!$G$2:$G$300,MATCH($F36,Nutrition!$A$2:$A$300,0))*$I36/100,0))</f>
        <v>0.11200000000000002</v>
      </c>
      <c r="N36" s="30">
        <f>IF(OR($F36="",$I36=""),0,IFERROR(INDEX(Nutrition!$H$2:$H$300,MATCH($F36,Nutrition!$A$2:$A$300,0))*$I36/100,0))</f>
        <v>5.32</v>
      </c>
      <c r="O36" s="30">
        <f>IF(OR($F36="",$I36=""),0,IFERROR(INDEX(Nutrition!$I$2:$I$300,MATCH($F36,Nutrition!$A$2:$A$300,0))*$I36/100,0))</f>
        <v>40.880000000000003</v>
      </c>
      <c r="P36" s="30">
        <f>IF(OR($F36="",$I36=""),0,IFERROR(INDEX(Nutrition!$J$2:$J$300,MATCH($F36,Nutrition!$A$2:$A$300,0))*$I36/100,0))</f>
        <v>5.6000000000000008E-3</v>
      </c>
      <c r="Q36" s="30">
        <f>IF(OR($F36="",$I36=""),0,IFERROR(INDEX(Nutrition!$K$2:$K$300,MATCH($F36,Nutrition!$A$2:$A$300,0))*$I36/100,0))</f>
        <v>3.3599999999999998E-2</v>
      </c>
      <c r="R36" s="30">
        <f>IF(OR($F36="",$I36=""),0,IFERROR(INDEX(Nutrition!$L$2:$L$300,MATCH($F36,Nutrition!$A$2:$A$300,0))*$I36/100,0))</f>
        <v>2.8</v>
      </c>
      <c r="S36" s="30">
        <f>IF(OR($F36="",$I36=""),0,IFERROR(INDEX(Nutrition!$M$2:$M$300,MATCH($F36,Nutrition!$A$2:$A$300,0))*$I36/100,0))</f>
        <v>5.8799999999999998E-2</v>
      </c>
    </row>
    <row r="37" spans="1:19" ht="15" customHeight="1" x14ac:dyDescent="0.25">
      <c r="A37" s="22" t="s">
        <v>1001</v>
      </c>
      <c r="B37" s="33" t="str">
        <f>IFERROR(INDEX(Recipes!$B$2:$B$500,MATCH(A37,Recipes!$A$2:$A$500,0)),"")</f>
        <v>Avocado Toast with Ata Rodo Salsa</v>
      </c>
      <c r="C37" s="7" t="s">
        <v>473</v>
      </c>
      <c r="D37" s="34">
        <v>0.25</v>
      </c>
      <c r="E37" s="22" t="s">
        <v>2754</v>
      </c>
      <c r="F37" s="22" t="s">
        <v>472</v>
      </c>
      <c r="G37" s="22" t="s">
        <v>2755</v>
      </c>
      <c r="H37" s="7"/>
      <c r="I37" s="35">
        <v>2</v>
      </c>
      <c r="J37" s="30">
        <f>IF(OR($F37="",$I37=""),0,IFERROR(INDEX(Nutrition!$D$2:$D$300,MATCH($F37,Nutrition!$A$2:$A$300,0))*$I37/100,0))</f>
        <v>0.03</v>
      </c>
      <c r="K37" s="30">
        <f>IF(OR($F37="",$I37=""),0,IFERROR(INDEX(Nutrition!$E$2:$E$300,MATCH($F37,Nutrition!$A$2:$A$300,0))*$I37/100,0))</f>
        <v>2.8739999999999997</v>
      </c>
      <c r="L37" s="30">
        <f>IF(OR($F37="",$I37=""),0,IFERROR(INDEX(Nutrition!$F$2:$F$300,MATCH($F37,Nutrition!$A$2:$A$300,0))*$I37/100,0))</f>
        <v>0.96</v>
      </c>
      <c r="M37" s="30">
        <f>IF(OR($F37="",$I37=""),0,IFERROR(INDEX(Nutrition!$G$2:$G$300,MATCH($F37,Nutrition!$A$2:$A$300,0))*$I37/100,0))</f>
        <v>0.28000000000000003</v>
      </c>
      <c r="N37" s="30">
        <f>IF(OR($F37="",$I37=""),0,IFERROR(INDEX(Nutrition!$H$2:$H$300,MATCH($F37,Nutrition!$A$2:$A$300,0))*$I37/100,0))</f>
        <v>0.46</v>
      </c>
      <c r="O37" s="30">
        <f>IF(OR($F37="",$I37=""),0,IFERROR(INDEX(Nutrition!$I$2:$I$300,MATCH($F37,Nutrition!$A$2:$A$300,0))*$I37/100,0))</f>
        <v>6.44</v>
      </c>
      <c r="P37" s="30">
        <f>IF(OR($F37="",$I37=""),0,IFERROR(INDEX(Nutrition!$J$2:$J$300,MATCH($F37,Nutrition!$A$2:$A$300,0))*$I37/100,0))</f>
        <v>1.38E-2</v>
      </c>
      <c r="Q37" s="30">
        <f>IF(OR($F37="",$I37=""),0,IFERROR(INDEX(Nutrition!$K$2:$K$300,MATCH($F37,Nutrition!$A$2:$A$300,0))*$I37/100,0))</f>
        <v>1.0120000000000001E-2</v>
      </c>
      <c r="R37" s="30">
        <f>IF(OR($F37="",$I37=""),0,IFERROR(INDEX(Nutrition!$L$2:$L$300,MATCH($F37,Nutrition!$A$2:$A$300,0))*$I37/100,0))</f>
        <v>0.46</v>
      </c>
      <c r="S37" s="30">
        <f>IF(OR($F37="",$I37=""),0,IFERROR(INDEX(Nutrition!$M$2:$M$300,MATCH($F37,Nutrition!$A$2:$A$300,0))*$I37/100,0))</f>
        <v>2.06E-2</v>
      </c>
    </row>
    <row r="38" spans="1:19" ht="15" customHeight="1" x14ac:dyDescent="0.25">
      <c r="A38" s="22" t="s">
        <v>1001</v>
      </c>
      <c r="B38" s="33" t="str">
        <f>IFERROR(INDEX(Recipes!$B$2:$B$500,MATCH(A38,Recipes!$A$2:$A$500,0)),"")</f>
        <v>Avocado Toast with Ata Rodo Salsa</v>
      </c>
      <c r="C38" s="7" t="s">
        <v>213</v>
      </c>
      <c r="D38" s="34">
        <v>1</v>
      </c>
      <c r="E38" s="22" t="s">
        <v>2754</v>
      </c>
      <c r="F38" s="22" t="s">
        <v>212</v>
      </c>
      <c r="G38" s="22" t="s">
        <v>2755</v>
      </c>
      <c r="H38" s="7"/>
      <c r="I38" s="35">
        <v>67</v>
      </c>
      <c r="J38" s="30">
        <f>IF(OR($F38="",$I38=""),0,IFERROR(INDEX(Nutrition!$D$2:$D$300,MATCH($F38,Nutrition!$A$2:$A$300,0))*$I38/100,0))</f>
        <v>1.8759999999999999</v>
      </c>
      <c r="K38" s="30">
        <f>IF(OR($F38="",$I38=""),0,IFERROR(INDEX(Nutrition!$E$2:$E$300,MATCH($F38,Nutrition!$A$2:$A$300,0))*$I38/100,0))</f>
        <v>19.497</v>
      </c>
      <c r="L38" s="30">
        <f>IF(OR($F38="",$I38=""),0,IFERROR(INDEX(Nutrition!$F$2:$F$300,MATCH($F38,Nutrition!$A$2:$A$300,0))*$I38/100,0))</f>
        <v>1.34</v>
      </c>
      <c r="M38" s="30">
        <f>IF(OR($F38="",$I38=""),0,IFERROR(INDEX(Nutrition!$G$2:$G$300,MATCH($F38,Nutrition!$A$2:$A$300,0))*$I38/100,0))</f>
        <v>0.40199999999999997</v>
      </c>
      <c r="N38" s="30">
        <f>IF(OR($F38="",$I38=""),0,IFERROR(INDEX(Nutrition!$H$2:$H$300,MATCH($F38,Nutrition!$A$2:$A$300,0))*$I38/100,0))</f>
        <v>5.36</v>
      </c>
      <c r="O38" s="30">
        <f>IF(OR($F38="",$I38=""),0,IFERROR(INDEX(Nutrition!$I$2:$I$300,MATCH($F38,Nutrition!$A$2:$A$300,0))*$I38/100,0))</f>
        <v>68.34</v>
      </c>
      <c r="P38" s="30">
        <f>IF(OR($F38="",$I38=""),0,IFERROR(INDEX(Nutrition!$J$2:$J$300,MATCH($F38,Nutrition!$A$2:$A$300,0))*$I38/100,0))</f>
        <v>0.1474</v>
      </c>
      <c r="Q38" s="30">
        <f>IF(OR($F38="",$I38=""),0,IFERROR(INDEX(Nutrition!$K$2:$K$300,MATCH($F38,Nutrition!$A$2:$A$300,0))*$I38/100,0))</f>
        <v>2.8809999999999999E-2</v>
      </c>
      <c r="R38" s="30">
        <f>IF(OR($F38="",$I38=""),0,IFERROR(INDEX(Nutrition!$L$2:$L$300,MATCH($F38,Nutrition!$A$2:$A$300,0))*$I38/100,0))</f>
        <v>4.0199999999999996</v>
      </c>
      <c r="S38" s="30">
        <f>IF(OR($F38="",$I38=""),0,IFERROR(INDEX(Nutrition!$M$2:$M$300,MATCH($F38,Nutrition!$A$2:$A$300,0))*$I38/100,0))</f>
        <v>0.40199999999999997</v>
      </c>
    </row>
    <row r="39" spans="1:19" ht="15" customHeight="1" x14ac:dyDescent="0.25">
      <c r="A39" s="22" t="s">
        <v>1001</v>
      </c>
      <c r="B39" s="33" t="str">
        <f>IFERROR(INDEX(Recipes!$B$2:$B$500,MATCH(A39,Recipes!$A$2:$A$500,0)),"")</f>
        <v>Avocado Toast with Ata Rodo Salsa</v>
      </c>
      <c r="C39" s="7" t="s">
        <v>2785</v>
      </c>
      <c r="D39" s="34">
        <v>4</v>
      </c>
      <c r="E39" s="22" t="s">
        <v>2779</v>
      </c>
      <c r="F39" s="22"/>
      <c r="G39" s="22" t="s">
        <v>2749</v>
      </c>
      <c r="H39" s="7"/>
      <c r="I39" s="35"/>
      <c r="J39" s="30">
        <f>IF(OR($F39="",$I39=""),0,IFERROR(INDEX(Nutrition!$D$2:$D$300,MATCH($F39,Nutrition!$A$2:$A$300,0))*$I39/100,0))</f>
        <v>0</v>
      </c>
      <c r="K39" s="30">
        <f>IF(OR($F39="",$I39=""),0,IFERROR(INDEX(Nutrition!$E$2:$E$300,MATCH($F39,Nutrition!$A$2:$A$300,0))*$I39/100,0))</f>
        <v>0</v>
      </c>
      <c r="L39" s="30">
        <f>IF(OR($F39="",$I39=""),0,IFERROR(INDEX(Nutrition!$F$2:$F$300,MATCH($F39,Nutrition!$A$2:$A$300,0))*$I39/100,0))</f>
        <v>0</v>
      </c>
      <c r="M39" s="30">
        <f>IF(OR($F39="",$I39=""),0,IFERROR(INDEX(Nutrition!$G$2:$G$300,MATCH($F39,Nutrition!$A$2:$A$300,0))*$I39/100,0))</f>
        <v>0</v>
      </c>
      <c r="N39" s="30">
        <f>IF(OR($F39="",$I39=""),0,IFERROR(INDEX(Nutrition!$H$2:$H$300,MATCH($F39,Nutrition!$A$2:$A$300,0))*$I39/100,0))</f>
        <v>0</v>
      </c>
      <c r="O39" s="30">
        <f>IF(OR($F39="",$I39=""),0,IFERROR(INDEX(Nutrition!$I$2:$I$300,MATCH($F39,Nutrition!$A$2:$A$300,0))*$I39/100,0))</f>
        <v>0</v>
      </c>
      <c r="P39" s="30">
        <f>IF(OR($F39="",$I39=""),0,IFERROR(INDEX(Nutrition!$J$2:$J$300,MATCH($F39,Nutrition!$A$2:$A$300,0))*$I39/100,0))</f>
        <v>0</v>
      </c>
      <c r="Q39" s="30">
        <f>IF(OR($F39="",$I39=""),0,IFERROR(INDEX(Nutrition!$K$2:$K$300,MATCH($F39,Nutrition!$A$2:$A$300,0))*$I39/100,0))</f>
        <v>0</v>
      </c>
      <c r="R39" s="30">
        <f>IF(OR($F39="",$I39=""),0,IFERROR(INDEX(Nutrition!$L$2:$L$300,MATCH($F39,Nutrition!$A$2:$A$300,0))*$I39/100,0))</f>
        <v>0</v>
      </c>
      <c r="S39" s="30">
        <f>IF(OR($F39="",$I39=""),0,IFERROR(INDEX(Nutrition!$M$2:$M$300,MATCH($F39,Nutrition!$A$2:$A$300,0))*$I39/100,0))</f>
        <v>0</v>
      </c>
    </row>
    <row r="40" spans="1:19" ht="15" customHeight="1" x14ac:dyDescent="0.25">
      <c r="A40" s="22" t="s">
        <v>1001</v>
      </c>
      <c r="B40" s="33" t="str">
        <f>IFERROR(INDEX(Recipes!$B$2:$B$500,MATCH(A40,Recipes!$A$2:$A$500,0)),"")</f>
        <v>Avocado Toast with Ata Rodo Salsa</v>
      </c>
      <c r="C40" s="7" t="s">
        <v>2767</v>
      </c>
      <c r="D40" s="34">
        <v>2</v>
      </c>
      <c r="E40" s="22" t="s">
        <v>2754</v>
      </c>
      <c r="F40" s="22"/>
      <c r="G40" s="22" t="s">
        <v>2768</v>
      </c>
      <c r="H40" s="7" t="s">
        <v>2786</v>
      </c>
      <c r="I40" s="35"/>
      <c r="J40" s="30">
        <f>IF(OR($F40="",$I40=""),0,IFERROR(INDEX(Nutrition!$D$2:$D$300,MATCH($F40,Nutrition!$A$2:$A$300,0))*$I40/100,0))</f>
        <v>0</v>
      </c>
      <c r="K40" s="30">
        <f>IF(OR($F40="",$I40=""),0,IFERROR(INDEX(Nutrition!$E$2:$E$300,MATCH($F40,Nutrition!$A$2:$A$300,0))*$I40/100,0))</f>
        <v>0</v>
      </c>
      <c r="L40" s="30">
        <f>IF(OR($F40="",$I40=""),0,IFERROR(INDEX(Nutrition!$F$2:$F$300,MATCH($F40,Nutrition!$A$2:$A$300,0))*$I40/100,0))</f>
        <v>0</v>
      </c>
      <c r="M40" s="30">
        <f>IF(OR($F40="",$I40=""),0,IFERROR(INDEX(Nutrition!$G$2:$G$300,MATCH($F40,Nutrition!$A$2:$A$300,0))*$I40/100,0))</f>
        <v>0</v>
      </c>
      <c r="N40" s="30">
        <f>IF(OR($F40="",$I40=""),0,IFERROR(INDEX(Nutrition!$H$2:$H$300,MATCH($F40,Nutrition!$A$2:$A$300,0))*$I40/100,0))</f>
        <v>0</v>
      </c>
      <c r="O40" s="30">
        <f>IF(OR($F40="",$I40=""),0,IFERROR(INDEX(Nutrition!$I$2:$I$300,MATCH($F40,Nutrition!$A$2:$A$300,0))*$I40/100,0))</f>
        <v>0</v>
      </c>
      <c r="P40" s="30">
        <f>IF(OR($F40="",$I40=""),0,IFERROR(INDEX(Nutrition!$J$2:$J$300,MATCH($F40,Nutrition!$A$2:$A$300,0))*$I40/100,0))</f>
        <v>0</v>
      </c>
      <c r="Q40" s="30">
        <f>IF(OR($F40="",$I40=""),0,IFERROR(INDEX(Nutrition!$K$2:$K$300,MATCH($F40,Nutrition!$A$2:$A$300,0))*$I40/100,0))</f>
        <v>0</v>
      </c>
      <c r="R40" s="30">
        <f>IF(OR($F40="",$I40=""),0,IFERROR(INDEX(Nutrition!$L$2:$L$300,MATCH($F40,Nutrition!$A$2:$A$300,0))*$I40/100,0))</f>
        <v>0</v>
      </c>
      <c r="S40" s="30">
        <f>IF(OR($F40="",$I40=""),0,IFERROR(INDEX(Nutrition!$M$2:$M$300,MATCH($F40,Nutrition!$A$2:$A$300,0))*$I40/100,0))</f>
        <v>0</v>
      </c>
    </row>
    <row r="41" spans="1:19" ht="15" customHeight="1" x14ac:dyDescent="0.25">
      <c r="A41" s="22" t="s">
        <v>1001</v>
      </c>
      <c r="B41" s="33" t="str">
        <f>IFERROR(INDEX(Recipes!$B$2:$B$500,MATCH(A41,Recipes!$A$2:$A$500,0)),"")</f>
        <v>Avocado Toast with Ata Rodo Salsa</v>
      </c>
      <c r="C41" s="7" t="s">
        <v>2781</v>
      </c>
      <c r="D41" s="34">
        <v>1</v>
      </c>
      <c r="E41" s="22" t="s">
        <v>2782</v>
      </c>
      <c r="F41" s="22"/>
      <c r="G41" s="22" t="s">
        <v>2773</v>
      </c>
      <c r="H41" s="7"/>
      <c r="I41" s="35"/>
      <c r="J41" s="30">
        <f>IF(OR($F41="",$I41=""),0,IFERROR(INDEX(Nutrition!$D$2:$D$300,MATCH($F41,Nutrition!$A$2:$A$300,0))*$I41/100,0))</f>
        <v>0</v>
      </c>
      <c r="K41" s="30">
        <f>IF(OR($F41="",$I41=""),0,IFERROR(INDEX(Nutrition!$E$2:$E$300,MATCH($F41,Nutrition!$A$2:$A$300,0))*$I41/100,0))</f>
        <v>0</v>
      </c>
      <c r="L41" s="30">
        <f>IF(OR($F41="",$I41=""),0,IFERROR(INDEX(Nutrition!$F$2:$F$300,MATCH($F41,Nutrition!$A$2:$A$300,0))*$I41/100,0))</f>
        <v>0</v>
      </c>
      <c r="M41" s="30">
        <f>IF(OR($F41="",$I41=""),0,IFERROR(INDEX(Nutrition!$G$2:$G$300,MATCH($F41,Nutrition!$A$2:$A$300,0))*$I41/100,0))</f>
        <v>0</v>
      </c>
      <c r="N41" s="30">
        <f>IF(OR($F41="",$I41=""),0,IFERROR(INDEX(Nutrition!$H$2:$H$300,MATCH($F41,Nutrition!$A$2:$A$300,0))*$I41/100,0))</f>
        <v>0</v>
      </c>
      <c r="O41" s="30">
        <f>IF(OR($F41="",$I41=""),0,IFERROR(INDEX(Nutrition!$I$2:$I$300,MATCH($F41,Nutrition!$A$2:$A$300,0))*$I41/100,0))</f>
        <v>0</v>
      </c>
      <c r="P41" s="30">
        <f>IF(OR($F41="",$I41=""),0,IFERROR(INDEX(Nutrition!$J$2:$J$300,MATCH($F41,Nutrition!$A$2:$A$300,0))*$I41/100,0))</f>
        <v>0</v>
      </c>
      <c r="Q41" s="30">
        <f>IF(OR($F41="",$I41=""),0,IFERROR(INDEX(Nutrition!$K$2:$K$300,MATCH($F41,Nutrition!$A$2:$A$300,0))*$I41/100,0))</f>
        <v>0</v>
      </c>
      <c r="R41" s="30">
        <f>IF(OR($F41="",$I41=""),0,IFERROR(INDEX(Nutrition!$L$2:$L$300,MATCH($F41,Nutrition!$A$2:$A$300,0))*$I41/100,0))</f>
        <v>0</v>
      </c>
      <c r="S41" s="30">
        <f>IF(OR($F41="",$I41=""),0,IFERROR(INDEX(Nutrition!$M$2:$M$300,MATCH($F41,Nutrition!$A$2:$A$300,0))*$I41/100,0))</f>
        <v>0</v>
      </c>
    </row>
    <row r="42" spans="1:19" ht="15" customHeight="1" x14ac:dyDescent="0.25">
      <c r="A42" s="22" t="s">
        <v>1014</v>
      </c>
      <c r="B42" s="33" t="str">
        <f>IFERROR(INDEX(Recipes!$B$2:$B$500,MATCH(A42,Recipes!$A$2:$A$500,0)),"")</f>
        <v>Sweet Potato Breakfast Hash</v>
      </c>
      <c r="C42" s="7" t="s">
        <v>610</v>
      </c>
      <c r="D42" s="34">
        <v>2</v>
      </c>
      <c r="E42" s="22" t="s">
        <v>2754</v>
      </c>
      <c r="F42" s="22" t="s">
        <v>609</v>
      </c>
      <c r="G42" s="22" t="s">
        <v>2755</v>
      </c>
      <c r="H42" s="7" t="s">
        <v>2787</v>
      </c>
      <c r="I42" s="35">
        <v>260</v>
      </c>
      <c r="J42" s="30">
        <f>IF(OR($F42="",$I42=""),0,IFERROR(INDEX(Nutrition!$D$2:$D$300,MATCH($F42,Nutrition!$A$2:$A$300,0))*$I42/100,0))</f>
        <v>7.8</v>
      </c>
      <c r="K42" s="30">
        <f>IF(OR($F42="",$I42=""),0,IFERROR(INDEX(Nutrition!$E$2:$E$300,MATCH($F42,Nutrition!$A$2:$A$300,0))*$I42/100,0))</f>
        <v>6.24</v>
      </c>
      <c r="L42" s="30">
        <f>IF(OR($F42="",$I42=""),0,IFERROR(INDEX(Nutrition!$F$2:$F$300,MATCH($F42,Nutrition!$A$2:$A$300,0))*$I42/100,0))</f>
        <v>1843.4</v>
      </c>
      <c r="M42" s="30">
        <f>IF(OR($F42="",$I42=""),0,IFERROR(INDEX(Nutrition!$G$2:$G$300,MATCH($F42,Nutrition!$A$2:$A$300,0))*$I42/100,0))</f>
        <v>4.68</v>
      </c>
      <c r="N42" s="30">
        <f>IF(OR($F42="",$I42=""),0,IFERROR(INDEX(Nutrition!$H$2:$H$300,MATCH($F42,Nutrition!$A$2:$A$300,0))*$I42/100,0))</f>
        <v>28.6</v>
      </c>
      <c r="O42" s="30">
        <f>IF(OR($F42="",$I42=""),0,IFERROR(INDEX(Nutrition!$I$2:$I$300,MATCH($F42,Nutrition!$A$2:$A$300,0))*$I42/100,0))</f>
        <v>876.2</v>
      </c>
      <c r="P42" s="30">
        <f>IF(OR($F42="",$I42=""),0,IFERROR(INDEX(Nutrition!$J$2:$J$300,MATCH($F42,Nutrition!$A$2:$A$300,0))*$I42/100,0))</f>
        <v>0.67600000000000005</v>
      </c>
      <c r="Q42" s="30">
        <f>IF(OR($F42="",$I42=""),0,IFERROR(INDEX(Nutrition!$K$2:$K$300,MATCH($F42,Nutrition!$A$2:$A$300,0))*$I42/100,0))</f>
        <v>0.54339999999999999</v>
      </c>
      <c r="R42" s="30">
        <f>IF(OR($F42="",$I42=""),0,IFERROR(INDEX(Nutrition!$L$2:$L$300,MATCH($F42,Nutrition!$A$2:$A$300,0))*$I42/100,0))</f>
        <v>65</v>
      </c>
      <c r="S42" s="30">
        <f>IF(OR($F42="",$I42=""),0,IFERROR(INDEX(Nutrition!$M$2:$M$300,MATCH($F42,Nutrition!$A$2:$A$300,0))*$I42/100,0))</f>
        <v>1.5859999999999999</v>
      </c>
    </row>
    <row r="43" spans="1:19" ht="15" customHeight="1" x14ac:dyDescent="0.25">
      <c r="A43" s="22" t="s">
        <v>1014</v>
      </c>
      <c r="B43" s="33" t="str">
        <f>IFERROR(INDEX(Recipes!$B$2:$B$500,MATCH(A43,Recipes!$A$2:$A$500,0)),"")</f>
        <v>Sweet Potato Breakfast Hash</v>
      </c>
      <c r="C43" s="7" t="s">
        <v>482</v>
      </c>
      <c r="D43" s="34">
        <v>1</v>
      </c>
      <c r="E43" s="22" t="s">
        <v>2754</v>
      </c>
      <c r="F43" s="22" t="s">
        <v>481</v>
      </c>
      <c r="G43" s="22" t="s">
        <v>2755</v>
      </c>
      <c r="H43" s="7"/>
      <c r="I43" s="35">
        <v>110</v>
      </c>
      <c r="J43" s="30">
        <f>IF(OR($F43="",$I43=""),0,IFERROR(INDEX(Nutrition!$D$2:$D$300,MATCH($F43,Nutrition!$A$2:$A$300,0))*$I43/100,0))</f>
        <v>1.87</v>
      </c>
      <c r="K43" s="30">
        <f>IF(OR($F43="",$I43=""),0,IFERROR(INDEX(Nutrition!$E$2:$E$300,MATCH($F43,Nutrition!$A$2:$A$300,0))*$I43/100,0))</f>
        <v>8.14</v>
      </c>
      <c r="L43" s="30">
        <f>IF(OR($F43="",$I43=""),0,IFERROR(INDEX(Nutrition!$F$2:$F$300,MATCH($F43,Nutrition!$A$2:$A$300,0))*$I43/100,0))</f>
        <v>0</v>
      </c>
      <c r="M43" s="30">
        <f>IF(OR($F43="",$I43=""),0,IFERROR(INDEX(Nutrition!$G$2:$G$300,MATCH($F43,Nutrition!$A$2:$A$300,0))*$I43/100,0))</f>
        <v>0.44</v>
      </c>
      <c r="N43" s="30">
        <f>IF(OR($F43="",$I43=""),0,IFERROR(INDEX(Nutrition!$H$2:$H$300,MATCH($F43,Nutrition!$A$2:$A$300,0))*$I43/100,0))</f>
        <v>20.9</v>
      </c>
      <c r="O43" s="30">
        <f>IF(OR($F43="",$I43=""),0,IFERROR(INDEX(Nutrition!$I$2:$I$300,MATCH($F43,Nutrition!$A$2:$A$300,0))*$I43/100,0))</f>
        <v>160.6</v>
      </c>
      <c r="P43" s="30">
        <f>IF(OR($F43="",$I43=""),0,IFERROR(INDEX(Nutrition!$J$2:$J$300,MATCH($F43,Nutrition!$A$2:$A$300,0))*$I43/100,0))</f>
        <v>2.2000000000000002E-2</v>
      </c>
      <c r="Q43" s="30">
        <f>IF(OR($F43="",$I43=""),0,IFERROR(INDEX(Nutrition!$K$2:$K$300,MATCH($F43,Nutrition!$A$2:$A$300,0))*$I43/100,0))</f>
        <v>0.13200000000000001</v>
      </c>
      <c r="R43" s="30">
        <f>IF(OR($F43="",$I43=""),0,IFERROR(INDEX(Nutrition!$L$2:$L$300,MATCH($F43,Nutrition!$A$2:$A$300,0))*$I43/100,0))</f>
        <v>11</v>
      </c>
      <c r="S43" s="30">
        <f>IF(OR($F43="",$I43=""),0,IFERROR(INDEX(Nutrition!$M$2:$M$300,MATCH($F43,Nutrition!$A$2:$A$300,0))*$I43/100,0))</f>
        <v>0.23099999999999998</v>
      </c>
    </row>
    <row r="44" spans="1:19" ht="15" customHeight="1" x14ac:dyDescent="0.25">
      <c r="A44" s="22" t="s">
        <v>1014</v>
      </c>
      <c r="B44" s="33" t="str">
        <f>IFERROR(INDEX(Recipes!$B$2:$B$500,MATCH(A44,Recipes!$A$2:$A$500,0)),"")</f>
        <v>Sweet Potato Breakfast Hash</v>
      </c>
      <c r="C44" s="7" t="s">
        <v>462</v>
      </c>
      <c r="D44" s="34">
        <v>1</v>
      </c>
      <c r="E44" s="22" t="s">
        <v>2754</v>
      </c>
      <c r="F44" s="22" t="s">
        <v>461</v>
      </c>
      <c r="G44" s="22" t="s">
        <v>2755</v>
      </c>
      <c r="H44" s="7"/>
      <c r="I44" s="35">
        <v>119</v>
      </c>
      <c r="J44" s="30">
        <f>IF(OR($F44="",$I44=""),0,IFERROR(INDEX(Nutrition!$D$2:$D$300,MATCH($F44,Nutrition!$A$2:$A$300,0))*$I44/100,0))</f>
        <v>2.4990000000000001</v>
      </c>
      <c r="K44" s="30">
        <f>IF(OR($F44="",$I44=""),0,IFERROR(INDEX(Nutrition!$E$2:$E$300,MATCH($F44,Nutrition!$A$2:$A$300,0))*$I44/100,0))</f>
        <v>151.96300000000002</v>
      </c>
      <c r="L44" s="30">
        <f>IF(OR($F44="",$I44=""),0,IFERROR(INDEX(Nutrition!$F$2:$F$300,MATCH($F44,Nutrition!$A$2:$A$300,0))*$I44/100,0))</f>
        <v>186.83</v>
      </c>
      <c r="M44" s="30">
        <f>IF(OR($F44="",$I44=""),0,IFERROR(INDEX(Nutrition!$G$2:$G$300,MATCH($F44,Nutrition!$A$2:$A$300,0))*$I44/100,0))</f>
        <v>5.8310000000000004</v>
      </c>
      <c r="N44" s="30">
        <f>IF(OR($F44="",$I44=""),0,IFERROR(INDEX(Nutrition!$H$2:$H$300,MATCH($F44,Nutrition!$A$2:$A$300,0))*$I44/100,0))</f>
        <v>54.74</v>
      </c>
      <c r="O44" s="30">
        <f>IF(OR($F44="",$I44=""),0,IFERROR(INDEX(Nutrition!$I$2:$I$300,MATCH($F44,Nutrition!$A$2:$A$300,0))*$I44/100,0))</f>
        <v>251.09</v>
      </c>
      <c r="P44" s="30">
        <f>IF(OR($F44="",$I44=""),0,IFERROR(INDEX(Nutrition!$J$2:$J$300,MATCH($F44,Nutrition!$A$2:$A$300,0))*$I44/100,0))</f>
        <v>1.8802000000000001</v>
      </c>
      <c r="Q44" s="30">
        <f>IF(OR($F44="",$I44=""),0,IFERROR(INDEX(Nutrition!$K$2:$K$300,MATCH($F44,Nutrition!$A$2:$A$300,0))*$I44/100,0))</f>
        <v>0.34628999999999999</v>
      </c>
      <c r="R44" s="30">
        <f>IF(OR($F44="",$I44=""),0,IFERROR(INDEX(Nutrition!$L$2:$L$300,MATCH($F44,Nutrition!$A$2:$A$300,0))*$I44/100,0))</f>
        <v>14.28</v>
      </c>
      <c r="S44" s="30">
        <f>IF(OR($F44="",$I44=""),0,IFERROR(INDEX(Nutrition!$M$2:$M$300,MATCH($F44,Nutrition!$A$2:$A$300,0))*$I44/100,0))</f>
        <v>0.51170000000000004</v>
      </c>
    </row>
    <row r="45" spans="1:19" ht="15" customHeight="1" x14ac:dyDescent="0.25">
      <c r="A45" s="22" t="s">
        <v>1014</v>
      </c>
      <c r="B45" s="33" t="str">
        <f>IFERROR(INDEX(Recipes!$B$2:$B$500,MATCH(A45,Recipes!$A$2:$A$500,0)),"")</f>
        <v>Sweet Potato Breakfast Hash</v>
      </c>
      <c r="C45" s="7" t="s">
        <v>633</v>
      </c>
      <c r="D45" s="34">
        <v>1</v>
      </c>
      <c r="E45" s="22" t="s">
        <v>2748</v>
      </c>
      <c r="F45" s="22" t="s">
        <v>632</v>
      </c>
      <c r="G45" s="22" t="s">
        <v>2755</v>
      </c>
      <c r="H45" s="7"/>
      <c r="I45" s="35">
        <v>28</v>
      </c>
      <c r="J45" s="30">
        <f>IF(OR($F45="",$I45=""),0,IFERROR(INDEX(Nutrition!$D$2:$D$300,MATCH($F45,Nutrition!$A$2:$A$300,0))*$I45/100,0))</f>
        <v>0.56000000000000005</v>
      </c>
      <c r="K45" s="30">
        <f>IF(OR($F45="",$I45=""),0,IFERROR(INDEX(Nutrition!$E$2:$E$300,MATCH($F45,Nutrition!$A$2:$A$300,0))*$I45/100,0))</f>
        <v>12.123999999999999</v>
      </c>
      <c r="L45" s="30">
        <f>IF(OR($F45="",$I45=""),0,IFERROR(INDEX(Nutrition!$F$2:$F$300,MATCH($F45,Nutrition!$A$2:$A$300,0))*$I45/100,0))</f>
        <v>40.880000000000003</v>
      </c>
      <c r="M45" s="30">
        <f>IF(OR($F45="",$I45=""),0,IFERROR(INDEX(Nutrition!$G$2:$G$300,MATCH($F45,Nutrition!$A$2:$A$300,0))*$I45/100,0))</f>
        <v>319.2</v>
      </c>
      <c r="N45" s="30">
        <f>IF(OR($F45="",$I45=""),0,IFERROR(INDEX(Nutrition!$H$2:$H$300,MATCH($F45,Nutrition!$A$2:$A$300,0))*$I45/100,0))</f>
        <v>23.8</v>
      </c>
      <c r="O45" s="30">
        <f>IF(OR($F45="",$I45=""),0,IFERROR(INDEX(Nutrition!$I$2:$I$300,MATCH($F45,Nutrition!$A$2:$A$300,0))*$I45/100,0))</f>
        <v>171.08</v>
      </c>
      <c r="P45" s="30">
        <f>IF(OR($F45="",$I45=""),0,IFERROR(INDEX(Nutrition!$J$2:$J$300,MATCH($F45,Nutrition!$A$2:$A$300,0))*$I45/100,0))</f>
        <v>0</v>
      </c>
      <c r="Q45" s="30">
        <f>IF(OR($F45="",$I45=""),0,IFERROR(INDEX(Nutrition!$K$2:$K$300,MATCH($F45,Nutrition!$A$2:$A$300,0))*$I45/100,0))</f>
        <v>5.3760000000000002E-2</v>
      </c>
      <c r="R45" s="30">
        <f>IF(OR($F45="",$I45=""),0,IFERROR(INDEX(Nutrition!$L$2:$L$300,MATCH($F45,Nutrition!$A$2:$A$300,0))*$I45/100,0))</f>
        <v>15.4</v>
      </c>
      <c r="S45" s="30">
        <f>IF(OR($F45="",$I45=""),0,IFERROR(INDEX(Nutrition!$M$2:$M$300,MATCH($F45,Nutrition!$A$2:$A$300,0))*$I45/100,0))</f>
        <v>0.64959999999999996</v>
      </c>
    </row>
    <row r="46" spans="1:19" ht="15" customHeight="1" x14ac:dyDescent="0.25">
      <c r="A46" s="22" t="s">
        <v>1014</v>
      </c>
      <c r="B46" s="33" t="str">
        <f>IFERROR(INDEX(Recipes!$B$2:$B$500,MATCH(A46,Recipes!$A$2:$A$500,0)),"")</f>
        <v>Sweet Potato Breakfast Hash</v>
      </c>
      <c r="C46" s="7" t="s">
        <v>490</v>
      </c>
      <c r="D46" s="34">
        <v>1</v>
      </c>
      <c r="E46" s="22" t="s">
        <v>2788</v>
      </c>
      <c r="F46" s="22" t="s">
        <v>489</v>
      </c>
      <c r="G46" s="22" t="s">
        <v>2755</v>
      </c>
      <c r="H46" s="7"/>
      <c r="I46" s="35">
        <v>15</v>
      </c>
      <c r="J46" s="30">
        <f>IF(OR($F46="",$I46=""),0,IFERROR(INDEX(Nutrition!$D$2:$D$300,MATCH($F46,Nutrition!$A$2:$A$300,0))*$I46/100,0))</f>
        <v>0.39</v>
      </c>
      <c r="K46" s="30">
        <f>IF(OR($F46="",$I46=""),0,IFERROR(INDEX(Nutrition!$E$2:$E$300,MATCH($F46,Nutrition!$A$2:$A$300,0))*$I46/100,0))</f>
        <v>2.82</v>
      </c>
      <c r="L46" s="30">
        <f>IF(OR($F46="",$I46=""),0,IFERROR(INDEX(Nutrition!$F$2:$F$300,MATCH($F46,Nutrition!$A$2:$A$300,0))*$I46/100,0))</f>
        <v>7.5</v>
      </c>
      <c r="M46" s="30">
        <f>IF(OR($F46="",$I46=""),0,IFERROR(INDEX(Nutrition!$G$2:$G$300,MATCH($F46,Nutrition!$A$2:$A$300,0))*$I46/100,0))</f>
        <v>31.05</v>
      </c>
      <c r="N46" s="30">
        <f>IF(OR($F46="",$I46=""),0,IFERROR(INDEX(Nutrition!$H$2:$H$300,MATCH($F46,Nutrition!$A$2:$A$300,0))*$I46/100,0))</f>
        <v>9.6</v>
      </c>
      <c r="O46" s="30">
        <f>IF(OR($F46="",$I46=""),0,IFERROR(INDEX(Nutrition!$I$2:$I$300,MATCH($F46,Nutrition!$A$2:$A$300,0))*$I46/100,0))</f>
        <v>41.4</v>
      </c>
      <c r="P46" s="30">
        <f>IF(OR($F46="",$I46=""),0,IFERROR(INDEX(Nutrition!$J$2:$J$300,MATCH($F46,Nutrition!$A$2:$A$300,0))*$I46/100,0))</f>
        <v>8.2500000000000004E-2</v>
      </c>
      <c r="Q46" s="30">
        <f>IF(OR($F46="",$I46=""),0,IFERROR(INDEX(Nutrition!$K$2:$K$300,MATCH($F46,Nutrition!$A$2:$A$300,0))*$I46/100,0))</f>
        <v>9.1500000000000001E-3</v>
      </c>
      <c r="R46" s="30">
        <f>IF(OR($F46="",$I46=""),0,IFERROR(INDEX(Nutrition!$L$2:$L$300,MATCH($F46,Nutrition!$A$2:$A$300,0))*$I46/100,0))</f>
        <v>3</v>
      </c>
      <c r="S46" s="30">
        <f>IF(OR($F46="",$I46=""),0,IFERROR(INDEX(Nutrition!$M$2:$M$300,MATCH($F46,Nutrition!$A$2:$A$300,0))*$I46/100,0))</f>
        <v>0.222</v>
      </c>
    </row>
    <row r="47" spans="1:19" ht="15" customHeight="1" x14ac:dyDescent="0.25">
      <c r="A47" s="22" t="s">
        <v>1014</v>
      </c>
      <c r="B47" s="33" t="str">
        <f>IFERROR(INDEX(Recipes!$B$2:$B$500,MATCH(A47,Recipes!$A$2:$A$500,0)),"")</f>
        <v>Sweet Potato Breakfast Hash</v>
      </c>
      <c r="C47" s="7" t="s">
        <v>2767</v>
      </c>
      <c r="D47" s="34">
        <v>4</v>
      </c>
      <c r="E47" s="22" t="s">
        <v>2754</v>
      </c>
      <c r="F47" s="22"/>
      <c r="G47" s="22" t="s">
        <v>2768</v>
      </c>
      <c r="H47" s="7"/>
      <c r="I47" s="35"/>
      <c r="J47" s="30">
        <f>IF(OR($F47="",$I47=""),0,IFERROR(INDEX(Nutrition!$D$2:$D$300,MATCH($F47,Nutrition!$A$2:$A$300,0))*$I47/100,0))</f>
        <v>0</v>
      </c>
      <c r="K47" s="30">
        <f>IF(OR($F47="",$I47=""),0,IFERROR(INDEX(Nutrition!$E$2:$E$300,MATCH($F47,Nutrition!$A$2:$A$300,0))*$I47/100,0))</f>
        <v>0</v>
      </c>
      <c r="L47" s="30">
        <f>IF(OR($F47="",$I47=""),0,IFERROR(INDEX(Nutrition!$F$2:$F$300,MATCH($F47,Nutrition!$A$2:$A$300,0))*$I47/100,0))</f>
        <v>0</v>
      </c>
      <c r="M47" s="30">
        <f>IF(OR($F47="",$I47=""),0,IFERROR(INDEX(Nutrition!$G$2:$G$300,MATCH($F47,Nutrition!$A$2:$A$300,0))*$I47/100,0))</f>
        <v>0</v>
      </c>
      <c r="N47" s="30">
        <f>IF(OR($F47="",$I47=""),0,IFERROR(INDEX(Nutrition!$H$2:$H$300,MATCH($F47,Nutrition!$A$2:$A$300,0))*$I47/100,0))</f>
        <v>0</v>
      </c>
      <c r="O47" s="30">
        <f>IF(OR($F47="",$I47=""),0,IFERROR(INDEX(Nutrition!$I$2:$I$300,MATCH($F47,Nutrition!$A$2:$A$300,0))*$I47/100,0))</f>
        <v>0</v>
      </c>
      <c r="P47" s="30">
        <f>IF(OR($F47="",$I47=""),0,IFERROR(INDEX(Nutrition!$J$2:$J$300,MATCH($F47,Nutrition!$A$2:$A$300,0))*$I47/100,0))</f>
        <v>0</v>
      </c>
      <c r="Q47" s="30">
        <f>IF(OR($F47="",$I47=""),0,IFERROR(INDEX(Nutrition!$K$2:$K$300,MATCH($F47,Nutrition!$A$2:$A$300,0))*$I47/100,0))</f>
        <v>0</v>
      </c>
      <c r="R47" s="30">
        <f>IF(OR($F47="",$I47=""),0,IFERROR(INDEX(Nutrition!$L$2:$L$300,MATCH($F47,Nutrition!$A$2:$A$300,0))*$I47/100,0))</f>
        <v>0</v>
      </c>
      <c r="S47" s="30">
        <f>IF(OR($F47="",$I47=""),0,IFERROR(INDEX(Nutrition!$M$2:$M$300,MATCH($F47,Nutrition!$A$2:$A$300,0))*$I47/100,0))</f>
        <v>0</v>
      </c>
    </row>
    <row r="48" spans="1:19" ht="15" customHeight="1" x14ac:dyDescent="0.25">
      <c r="A48" s="22" t="s">
        <v>1014</v>
      </c>
      <c r="B48" s="33" t="str">
        <f>IFERROR(INDEX(Recipes!$B$2:$B$500,MATCH(A48,Recipes!$A$2:$A$500,0)),"")</f>
        <v>Sweet Potato Breakfast Hash</v>
      </c>
      <c r="C48" s="7" t="s">
        <v>2789</v>
      </c>
      <c r="D48" s="34">
        <v>0.5</v>
      </c>
      <c r="E48" s="22" t="s">
        <v>2759</v>
      </c>
      <c r="F48" s="22"/>
      <c r="G48" s="22" t="s">
        <v>2749</v>
      </c>
      <c r="H48" s="7"/>
      <c r="I48" s="35"/>
      <c r="J48" s="30">
        <f>IF(OR($F48="",$I48=""),0,IFERROR(INDEX(Nutrition!$D$2:$D$300,MATCH($F48,Nutrition!$A$2:$A$300,0))*$I48/100,0))</f>
        <v>0</v>
      </c>
      <c r="K48" s="30">
        <f>IF(OR($F48="",$I48=""),0,IFERROR(INDEX(Nutrition!$E$2:$E$300,MATCH($F48,Nutrition!$A$2:$A$300,0))*$I48/100,0))</f>
        <v>0</v>
      </c>
      <c r="L48" s="30">
        <f>IF(OR($F48="",$I48=""),0,IFERROR(INDEX(Nutrition!$F$2:$F$300,MATCH($F48,Nutrition!$A$2:$A$300,0))*$I48/100,0))</f>
        <v>0</v>
      </c>
      <c r="M48" s="30">
        <f>IF(OR($F48="",$I48=""),0,IFERROR(INDEX(Nutrition!$G$2:$G$300,MATCH($F48,Nutrition!$A$2:$A$300,0))*$I48/100,0))</f>
        <v>0</v>
      </c>
      <c r="N48" s="30">
        <f>IF(OR($F48="",$I48=""),0,IFERROR(INDEX(Nutrition!$H$2:$H$300,MATCH($F48,Nutrition!$A$2:$A$300,0))*$I48/100,0))</f>
        <v>0</v>
      </c>
      <c r="O48" s="30">
        <f>IF(OR($F48="",$I48=""),0,IFERROR(INDEX(Nutrition!$I$2:$I$300,MATCH($F48,Nutrition!$A$2:$A$300,0))*$I48/100,0))</f>
        <v>0</v>
      </c>
      <c r="P48" s="30">
        <f>IF(OR($F48="",$I48=""),0,IFERROR(INDEX(Nutrition!$J$2:$J$300,MATCH($F48,Nutrition!$A$2:$A$300,0))*$I48/100,0))</f>
        <v>0</v>
      </c>
      <c r="Q48" s="30">
        <f>IF(OR($F48="",$I48=""),0,IFERROR(INDEX(Nutrition!$K$2:$K$300,MATCH($F48,Nutrition!$A$2:$A$300,0))*$I48/100,0))</f>
        <v>0</v>
      </c>
      <c r="R48" s="30">
        <f>IF(OR($F48="",$I48=""),0,IFERROR(INDEX(Nutrition!$L$2:$L$300,MATCH($F48,Nutrition!$A$2:$A$300,0))*$I48/100,0))</f>
        <v>0</v>
      </c>
      <c r="S48" s="30">
        <f>IF(OR($F48="",$I48=""),0,IFERROR(INDEX(Nutrition!$M$2:$M$300,MATCH($F48,Nutrition!$A$2:$A$300,0))*$I48/100,0))</f>
        <v>0</v>
      </c>
    </row>
    <row r="49" spans="1:19" ht="15" customHeight="1" x14ac:dyDescent="0.25">
      <c r="A49" s="22" t="s">
        <v>1014</v>
      </c>
      <c r="B49" s="33" t="str">
        <f>IFERROR(INDEX(Recipes!$B$2:$B$500,MATCH(A49,Recipes!$A$2:$A$500,0)),"")</f>
        <v>Sweet Potato Breakfast Hash</v>
      </c>
      <c r="C49" s="7" t="s">
        <v>2772</v>
      </c>
      <c r="D49" s="34">
        <v>1</v>
      </c>
      <c r="E49" s="22" t="s">
        <v>2753</v>
      </c>
      <c r="F49" s="22"/>
      <c r="G49" s="22" t="s">
        <v>2773</v>
      </c>
      <c r="H49" s="7"/>
      <c r="I49" s="35"/>
      <c r="J49" s="30">
        <f>IF(OR($F49="",$I49=""),0,IFERROR(INDEX(Nutrition!$D$2:$D$300,MATCH($F49,Nutrition!$A$2:$A$300,0))*$I49/100,0))</f>
        <v>0</v>
      </c>
      <c r="K49" s="30">
        <f>IF(OR($F49="",$I49=""),0,IFERROR(INDEX(Nutrition!$E$2:$E$300,MATCH($F49,Nutrition!$A$2:$A$300,0))*$I49/100,0))</f>
        <v>0</v>
      </c>
      <c r="L49" s="30">
        <f>IF(OR($F49="",$I49=""),0,IFERROR(INDEX(Nutrition!$F$2:$F$300,MATCH($F49,Nutrition!$A$2:$A$300,0))*$I49/100,0))</f>
        <v>0</v>
      </c>
      <c r="M49" s="30">
        <f>IF(OR($F49="",$I49=""),0,IFERROR(INDEX(Nutrition!$G$2:$G$300,MATCH($F49,Nutrition!$A$2:$A$300,0))*$I49/100,0))</f>
        <v>0</v>
      </c>
      <c r="N49" s="30">
        <f>IF(OR($F49="",$I49=""),0,IFERROR(INDEX(Nutrition!$H$2:$H$300,MATCH($F49,Nutrition!$A$2:$A$300,0))*$I49/100,0))</f>
        <v>0</v>
      </c>
      <c r="O49" s="30">
        <f>IF(OR($F49="",$I49=""),0,IFERROR(INDEX(Nutrition!$I$2:$I$300,MATCH($F49,Nutrition!$A$2:$A$300,0))*$I49/100,0))</f>
        <v>0</v>
      </c>
      <c r="P49" s="30">
        <f>IF(OR($F49="",$I49=""),0,IFERROR(INDEX(Nutrition!$J$2:$J$300,MATCH($F49,Nutrition!$A$2:$A$300,0))*$I49/100,0))</f>
        <v>0</v>
      </c>
      <c r="Q49" s="30">
        <f>IF(OR($F49="",$I49=""),0,IFERROR(INDEX(Nutrition!$K$2:$K$300,MATCH($F49,Nutrition!$A$2:$A$300,0))*$I49/100,0))</f>
        <v>0</v>
      </c>
      <c r="R49" s="30">
        <f>IF(OR($F49="",$I49=""),0,IFERROR(INDEX(Nutrition!$L$2:$L$300,MATCH($F49,Nutrition!$A$2:$A$300,0))*$I49/100,0))</f>
        <v>0</v>
      </c>
      <c r="S49" s="30">
        <f>IF(OR($F49="",$I49=""),0,IFERROR(INDEX(Nutrition!$M$2:$M$300,MATCH($F49,Nutrition!$A$2:$A$300,0))*$I49/100,0))</f>
        <v>0</v>
      </c>
    </row>
    <row r="50" spans="1:19" ht="15" customHeight="1" x14ac:dyDescent="0.25">
      <c r="A50" s="22" t="s">
        <v>1014</v>
      </c>
      <c r="B50" s="33" t="str">
        <f>IFERROR(INDEX(Recipes!$B$2:$B$500,MATCH(A50,Recipes!$A$2:$A$500,0)),"")</f>
        <v>Sweet Potato Breakfast Hash</v>
      </c>
      <c r="C50" s="7" t="s">
        <v>2781</v>
      </c>
      <c r="D50" s="34">
        <v>1</v>
      </c>
      <c r="E50" s="22" t="s">
        <v>2782</v>
      </c>
      <c r="F50" s="22"/>
      <c r="G50" s="22" t="s">
        <v>2773</v>
      </c>
      <c r="H50" s="7"/>
      <c r="I50" s="35"/>
      <c r="J50" s="30">
        <f>IF(OR($F50="",$I50=""),0,IFERROR(INDEX(Nutrition!$D$2:$D$300,MATCH($F50,Nutrition!$A$2:$A$300,0))*$I50/100,0))</f>
        <v>0</v>
      </c>
      <c r="K50" s="30">
        <f>IF(OR($F50="",$I50=""),0,IFERROR(INDEX(Nutrition!$E$2:$E$300,MATCH($F50,Nutrition!$A$2:$A$300,0))*$I50/100,0))</f>
        <v>0</v>
      </c>
      <c r="L50" s="30">
        <f>IF(OR($F50="",$I50=""),0,IFERROR(INDEX(Nutrition!$F$2:$F$300,MATCH($F50,Nutrition!$A$2:$A$300,0))*$I50/100,0))</f>
        <v>0</v>
      </c>
      <c r="M50" s="30">
        <f>IF(OR($F50="",$I50=""),0,IFERROR(INDEX(Nutrition!$G$2:$G$300,MATCH($F50,Nutrition!$A$2:$A$300,0))*$I50/100,0))</f>
        <v>0</v>
      </c>
      <c r="N50" s="30">
        <f>IF(OR($F50="",$I50=""),0,IFERROR(INDEX(Nutrition!$H$2:$H$300,MATCH($F50,Nutrition!$A$2:$A$300,0))*$I50/100,0))</f>
        <v>0</v>
      </c>
      <c r="O50" s="30">
        <f>IF(OR($F50="",$I50=""),0,IFERROR(INDEX(Nutrition!$I$2:$I$300,MATCH($F50,Nutrition!$A$2:$A$300,0))*$I50/100,0))</f>
        <v>0</v>
      </c>
      <c r="P50" s="30">
        <f>IF(OR($F50="",$I50=""),0,IFERROR(INDEX(Nutrition!$J$2:$J$300,MATCH($F50,Nutrition!$A$2:$A$300,0))*$I50/100,0))</f>
        <v>0</v>
      </c>
      <c r="Q50" s="30">
        <f>IF(OR($F50="",$I50=""),0,IFERROR(INDEX(Nutrition!$K$2:$K$300,MATCH($F50,Nutrition!$A$2:$A$300,0))*$I50/100,0))</f>
        <v>0</v>
      </c>
      <c r="R50" s="30">
        <f>IF(OR($F50="",$I50=""),0,IFERROR(INDEX(Nutrition!$L$2:$L$300,MATCH($F50,Nutrition!$A$2:$A$300,0))*$I50/100,0))</f>
        <v>0</v>
      </c>
      <c r="S50" s="30">
        <f>IF(OR($F50="",$I50=""),0,IFERROR(INDEX(Nutrition!$M$2:$M$300,MATCH($F50,Nutrition!$A$2:$A$300,0))*$I50/100,0))</f>
        <v>0</v>
      </c>
    </row>
    <row r="51" spans="1:19" ht="15" customHeight="1" x14ac:dyDescent="0.25">
      <c r="A51" s="22" t="s">
        <v>1026</v>
      </c>
      <c r="B51" s="33" t="str">
        <f>IFERROR(INDEX(Recipes!$B$2:$B$500,MATCH(A51,Recipes!$A$2:$A$500,0)),"")</f>
        <v>Tropical Parfait with Tiger Nut Crumble</v>
      </c>
      <c r="C51" s="7" t="s">
        <v>2762</v>
      </c>
      <c r="D51" s="34">
        <v>1.5</v>
      </c>
      <c r="E51" s="22" t="s">
        <v>2790</v>
      </c>
      <c r="F51" s="22"/>
      <c r="G51" s="22" t="s">
        <v>2749</v>
      </c>
      <c r="H51" s="7"/>
      <c r="I51" s="35"/>
      <c r="J51" s="30">
        <f>IF(OR($F51="",$I51=""),0,IFERROR(INDEX(Nutrition!$D$2:$D$300,MATCH($F51,Nutrition!$A$2:$A$300,0))*$I51/100,0))</f>
        <v>0</v>
      </c>
      <c r="K51" s="30">
        <f>IF(OR($F51="",$I51=""),0,IFERROR(INDEX(Nutrition!$E$2:$E$300,MATCH($F51,Nutrition!$A$2:$A$300,0))*$I51/100,0))</f>
        <v>0</v>
      </c>
      <c r="L51" s="30">
        <f>IF(OR($F51="",$I51=""),0,IFERROR(INDEX(Nutrition!$F$2:$F$300,MATCH($F51,Nutrition!$A$2:$A$300,0))*$I51/100,0))</f>
        <v>0</v>
      </c>
      <c r="M51" s="30">
        <f>IF(OR($F51="",$I51=""),0,IFERROR(INDEX(Nutrition!$G$2:$G$300,MATCH($F51,Nutrition!$A$2:$A$300,0))*$I51/100,0))</f>
        <v>0</v>
      </c>
      <c r="N51" s="30">
        <f>IF(OR($F51="",$I51=""),0,IFERROR(INDEX(Nutrition!$H$2:$H$300,MATCH($F51,Nutrition!$A$2:$A$300,0))*$I51/100,0))</f>
        <v>0</v>
      </c>
      <c r="O51" s="30">
        <f>IF(OR($F51="",$I51=""),0,IFERROR(INDEX(Nutrition!$I$2:$I$300,MATCH($F51,Nutrition!$A$2:$A$300,0))*$I51/100,0))</f>
        <v>0</v>
      </c>
      <c r="P51" s="30">
        <f>IF(OR($F51="",$I51=""),0,IFERROR(INDEX(Nutrition!$J$2:$J$300,MATCH($F51,Nutrition!$A$2:$A$300,0))*$I51/100,0))</f>
        <v>0</v>
      </c>
      <c r="Q51" s="30">
        <f>IF(OR($F51="",$I51=""),0,IFERROR(INDEX(Nutrition!$K$2:$K$300,MATCH($F51,Nutrition!$A$2:$A$300,0))*$I51/100,0))</f>
        <v>0</v>
      </c>
      <c r="R51" s="30">
        <f>IF(OR($F51="",$I51=""),0,IFERROR(INDEX(Nutrition!$L$2:$L$300,MATCH($F51,Nutrition!$A$2:$A$300,0))*$I51/100,0))</f>
        <v>0</v>
      </c>
      <c r="S51" s="30">
        <f>IF(OR($F51="",$I51=""),0,IFERROR(INDEX(Nutrition!$M$2:$M$300,MATCH($F51,Nutrition!$A$2:$A$300,0))*$I51/100,0))</f>
        <v>0</v>
      </c>
    </row>
    <row r="52" spans="1:19" ht="15" customHeight="1" x14ac:dyDescent="0.25">
      <c r="A52" s="22" t="s">
        <v>1026</v>
      </c>
      <c r="B52" s="33" t="str">
        <f>IFERROR(INDEX(Recipes!$B$2:$B$500,MATCH(A52,Recipes!$A$2:$A$500,0)),"")</f>
        <v>Tropical Parfait with Tiger Nut Crumble</v>
      </c>
      <c r="C52" s="7" t="s">
        <v>139</v>
      </c>
      <c r="D52" s="34">
        <v>1</v>
      </c>
      <c r="E52" s="22" t="s">
        <v>2748</v>
      </c>
      <c r="F52" s="22" t="s">
        <v>138</v>
      </c>
      <c r="G52" s="22" t="s">
        <v>2755</v>
      </c>
      <c r="H52" s="7" t="s">
        <v>2756</v>
      </c>
      <c r="I52" s="35">
        <v>165</v>
      </c>
      <c r="J52" s="30">
        <f>IF(OR($F52="",$I52=""),0,IFERROR(INDEX(Nutrition!$D$2:$D$300,MATCH($F52,Nutrition!$A$2:$A$300,0))*$I52/100,0))</f>
        <v>2.3099999999999996</v>
      </c>
      <c r="K52" s="30">
        <f>IF(OR($F52="",$I52=""),0,IFERROR(INDEX(Nutrition!$E$2:$E$300,MATCH($F52,Nutrition!$A$2:$A$300,0))*$I52/100,0))</f>
        <v>78.86999999999999</v>
      </c>
      <c r="L52" s="30">
        <f>IF(OR($F52="",$I52=""),0,IFERROR(INDEX(Nutrition!$F$2:$F$300,MATCH($F52,Nutrition!$A$2:$A$300,0))*$I52/100,0))</f>
        <v>4.95</v>
      </c>
      <c r="M52" s="30">
        <f>IF(OR($F52="",$I52=""),0,IFERROR(INDEX(Nutrition!$G$2:$G$300,MATCH($F52,Nutrition!$A$2:$A$300,0))*$I52/100,0))</f>
        <v>1.1549999999999998</v>
      </c>
      <c r="N52" s="30">
        <f>IF(OR($F52="",$I52=""),0,IFERROR(INDEX(Nutrition!$H$2:$H$300,MATCH($F52,Nutrition!$A$2:$A$300,0))*$I52/100,0))</f>
        <v>29.7</v>
      </c>
      <c r="O52" s="30">
        <f>IF(OR($F52="",$I52=""),0,IFERROR(INDEX(Nutrition!$I$2:$I$300,MATCH($F52,Nutrition!$A$2:$A$300,0))*$I52/100,0))</f>
        <v>179.85</v>
      </c>
      <c r="P52" s="30">
        <f>IF(OR($F52="",$I52=""),0,IFERROR(INDEX(Nutrition!$J$2:$J$300,MATCH($F52,Nutrition!$A$2:$A$300,0))*$I52/100,0))</f>
        <v>3.3000000000000002E-2</v>
      </c>
      <c r="Q52" s="30">
        <f>IF(OR($F52="",$I52=""),0,IFERROR(INDEX(Nutrition!$K$2:$K$300,MATCH($F52,Nutrition!$A$2:$A$300,0))*$I52/100,0))</f>
        <v>0.18479999999999999</v>
      </c>
      <c r="R52" s="30">
        <f>IF(OR($F52="",$I52=""),0,IFERROR(INDEX(Nutrition!$L$2:$L$300,MATCH($F52,Nutrition!$A$2:$A$300,0))*$I52/100,0))</f>
        <v>19.8</v>
      </c>
      <c r="S52" s="30">
        <f>IF(OR($F52="",$I52=""),0,IFERROR(INDEX(Nutrition!$M$2:$M$300,MATCH($F52,Nutrition!$A$2:$A$300,0))*$I52/100,0))</f>
        <v>0.47849999999999993</v>
      </c>
    </row>
    <row r="53" spans="1:19" ht="15" customHeight="1" x14ac:dyDescent="0.25">
      <c r="A53" s="22" t="s">
        <v>1026</v>
      </c>
      <c r="B53" s="33" t="str">
        <f>IFERROR(INDEX(Recipes!$B$2:$B$500,MATCH(A53,Recipes!$A$2:$A$500,0)),"")</f>
        <v>Tropical Parfait with Tiger Nut Crumble</v>
      </c>
      <c r="C53" s="7" t="s">
        <v>110</v>
      </c>
      <c r="D53" s="34">
        <v>1</v>
      </c>
      <c r="E53" s="22" t="s">
        <v>2754</v>
      </c>
      <c r="F53" s="22" t="s">
        <v>109</v>
      </c>
      <c r="G53" s="22" t="s">
        <v>2755</v>
      </c>
      <c r="H53" s="7"/>
      <c r="I53" s="35">
        <v>118</v>
      </c>
      <c r="J53" s="30">
        <f>IF(OR($F53="",$I53=""),0,IFERROR(INDEX(Nutrition!$D$2:$D$300,MATCH($F53,Nutrition!$A$2:$A$300,0))*$I53/100,0))</f>
        <v>3.0680000000000001</v>
      </c>
      <c r="K53" s="30">
        <f>IF(OR($F53="",$I53=""),0,IFERROR(INDEX(Nutrition!$E$2:$E$300,MATCH($F53,Nutrition!$A$2:$A$300,0))*$I53/100,0))</f>
        <v>10.265999999999998</v>
      </c>
      <c r="L53" s="30">
        <f>IF(OR($F53="",$I53=""),0,IFERROR(INDEX(Nutrition!$F$2:$F$300,MATCH($F53,Nutrition!$A$2:$A$300,0))*$I53/100,0))</f>
        <v>3.54</v>
      </c>
      <c r="M53" s="30">
        <f>IF(OR($F53="",$I53=""),0,IFERROR(INDEX(Nutrition!$G$2:$G$300,MATCH($F53,Nutrition!$A$2:$A$300,0))*$I53/100,0))</f>
        <v>0.59</v>
      </c>
      <c r="N53" s="30">
        <f>IF(OR($F53="",$I53=""),0,IFERROR(INDEX(Nutrition!$H$2:$H$300,MATCH($F53,Nutrition!$A$2:$A$300,0))*$I53/100,0))</f>
        <v>23.6</v>
      </c>
      <c r="O53" s="30">
        <f>IF(OR($F53="",$I53=""),0,IFERROR(INDEX(Nutrition!$I$2:$I$300,MATCH($F53,Nutrition!$A$2:$A$300,0))*$I53/100,0))</f>
        <v>422.44</v>
      </c>
      <c r="P53" s="30">
        <f>IF(OR($F53="",$I53=""),0,IFERROR(INDEX(Nutrition!$J$2:$J$300,MATCH($F53,Nutrition!$A$2:$A$300,0))*$I53/100,0))</f>
        <v>0.11800000000000001</v>
      </c>
      <c r="Q53" s="30">
        <f>IF(OR($F53="",$I53=""),0,IFERROR(INDEX(Nutrition!$K$2:$K$300,MATCH($F53,Nutrition!$A$2:$A$300,0))*$I53/100,0))</f>
        <v>0.43306</v>
      </c>
      <c r="R53" s="30">
        <f>IF(OR($F53="",$I53=""),0,IFERROR(INDEX(Nutrition!$L$2:$L$300,MATCH($F53,Nutrition!$A$2:$A$300,0))*$I53/100,0))</f>
        <v>31.86</v>
      </c>
      <c r="S53" s="30">
        <f>IF(OR($F53="",$I53=""),0,IFERROR(INDEX(Nutrition!$M$2:$M$300,MATCH($F53,Nutrition!$A$2:$A$300,0))*$I53/100,0))</f>
        <v>0.30680000000000002</v>
      </c>
    </row>
    <row r="54" spans="1:19" ht="15" customHeight="1" x14ac:dyDescent="0.25">
      <c r="A54" s="22" t="s">
        <v>1026</v>
      </c>
      <c r="B54" s="33" t="str">
        <f>IFERROR(INDEX(Recipes!$B$2:$B$500,MATCH(A54,Recipes!$A$2:$A$500,0)),"")</f>
        <v>Tropical Parfait with Tiger Nut Crumble</v>
      </c>
      <c r="C54" s="7" t="s">
        <v>168</v>
      </c>
      <c r="D54" s="34">
        <v>0.5</v>
      </c>
      <c r="E54" s="22" t="s">
        <v>2754</v>
      </c>
      <c r="F54" s="22" t="s">
        <v>167</v>
      </c>
      <c r="G54" s="22" t="s">
        <v>2755</v>
      </c>
      <c r="H54" s="7"/>
      <c r="I54" s="35">
        <v>168</v>
      </c>
      <c r="J54" s="30">
        <f>IF(OR($F54="",$I54=""),0,IFERROR(INDEX(Nutrition!$D$2:$D$300,MATCH($F54,Nutrition!$A$2:$A$300,0))*$I54/100,0))</f>
        <v>2.6880000000000002</v>
      </c>
      <c r="K54" s="30">
        <f>IF(OR($F54="",$I54=""),0,IFERROR(INDEX(Nutrition!$E$2:$E$300,MATCH($F54,Nutrition!$A$2:$A$300,0))*$I54/100,0))</f>
        <v>61.152000000000001</v>
      </c>
      <c r="L54" s="30">
        <f>IF(OR($F54="",$I54=""),0,IFERROR(INDEX(Nutrition!$F$2:$F$300,MATCH($F54,Nutrition!$A$2:$A$300,0))*$I54/100,0))</f>
        <v>90.72</v>
      </c>
      <c r="M54" s="30">
        <f>IF(OR($F54="",$I54=""),0,IFERROR(INDEX(Nutrition!$G$2:$G$300,MATCH($F54,Nutrition!$A$2:$A$300,0))*$I54/100,0))</f>
        <v>7.056</v>
      </c>
      <c r="N54" s="30">
        <f>IF(OR($F54="",$I54=""),0,IFERROR(INDEX(Nutrition!$H$2:$H$300,MATCH($F54,Nutrition!$A$2:$A$300,0))*$I54/100,0))</f>
        <v>72.239999999999995</v>
      </c>
      <c r="O54" s="30">
        <f>IF(OR($F54="",$I54=""),0,IFERROR(INDEX(Nutrition!$I$2:$I$300,MATCH($F54,Nutrition!$A$2:$A$300,0))*$I54/100,0))</f>
        <v>282.24</v>
      </c>
      <c r="P54" s="30">
        <f>IF(OR($F54="",$I54=""),0,IFERROR(INDEX(Nutrition!$J$2:$J$300,MATCH($F54,Nutrition!$A$2:$A$300,0))*$I54/100,0))</f>
        <v>1.5120000000000002</v>
      </c>
      <c r="Q54" s="30">
        <f>IF(OR($F54="",$I54=""),0,IFERROR(INDEX(Nutrition!$K$2:$K$300,MATCH($F54,Nutrition!$A$2:$A$300,0))*$I54/100,0))</f>
        <v>0.19991999999999999</v>
      </c>
      <c r="R54" s="30">
        <f>IF(OR($F54="",$I54=""),0,IFERROR(INDEX(Nutrition!$L$2:$L$300,MATCH($F54,Nutrition!$A$2:$A$300,0))*$I54/100,0))</f>
        <v>16.8</v>
      </c>
      <c r="S54" s="30">
        <f>IF(OR($F54="",$I54=""),0,IFERROR(INDEX(Nutrition!$M$2:$M$300,MATCH($F54,Nutrition!$A$2:$A$300,0))*$I54/100,0))</f>
        <v>0.26879999999999998</v>
      </c>
    </row>
    <row r="55" spans="1:19" ht="15" customHeight="1" x14ac:dyDescent="0.25">
      <c r="A55" s="22" t="s">
        <v>1026</v>
      </c>
      <c r="B55" s="33" t="str">
        <f>IFERROR(INDEX(Recipes!$B$2:$B$500,MATCH(A55,Recipes!$A$2:$A$500,0)),"")</f>
        <v>Tropical Parfait with Tiger Nut Crumble</v>
      </c>
      <c r="C55" s="7" t="s">
        <v>326</v>
      </c>
      <c r="D55" s="34">
        <v>3</v>
      </c>
      <c r="E55" s="22" t="s">
        <v>2753</v>
      </c>
      <c r="F55" s="22" t="s">
        <v>325</v>
      </c>
      <c r="G55" s="22" t="s">
        <v>2755</v>
      </c>
      <c r="H55" s="7" t="s">
        <v>2775</v>
      </c>
      <c r="I55" s="35">
        <v>45</v>
      </c>
      <c r="J55" s="30">
        <f>IF(OR($F55="",$I55=""),0,IFERROR(INDEX(Nutrition!$D$2:$D$300,MATCH($F55,Nutrition!$A$2:$A$300,0))*$I55/100,0))</f>
        <v>5.4</v>
      </c>
      <c r="K55" s="30">
        <f>IF(OR($F55="",$I55=""),0,IFERROR(INDEX(Nutrition!$E$2:$E$300,MATCH($F55,Nutrition!$A$2:$A$300,0))*$I55/100,0))</f>
        <v>2.7</v>
      </c>
      <c r="L55" s="30">
        <f>IF(OR($F55="",$I55=""),0,IFERROR(INDEX(Nutrition!$F$2:$F$300,MATCH($F55,Nutrition!$A$2:$A$300,0))*$I55/100,0))</f>
        <v>0</v>
      </c>
      <c r="M55" s="30">
        <f>IF(OR($F55="",$I55=""),0,IFERROR(INDEX(Nutrition!$G$2:$G$300,MATCH($F55,Nutrition!$A$2:$A$300,0))*$I55/100,0))</f>
        <v>0</v>
      </c>
      <c r="N55" s="30">
        <f>IF(OR($F55="",$I55=""),0,IFERROR(INDEX(Nutrition!$H$2:$H$300,MATCH($F55,Nutrition!$A$2:$A$300,0))*$I55/100,0))</f>
        <v>0</v>
      </c>
      <c r="O55" s="30">
        <f>IF(OR($F55="",$I55=""),0,IFERROR(INDEX(Nutrition!$I$2:$I$300,MATCH($F55,Nutrition!$A$2:$A$300,0))*$I55/100,0))</f>
        <v>319.5</v>
      </c>
      <c r="P55" s="30">
        <f>IF(OR($F55="",$I55=""),0,IFERROR(INDEX(Nutrition!$J$2:$J$300,MATCH($F55,Nutrition!$A$2:$A$300,0))*$I55/100,0))</f>
        <v>2.34</v>
      </c>
      <c r="Q55" s="30">
        <f>IF(OR($F55="",$I55=""),0,IFERROR(INDEX(Nutrition!$K$2:$K$300,MATCH($F55,Nutrition!$A$2:$A$300,0))*$I55/100,0))</f>
        <v>0</v>
      </c>
      <c r="R55" s="30">
        <f>IF(OR($F55="",$I55=""),0,IFERROR(INDEX(Nutrition!$L$2:$L$300,MATCH($F55,Nutrition!$A$2:$A$300,0))*$I55/100,0))</f>
        <v>42.75</v>
      </c>
      <c r="S55" s="30">
        <f>IF(OR($F55="",$I55=""),0,IFERROR(INDEX(Nutrition!$M$2:$M$300,MATCH($F55,Nutrition!$A$2:$A$300,0))*$I55/100,0))</f>
        <v>1.62</v>
      </c>
    </row>
    <row r="56" spans="1:19" ht="15" customHeight="1" x14ac:dyDescent="0.25">
      <c r="A56" s="22" t="s">
        <v>1026</v>
      </c>
      <c r="B56" s="33" t="str">
        <f>IFERROR(INDEX(Recipes!$B$2:$B$500,MATCH(A56,Recipes!$A$2:$A$500,0)),"")</f>
        <v>Tropical Parfait with Tiger Nut Crumble</v>
      </c>
      <c r="C56" s="7" t="s">
        <v>262</v>
      </c>
      <c r="D56" s="34">
        <v>2</v>
      </c>
      <c r="E56" s="22" t="s">
        <v>2753</v>
      </c>
      <c r="F56" s="22" t="s">
        <v>261</v>
      </c>
      <c r="G56" s="22" t="s">
        <v>2755</v>
      </c>
      <c r="H56" s="7" t="s">
        <v>2791</v>
      </c>
      <c r="I56" s="35">
        <v>30</v>
      </c>
      <c r="J56" s="30">
        <f>IF(OR($F56="",$I56=""),0,IFERROR(INDEX(Nutrition!$D$2:$D$300,MATCH($F56,Nutrition!$A$2:$A$300,0))*$I56/100,0))</f>
        <v>2.7</v>
      </c>
      <c r="K56" s="30">
        <f>IF(OR($F56="",$I56=""),0,IFERROR(INDEX(Nutrition!$E$2:$E$300,MATCH($F56,Nutrition!$A$2:$A$300,0))*$I56/100,0))</f>
        <v>0.99</v>
      </c>
      <c r="L56" s="30">
        <f>IF(OR($F56="",$I56=""),0,IFERROR(INDEX(Nutrition!$F$2:$F$300,MATCH($F56,Nutrition!$A$2:$A$300,0))*$I56/100,0))</f>
        <v>0</v>
      </c>
      <c r="M56" s="30">
        <f>IF(OR($F56="",$I56=""),0,IFERROR(INDEX(Nutrition!$G$2:$G$300,MATCH($F56,Nutrition!$A$2:$A$300,0))*$I56/100,0))</f>
        <v>0.06</v>
      </c>
      <c r="N56" s="30">
        <f>IF(OR($F56="",$I56=""),0,IFERROR(INDEX(Nutrition!$H$2:$H$300,MATCH($F56,Nutrition!$A$2:$A$300,0))*$I56/100,0))</f>
        <v>7.8</v>
      </c>
      <c r="O56" s="30">
        <f>IF(OR($F56="",$I56=""),0,IFERROR(INDEX(Nutrition!$I$2:$I$300,MATCH($F56,Nutrition!$A$2:$A$300,0))*$I56/100,0))</f>
        <v>106.8</v>
      </c>
      <c r="P56" s="30">
        <f>IF(OR($F56="",$I56=""),0,IFERROR(INDEX(Nutrition!$J$2:$J$300,MATCH($F56,Nutrition!$A$2:$A$300,0))*$I56/100,0))</f>
        <v>7.1999999999999995E-2</v>
      </c>
      <c r="Q56" s="30">
        <f>IF(OR($F56="",$I56=""),0,IFERROR(INDEX(Nutrition!$K$2:$K$300,MATCH($F56,Nutrition!$A$2:$A$300,0))*$I56/100,0))</f>
        <v>1.6199999999999999E-2</v>
      </c>
      <c r="R56" s="30">
        <f>IF(OR($F56="",$I56=""),0,IFERROR(INDEX(Nutrition!$L$2:$L$300,MATCH($F56,Nutrition!$A$2:$A$300,0))*$I56/100,0))</f>
        <v>9.6</v>
      </c>
      <c r="S56" s="30">
        <f>IF(OR($F56="",$I56=""),0,IFERROR(INDEX(Nutrition!$M$2:$M$300,MATCH($F56,Nutrition!$A$2:$A$300,0))*$I56/100,0))</f>
        <v>0.72900000000000009</v>
      </c>
    </row>
    <row r="57" spans="1:19" ht="15" customHeight="1" x14ac:dyDescent="0.25">
      <c r="A57" s="22" t="s">
        <v>1026</v>
      </c>
      <c r="B57" s="33" t="str">
        <f>IFERROR(INDEX(Recipes!$B$2:$B$500,MATCH(A57,Recipes!$A$2:$A$500,0)),"")</f>
        <v>Tropical Parfait with Tiger Nut Crumble</v>
      </c>
      <c r="C57" s="7" t="s">
        <v>2758</v>
      </c>
      <c r="D57" s="34">
        <v>1</v>
      </c>
      <c r="E57" s="22" t="s">
        <v>2753</v>
      </c>
      <c r="F57" s="22"/>
      <c r="G57" s="22" t="s">
        <v>2749</v>
      </c>
      <c r="H57" s="7"/>
      <c r="I57" s="35"/>
      <c r="J57" s="30">
        <f>IF(OR($F57="",$I57=""),0,IFERROR(INDEX(Nutrition!$D$2:$D$300,MATCH($F57,Nutrition!$A$2:$A$300,0))*$I57/100,0))</f>
        <v>0</v>
      </c>
      <c r="K57" s="30">
        <f>IF(OR($F57="",$I57=""),0,IFERROR(INDEX(Nutrition!$E$2:$E$300,MATCH($F57,Nutrition!$A$2:$A$300,0))*$I57/100,0))</f>
        <v>0</v>
      </c>
      <c r="L57" s="30">
        <f>IF(OR($F57="",$I57=""),0,IFERROR(INDEX(Nutrition!$F$2:$F$300,MATCH($F57,Nutrition!$A$2:$A$300,0))*$I57/100,0))</f>
        <v>0</v>
      </c>
      <c r="M57" s="30">
        <f>IF(OR($F57="",$I57=""),0,IFERROR(INDEX(Nutrition!$G$2:$G$300,MATCH($F57,Nutrition!$A$2:$A$300,0))*$I57/100,0))</f>
        <v>0</v>
      </c>
      <c r="N57" s="30">
        <f>IF(OR($F57="",$I57=""),0,IFERROR(INDEX(Nutrition!$H$2:$H$300,MATCH($F57,Nutrition!$A$2:$A$300,0))*$I57/100,0))</f>
        <v>0</v>
      </c>
      <c r="O57" s="30">
        <f>IF(OR($F57="",$I57=""),0,IFERROR(INDEX(Nutrition!$I$2:$I$300,MATCH($F57,Nutrition!$A$2:$A$300,0))*$I57/100,0))</f>
        <v>0</v>
      </c>
      <c r="P57" s="30">
        <f>IF(OR($F57="",$I57=""),0,IFERROR(INDEX(Nutrition!$J$2:$J$300,MATCH($F57,Nutrition!$A$2:$A$300,0))*$I57/100,0))</f>
        <v>0</v>
      </c>
      <c r="Q57" s="30">
        <f>IF(OR($F57="",$I57=""),0,IFERROR(INDEX(Nutrition!$K$2:$K$300,MATCH($F57,Nutrition!$A$2:$A$300,0))*$I57/100,0))</f>
        <v>0</v>
      </c>
      <c r="R57" s="30">
        <f>IF(OR($F57="",$I57=""),0,IFERROR(INDEX(Nutrition!$L$2:$L$300,MATCH($F57,Nutrition!$A$2:$A$300,0))*$I57/100,0))</f>
        <v>0</v>
      </c>
      <c r="S57" s="30">
        <f>IF(OR($F57="",$I57=""),0,IFERROR(INDEX(Nutrition!$M$2:$M$300,MATCH($F57,Nutrition!$A$2:$A$300,0))*$I57/100,0))</f>
        <v>0</v>
      </c>
    </row>
    <row r="58" spans="1:19" ht="15" customHeight="1" x14ac:dyDescent="0.25">
      <c r="A58" s="22" t="s">
        <v>1041</v>
      </c>
      <c r="B58" s="33" t="str">
        <f>IFERROR(INDEX(Recipes!$B$2:$B$500,MATCH(A58,Recipes!$A$2:$A$500,0)),"")</f>
        <v>Coconut Chia Pudding with Mango</v>
      </c>
      <c r="C58" s="7" t="s">
        <v>2752</v>
      </c>
      <c r="D58" s="34">
        <v>4</v>
      </c>
      <c r="E58" s="22" t="s">
        <v>2753</v>
      </c>
      <c r="F58" s="22"/>
      <c r="G58" s="22" t="s">
        <v>2749</v>
      </c>
      <c r="H58" s="7"/>
      <c r="I58" s="35"/>
      <c r="J58" s="30">
        <f>IF(OR($F58="",$I58=""),0,IFERROR(INDEX(Nutrition!$D$2:$D$300,MATCH($F58,Nutrition!$A$2:$A$300,0))*$I58/100,0))</f>
        <v>0</v>
      </c>
      <c r="K58" s="30">
        <f>IF(OR($F58="",$I58=""),0,IFERROR(INDEX(Nutrition!$E$2:$E$300,MATCH($F58,Nutrition!$A$2:$A$300,0))*$I58/100,0))</f>
        <v>0</v>
      </c>
      <c r="L58" s="30">
        <f>IF(OR($F58="",$I58=""),0,IFERROR(INDEX(Nutrition!$F$2:$F$300,MATCH($F58,Nutrition!$A$2:$A$300,0))*$I58/100,0))</f>
        <v>0</v>
      </c>
      <c r="M58" s="30">
        <f>IF(OR($F58="",$I58=""),0,IFERROR(INDEX(Nutrition!$G$2:$G$300,MATCH($F58,Nutrition!$A$2:$A$300,0))*$I58/100,0))</f>
        <v>0</v>
      </c>
      <c r="N58" s="30">
        <f>IF(OR($F58="",$I58=""),0,IFERROR(INDEX(Nutrition!$H$2:$H$300,MATCH($F58,Nutrition!$A$2:$A$300,0))*$I58/100,0))</f>
        <v>0</v>
      </c>
      <c r="O58" s="30">
        <f>IF(OR($F58="",$I58=""),0,IFERROR(INDEX(Nutrition!$I$2:$I$300,MATCH($F58,Nutrition!$A$2:$A$300,0))*$I58/100,0))</f>
        <v>0</v>
      </c>
      <c r="P58" s="30">
        <f>IF(OR($F58="",$I58=""),0,IFERROR(INDEX(Nutrition!$J$2:$J$300,MATCH($F58,Nutrition!$A$2:$A$300,0))*$I58/100,0))</f>
        <v>0</v>
      </c>
      <c r="Q58" s="30">
        <f>IF(OR($F58="",$I58=""),0,IFERROR(INDEX(Nutrition!$K$2:$K$300,MATCH($F58,Nutrition!$A$2:$A$300,0))*$I58/100,0))</f>
        <v>0</v>
      </c>
      <c r="R58" s="30">
        <f>IF(OR($F58="",$I58=""),0,IFERROR(INDEX(Nutrition!$L$2:$L$300,MATCH($F58,Nutrition!$A$2:$A$300,0))*$I58/100,0))</f>
        <v>0</v>
      </c>
      <c r="S58" s="30">
        <f>IF(OR($F58="",$I58=""),0,IFERROR(INDEX(Nutrition!$M$2:$M$300,MATCH($F58,Nutrition!$A$2:$A$300,0))*$I58/100,0))</f>
        <v>0</v>
      </c>
    </row>
    <row r="59" spans="1:19" ht="15" customHeight="1" x14ac:dyDescent="0.25">
      <c r="A59" s="22" t="s">
        <v>1041</v>
      </c>
      <c r="B59" s="33" t="str">
        <f>IFERROR(INDEX(Recipes!$B$2:$B$500,MATCH(A59,Recipes!$A$2:$A$500,0)),"")</f>
        <v>Coconut Chia Pudding with Mango</v>
      </c>
      <c r="C59" s="7" t="s">
        <v>262</v>
      </c>
      <c r="D59" s="34">
        <v>0.5</v>
      </c>
      <c r="E59" s="22" t="s">
        <v>2754</v>
      </c>
      <c r="F59" s="22" t="s">
        <v>261</v>
      </c>
      <c r="G59" s="22" t="s">
        <v>2755</v>
      </c>
      <c r="H59" s="7" t="s">
        <v>2792</v>
      </c>
      <c r="I59" s="35">
        <v>198</v>
      </c>
      <c r="J59" s="30">
        <f>IF(OR($F59="",$I59=""),0,IFERROR(INDEX(Nutrition!$D$2:$D$300,MATCH($F59,Nutrition!$A$2:$A$300,0))*$I59/100,0))</f>
        <v>17.82</v>
      </c>
      <c r="K59" s="30">
        <f>IF(OR($F59="",$I59=""),0,IFERROR(INDEX(Nutrition!$E$2:$E$300,MATCH($F59,Nutrition!$A$2:$A$300,0))*$I59/100,0))</f>
        <v>6.5339999999999998</v>
      </c>
      <c r="L59" s="30">
        <f>IF(OR($F59="",$I59=""),0,IFERROR(INDEX(Nutrition!$F$2:$F$300,MATCH($F59,Nutrition!$A$2:$A$300,0))*$I59/100,0))</f>
        <v>0</v>
      </c>
      <c r="M59" s="30">
        <f>IF(OR($F59="",$I59=""),0,IFERROR(INDEX(Nutrition!$G$2:$G$300,MATCH($F59,Nutrition!$A$2:$A$300,0))*$I59/100,0))</f>
        <v>0.39600000000000002</v>
      </c>
      <c r="N59" s="30">
        <f>IF(OR($F59="",$I59=""),0,IFERROR(INDEX(Nutrition!$H$2:$H$300,MATCH($F59,Nutrition!$A$2:$A$300,0))*$I59/100,0))</f>
        <v>51.48</v>
      </c>
      <c r="O59" s="30">
        <f>IF(OR($F59="",$I59=""),0,IFERROR(INDEX(Nutrition!$I$2:$I$300,MATCH($F59,Nutrition!$A$2:$A$300,0))*$I59/100,0))</f>
        <v>704.88</v>
      </c>
      <c r="P59" s="30">
        <f>IF(OR($F59="",$I59=""),0,IFERROR(INDEX(Nutrition!$J$2:$J$300,MATCH($F59,Nutrition!$A$2:$A$300,0))*$I59/100,0))</f>
        <v>0.47519999999999996</v>
      </c>
      <c r="Q59" s="30">
        <f>IF(OR($F59="",$I59=""),0,IFERROR(INDEX(Nutrition!$K$2:$K$300,MATCH($F59,Nutrition!$A$2:$A$300,0))*$I59/100,0))</f>
        <v>0.10692</v>
      </c>
      <c r="R59" s="30">
        <f>IF(OR($F59="",$I59=""),0,IFERROR(INDEX(Nutrition!$L$2:$L$300,MATCH($F59,Nutrition!$A$2:$A$300,0))*$I59/100,0))</f>
        <v>63.36</v>
      </c>
      <c r="S59" s="30">
        <f>IF(OR($F59="",$I59=""),0,IFERROR(INDEX(Nutrition!$M$2:$M$300,MATCH($F59,Nutrition!$A$2:$A$300,0))*$I59/100,0))</f>
        <v>4.8114000000000008</v>
      </c>
    </row>
    <row r="60" spans="1:19" ht="15" customHeight="1" x14ac:dyDescent="0.25">
      <c r="A60" s="22" t="s">
        <v>1041</v>
      </c>
      <c r="B60" s="33" t="str">
        <f>IFERROR(INDEX(Recipes!$B$2:$B$500,MATCH(A60,Recipes!$A$2:$A$500,0)),"")</f>
        <v>Coconut Chia Pudding with Mango</v>
      </c>
      <c r="C60" s="7" t="s">
        <v>370</v>
      </c>
      <c r="D60" s="34">
        <v>2</v>
      </c>
      <c r="E60" s="22" t="s">
        <v>2754</v>
      </c>
      <c r="F60" s="22" t="s">
        <v>369</v>
      </c>
      <c r="G60" s="22" t="s">
        <v>2755</v>
      </c>
      <c r="H60" s="7" t="s">
        <v>2793</v>
      </c>
      <c r="I60" s="35">
        <v>14</v>
      </c>
      <c r="J60" s="30">
        <f>IF(OR($F60="",$I60=""),0,IFERROR(INDEX(Nutrition!$D$2:$D$300,MATCH($F60,Nutrition!$A$2:$A$300,0))*$I60/100,0))</f>
        <v>1.1200000000000001</v>
      </c>
      <c r="K60" s="30">
        <f>IF(OR($F60="",$I60=""),0,IFERROR(INDEX(Nutrition!$E$2:$E$300,MATCH($F60,Nutrition!$A$2:$A$300,0))*$I60/100,0))</f>
        <v>5.6000000000000008E-2</v>
      </c>
      <c r="L60" s="30">
        <f>IF(OR($F60="",$I60=""),0,IFERROR(INDEX(Nutrition!$F$2:$F$300,MATCH($F60,Nutrition!$A$2:$A$300,0))*$I60/100,0))</f>
        <v>0</v>
      </c>
      <c r="M60" s="30">
        <f>IF(OR($F60="",$I60=""),0,IFERROR(INDEX(Nutrition!$G$2:$G$300,MATCH($F60,Nutrition!$A$2:$A$300,0))*$I60/100,0))</f>
        <v>0.37800000000000006</v>
      </c>
      <c r="N60" s="30">
        <f>IF(OR($F60="",$I60=""),0,IFERROR(INDEX(Nutrition!$H$2:$H$300,MATCH($F60,Nutrition!$A$2:$A$300,0))*$I60/100,0))</f>
        <v>2.66</v>
      </c>
      <c r="O60" s="30">
        <f>IF(OR($F60="",$I60=""),0,IFERROR(INDEX(Nutrition!$I$2:$I$300,MATCH($F60,Nutrition!$A$2:$A$300,0))*$I60/100,0))</f>
        <v>91.84</v>
      </c>
      <c r="P60" s="30">
        <f>IF(OR($F60="",$I60=""),0,IFERROR(INDEX(Nutrition!$J$2:$J$300,MATCH($F60,Nutrition!$A$2:$A$300,0))*$I60/100,0))</f>
        <v>7.000000000000001E-3</v>
      </c>
      <c r="Q60" s="30">
        <f>IF(OR($F60="",$I60=""),0,IFERROR(INDEX(Nutrition!$K$2:$K$300,MATCH($F60,Nutrition!$A$2:$A$300,0))*$I60/100,0))</f>
        <v>2.3099999999999999E-2</v>
      </c>
      <c r="R60" s="30">
        <f>IF(OR($F60="",$I60=""),0,IFERROR(INDEX(Nutrition!$L$2:$L$300,MATCH($F60,Nutrition!$A$2:$A$300,0))*$I60/100,0))</f>
        <v>6.02</v>
      </c>
      <c r="S60" s="30">
        <f>IF(OR($F60="",$I60=""),0,IFERROR(INDEX(Nutrition!$M$2:$M$300,MATCH($F60,Nutrition!$A$2:$A$300,0))*$I60/100,0))</f>
        <v>0.14280000000000001</v>
      </c>
    </row>
    <row r="61" spans="1:19" ht="15" customHeight="1" x14ac:dyDescent="0.25">
      <c r="A61" s="22" t="s">
        <v>1041</v>
      </c>
      <c r="B61" s="33" t="str">
        <f>IFERROR(INDEX(Recipes!$B$2:$B$500,MATCH(A61,Recipes!$A$2:$A$500,0)),"")</f>
        <v>Coconut Chia Pudding with Mango</v>
      </c>
      <c r="C61" s="7" t="s">
        <v>168</v>
      </c>
      <c r="D61" s="34">
        <v>1</v>
      </c>
      <c r="E61" s="22" t="s">
        <v>2754</v>
      </c>
      <c r="F61" s="22" t="s">
        <v>167</v>
      </c>
      <c r="G61" s="22" t="s">
        <v>2755</v>
      </c>
      <c r="H61" s="7" t="s">
        <v>2756</v>
      </c>
      <c r="I61" s="35">
        <v>336</v>
      </c>
      <c r="J61" s="30">
        <f>IF(OR($F61="",$I61=""),0,IFERROR(INDEX(Nutrition!$D$2:$D$300,MATCH($F61,Nutrition!$A$2:$A$300,0))*$I61/100,0))</f>
        <v>5.3760000000000003</v>
      </c>
      <c r="K61" s="30">
        <f>IF(OR($F61="",$I61=""),0,IFERROR(INDEX(Nutrition!$E$2:$E$300,MATCH($F61,Nutrition!$A$2:$A$300,0))*$I61/100,0))</f>
        <v>122.304</v>
      </c>
      <c r="L61" s="30">
        <f>IF(OR($F61="",$I61=""),0,IFERROR(INDEX(Nutrition!$F$2:$F$300,MATCH($F61,Nutrition!$A$2:$A$300,0))*$I61/100,0))</f>
        <v>181.44</v>
      </c>
      <c r="M61" s="30">
        <f>IF(OR($F61="",$I61=""),0,IFERROR(INDEX(Nutrition!$G$2:$G$300,MATCH($F61,Nutrition!$A$2:$A$300,0))*$I61/100,0))</f>
        <v>14.112</v>
      </c>
      <c r="N61" s="30">
        <f>IF(OR($F61="",$I61=""),0,IFERROR(INDEX(Nutrition!$H$2:$H$300,MATCH($F61,Nutrition!$A$2:$A$300,0))*$I61/100,0))</f>
        <v>144.47999999999999</v>
      </c>
      <c r="O61" s="30">
        <f>IF(OR($F61="",$I61=""),0,IFERROR(INDEX(Nutrition!$I$2:$I$300,MATCH($F61,Nutrition!$A$2:$A$300,0))*$I61/100,0))</f>
        <v>564.48</v>
      </c>
      <c r="P61" s="30">
        <f>IF(OR($F61="",$I61=""),0,IFERROR(INDEX(Nutrition!$J$2:$J$300,MATCH($F61,Nutrition!$A$2:$A$300,0))*$I61/100,0))</f>
        <v>3.0240000000000005</v>
      </c>
      <c r="Q61" s="30">
        <f>IF(OR($F61="",$I61=""),0,IFERROR(INDEX(Nutrition!$K$2:$K$300,MATCH($F61,Nutrition!$A$2:$A$300,0))*$I61/100,0))</f>
        <v>0.39983999999999997</v>
      </c>
      <c r="R61" s="30">
        <f>IF(OR($F61="",$I61=""),0,IFERROR(INDEX(Nutrition!$L$2:$L$300,MATCH($F61,Nutrition!$A$2:$A$300,0))*$I61/100,0))</f>
        <v>33.6</v>
      </c>
      <c r="S61" s="30">
        <f>IF(OR($F61="",$I61=""),0,IFERROR(INDEX(Nutrition!$M$2:$M$300,MATCH($F61,Nutrition!$A$2:$A$300,0))*$I61/100,0))</f>
        <v>0.53759999999999997</v>
      </c>
    </row>
    <row r="62" spans="1:19" ht="15" customHeight="1" x14ac:dyDescent="0.25">
      <c r="A62" s="22" t="s">
        <v>1041</v>
      </c>
      <c r="B62" s="33" t="str">
        <f>IFERROR(INDEX(Recipes!$B$2:$B$500,MATCH(A62,Recipes!$A$2:$A$500,0)),"")</f>
        <v>Coconut Chia Pudding with Mango</v>
      </c>
      <c r="C62" s="7" t="s">
        <v>213</v>
      </c>
      <c r="D62" s="34">
        <v>1</v>
      </c>
      <c r="E62" s="22" t="s">
        <v>2754</v>
      </c>
      <c r="F62" s="22" t="s">
        <v>212</v>
      </c>
      <c r="G62" s="22" t="s">
        <v>2755</v>
      </c>
      <c r="H62" s="7" t="s">
        <v>2794</v>
      </c>
      <c r="I62" s="35">
        <v>67</v>
      </c>
      <c r="J62" s="30">
        <f>IF(OR($F62="",$I62=""),0,IFERROR(INDEX(Nutrition!$D$2:$D$300,MATCH($F62,Nutrition!$A$2:$A$300,0))*$I62/100,0))</f>
        <v>1.8759999999999999</v>
      </c>
      <c r="K62" s="30">
        <f>IF(OR($F62="",$I62=""),0,IFERROR(INDEX(Nutrition!$E$2:$E$300,MATCH($F62,Nutrition!$A$2:$A$300,0))*$I62/100,0))</f>
        <v>19.497</v>
      </c>
      <c r="L62" s="30">
        <f>IF(OR($F62="",$I62=""),0,IFERROR(INDEX(Nutrition!$F$2:$F$300,MATCH($F62,Nutrition!$A$2:$A$300,0))*$I62/100,0))</f>
        <v>1.34</v>
      </c>
      <c r="M62" s="30">
        <f>IF(OR($F62="",$I62=""),0,IFERROR(INDEX(Nutrition!$G$2:$G$300,MATCH($F62,Nutrition!$A$2:$A$300,0))*$I62/100,0))</f>
        <v>0.40199999999999997</v>
      </c>
      <c r="N62" s="30">
        <f>IF(OR($F62="",$I62=""),0,IFERROR(INDEX(Nutrition!$H$2:$H$300,MATCH($F62,Nutrition!$A$2:$A$300,0))*$I62/100,0))</f>
        <v>5.36</v>
      </c>
      <c r="O62" s="30">
        <f>IF(OR($F62="",$I62=""),0,IFERROR(INDEX(Nutrition!$I$2:$I$300,MATCH($F62,Nutrition!$A$2:$A$300,0))*$I62/100,0))</f>
        <v>68.34</v>
      </c>
      <c r="P62" s="30">
        <f>IF(OR($F62="",$I62=""),0,IFERROR(INDEX(Nutrition!$J$2:$J$300,MATCH($F62,Nutrition!$A$2:$A$300,0))*$I62/100,0))</f>
        <v>0.1474</v>
      </c>
      <c r="Q62" s="30">
        <f>IF(OR($F62="",$I62=""),0,IFERROR(INDEX(Nutrition!$K$2:$K$300,MATCH($F62,Nutrition!$A$2:$A$300,0))*$I62/100,0))</f>
        <v>2.8809999999999999E-2</v>
      </c>
      <c r="R62" s="30">
        <f>IF(OR($F62="",$I62=""),0,IFERROR(INDEX(Nutrition!$L$2:$L$300,MATCH($F62,Nutrition!$A$2:$A$300,0))*$I62/100,0))</f>
        <v>4.0199999999999996</v>
      </c>
      <c r="S62" s="30">
        <f>IF(OR($F62="",$I62=""),0,IFERROR(INDEX(Nutrition!$M$2:$M$300,MATCH($F62,Nutrition!$A$2:$A$300,0))*$I62/100,0))</f>
        <v>0.40199999999999997</v>
      </c>
    </row>
    <row r="63" spans="1:19" ht="15" customHeight="1" x14ac:dyDescent="0.25">
      <c r="A63" s="22" t="s">
        <v>1056</v>
      </c>
      <c r="B63" s="33" t="str">
        <f>IFERROR(INDEX(Recipes!$B$2:$B$500,MATCH(A63,Recipes!$A$2:$A$500,0)),"")</f>
        <v>Egg &amp; Avocado Breakfast Wrap</v>
      </c>
      <c r="C63" s="7" t="s">
        <v>2767</v>
      </c>
      <c r="D63" s="34">
        <v>4</v>
      </c>
      <c r="E63" s="22" t="s">
        <v>2754</v>
      </c>
      <c r="F63" s="22"/>
      <c r="G63" s="22" t="s">
        <v>2768</v>
      </c>
      <c r="H63" s="7"/>
      <c r="I63" s="35"/>
      <c r="J63" s="30">
        <f>IF(OR($F63="",$I63=""),0,IFERROR(INDEX(Nutrition!$D$2:$D$300,MATCH($F63,Nutrition!$A$2:$A$300,0))*$I63/100,0))</f>
        <v>0</v>
      </c>
      <c r="K63" s="30">
        <f>IF(OR($F63="",$I63=""),0,IFERROR(INDEX(Nutrition!$E$2:$E$300,MATCH($F63,Nutrition!$A$2:$A$300,0))*$I63/100,0))</f>
        <v>0</v>
      </c>
      <c r="L63" s="30">
        <f>IF(OR($F63="",$I63=""),0,IFERROR(INDEX(Nutrition!$F$2:$F$300,MATCH($F63,Nutrition!$A$2:$A$300,0))*$I63/100,0))</f>
        <v>0</v>
      </c>
      <c r="M63" s="30">
        <f>IF(OR($F63="",$I63=""),0,IFERROR(INDEX(Nutrition!$G$2:$G$300,MATCH($F63,Nutrition!$A$2:$A$300,0))*$I63/100,0))</f>
        <v>0</v>
      </c>
      <c r="N63" s="30">
        <f>IF(OR($F63="",$I63=""),0,IFERROR(INDEX(Nutrition!$H$2:$H$300,MATCH($F63,Nutrition!$A$2:$A$300,0))*$I63/100,0))</f>
        <v>0</v>
      </c>
      <c r="O63" s="30">
        <f>IF(OR($F63="",$I63=""),0,IFERROR(INDEX(Nutrition!$I$2:$I$300,MATCH($F63,Nutrition!$A$2:$A$300,0))*$I63/100,0))</f>
        <v>0</v>
      </c>
      <c r="P63" s="30">
        <f>IF(OR($F63="",$I63=""),0,IFERROR(INDEX(Nutrition!$J$2:$J$300,MATCH($F63,Nutrition!$A$2:$A$300,0))*$I63/100,0))</f>
        <v>0</v>
      </c>
      <c r="Q63" s="30">
        <f>IF(OR($F63="",$I63=""),0,IFERROR(INDEX(Nutrition!$K$2:$K$300,MATCH($F63,Nutrition!$A$2:$A$300,0))*$I63/100,0))</f>
        <v>0</v>
      </c>
      <c r="R63" s="30">
        <f>IF(OR($F63="",$I63=""),0,IFERROR(INDEX(Nutrition!$L$2:$L$300,MATCH($F63,Nutrition!$A$2:$A$300,0))*$I63/100,0))</f>
        <v>0</v>
      </c>
      <c r="S63" s="30">
        <f>IF(OR($F63="",$I63=""),0,IFERROR(INDEX(Nutrition!$M$2:$M$300,MATCH($F63,Nutrition!$A$2:$A$300,0))*$I63/100,0))</f>
        <v>0</v>
      </c>
    </row>
    <row r="64" spans="1:19" ht="15" customHeight="1" x14ac:dyDescent="0.25">
      <c r="A64" s="22" t="s">
        <v>1056</v>
      </c>
      <c r="B64" s="33" t="str">
        <f>IFERROR(INDEX(Recipes!$B$2:$B$500,MATCH(A64,Recipes!$A$2:$A$500,0)),"")</f>
        <v>Egg &amp; Avocado Breakfast Wrap</v>
      </c>
      <c r="C64" s="7" t="s">
        <v>2795</v>
      </c>
      <c r="D64" s="34">
        <v>2</v>
      </c>
      <c r="E64" s="22" t="s">
        <v>2754</v>
      </c>
      <c r="F64" s="22"/>
      <c r="G64" s="22" t="s">
        <v>2749</v>
      </c>
      <c r="H64" s="7"/>
      <c r="I64" s="35"/>
      <c r="J64" s="30">
        <f>IF(OR($F64="",$I64=""),0,IFERROR(INDEX(Nutrition!$D$2:$D$300,MATCH($F64,Nutrition!$A$2:$A$300,0))*$I64/100,0))</f>
        <v>0</v>
      </c>
      <c r="K64" s="30">
        <f>IF(OR($F64="",$I64=""),0,IFERROR(INDEX(Nutrition!$E$2:$E$300,MATCH($F64,Nutrition!$A$2:$A$300,0))*$I64/100,0))</f>
        <v>0</v>
      </c>
      <c r="L64" s="30">
        <f>IF(OR($F64="",$I64=""),0,IFERROR(INDEX(Nutrition!$F$2:$F$300,MATCH($F64,Nutrition!$A$2:$A$300,0))*$I64/100,0))</f>
        <v>0</v>
      </c>
      <c r="M64" s="30">
        <f>IF(OR($F64="",$I64=""),0,IFERROR(INDEX(Nutrition!$G$2:$G$300,MATCH($F64,Nutrition!$A$2:$A$300,0))*$I64/100,0))</f>
        <v>0</v>
      </c>
      <c r="N64" s="30">
        <f>IF(OR($F64="",$I64=""),0,IFERROR(INDEX(Nutrition!$H$2:$H$300,MATCH($F64,Nutrition!$A$2:$A$300,0))*$I64/100,0))</f>
        <v>0</v>
      </c>
      <c r="O64" s="30">
        <f>IF(OR($F64="",$I64=""),0,IFERROR(INDEX(Nutrition!$I$2:$I$300,MATCH($F64,Nutrition!$A$2:$A$300,0))*$I64/100,0))</f>
        <v>0</v>
      </c>
      <c r="P64" s="30">
        <f>IF(OR($F64="",$I64=""),0,IFERROR(INDEX(Nutrition!$J$2:$J$300,MATCH($F64,Nutrition!$A$2:$A$300,0))*$I64/100,0))</f>
        <v>0</v>
      </c>
      <c r="Q64" s="30">
        <f>IF(OR($F64="",$I64=""),0,IFERROR(INDEX(Nutrition!$K$2:$K$300,MATCH($F64,Nutrition!$A$2:$A$300,0))*$I64/100,0))</f>
        <v>0</v>
      </c>
      <c r="R64" s="30">
        <f>IF(OR($F64="",$I64=""),0,IFERROR(INDEX(Nutrition!$L$2:$L$300,MATCH($F64,Nutrition!$A$2:$A$300,0))*$I64/100,0))</f>
        <v>0</v>
      </c>
      <c r="S64" s="30">
        <f>IF(OR($F64="",$I64=""),0,IFERROR(INDEX(Nutrition!$M$2:$M$300,MATCH($F64,Nutrition!$A$2:$A$300,0))*$I64/100,0))</f>
        <v>0</v>
      </c>
    </row>
    <row r="65" spans="1:19" ht="15" customHeight="1" x14ac:dyDescent="0.25">
      <c r="A65" s="22" t="s">
        <v>1056</v>
      </c>
      <c r="B65" s="33" t="str">
        <f>IFERROR(INDEX(Recipes!$B$2:$B$500,MATCH(A65,Recipes!$A$2:$A$500,0)),"")</f>
        <v>Egg &amp; Avocado Breakfast Wrap</v>
      </c>
      <c r="C65" s="7" t="s">
        <v>227</v>
      </c>
      <c r="D65" s="34">
        <v>1</v>
      </c>
      <c r="E65" s="22" t="s">
        <v>2754</v>
      </c>
      <c r="F65" s="22" t="s">
        <v>226</v>
      </c>
      <c r="G65" s="22" t="s">
        <v>2755</v>
      </c>
      <c r="H65" s="7"/>
      <c r="I65" s="35">
        <v>201</v>
      </c>
      <c r="J65" s="30">
        <f>IF(OR($F65="",$I65=""),0,IFERROR(INDEX(Nutrition!$D$2:$D$300,MATCH($F65,Nutrition!$A$2:$A$300,0))*$I65/100,0))</f>
        <v>13.467000000000001</v>
      </c>
      <c r="K65" s="30">
        <f>IF(OR($F65="",$I65=""),0,IFERROR(INDEX(Nutrition!$E$2:$E$300,MATCH($F65,Nutrition!$A$2:$A$300,0))*$I65/100,0))</f>
        <v>20.100000000000001</v>
      </c>
      <c r="L65" s="30">
        <f>IF(OR($F65="",$I65=""),0,IFERROR(INDEX(Nutrition!$F$2:$F$300,MATCH($F65,Nutrition!$A$2:$A$300,0))*$I65/100,0))</f>
        <v>14.07</v>
      </c>
      <c r="M65" s="30">
        <f>IF(OR($F65="",$I65=""),0,IFERROR(INDEX(Nutrition!$G$2:$G$300,MATCH($F65,Nutrition!$A$2:$A$300,0))*$I65/100,0))</f>
        <v>42.21</v>
      </c>
      <c r="N65" s="30">
        <f>IF(OR($F65="",$I65=""),0,IFERROR(INDEX(Nutrition!$H$2:$H$300,MATCH($F65,Nutrition!$A$2:$A$300,0))*$I65/100,0))</f>
        <v>162.81</v>
      </c>
      <c r="O65" s="30">
        <f>IF(OR($F65="",$I65=""),0,IFERROR(INDEX(Nutrition!$I$2:$I$300,MATCH($F65,Nutrition!$A$2:$A$300,0))*$I65/100,0))</f>
        <v>974.85</v>
      </c>
      <c r="P65" s="30">
        <f>IF(OR($F65="",$I65=""),0,IFERROR(INDEX(Nutrition!$J$2:$J$300,MATCH($F65,Nutrition!$A$2:$A$300,0))*$I65/100,0))</f>
        <v>4.1607000000000003</v>
      </c>
      <c r="Q65" s="30">
        <f>IF(OR($F65="",$I65=""),0,IFERROR(INDEX(Nutrition!$K$2:$K$300,MATCH($F65,Nutrition!$A$2:$A$300,0))*$I65/100,0))</f>
        <v>0.51657000000000008</v>
      </c>
      <c r="R65" s="30">
        <f>IF(OR($F65="",$I65=""),0,IFERROR(INDEX(Nutrition!$L$2:$L$300,MATCH($F65,Nutrition!$A$2:$A$300,0))*$I65/100,0))</f>
        <v>58.29</v>
      </c>
      <c r="S65" s="30">
        <f>IF(OR($F65="",$I65=""),0,IFERROR(INDEX(Nutrition!$M$2:$M$300,MATCH($F65,Nutrition!$A$2:$A$300,0))*$I65/100,0))</f>
        <v>1.1055000000000001</v>
      </c>
    </row>
    <row r="66" spans="1:19" ht="15" customHeight="1" x14ac:dyDescent="0.25">
      <c r="A66" s="22" t="s">
        <v>1056</v>
      </c>
      <c r="B66" s="33" t="str">
        <f>IFERROR(INDEX(Recipes!$B$2:$B$500,MATCH(A66,Recipes!$A$2:$A$500,0)),"")</f>
        <v>Egg &amp; Avocado Breakfast Wrap</v>
      </c>
      <c r="C66" s="7" t="s">
        <v>446</v>
      </c>
      <c r="D66" s="34">
        <v>2</v>
      </c>
      <c r="E66" s="22" t="s">
        <v>2754</v>
      </c>
      <c r="F66" s="22" t="s">
        <v>445</v>
      </c>
      <c r="G66" s="22" t="s">
        <v>2755</v>
      </c>
      <c r="H66" s="7"/>
      <c r="I66" s="35">
        <v>124</v>
      </c>
      <c r="J66" s="30">
        <f>IF(OR($F66="",$I66=""),0,IFERROR(INDEX(Nutrition!$D$2:$D$300,MATCH($F66,Nutrition!$A$2:$A$300,0))*$I66/100,0))</f>
        <v>1.4879999999999998</v>
      </c>
      <c r="K66" s="30">
        <f>IF(OR($F66="",$I66=""),0,IFERROR(INDEX(Nutrition!$E$2:$E$300,MATCH($F66,Nutrition!$A$2:$A$300,0))*$I66/100,0))</f>
        <v>16.988</v>
      </c>
      <c r="L66" s="30">
        <f>IF(OR($F66="",$I66=""),0,IFERROR(INDEX(Nutrition!$F$2:$F$300,MATCH($F66,Nutrition!$A$2:$A$300,0))*$I66/100,0))</f>
        <v>52.08</v>
      </c>
      <c r="M66" s="30">
        <f>IF(OR($F66="",$I66=""),0,IFERROR(INDEX(Nutrition!$G$2:$G$300,MATCH($F66,Nutrition!$A$2:$A$300,0))*$I66/100,0))</f>
        <v>9.7959999999999994</v>
      </c>
      <c r="N66" s="30">
        <f>IF(OR($F66="",$I66=""),0,IFERROR(INDEX(Nutrition!$H$2:$H$300,MATCH($F66,Nutrition!$A$2:$A$300,0))*$I66/100,0))</f>
        <v>18.600000000000001</v>
      </c>
      <c r="O66" s="30">
        <f>IF(OR($F66="",$I66=""),0,IFERROR(INDEX(Nutrition!$I$2:$I$300,MATCH($F66,Nutrition!$A$2:$A$300,0))*$I66/100,0))</f>
        <v>293.88</v>
      </c>
      <c r="P66" s="30">
        <f>IF(OR($F66="",$I66=""),0,IFERROR(INDEX(Nutrition!$J$2:$J$300,MATCH($F66,Nutrition!$A$2:$A$300,0))*$I66/100,0))</f>
        <v>0.66960000000000008</v>
      </c>
      <c r="Q66" s="30">
        <f>IF(OR($F66="",$I66=""),0,IFERROR(INDEX(Nutrition!$K$2:$K$300,MATCH($F66,Nutrition!$A$2:$A$300,0))*$I66/100,0))</f>
        <v>9.9199999999999997E-2</v>
      </c>
      <c r="R66" s="30">
        <f>IF(OR($F66="",$I66=""),0,IFERROR(INDEX(Nutrition!$L$2:$L$300,MATCH($F66,Nutrition!$A$2:$A$300,0))*$I66/100,0))</f>
        <v>13.64</v>
      </c>
      <c r="S66" s="30">
        <f>IF(OR($F66="",$I66=""),0,IFERROR(INDEX(Nutrition!$M$2:$M$300,MATCH($F66,Nutrition!$A$2:$A$300,0))*$I66/100,0))</f>
        <v>0.33480000000000004</v>
      </c>
    </row>
    <row r="67" spans="1:19" ht="15" customHeight="1" x14ac:dyDescent="0.25">
      <c r="A67" s="22" t="s">
        <v>1056</v>
      </c>
      <c r="B67" s="33" t="str">
        <f>IFERROR(INDEX(Recipes!$B$2:$B$500,MATCH(A67,Recipes!$A$2:$A$500,0)),"")</f>
        <v>Egg &amp; Avocado Breakfast Wrap</v>
      </c>
      <c r="C67" s="7" t="s">
        <v>482</v>
      </c>
      <c r="D67" s="34">
        <v>0.5</v>
      </c>
      <c r="E67" s="22" t="s">
        <v>2754</v>
      </c>
      <c r="F67" s="22" t="s">
        <v>481</v>
      </c>
      <c r="G67" s="22" t="s">
        <v>2755</v>
      </c>
      <c r="H67" s="7"/>
      <c r="I67" s="35">
        <v>55</v>
      </c>
      <c r="J67" s="30">
        <f>IF(OR($F67="",$I67=""),0,IFERROR(INDEX(Nutrition!$D$2:$D$300,MATCH($F67,Nutrition!$A$2:$A$300,0))*$I67/100,0))</f>
        <v>0.93500000000000005</v>
      </c>
      <c r="K67" s="30">
        <f>IF(OR($F67="",$I67=""),0,IFERROR(INDEX(Nutrition!$E$2:$E$300,MATCH($F67,Nutrition!$A$2:$A$300,0))*$I67/100,0))</f>
        <v>4.07</v>
      </c>
      <c r="L67" s="30">
        <f>IF(OR($F67="",$I67=""),0,IFERROR(INDEX(Nutrition!$F$2:$F$300,MATCH($F67,Nutrition!$A$2:$A$300,0))*$I67/100,0))</f>
        <v>0</v>
      </c>
      <c r="M67" s="30">
        <f>IF(OR($F67="",$I67=""),0,IFERROR(INDEX(Nutrition!$G$2:$G$300,MATCH($F67,Nutrition!$A$2:$A$300,0))*$I67/100,0))</f>
        <v>0.22</v>
      </c>
      <c r="N67" s="30">
        <f>IF(OR($F67="",$I67=""),0,IFERROR(INDEX(Nutrition!$H$2:$H$300,MATCH($F67,Nutrition!$A$2:$A$300,0))*$I67/100,0))</f>
        <v>10.45</v>
      </c>
      <c r="O67" s="30">
        <f>IF(OR($F67="",$I67=""),0,IFERROR(INDEX(Nutrition!$I$2:$I$300,MATCH($F67,Nutrition!$A$2:$A$300,0))*$I67/100,0))</f>
        <v>80.3</v>
      </c>
      <c r="P67" s="30">
        <f>IF(OR($F67="",$I67=""),0,IFERROR(INDEX(Nutrition!$J$2:$J$300,MATCH($F67,Nutrition!$A$2:$A$300,0))*$I67/100,0))</f>
        <v>1.1000000000000001E-2</v>
      </c>
      <c r="Q67" s="30">
        <f>IF(OR($F67="",$I67=""),0,IFERROR(INDEX(Nutrition!$K$2:$K$300,MATCH($F67,Nutrition!$A$2:$A$300,0))*$I67/100,0))</f>
        <v>6.6000000000000003E-2</v>
      </c>
      <c r="R67" s="30">
        <f>IF(OR($F67="",$I67=""),0,IFERROR(INDEX(Nutrition!$L$2:$L$300,MATCH($F67,Nutrition!$A$2:$A$300,0))*$I67/100,0))</f>
        <v>5.5</v>
      </c>
      <c r="S67" s="30">
        <f>IF(OR($F67="",$I67=""),0,IFERROR(INDEX(Nutrition!$M$2:$M$300,MATCH($F67,Nutrition!$A$2:$A$300,0))*$I67/100,0))</f>
        <v>0.11549999999999999</v>
      </c>
    </row>
    <row r="68" spans="1:19" ht="15" customHeight="1" x14ac:dyDescent="0.25">
      <c r="A68" s="22" t="s">
        <v>1056</v>
      </c>
      <c r="B68" s="33" t="str">
        <f>IFERROR(INDEX(Recipes!$B$2:$B$500,MATCH(A68,Recipes!$A$2:$A$500,0)),"")</f>
        <v>Egg &amp; Avocado Breakfast Wrap</v>
      </c>
      <c r="C68" s="7" t="s">
        <v>473</v>
      </c>
      <c r="D68" s="34">
        <v>0.25</v>
      </c>
      <c r="E68" s="22" t="s">
        <v>2754</v>
      </c>
      <c r="F68" s="22" t="s">
        <v>472</v>
      </c>
      <c r="G68" s="22" t="s">
        <v>2755</v>
      </c>
      <c r="H68" s="7"/>
      <c r="I68" s="35">
        <v>2</v>
      </c>
      <c r="J68" s="30">
        <f>IF(OR($F68="",$I68=""),0,IFERROR(INDEX(Nutrition!$D$2:$D$300,MATCH($F68,Nutrition!$A$2:$A$300,0))*$I68/100,0))</f>
        <v>0.03</v>
      </c>
      <c r="K68" s="30">
        <f>IF(OR($F68="",$I68=""),0,IFERROR(INDEX(Nutrition!$E$2:$E$300,MATCH($F68,Nutrition!$A$2:$A$300,0))*$I68/100,0))</f>
        <v>2.8739999999999997</v>
      </c>
      <c r="L68" s="30">
        <f>IF(OR($F68="",$I68=""),0,IFERROR(INDEX(Nutrition!$F$2:$F$300,MATCH($F68,Nutrition!$A$2:$A$300,0))*$I68/100,0))</f>
        <v>0.96</v>
      </c>
      <c r="M68" s="30">
        <f>IF(OR($F68="",$I68=""),0,IFERROR(INDEX(Nutrition!$G$2:$G$300,MATCH($F68,Nutrition!$A$2:$A$300,0))*$I68/100,0))</f>
        <v>0.28000000000000003</v>
      </c>
      <c r="N68" s="30">
        <f>IF(OR($F68="",$I68=""),0,IFERROR(INDEX(Nutrition!$H$2:$H$300,MATCH($F68,Nutrition!$A$2:$A$300,0))*$I68/100,0))</f>
        <v>0.46</v>
      </c>
      <c r="O68" s="30">
        <f>IF(OR($F68="",$I68=""),0,IFERROR(INDEX(Nutrition!$I$2:$I$300,MATCH($F68,Nutrition!$A$2:$A$300,0))*$I68/100,0))</f>
        <v>6.44</v>
      </c>
      <c r="P68" s="30">
        <f>IF(OR($F68="",$I68=""),0,IFERROR(INDEX(Nutrition!$J$2:$J$300,MATCH($F68,Nutrition!$A$2:$A$300,0))*$I68/100,0))</f>
        <v>1.38E-2</v>
      </c>
      <c r="Q68" s="30">
        <f>IF(OR($F68="",$I68=""),0,IFERROR(INDEX(Nutrition!$K$2:$K$300,MATCH($F68,Nutrition!$A$2:$A$300,0))*$I68/100,0))</f>
        <v>1.0120000000000001E-2</v>
      </c>
      <c r="R68" s="30">
        <f>IF(OR($F68="",$I68=""),0,IFERROR(INDEX(Nutrition!$L$2:$L$300,MATCH($F68,Nutrition!$A$2:$A$300,0))*$I68/100,0))</f>
        <v>0.46</v>
      </c>
      <c r="S68" s="30">
        <f>IF(OR($F68="",$I68=""),0,IFERROR(INDEX(Nutrition!$M$2:$M$300,MATCH($F68,Nutrition!$A$2:$A$300,0))*$I68/100,0))</f>
        <v>2.06E-2</v>
      </c>
    </row>
    <row r="69" spans="1:19" ht="15" customHeight="1" x14ac:dyDescent="0.25">
      <c r="A69" s="22" t="s">
        <v>1056</v>
      </c>
      <c r="B69" s="33" t="str">
        <f>IFERROR(INDEX(Recipes!$B$2:$B$500,MATCH(A69,Recipes!$A$2:$A$500,0)),"")</f>
        <v>Egg &amp; Avocado Breakfast Wrap</v>
      </c>
      <c r="C69" s="7" t="s">
        <v>633</v>
      </c>
      <c r="D69" s="34">
        <v>1</v>
      </c>
      <c r="E69" s="22" t="s">
        <v>2748</v>
      </c>
      <c r="F69" s="22" t="s">
        <v>632</v>
      </c>
      <c r="G69" s="22" t="s">
        <v>2755</v>
      </c>
      <c r="H69" s="7"/>
      <c r="I69" s="35">
        <v>28</v>
      </c>
      <c r="J69" s="30">
        <f>IF(OR($F69="",$I69=""),0,IFERROR(INDEX(Nutrition!$D$2:$D$300,MATCH($F69,Nutrition!$A$2:$A$300,0))*$I69/100,0))</f>
        <v>0.56000000000000005</v>
      </c>
      <c r="K69" s="30">
        <f>IF(OR($F69="",$I69=""),0,IFERROR(INDEX(Nutrition!$E$2:$E$300,MATCH($F69,Nutrition!$A$2:$A$300,0))*$I69/100,0))</f>
        <v>12.123999999999999</v>
      </c>
      <c r="L69" s="30">
        <f>IF(OR($F69="",$I69=""),0,IFERROR(INDEX(Nutrition!$F$2:$F$300,MATCH($F69,Nutrition!$A$2:$A$300,0))*$I69/100,0))</f>
        <v>40.880000000000003</v>
      </c>
      <c r="M69" s="30">
        <f>IF(OR($F69="",$I69=""),0,IFERROR(INDEX(Nutrition!$G$2:$G$300,MATCH($F69,Nutrition!$A$2:$A$300,0))*$I69/100,0))</f>
        <v>319.2</v>
      </c>
      <c r="N69" s="30">
        <f>IF(OR($F69="",$I69=""),0,IFERROR(INDEX(Nutrition!$H$2:$H$300,MATCH($F69,Nutrition!$A$2:$A$300,0))*$I69/100,0))</f>
        <v>23.8</v>
      </c>
      <c r="O69" s="30">
        <f>IF(OR($F69="",$I69=""),0,IFERROR(INDEX(Nutrition!$I$2:$I$300,MATCH($F69,Nutrition!$A$2:$A$300,0))*$I69/100,0))</f>
        <v>171.08</v>
      </c>
      <c r="P69" s="30">
        <f>IF(OR($F69="",$I69=""),0,IFERROR(INDEX(Nutrition!$J$2:$J$300,MATCH($F69,Nutrition!$A$2:$A$300,0))*$I69/100,0))</f>
        <v>0</v>
      </c>
      <c r="Q69" s="30">
        <f>IF(OR($F69="",$I69=""),0,IFERROR(INDEX(Nutrition!$K$2:$K$300,MATCH($F69,Nutrition!$A$2:$A$300,0))*$I69/100,0))</f>
        <v>5.3760000000000002E-2</v>
      </c>
      <c r="R69" s="30">
        <f>IF(OR($F69="",$I69=""),0,IFERROR(INDEX(Nutrition!$L$2:$L$300,MATCH($F69,Nutrition!$A$2:$A$300,0))*$I69/100,0))</f>
        <v>15.4</v>
      </c>
      <c r="S69" s="30">
        <f>IF(OR($F69="",$I69=""),0,IFERROR(INDEX(Nutrition!$M$2:$M$300,MATCH($F69,Nutrition!$A$2:$A$300,0))*$I69/100,0))</f>
        <v>0.64959999999999996</v>
      </c>
    </row>
    <row r="70" spans="1:19" ht="15" customHeight="1" x14ac:dyDescent="0.25">
      <c r="A70" s="22" t="s">
        <v>1056</v>
      </c>
      <c r="B70" s="33" t="str">
        <f>IFERROR(INDEX(Recipes!$B$2:$B$500,MATCH(A70,Recipes!$A$2:$A$500,0)),"")</f>
        <v>Egg &amp; Avocado Breakfast Wrap</v>
      </c>
      <c r="C70" s="7" t="s">
        <v>2772</v>
      </c>
      <c r="D70" s="34">
        <v>1</v>
      </c>
      <c r="E70" s="22" t="s">
        <v>2759</v>
      </c>
      <c r="F70" s="22"/>
      <c r="G70" s="22" t="s">
        <v>2773</v>
      </c>
      <c r="H70" s="7"/>
      <c r="I70" s="35"/>
      <c r="J70" s="30">
        <f>IF(OR($F70="",$I70=""),0,IFERROR(INDEX(Nutrition!$D$2:$D$300,MATCH($F70,Nutrition!$A$2:$A$300,0))*$I70/100,0))</f>
        <v>0</v>
      </c>
      <c r="K70" s="30">
        <f>IF(OR($F70="",$I70=""),0,IFERROR(INDEX(Nutrition!$E$2:$E$300,MATCH($F70,Nutrition!$A$2:$A$300,0))*$I70/100,0))</f>
        <v>0</v>
      </c>
      <c r="L70" s="30">
        <f>IF(OR($F70="",$I70=""),0,IFERROR(INDEX(Nutrition!$F$2:$F$300,MATCH($F70,Nutrition!$A$2:$A$300,0))*$I70/100,0))</f>
        <v>0</v>
      </c>
      <c r="M70" s="30">
        <f>IF(OR($F70="",$I70=""),0,IFERROR(INDEX(Nutrition!$G$2:$G$300,MATCH($F70,Nutrition!$A$2:$A$300,0))*$I70/100,0))</f>
        <v>0</v>
      </c>
      <c r="N70" s="30">
        <f>IF(OR($F70="",$I70=""),0,IFERROR(INDEX(Nutrition!$H$2:$H$300,MATCH($F70,Nutrition!$A$2:$A$300,0))*$I70/100,0))</f>
        <v>0</v>
      </c>
      <c r="O70" s="30">
        <f>IF(OR($F70="",$I70=""),0,IFERROR(INDEX(Nutrition!$I$2:$I$300,MATCH($F70,Nutrition!$A$2:$A$300,0))*$I70/100,0))</f>
        <v>0</v>
      </c>
      <c r="P70" s="30">
        <f>IF(OR($F70="",$I70=""),0,IFERROR(INDEX(Nutrition!$J$2:$J$300,MATCH($F70,Nutrition!$A$2:$A$300,0))*$I70/100,0))</f>
        <v>0</v>
      </c>
      <c r="Q70" s="30">
        <f>IF(OR($F70="",$I70=""),0,IFERROR(INDEX(Nutrition!$K$2:$K$300,MATCH($F70,Nutrition!$A$2:$A$300,0))*$I70/100,0))</f>
        <v>0</v>
      </c>
      <c r="R70" s="30">
        <f>IF(OR($F70="",$I70=""),0,IFERROR(INDEX(Nutrition!$L$2:$L$300,MATCH($F70,Nutrition!$A$2:$A$300,0))*$I70/100,0))</f>
        <v>0</v>
      </c>
      <c r="S70" s="30">
        <f>IF(OR($F70="",$I70=""),0,IFERROR(INDEX(Nutrition!$M$2:$M$300,MATCH($F70,Nutrition!$A$2:$A$300,0))*$I70/100,0))</f>
        <v>0</v>
      </c>
    </row>
    <row r="71" spans="1:19" ht="15" customHeight="1" x14ac:dyDescent="0.25">
      <c r="A71" s="22" t="s">
        <v>1065</v>
      </c>
      <c r="B71" s="33" t="str">
        <f>IFERROR(INDEX(Recipes!$B$2:$B$500,MATCH(A71,Recipes!$A$2:$A$500,0)),"")</f>
        <v>Chilli-Lime Fruit Cup (Yaji Edition)</v>
      </c>
      <c r="C71" s="7" t="s">
        <v>150</v>
      </c>
      <c r="D71" s="34">
        <v>2</v>
      </c>
      <c r="E71" s="22" t="s">
        <v>2790</v>
      </c>
      <c r="F71" s="22" t="s">
        <v>149</v>
      </c>
      <c r="G71" s="22" t="s">
        <v>2755</v>
      </c>
      <c r="H71" s="7" t="s">
        <v>2796</v>
      </c>
      <c r="I71" s="35">
        <v>304</v>
      </c>
      <c r="J71" s="30">
        <f>IF(OR($F71="",$I71=""),0,IFERROR(INDEX(Nutrition!$D$2:$D$300,MATCH($F71,Nutrition!$A$2:$A$300,0))*$I71/100,0))</f>
        <v>1.2160000000000002</v>
      </c>
      <c r="K71" s="30">
        <f>IF(OR($F71="",$I71=""),0,IFERROR(INDEX(Nutrition!$E$2:$E$300,MATCH($F71,Nutrition!$A$2:$A$300,0))*$I71/100,0))</f>
        <v>24.624000000000002</v>
      </c>
      <c r="L71" s="30">
        <f>IF(OR($F71="",$I71=""),0,IFERROR(INDEX(Nutrition!$F$2:$F$300,MATCH($F71,Nutrition!$A$2:$A$300,0))*$I71/100,0))</f>
        <v>85.12</v>
      </c>
      <c r="M71" s="30">
        <f>IF(OR($F71="",$I71=""),0,IFERROR(INDEX(Nutrition!$G$2:$G$300,MATCH($F71,Nutrition!$A$2:$A$300,0))*$I71/100,0))</f>
        <v>0.30400000000000005</v>
      </c>
      <c r="N71" s="30">
        <f>IF(OR($F71="",$I71=""),0,IFERROR(INDEX(Nutrition!$H$2:$H$300,MATCH($F71,Nutrition!$A$2:$A$300,0))*$I71/100,0))</f>
        <v>9.1199999999999992</v>
      </c>
      <c r="O71" s="30">
        <f>IF(OR($F71="",$I71=""),0,IFERROR(INDEX(Nutrition!$I$2:$I$300,MATCH($F71,Nutrition!$A$2:$A$300,0))*$I71/100,0))</f>
        <v>340.48</v>
      </c>
      <c r="P71" s="30">
        <f>IF(OR($F71="",$I71=""),0,IFERROR(INDEX(Nutrition!$J$2:$J$300,MATCH($F71,Nutrition!$A$2:$A$300,0))*$I71/100,0))</f>
        <v>0.15200000000000002</v>
      </c>
      <c r="Q71" s="30">
        <f>IF(OR($F71="",$I71=""),0,IFERROR(INDEX(Nutrition!$K$2:$K$300,MATCH($F71,Nutrition!$A$2:$A$300,0))*$I71/100,0))</f>
        <v>0.1368</v>
      </c>
      <c r="R71" s="30">
        <f>IF(OR($F71="",$I71=""),0,IFERROR(INDEX(Nutrition!$L$2:$L$300,MATCH($F71,Nutrition!$A$2:$A$300,0))*$I71/100,0))</f>
        <v>30.4</v>
      </c>
      <c r="S71" s="30">
        <f>IF(OR($F71="",$I71=""),0,IFERROR(INDEX(Nutrition!$M$2:$M$300,MATCH($F71,Nutrition!$A$2:$A$300,0))*$I71/100,0))</f>
        <v>0.72959999999999992</v>
      </c>
    </row>
    <row r="72" spans="1:19" ht="15" customHeight="1" x14ac:dyDescent="0.25">
      <c r="A72" s="22" t="s">
        <v>1065</v>
      </c>
      <c r="B72" s="33" t="str">
        <f>IFERROR(INDEX(Recipes!$B$2:$B$500,MATCH(A72,Recipes!$A$2:$A$500,0)),"")</f>
        <v>Chilli-Lime Fruit Cup (Yaji Edition)</v>
      </c>
      <c r="C72" s="7" t="s">
        <v>139</v>
      </c>
      <c r="D72" s="34">
        <v>1</v>
      </c>
      <c r="E72" s="22" t="s">
        <v>2748</v>
      </c>
      <c r="F72" s="22" t="s">
        <v>138</v>
      </c>
      <c r="G72" s="22" t="s">
        <v>2755</v>
      </c>
      <c r="H72" s="7"/>
      <c r="I72" s="35">
        <v>165</v>
      </c>
      <c r="J72" s="30">
        <f>IF(OR($F72="",$I72=""),0,IFERROR(INDEX(Nutrition!$D$2:$D$300,MATCH($F72,Nutrition!$A$2:$A$300,0))*$I72/100,0))</f>
        <v>2.3099999999999996</v>
      </c>
      <c r="K72" s="30">
        <f>IF(OR($F72="",$I72=""),0,IFERROR(INDEX(Nutrition!$E$2:$E$300,MATCH($F72,Nutrition!$A$2:$A$300,0))*$I72/100,0))</f>
        <v>78.86999999999999</v>
      </c>
      <c r="L72" s="30">
        <f>IF(OR($F72="",$I72=""),0,IFERROR(INDEX(Nutrition!$F$2:$F$300,MATCH($F72,Nutrition!$A$2:$A$300,0))*$I72/100,0))</f>
        <v>4.95</v>
      </c>
      <c r="M72" s="30">
        <f>IF(OR($F72="",$I72=""),0,IFERROR(INDEX(Nutrition!$G$2:$G$300,MATCH($F72,Nutrition!$A$2:$A$300,0))*$I72/100,0))</f>
        <v>1.1549999999999998</v>
      </c>
      <c r="N72" s="30">
        <f>IF(OR($F72="",$I72=""),0,IFERROR(INDEX(Nutrition!$H$2:$H$300,MATCH($F72,Nutrition!$A$2:$A$300,0))*$I72/100,0))</f>
        <v>29.7</v>
      </c>
      <c r="O72" s="30">
        <f>IF(OR($F72="",$I72=""),0,IFERROR(INDEX(Nutrition!$I$2:$I$300,MATCH($F72,Nutrition!$A$2:$A$300,0))*$I72/100,0))</f>
        <v>179.85</v>
      </c>
      <c r="P72" s="30">
        <f>IF(OR($F72="",$I72=""),0,IFERROR(INDEX(Nutrition!$J$2:$J$300,MATCH($F72,Nutrition!$A$2:$A$300,0))*$I72/100,0))</f>
        <v>3.3000000000000002E-2</v>
      </c>
      <c r="Q72" s="30">
        <f>IF(OR($F72="",$I72=""),0,IFERROR(INDEX(Nutrition!$K$2:$K$300,MATCH($F72,Nutrition!$A$2:$A$300,0))*$I72/100,0))</f>
        <v>0.18479999999999999</v>
      </c>
      <c r="R72" s="30">
        <f>IF(OR($F72="",$I72=""),0,IFERROR(INDEX(Nutrition!$L$2:$L$300,MATCH($F72,Nutrition!$A$2:$A$300,0))*$I72/100,0))</f>
        <v>19.8</v>
      </c>
      <c r="S72" s="30">
        <f>IF(OR($F72="",$I72=""),0,IFERROR(INDEX(Nutrition!$M$2:$M$300,MATCH($F72,Nutrition!$A$2:$A$300,0))*$I72/100,0))</f>
        <v>0.47849999999999993</v>
      </c>
    </row>
    <row r="73" spans="1:19" ht="15" customHeight="1" x14ac:dyDescent="0.25">
      <c r="A73" s="22" t="s">
        <v>1065</v>
      </c>
      <c r="B73" s="33" t="str">
        <f>IFERROR(INDEX(Recipes!$B$2:$B$500,MATCH(A73,Recipes!$A$2:$A$500,0)),"")</f>
        <v>Chilli-Lime Fruit Cup (Yaji Edition)</v>
      </c>
      <c r="C73" s="7" t="s">
        <v>160</v>
      </c>
      <c r="D73" s="34">
        <v>1</v>
      </c>
      <c r="E73" s="22" t="s">
        <v>2748</v>
      </c>
      <c r="F73" s="22" t="s">
        <v>159</v>
      </c>
      <c r="G73" s="22" t="s">
        <v>2755</v>
      </c>
      <c r="H73" s="7"/>
      <c r="I73" s="35">
        <v>145</v>
      </c>
      <c r="J73" s="30">
        <f>IF(OR($F73="",$I73=""),0,IFERROR(INDEX(Nutrition!$D$2:$D$300,MATCH($F73,Nutrition!$A$2:$A$300,0))*$I73/100,0))</f>
        <v>2.4649999999999999</v>
      </c>
      <c r="K73" s="30">
        <f>IF(OR($F73="",$I73=""),0,IFERROR(INDEX(Nutrition!$E$2:$E$300,MATCH($F73,Nutrition!$A$2:$A$300,0))*$I73/100,0))</f>
        <v>88.305000000000007</v>
      </c>
      <c r="L73" s="30">
        <f>IF(OR($F73="",$I73=""),0,IFERROR(INDEX(Nutrition!$F$2:$F$300,MATCH($F73,Nutrition!$A$2:$A$300,0))*$I73/100,0))</f>
        <v>68.150000000000006</v>
      </c>
      <c r="M73" s="30">
        <f>IF(OR($F73="",$I73=""),0,IFERROR(INDEX(Nutrition!$G$2:$G$300,MATCH($F73,Nutrition!$A$2:$A$300,0))*$I73/100,0))</f>
        <v>3.77</v>
      </c>
      <c r="N73" s="30">
        <f>IF(OR($F73="",$I73=""),0,IFERROR(INDEX(Nutrition!$H$2:$H$300,MATCH($F73,Nutrition!$A$2:$A$300,0))*$I73/100,0))</f>
        <v>53.65</v>
      </c>
      <c r="O73" s="30">
        <f>IF(OR($F73="",$I73=""),0,IFERROR(INDEX(Nutrition!$I$2:$I$300,MATCH($F73,Nutrition!$A$2:$A$300,0))*$I73/100,0))</f>
        <v>263.89999999999998</v>
      </c>
      <c r="P73" s="30">
        <f>IF(OR($F73="",$I73=""),0,IFERROR(INDEX(Nutrition!$J$2:$J$300,MATCH($F73,Nutrition!$A$2:$A$300,0))*$I73/100,0))</f>
        <v>0.435</v>
      </c>
      <c r="Q73" s="30">
        <f>IF(OR($F73="",$I73=""),0,IFERROR(INDEX(Nutrition!$K$2:$K$300,MATCH($F73,Nutrition!$A$2:$A$300,0))*$I73/100,0))</f>
        <v>5.5099999999999996E-2</v>
      </c>
      <c r="R73" s="30">
        <f>IF(OR($F73="",$I73=""),0,IFERROR(INDEX(Nutrition!$L$2:$L$300,MATCH($F73,Nutrition!$A$2:$A$300,0))*$I73/100,0))</f>
        <v>30.45</v>
      </c>
      <c r="S73" s="30">
        <f>IF(OR($F73="",$I73=""),0,IFERROR(INDEX(Nutrition!$M$2:$M$300,MATCH($F73,Nutrition!$A$2:$A$300,0))*$I73/100,0))</f>
        <v>0.36249999999999999</v>
      </c>
    </row>
    <row r="74" spans="1:19" ht="15" customHeight="1" x14ac:dyDescent="0.25">
      <c r="A74" s="22" t="s">
        <v>1065</v>
      </c>
      <c r="B74" s="33" t="str">
        <f>IFERROR(INDEX(Recipes!$B$2:$B$500,MATCH(A74,Recipes!$A$2:$A$500,0)),"")</f>
        <v>Chilli-Lime Fruit Cup (Yaji Edition)</v>
      </c>
      <c r="C74" s="7" t="s">
        <v>523</v>
      </c>
      <c r="D74" s="34">
        <v>1</v>
      </c>
      <c r="E74" s="22" t="s">
        <v>2754</v>
      </c>
      <c r="F74" s="22" t="s">
        <v>522</v>
      </c>
      <c r="G74" s="22" t="s">
        <v>2755</v>
      </c>
      <c r="H74" s="7" t="s">
        <v>2796</v>
      </c>
      <c r="I74" s="35">
        <v>301</v>
      </c>
      <c r="J74" s="30">
        <f>IF(OR($F74="",$I74=""),0,IFERROR(INDEX(Nutrition!$D$2:$D$300,MATCH($F74,Nutrition!$A$2:$A$300,0))*$I74/100,0))</f>
        <v>1.5049999999999999</v>
      </c>
      <c r="K74" s="30">
        <f>IF(OR($F74="",$I74=""),0,IFERROR(INDEX(Nutrition!$E$2:$E$300,MATCH($F74,Nutrition!$A$2:$A$300,0))*$I74/100,0))</f>
        <v>8.427999999999999</v>
      </c>
      <c r="L74" s="30">
        <f>IF(OR($F74="",$I74=""),0,IFERROR(INDEX(Nutrition!$F$2:$F$300,MATCH($F74,Nutrition!$A$2:$A$300,0))*$I74/100,0))</f>
        <v>15.05</v>
      </c>
      <c r="M74" s="30">
        <f>IF(OR($F74="",$I74=""),0,IFERROR(INDEX(Nutrition!$G$2:$G$300,MATCH($F74,Nutrition!$A$2:$A$300,0))*$I74/100,0))</f>
        <v>49.363999999999997</v>
      </c>
      <c r="N74" s="30">
        <f>IF(OR($F74="",$I74=""),0,IFERROR(INDEX(Nutrition!$H$2:$H$300,MATCH($F74,Nutrition!$A$2:$A$300,0))*$I74/100,0))</f>
        <v>21.07</v>
      </c>
      <c r="O74" s="30">
        <f>IF(OR($F74="",$I74=""),0,IFERROR(INDEX(Nutrition!$I$2:$I$300,MATCH($F74,Nutrition!$A$2:$A$300,0))*$I74/100,0))</f>
        <v>442.47</v>
      </c>
      <c r="P74" s="30">
        <f>IF(OR($F74="",$I74=""),0,IFERROR(INDEX(Nutrition!$J$2:$J$300,MATCH($F74,Nutrition!$A$2:$A$300,0))*$I74/100,0))</f>
        <v>9.0299999999999991E-2</v>
      </c>
      <c r="Q74" s="30">
        <f>IF(OR($F74="",$I74=""),0,IFERROR(INDEX(Nutrition!$K$2:$K$300,MATCH($F74,Nutrition!$A$2:$A$300,0))*$I74/100,0))</f>
        <v>0.12040000000000001</v>
      </c>
      <c r="R74" s="30">
        <f>IF(OR($F74="",$I74=""),0,IFERROR(INDEX(Nutrition!$L$2:$L$300,MATCH($F74,Nutrition!$A$2:$A$300,0))*$I74/100,0))</f>
        <v>39.130000000000003</v>
      </c>
      <c r="S74" s="30">
        <f>IF(OR($F74="",$I74=""),0,IFERROR(INDEX(Nutrition!$M$2:$M$300,MATCH($F74,Nutrition!$A$2:$A$300,0))*$I74/100,0))</f>
        <v>0.84279999999999999</v>
      </c>
    </row>
    <row r="75" spans="1:19" ht="15" customHeight="1" x14ac:dyDescent="0.25">
      <c r="A75" s="22" t="s">
        <v>1065</v>
      </c>
      <c r="B75" s="33" t="str">
        <f>IFERROR(INDEX(Recipes!$B$2:$B$500,MATCH(A75,Recipes!$A$2:$A$500,0)),"")</f>
        <v>Chilli-Lime Fruit Cup (Yaji Edition)</v>
      </c>
      <c r="C75" s="7" t="s">
        <v>168</v>
      </c>
      <c r="D75" s="34">
        <v>0.5</v>
      </c>
      <c r="E75" s="22" t="s">
        <v>2754</v>
      </c>
      <c r="F75" s="22" t="s">
        <v>167</v>
      </c>
      <c r="G75" s="22" t="s">
        <v>2755</v>
      </c>
      <c r="H75" s="7" t="s">
        <v>2797</v>
      </c>
      <c r="I75" s="35">
        <v>168</v>
      </c>
      <c r="J75" s="30">
        <f>IF(OR($F75="",$I75=""),0,IFERROR(INDEX(Nutrition!$D$2:$D$300,MATCH($F75,Nutrition!$A$2:$A$300,0))*$I75/100,0))</f>
        <v>2.6880000000000002</v>
      </c>
      <c r="K75" s="30">
        <f>IF(OR($F75="",$I75=""),0,IFERROR(INDEX(Nutrition!$E$2:$E$300,MATCH($F75,Nutrition!$A$2:$A$300,0))*$I75/100,0))</f>
        <v>61.152000000000001</v>
      </c>
      <c r="L75" s="30">
        <f>IF(OR($F75="",$I75=""),0,IFERROR(INDEX(Nutrition!$F$2:$F$300,MATCH($F75,Nutrition!$A$2:$A$300,0))*$I75/100,0))</f>
        <v>90.72</v>
      </c>
      <c r="M75" s="30">
        <f>IF(OR($F75="",$I75=""),0,IFERROR(INDEX(Nutrition!$G$2:$G$300,MATCH($F75,Nutrition!$A$2:$A$300,0))*$I75/100,0))</f>
        <v>7.056</v>
      </c>
      <c r="N75" s="30">
        <f>IF(OR($F75="",$I75=""),0,IFERROR(INDEX(Nutrition!$H$2:$H$300,MATCH($F75,Nutrition!$A$2:$A$300,0))*$I75/100,0))</f>
        <v>72.239999999999995</v>
      </c>
      <c r="O75" s="30">
        <f>IF(OR($F75="",$I75=""),0,IFERROR(INDEX(Nutrition!$I$2:$I$300,MATCH($F75,Nutrition!$A$2:$A$300,0))*$I75/100,0))</f>
        <v>282.24</v>
      </c>
      <c r="P75" s="30">
        <f>IF(OR($F75="",$I75=""),0,IFERROR(INDEX(Nutrition!$J$2:$J$300,MATCH($F75,Nutrition!$A$2:$A$300,0))*$I75/100,0))</f>
        <v>1.5120000000000002</v>
      </c>
      <c r="Q75" s="30">
        <f>IF(OR($F75="",$I75=""),0,IFERROR(INDEX(Nutrition!$K$2:$K$300,MATCH($F75,Nutrition!$A$2:$A$300,0))*$I75/100,0))</f>
        <v>0.19991999999999999</v>
      </c>
      <c r="R75" s="30">
        <f>IF(OR($F75="",$I75=""),0,IFERROR(INDEX(Nutrition!$L$2:$L$300,MATCH($F75,Nutrition!$A$2:$A$300,0))*$I75/100,0))</f>
        <v>16.8</v>
      </c>
      <c r="S75" s="30">
        <f>IF(OR($F75="",$I75=""),0,IFERROR(INDEX(Nutrition!$M$2:$M$300,MATCH($F75,Nutrition!$A$2:$A$300,0))*$I75/100,0))</f>
        <v>0.26879999999999998</v>
      </c>
    </row>
    <row r="76" spans="1:19" ht="15" customHeight="1" x14ac:dyDescent="0.25">
      <c r="A76" s="22" t="s">
        <v>1065</v>
      </c>
      <c r="B76" s="33" t="str">
        <f>IFERROR(INDEX(Recipes!$B$2:$B$500,MATCH(A76,Recipes!$A$2:$A$500,0)),"")</f>
        <v>Chilli-Lime Fruit Cup (Yaji Edition)</v>
      </c>
      <c r="C76" s="7" t="s">
        <v>213</v>
      </c>
      <c r="D76" s="34">
        <v>2</v>
      </c>
      <c r="E76" s="22" t="s">
        <v>2754</v>
      </c>
      <c r="F76" s="22" t="s">
        <v>212</v>
      </c>
      <c r="G76" s="22" t="s">
        <v>2755</v>
      </c>
      <c r="H76" s="7"/>
      <c r="I76" s="35">
        <v>134</v>
      </c>
      <c r="J76" s="30">
        <f>IF(OR($F76="",$I76=""),0,IFERROR(INDEX(Nutrition!$D$2:$D$300,MATCH($F76,Nutrition!$A$2:$A$300,0))*$I76/100,0))</f>
        <v>3.7519999999999998</v>
      </c>
      <c r="K76" s="30">
        <f>IF(OR($F76="",$I76=""),0,IFERROR(INDEX(Nutrition!$E$2:$E$300,MATCH($F76,Nutrition!$A$2:$A$300,0))*$I76/100,0))</f>
        <v>38.994</v>
      </c>
      <c r="L76" s="30">
        <f>IF(OR($F76="",$I76=""),0,IFERROR(INDEX(Nutrition!$F$2:$F$300,MATCH($F76,Nutrition!$A$2:$A$300,0))*$I76/100,0))</f>
        <v>2.68</v>
      </c>
      <c r="M76" s="30">
        <f>IF(OR($F76="",$I76=""),0,IFERROR(INDEX(Nutrition!$G$2:$G$300,MATCH($F76,Nutrition!$A$2:$A$300,0))*$I76/100,0))</f>
        <v>0.80399999999999994</v>
      </c>
      <c r="N76" s="30">
        <f>IF(OR($F76="",$I76=""),0,IFERROR(INDEX(Nutrition!$H$2:$H$300,MATCH($F76,Nutrition!$A$2:$A$300,0))*$I76/100,0))</f>
        <v>10.72</v>
      </c>
      <c r="O76" s="30">
        <f>IF(OR($F76="",$I76=""),0,IFERROR(INDEX(Nutrition!$I$2:$I$300,MATCH($F76,Nutrition!$A$2:$A$300,0))*$I76/100,0))</f>
        <v>136.68</v>
      </c>
      <c r="P76" s="30">
        <f>IF(OR($F76="",$I76=""),0,IFERROR(INDEX(Nutrition!$J$2:$J$300,MATCH($F76,Nutrition!$A$2:$A$300,0))*$I76/100,0))</f>
        <v>0.29480000000000001</v>
      </c>
      <c r="Q76" s="30">
        <f>IF(OR($F76="",$I76=""),0,IFERROR(INDEX(Nutrition!$K$2:$K$300,MATCH($F76,Nutrition!$A$2:$A$300,0))*$I76/100,0))</f>
        <v>5.7619999999999998E-2</v>
      </c>
      <c r="R76" s="30">
        <f>IF(OR($F76="",$I76=""),0,IFERROR(INDEX(Nutrition!$L$2:$L$300,MATCH($F76,Nutrition!$A$2:$A$300,0))*$I76/100,0))</f>
        <v>8.0399999999999991</v>
      </c>
      <c r="S76" s="30">
        <f>IF(OR($F76="",$I76=""),0,IFERROR(INDEX(Nutrition!$M$2:$M$300,MATCH($F76,Nutrition!$A$2:$A$300,0))*$I76/100,0))</f>
        <v>0.80399999999999994</v>
      </c>
    </row>
    <row r="77" spans="1:19" ht="15" customHeight="1" x14ac:dyDescent="0.25">
      <c r="A77" s="22" t="s">
        <v>1065</v>
      </c>
      <c r="B77" s="33" t="str">
        <f>IFERROR(INDEX(Recipes!$B$2:$B$500,MATCH(A77,Recipes!$A$2:$A$500,0)),"")</f>
        <v>Chilli-Lime Fruit Cup (Yaji Edition)</v>
      </c>
      <c r="C77" s="7" t="s">
        <v>2798</v>
      </c>
      <c r="D77" s="34">
        <v>1</v>
      </c>
      <c r="E77" s="22" t="s">
        <v>2759</v>
      </c>
      <c r="F77" s="22"/>
      <c r="G77" s="22" t="s">
        <v>2749</v>
      </c>
      <c r="H77" s="7"/>
      <c r="I77" s="35"/>
      <c r="J77" s="30">
        <f>IF(OR($F77="",$I77=""),0,IFERROR(INDEX(Nutrition!$D$2:$D$300,MATCH($F77,Nutrition!$A$2:$A$300,0))*$I77/100,0))</f>
        <v>0</v>
      </c>
      <c r="K77" s="30">
        <f>IF(OR($F77="",$I77=""),0,IFERROR(INDEX(Nutrition!$E$2:$E$300,MATCH($F77,Nutrition!$A$2:$A$300,0))*$I77/100,0))</f>
        <v>0</v>
      </c>
      <c r="L77" s="30">
        <f>IF(OR($F77="",$I77=""),0,IFERROR(INDEX(Nutrition!$F$2:$F$300,MATCH($F77,Nutrition!$A$2:$A$300,0))*$I77/100,0))</f>
        <v>0</v>
      </c>
      <c r="M77" s="30">
        <f>IF(OR($F77="",$I77=""),0,IFERROR(INDEX(Nutrition!$G$2:$G$300,MATCH($F77,Nutrition!$A$2:$A$300,0))*$I77/100,0))</f>
        <v>0</v>
      </c>
      <c r="N77" s="30">
        <f>IF(OR($F77="",$I77=""),0,IFERROR(INDEX(Nutrition!$H$2:$H$300,MATCH($F77,Nutrition!$A$2:$A$300,0))*$I77/100,0))</f>
        <v>0</v>
      </c>
      <c r="O77" s="30">
        <f>IF(OR($F77="",$I77=""),0,IFERROR(INDEX(Nutrition!$I$2:$I$300,MATCH($F77,Nutrition!$A$2:$A$300,0))*$I77/100,0))</f>
        <v>0</v>
      </c>
      <c r="P77" s="30">
        <f>IF(OR($F77="",$I77=""),0,IFERROR(INDEX(Nutrition!$J$2:$J$300,MATCH($F77,Nutrition!$A$2:$A$300,0))*$I77/100,0))</f>
        <v>0</v>
      </c>
      <c r="Q77" s="30">
        <f>IF(OR($F77="",$I77=""),0,IFERROR(INDEX(Nutrition!$K$2:$K$300,MATCH($F77,Nutrition!$A$2:$A$300,0))*$I77/100,0))</f>
        <v>0</v>
      </c>
      <c r="R77" s="30">
        <f>IF(OR($F77="",$I77=""),0,IFERROR(INDEX(Nutrition!$L$2:$L$300,MATCH($F77,Nutrition!$A$2:$A$300,0))*$I77/100,0))</f>
        <v>0</v>
      </c>
      <c r="S77" s="30">
        <f>IF(OR($F77="",$I77=""),0,IFERROR(INDEX(Nutrition!$M$2:$M$300,MATCH($F77,Nutrition!$A$2:$A$300,0))*$I77/100,0))</f>
        <v>0</v>
      </c>
    </row>
    <row r="78" spans="1:19" ht="15" customHeight="1" x14ac:dyDescent="0.25">
      <c r="A78" s="22" t="s">
        <v>1065</v>
      </c>
      <c r="B78" s="33" t="str">
        <f>IFERROR(INDEX(Recipes!$B$2:$B$500,MATCH(A78,Recipes!$A$2:$A$500,0)),"")</f>
        <v>Chilli-Lime Fruit Cup (Yaji Edition)</v>
      </c>
      <c r="C78" s="7" t="s">
        <v>2781</v>
      </c>
      <c r="D78" s="34">
        <v>1</v>
      </c>
      <c r="E78" s="22" t="s">
        <v>2782</v>
      </c>
      <c r="F78" s="22"/>
      <c r="G78" s="22" t="s">
        <v>2773</v>
      </c>
      <c r="H78" s="7"/>
      <c r="I78" s="35"/>
      <c r="J78" s="30">
        <f>IF(OR($F78="",$I78=""),0,IFERROR(INDEX(Nutrition!$D$2:$D$300,MATCH($F78,Nutrition!$A$2:$A$300,0))*$I78/100,0))</f>
        <v>0</v>
      </c>
      <c r="K78" s="30">
        <f>IF(OR($F78="",$I78=""),0,IFERROR(INDEX(Nutrition!$E$2:$E$300,MATCH($F78,Nutrition!$A$2:$A$300,0))*$I78/100,0))</f>
        <v>0</v>
      </c>
      <c r="L78" s="30">
        <f>IF(OR($F78="",$I78=""),0,IFERROR(INDEX(Nutrition!$F$2:$F$300,MATCH($F78,Nutrition!$A$2:$A$300,0))*$I78/100,0))</f>
        <v>0</v>
      </c>
      <c r="M78" s="30">
        <f>IF(OR($F78="",$I78=""),0,IFERROR(INDEX(Nutrition!$G$2:$G$300,MATCH($F78,Nutrition!$A$2:$A$300,0))*$I78/100,0))</f>
        <v>0</v>
      </c>
      <c r="N78" s="30">
        <f>IF(OR($F78="",$I78=""),0,IFERROR(INDEX(Nutrition!$H$2:$H$300,MATCH($F78,Nutrition!$A$2:$A$300,0))*$I78/100,0))</f>
        <v>0</v>
      </c>
      <c r="O78" s="30">
        <f>IF(OR($F78="",$I78=""),0,IFERROR(INDEX(Nutrition!$I$2:$I$300,MATCH($F78,Nutrition!$A$2:$A$300,0))*$I78/100,0))</f>
        <v>0</v>
      </c>
      <c r="P78" s="30">
        <f>IF(OR($F78="",$I78=""),0,IFERROR(INDEX(Nutrition!$J$2:$J$300,MATCH($F78,Nutrition!$A$2:$A$300,0))*$I78/100,0))</f>
        <v>0</v>
      </c>
      <c r="Q78" s="30">
        <f>IF(OR($F78="",$I78=""),0,IFERROR(INDEX(Nutrition!$K$2:$K$300,MATCH($F78,Nutrition!$A$2:$A$300,0))*$I78/100,0))</f>
        <v>0</v>
      </c>
      <c r="R78" s="30">
        <f>IF(OR($F78="",$I78=""),0,IFERROR(INDEX(Nutrition!$L$2:$L$300,MATCH($F78,Nutrition!$A$2:$A$300,0))*$I78/100,0))</f>
        <v>0</v>
      </c>
      <c r="S78" s="30">
        <f>IF(OR($F78="",$I78=""),0,IFERROR(INDEX(Nutrition!$M$2:$M$300,MATCH($F78,Nutrition!$A$2:$A$300,0))*$I78/100,0))</f>
        <v>0</v>
      </c>
    </row>
    <row r="79" spans="1:19" ht="15" customHeight="1" x14ac:dyDescent="0.25">
      <c r="A79" s="22" t="s">
        <v>1078</v>
      </c>
      <c r="B79" s="33" t="str">
        <f>IFERROR(INDEX(Recipes!$B$2:$B$500,MATCH(A79,Recipes!$A$2:$A$500,0)),"")</f>
        <v>Banana Groundnut Nice Cream</v>
      </c>
      <c r="C79" s="7" t="s">
        <v>110</v>
      </c>
      <c r="D79" s="34">
        <v>4</v>
      </c>
      <c r="E79" s="22" t="s">
        <v>2754</v>
      </c>
      <c r="F79" s="22" t="s">
        <v>109</v>
      </c>
      <c r="G79" s="22" t="s">
        <v>2755</v>
      </c>
      <c r="H79" s="7" t="s">
        <v>2799</v>
      </c>
      <c r="I79" s="35">
        <v>472</v>
      </c>
      <c r="J79" s="30">
        <f>IF(OR($F79="",$I79=""),0,IFERROR(INDEX(Nutrition!$D$2:$D$300,MATCH($F79,Nutrition!$A$2:$A$300,0))*$I79/100,0))</f>
        <v>12.272</v>
      </c>
      <c r="K79" s="30">
        <f>IF(OR($F79="",$I79=""),0,IFERROR(INDEX(Nutrition!$E$2:$E$300,MATCH($F79,Nutrition!$A$2:$A$300,0))*$I79/100,0))</f>
        <v>41.063999999999993</v>
      </c>
      <c r="L79" s="30">
        <f>IF(OR($F79="",$I79=""),0,IFERROR(INDEX(Nutrition!$F$2:$F$300,MATCH($F79,Nutrition!$A$2:$A$300,0))*$I79/100,0))</f>
        <v>14.16</v>
      </c>
      <c r="M79" s="30">
        <f>IF(OR($F79="",$I79=""),0,IFERROR(INDEX(Nutrition!$G$2:$G$300,MATCH($F79,Nutrition!$A$2:$A$300,0))*$I79/100,0))</f>
        <v>2.36</v>
      </c>
      <c r="N79" s="30">
        <f>IF(OR($F79="",$I79=""),0,IFERROR(INDEX(Nutrition!$H$2:$H$300,MATCH($F79,Nutrition!$A$2:$A$300,0))*$I79/100,0))</f>
        <v>94.4</v>
      </c>
      <c r="O79" s="30">
        <f>IF(OR($F79="",$I79=""),0,IFERROR(INDEX(Nutrition!$I$2:$I$300,MATCH($F79,Nutrition!$A$2:$A$300,0))*$I79/100,0))</f>
        <v>1689.76</v>
      </c>
      <c r="P79" s="30">
        <f>IF(OR($F79="",$I79=""),0,IFERROR(INDEX(Nutrition!$J$2:$J$300,MATCH($F79,Nutrition!$A$2:$A$300,0))*$I79/100,0))</f>
        <v>0.47200000000000003</v>
      </c>
      <c r="Q79" s="30">
        <f>IF(OR($F79="",$I79=""),0,IFERROR(INDEX(Nutrition!$K$2:$K$300,MATCH($F79,Nutrition!$A$2:$A$300,0))*$I79/100,0))</f>
        <v>1.73224</v>
      </c>
      <c r="R79" s="30">
        <f>IF(OR($F79="",$I79=""),0,IFERROR(INDEX(Nutrition!$L$2:$L$300,MATCH($F79,Nutrition!$A$2:$A$300,0))*$I79/100,0))</f>
        <v>127.44</v>
      </c>
      <c r="S79" s="30">
        <f>IF(OR($F79="",$I79=""),0,IFERROR(INDEX(Nutrition!$M$2:$M$300,MATCH($F79,Nutrition!$A$2:$A$300,0))*$I79/100,0))</f>
        <v>1.2272000000000001</v>
      </c>
    </row>
    <row r="80" spans="1:19" ht="15" customHeight="1" x14ac:dyDescent="0.25">
      <c r="A80" s="22" t="s">
        <v>1078</v>
      </c>
      <c r="B80" s="33" t="str">
        <f>IFERROR(INDEX(Recipes!$B$2:$B$500,MATCH(A80,Recipes!$A$2:$A$500,0)),"")</f>
        <v>Banana Groundnut Nice Cream</v>
      </c>
      <c r="C80" s="7" t="s">
        <v>428</v>
      </c>
      <c r="D80" s="34">
        <v>2</v>
      </c>
      <c r="E80" s="22" t="s">
        <v>2753</v>
      </c>
      <c r="F80" s="22" t="s">
        <v>427</v>
      </c>
      <c r="G80" s="22" t="s">
        <v>2755</v>
      </c>
      <c r="H80" s="7" t="s">
        <v>2800</v>
      </c>
      <c r="I80" s="35">
        <v>30</v>
      </c>
      <c r="J80" s="30">
        <f>IF(OR($F80="",$I80=""),0,IFERROR(INDEX(Nutrition!$D$2:$D$300,MATCH($F80,Nutrition!$A$2:$A$300,0))*$I80/100,0))</f>
        <v>2.5499999999999998</v>
      </c>
      <c r="K80" s="30">
        <f>IF(OR($F80="",$I80=""),0,IFERROR(INDEX(Nutrition!$E$2:$E$300,MATCH($F80,Nutrition!$A$2:$A$300,0))*$I80/100,0))</f>
        <v>0</v>
      </c>
      <c r="L80" s="30">
        <f>IF(OR($F80="",$I80=""),0,IFERROR(INDEX(Nutrition!$F$2:$F$300,MATCH($F80,Nutrition!$A$2:$A$300,0))*$I80/100,0))</f>
        <v>0</v>
      </c>
      <c r="M80" s="30">
        <f>IF(OR($F80="",$I80=""),0,IFERROR(INDEX(Nutrition!$G$2:$G$300,MATCH($F80,Nutrition!$A$2:$A$300,0))*$I80/100,0))</f>
        <v>0</v>
      </c>
      <c r="N80" s="30">
        <f>IF(OR($F80="",$I80=""),0,IFERROR(INDEX(Nutrition!$H$2:$H$300,MATCH($F80,Nutrition!$A$2:$A$300,0))*$I80/100,0))</f>
        <v>72</v>
      </c>
      <c r="O80" s="30">
        <f>IF(OR($F80="",$I80=""),0,IFERROR(INDEX(Nutrition!$I$2:$I$300,MATCH($F80,Nutrition!$A$2:$A$300,0))*$I80/100,0))</f>
        <v>211.5</v>
      </c>
      <c r="P80" s="30">
        <f>IF(OR($F80="",$I80=""),0,IFERROR(INDEX(Nutrition!$J$2:$J$300,MATCH($F80,Nutrition!$A$2:$A$300,0))*$I80/100,0))</f>
        <v>2.4990000000000001</v>
      </c>
      <c r="Q80" s="30">
        <f>IF(OR($F80="",$I80=""),0,IFERROR(INDEX(Nutrition!$K$2:$K$300,MATCH($F80,Nutrition!$A$2:$A$300,0))*$I80/100,0))</f>
        <v>0.10439999999999999</v>
      </c>
      <c r="R80" s="30">
        <f>IF(OR($F80="",$I80=""),0,IFERROR(INDEX(Nutrition!$L$2:$L$300,MATCH($F80,Nutrition!$A$2:$A$300,0))*$I80/100,0))</f>
        <v>50.4</v>
      </c>
      <c r="S80" s="30">
        <f>IF(OR($F80="",$I80=""),0,IFERROR(INDEX(Nutrition!$M$2:$M$300,MATCH($F80,Nutrition!$A$2:$A$300,0))*$I80/100,0))</f>
        <v>1.3740000000000001</v>
      </c>
    </row>
    <row r="81" spans="1:19" ht="15" customHeight="1" x14ac:dyDescent="0.25">
      <c r="A81" s="22" t="s">
        <v>1078</v>
      </c>
      <c r="B81" s="33" t="str">
        <f>IFERROR(INDEX(Recipes!$B$2:$B$500,MATCH(A81,Recipes!$A$2:$A$500,0)),"")</f>
        <v>Banana Groundnut Nice Cream</v>
      </c>
      <c r="C81" s="7" t="s">
        <v>370</v>
      </c>
      <c r="D81" s="34">
        <v>3</v>
      </c>
      <c r="E81" s="22" t="s">
        <v>2754</v>
      </c>
      <c r="F81" s="22" t="s">
        <v>369</v>
      </c>
      <c r="G81" s="22" t="s">
        <v>2755</v>
      </c>
      <c r="H81" s="7" t="s">
        <v>2793</v>
      </c>
      <c r="I81" s="35">
        <v>21</v>
      </c>
      <c r="J81" s="30">
        <f>IF(OR($F81="",$I81=""),0,IFERROR(INDEX(Nutrition!$D$2:$D$300,MATCH($F81,Nutrition!$A$2:$A$300,0))*$I81/100,0))</f>
        <v>1.68</v>
      </c>
      <c r="K81" s="30">
        <f>IF(OR($F81="",$I81=""),0,IFERROR(INDEX(Nutrition!$E$2:$E$300,MATCH($F81,Nutrition!$A$2:$A$300,0))*$I81/100,0))</f>
        <v>8.4000000000000005E-2</v>
      </c>
      <c r="L81" s="30">
        <f>IF(OR($F81="",$I81=""),0,IFERROR(INDEX(Nutrition!$F$2:$F$300,MATCH($F81,Nutrition!$A$2:$A$300,0))*$I81/100,0))</f>
        <v>0</v>
      </c>
      <c r="M81" s="30">
        <f>IF(OR($F81="",$I81=""),0,IFERROR(INDEX(Nutrition!$G$2:$G$300,MATCH($F81,Nutrition!$A$2:$A$300,0))*$I81/100,0))</f>
        <v>0.56700000000000006</v>
      </c>
      <c r="N81" s="30">
        <f>IF(OR($F81="",$I81=""),0,IFERROR(INDEX(Nutrition!$H$2:$H$300,MATCH($F81,Nutrition!$A$2:$A$300,0))*$I81/100,0))</f>
        <v>3.99</v>
      </c>
      <c r="O81" s="30">
        <f>IF(OR($F81="",$I81=""),0,IFERROR(INDEX(Nutrition!$I$2:$I$300,MATCH($F81,Nutrition!$A$2:$A$300,0))*$I81/100,0))</f>
        <v>137.76</v>
      </c>
      <c r="P81" s="30">
        <f>IF(OR($F81="",$I81=""),0,IFERROR(INDEX(Nutrition!$J$2:$J$300,MATCH($F81,Nutrition!$A$2:$A$300,0))*$I81/100,0))</f>
        <v>1.0500000000000001E-2</v>
      </c>
      <c r="Q81" s="30">
        <f>IF(OR($F81="",$I81=""),0,IFERROR(INDEX(Nutrition!$K$2:$K$300,MATCH($F81,Nutrition!$A$2:$A$300,0))*$I81/100,0))</f>
        <v>3.465E-2</v>
      </c>
      <c r="R81" s="30">
        <f>IF(OR($F81="",$I81=""),0,IFERROR(INDEX(Nutrition!$L$2:$L$300,MATCH($F81,Nutrition!$A$2:$A$300,0))*$I81/100,0))</f>
        <v>9.0299999999999994</v>
      </c>
      <c r="S81" s="30">
        <f>IF(OR($F81="",$I81=""),0,IFERROR(INDEX(Nutrition!$M$2:$M$300,MATCH($F81,Nutrition!$A$2:$A$300,0))*$I81/100,0))</f>
        <v>0.21420000000000003</v>
      </c>
    </row>
    <row r="82" spans="1:19" ht="15" customHeight="1" x14ac:dyDescent="0.25">
      <c r="A82" s="22" t="s">
        <v>1078</v>
      </c>
      <c r="B82" s="33" t="str">
        <f>IFERROR(INDEX(Recipes!$B$2:$B$500,MATCH(A82,Recipes!$A$2:$A$500,0)),"")</f>
        <v>Banana Groundnut Nice Cream</v>
      </c>
      <c r="C82" s="7" t="s">
        <v>2750</v>
      </c>
      <c r="D82" s="34">
        <v>2</v>
      </c>
      <c r="E82" s="22" t="s">
        <v>2753</v>
      </c>
      <c r="F82" s="22"/>
      <c r="G82" s="22" t="s">
        <v>2749</v>
      </c>
      <c r="H82" s="7"/>
      <c r="I82" s="35"/>
      <c r="J82" s="30">
        <f>IF(OR($F82="",$I82=""),0,IFERROR(INDEX(Nutrition!$D$2:$D$300,MATCH($F82,Nutrition!$A$2:$A$300,0))*$I82/100,0))</f>
        <v>0</v>
      </c>
      <c r="K82" s="30">
        <f>IF(OR($F82="",$I82=""),0,IFERROR(INDEX(Nutrition!$E$2:$E$300,MATCH($F82,Nutrition!$A$2:$A$300,0))*$I82/100,0))</f>
        <v>0</v>
      </c>
      <c r="L82" s="30">
        <f>IF(OR($F82="",$I82=""),0,IFERROR(INDEX(Nutrition!$F$2:$F$300,MATCH($F82,Nutrition!$A$2:$A$300,0))*$I82/100,0))</f>
        <v>0</v>
      </c>
      <c r="M82" s="30">
        <f>IF(OR($F82="",$I82=""),0,IFERROR(INDEX(Nutrition!$G$2:$G$300,MATCH($F82,Nutrition!$A$2:$A$300,0))*$I82/100,0))</f>
        <v>0</v>
      </c>
      <c r="N82" s="30">
        <f>IF(OR($F82="",$I82=""),0,IFERROR(INDEX(Nutrition!$H$2:$H$300,MATCH($F82,Nutrition!$A$2:$A$300,0))*$I82/100,0))</f>
        <v>0</v>
      </c>
      <c r="O82" s="30">
        <f>IF(OR($F82="",$I82=""),0,IFERROR(INDEX(Nutrition!$I$2:$I$300,MATCH($F82,Nutrition!$A$2:$A$300,0))*$I82/100,0))</f>
        <v>0</v>
      </c>
      <c r="P82" s="30">
        <f>IF(OR($F82="",$I82=""),0,IFERROR(INDEX(Nutrition!$J$2:$J$300,MATCH($F82,Nutrition!$A$2:$A$300,0))*$I82/100,0))</f>
        <v>0</v>
      </c>
      <c r="Q82" s="30">
        <f>IF(OR($F82="",$I82=""),0,IFERROR(INDEX(Nutrition!$K$2:$K$300,MATCH($F82,Nutrition!$A$2:$A$300,0))*$I82/100,0))</f>
        <v>0</v>
      </c>
      <c r="R82" s="30">
        <f>IF(OR($F82="",$I82=""),0,IFERROR(INDEX(Nutrition!$L$2:$L$300,MATCH($F82,Nutrition!$A$2:$A$300,0))*$I82/100,0))</f>
        <v>0</v>
      </c>
      <c r="S82" s="30">
        <f>IF(OR($F82="",$I82=""),0,IFERROR(INDEX(Nutrition!$M$2:$M$300,MATCH($F82,Nutrition!$A$2:$A$300,0))*$I82/100,0))</f>
        <v>0</v>
      </c>
    </row>
    <row r="83" spans="1:19" ht="15" customHeight="1" x14ac:dyDescent="0.25">
      <c r="A83" s="22" t="s">
        <v>1078</v>
      </c>
      <c r="B83" s="33" t="str">
        <f>IFERROR(INDEX(Recipes!$B$2:$B$500,MATCH(A83,Recipes!$A$2:$A$500,0)),"")</f>
        <v>Banana Groundnut Nice Cream</v>
      </c>
      <c r="C83" s="7" t="s">
        <v>2770</v>
      </c>
      <c r="D83" s="34">
        <v>1</v>
      </c>
      <c r="E83" s="22" t="s">
        <v>2782</v>
      </c>
      <c r="F83" s="22"/>
      <c r="G83" s="22" t="s">
        <v>2749</v>
      </c>
      <c r="H83" s="7"/>
      <c r="I83" s="35"/>
      <c r="J83" s="30">
        <f>IF(OR($F83="",$I83=""),0,IFERROR(INDEX(Nutrition!$D$2:$D$300,MATCH($F83,Nutrition!$A$2:$A$300,0))*$I83/100,0))</f>
        <v>0</v>
      </c>
      <c r="K83" s="30">
        <f>IF(OR($F83="",$I83=""),0,IFERROR(INDEX(Nutrition!$E$2:$E$300,MATCH($F83,Nutrition!$A$2:$A$300,0))*$I83/100,0))</f>
        <v>0</v>
      </c>
      <c r="L83" s="30">
        <f>IF(OR($F83="",$I83=""),0,IFERROR(INDEX(Nutrition!$F$2:$F$300,MATCH($F83,Nutrition!$A$2:$A$300,0))*$I83/100,0))</f>
        <v>0</v>
      </c>
      <c r="M83" s="30">
        <f>IF(OR($F83="",$I83=""),0,IFERROR(INDEX(Nutrition!$G$2:$G$300,MATCH($F83,Nutrition!$A$2:$A$300,0))*$I83/100,0))</f>
        <v>0</v>
      </c>
      <c r="N83" s="30">
        <f>IF(OR($F83="",$I83=""),0,IFERROR(INDEX(Nutrition!$H$2:$H$300,MATCH($F83,Nutrition!$A$2:$A$300,0))*$I83/100,0))</f>
        <v>0</v>
      </c>
      <c r="O83" s="30">
        <f>IF(OR($F83="",$I83=""),0,IFERROR(INDEX(Nutrition!$I$2:$I$300,MATCH($F83,Nutrition!$A$2:$A$300,0))*$I83/100,0))</f>
        <v>0</v>
      </c>
      <c r="P83" s="30">
        <f>IF(OR($F83="",$I83=""),0,IFERROR(INDEX(Nutrition!$J$2:$J$300,MATCH($F83,Nutrition!$A$2:$A$300,0))*$I83/100,0))</f>
        <v>0</v>
      </c>
      <c r="Q83" s="30">
        <f>IF(OR($F83="",$I83=""),0,IFERROR(INDEX(Nutrition!$K$2:$K$300,MATCH($F83,Nutrition!$A$2:$A$300,0))*$I83/100,0))</f>
        <v>0</v>
      </c>
      <c r="R83" s="30">
        <f>IF(OR($F83="",$I83=""),0,IFERROR(INDEX(Nutrition!$L$2:$L$300,MATCH($F83,Nutrition!$A$2:$A$300,0))*$I83/100,0))</f>
        <v>0</v>
      </c>
      <c r="S83" s="30">
        <f>IF(OR($F83="",$I83=""),0,IFERROR(INDEX(Nutrition!$M$2:$M$300,MATCH($F83,Nutrition!$A$2:$A$300,0))*$I83/100,0))</f>
        <v>0</v>
      </c>
    </row>
    <row r="84" spans="1:19" ht="15" customHeight="1" x14ac:dyDescent="0.25">
      <c r="A84" s="22" t="s">
        <v>1092</v>
      </c>
      <c r="B84" s="33" t="str">
        <f>IFERROR(INDEX(Recipes!$B$2:$B$500,MATCH(A84,Recipes!$A$2:$A$500,0)),"")</f>
        <v>Grilled Pineapple with Coconut &amp; Lime</v>
      </c>
      <c r="C84" s="7" t="s">
        <v>139</v>
      </c>
      <c r="D84" s="34">
        <v>1</v>
      </c>
      <c r="E84" s="22" t="s">
        <v>2754</v>
      </c>
      <c r="F84" s="22" t="s">
        <v>138</v>
      </c>
      <c r="G84" s="22" t="s">
        <v>2755</v>
      </c>
      <c r="H84" s="7"/>
      <c r="I84" s="35">
        <v>905</v>
      </c>
      <c r="J84" s="30">
        <f>IF(OR($F84="",$I84=""),0,IFERROR(INDEX(Nutrition!$D$2:$D$300,MATCH($F84,Nutrition!$A$2:$A$300,0))*$I84/100,0))</f>
        <v>12.67</v>
      </c>
      <c r="K84" s="30">
        <f>IF(OR($F84="",$I84=""),0,IFERROR(INDEX(Nutrition!$E$2:$E$300,MATCH($F84,Nutrition!$A$2:$A$300,0))*$I84/100,0))</f>
        <v>432.59</v>
      </c>
      <c r="L84" s="30">
        <f>IF(OR($F84="",$I84=""),0,IFERROR(INDEX(Nutrition!$F$2:$F$300,MATCH($F84,Nutrition!$A$2:$A$300,0))*$I84/100,0))</f>
        <v>27.15</v>
      </c>
      <c r="M84" s="30">
        <f>IF(OR($F84="",$I84=""),0,IFERROR(INDEX(Nutrition!$G$2:$G$300,MATCH($F84,Nutrition!$A$2:$A$300,0))*$I84/100,0))</f>
        <v>6.335</v>
      </c>
      <c r="N84" s="30">
        <f>IF(OR($F84="",$I84=""),0,IFERROR(INDEX(Nutrition!$H$2:$H$300,MATCH($F84,Nutrition!$A$2:$A$300,0))*$I84/100,0))</f>
        <v>162.9</v>
      </c>
      <c r="O84" s="30">
        <f>IF(OR($F84="",$I84=""),0,IFERROR(INDEX(Nutrition!$I$2:$I$300,MATCH($F84,Nutrition!$A$2:$A$300,0))*$I84/100,0))</f>
        <v>986.45</v>
      </c>
      <c r="P84" s="30">
        <f>IF(OR($F84="",$I84=""),0,IFERROR(INDEX(Nutrition!$J$2:$J$300,MATCH($F84,Nutrition!$A$2:$A$300,0))*$I84/100,0))</f>
        <v>0.18100000000000002</v>
      </c>
      <c r="Q84" s="30">
        <f>IF(OR($F84="",$I84=""),0,IFERROR(INDEX(Nutrition!$K$2:$K$300,MATCH($F84,Nutrition!$A$2:$A$300,0))*$I84/100,0))</f>
        <v>1.0136000000000001</v>
      </c>
      <c r="R84" s="30">
        <f>IF(OR($F84="",$I84=""),0,IFERROR(INDEX(Nutrition!$L$2:$L$300,MATCH($F84,Nutrition!$A$2:$A$300,0))*$I84/100,0))</f>
        <v>108.6</v>
      </c>
      <c r="S84" s="30">
        <f>IF(OR($F84="",$I84=""),0,IFERROR(INDEX(Nutrition!$M$2:$M$300,MATCH($F84,Nutrition!$A$2:$A$300,0))*$I84/100,0))</f>
        <v>2.6244999999999998</v>
      </c>
    </row>
    <row r="85" spans="1:19" ht="15" customHeight="1" x14ac:dyDescent="0.25">
      <c r="A85" s="22" t="s">
        <v>1092</v>
      </c>
      <c r="B85" s="33" t="str">
        <f>IFERROR(INDEX(Recipes!$B$2:$B$500,MATCH(A85,Recipes!$A$2:$A$500,0)),"")</f>
        <v>Grilled Pineapple with Coconut &amp; Lime</v>
      </c>
      <c r="C85" s="7" t="s">
        <v>262</v>
      </c>
      <c r="D85" s="34">
        <v>0.25</v>
      </c>
      <c r="E85" s="22" t="s">
        <v>2754</v>
      </c>
      <c r="F85" s="22" t="s">
        <v>261</v>
      </c>
      <c r="G85" s="22" t="s">
        <v>2755</v>
      </c>
      <c r="H85" s="7" t="s">
        <v>2791</v>
      </c>
      <c r="I85" s="35">
        <v>99</v>
      </c>
      <c r="J85" s="30">
        <f>IF(OR($F85="",$I85=""),0,IFERROR(INDEX(Nutrition!$D$2:$D$300,MATCH($F85,Nutrition!$A$2:$A$300,0))*$I85/100,0))</f>
        <v>8.91</v>
      </c>
      <c r="K85" s="30">
        <f>IF(OR($F85="",$I85=""),0,IFERROR(INDEX(Nutrition!$E$2:$E$300,MATCH($F85,Nutrition!$A$2:$A$300,0))*$I85/100,0))</f>
        <v>3.2669999999999999</v>
      </c>
      <c r="L85" s="30">
        <f>IF(OR($F85="",$I85=""),0,IFERROR(INDEX(Nutrition!$F$2:$F$300,MATCH($F85,Nutrition!$A$2:$A$300,0))*$I85/100,0))</f>
        <v>0</v>
      </c>
      <c r="M85" s="30">
        <f>IF(OR($F85="",$I85=""),0,IFERROR(INDEX(Nutrition!$G$2:$G$300,MATCH($F85,Nutrition!$A$2:$A$300,0))*$I85/100,0))</f>
        <v>0.19800000000000001</v>
      </c>
      <c r="N85" s="30">
        <f>IF(OR($F85="",$I85=""),0,IFERROR(INDEX(Nutrition!$H$2:$H$300,MATCH($F85,Nutrition!$A$2:$A$300,0))*$I85/100,0))</f>
        <v>25.74</v>
      </c>
      <c r="O85" s="30">
        <f>IF(OR($F85="",$I85=""),0,IFERROR(INDEX(Nutrition!$I$2:$I$300,MATCH($F85,Nutrition!$A$2:$A$300,0))*$I85/100,0))</f>
        <v>352.44</v>
      </c>
      <c r="P85" s="30">
        <f>IF(OR($F85="",$I85=""),0,IFERROR(INDEX(Nutrition!$J$2:$J$300,MATCH($F85,Nutrition!$A$2:$A$300,0))*$I85/100,0))</f>
        <v>0.23759999999999998</v>
      </c>
      <c r="Q85" s="30">
        <f>IF(OR($F85="",$I85=""),0,IFERROR(INDEX(Nutrition!$K$2:$K$300,MATCH($F85,Nutrition!$A$2:$A$300,0))*$I85/100,0))</f>
        <v>5.3460000000000001E-2</v>
      </c>
      <c r="R85" s="30">
        <f>IF(OR($F85="",$I85=""),0,IFERROR(INDEX(Nutrition!$L$2:$L$300,MATCH($F85,Nutrition!$A$2:$A$300,0))*$I85/100,0))</f>
        <v>31.68</v>
      </c>
      <c r="S85" s="30">
        <f>IF(OR($F85="",$I85=""),0,IFERROR(INDEX(Nutrition!$M$2:$M$300,MATCH($F85,Nutrition!$A$2:$A$300,0))*$I85/100,0))</f>
        <v>2.4057000000000004</v>
      </c>
    </row>
    <row r="86" spans="1:19" ht="15" customHeight="1" x14ac:dyDescent="0.25">
      <c r="A86" s="22" t="s">
        <v>1092</v>
      </c>
      <c r="B86" s="33" t="str">
        <f>IFERROR(INDEX(Recipes!$B$2:$B$500,MATCH(A86,Recipes!$A$2:$A$500,0)),"")</f>
        <v>Grilled Pineapple with Coconut &amp; Lime</v>
      </c>
      <c r="C86" s="7" t="s">
        <v>213</v>
      </c>
      <c r="D86" s="34">
        <v>1</v>
      </c>
      <c r="E86" s="22" t="s">
        <v>2754</v>
      </c>
      <c r="F86" s="22" t="s">
        <v>212</v>
      </c>
      <c r="G86" s="22" t="s">
        <v>2755</v>
      </c>
      <c r="H86" s="7" t="s">
        <v>2794</v>
      </c>
      <c r="I86" s="35">
        <v>67</v>
      </c>
      <c r="J86" s="30">
        <f>IF(OR($F86="",$I86=""),0,IFERROR(INDEX(Nutrition!$D$2:$D$300,MATCH($F86,Nutrition!$A$2:$A$300,0))*$I86/100,0))</f>
        <v>1.8759999999999999</v>
      </c>
      <c r="K86" s="30">
        <f>IF(OR($F86="",$I86=""),0,IFERROR(INDEX(Nutrition!$E$2:$E$300,MATCH($F86,Nutrition!$A$2:$A$300,0))*$I86/100,0))</f>
        <v>19.497</v>
      </c>
      <c r="L86" s="30">
        <f>IF(OR($F86="",$I86=""),0,IFERROR(INDEX(Nutrition!$F$2:$F$300,MATCH($F86,Nutrition!$A$2:$A$300,0))*$I86/100,0))</f>
        <v>1.34</v>
      </c>
      <c r="M86" s="30">
        <f>IF(OR($F86="",$I86=""),0,IFERROR(INDEX(Nutrition!$G$2:$G$300,MATCH($F86,Nutrition!$A$2:$A$300,0))*$I86/100,0))</f>
        <v>0.40199999999999997</v>
      </c>
      <c r="N86" s="30">
        <f>IF(OR($F86="",$I86=""),0,IFERROR(INDEX(Nutrition!$H$2:$H$300,MATCH($F86,Nutrition!$A$2:$A$300,0))*$I86/100,0))</f>
        <v>5.36</v>
      </c>
      <c r="O86" s="30">
        <f>IF(OR($F86="",$I86=""),0,IFERROR(INDEX(Nutrition!$I$2:$I$300,MATCH($F86,Nutrition!$A$2:$A$300,0))*$I86/100,0))</f>
        <v>68.34</v>
      </c>
      <c r="P86" s="30">
        <f>IF(OR($F86="",$I86=""),0,IFERROR(INDEX(Nutrition!$J$2:$J$300,MATCH($F86,Nutrition!$A$2:$A$300,0))*$I86/100,0))</f>
        <v>0.1474</v>
      </c>
      <c r="Q86" s="30">
        <f>IF(OR($F86="",$I86=""),0,IFERROR(INDEX(Nutrition!$K$2:$K$300,MATCH($F86,Nutrition!$A$2:$A$300,0))*$I86/100,0))</f>
        <v>2.8809999999999999E-2</v>
      </c>
      <c r="R86" s="30">
        <f>IF(OR($F86="",$I86=""),0,IFERROR(INDEX(Nutrition!$L$2:$L$300,MATCH($F86,Nutrition!$A$2:$A$300,0))*$I86/100,0))</f>
        <v>4.0199999999999996</v>
      </c>
      <c r="S86" s="30">
        <f>IF(OR($F86="",$I86=""),0,IFERROR(INDEX(Nutrition!$M$2:$M$300,MATCH($F86,Nutrition!$A$2:$A$300,0))*$I86/100,0))</f>
        <v>0.40199999999999997</v>
      </c>
    </row>
    <row r="87" spans="1:19" ht="15" customHeight="1" x14ac:dyDescent="0.25">
      <c r="A87" s="22" t="s">
        <v>1092</v>
      </c>
      <c r="B87" s="33" t="str">
        <f>IFERROR(INDEX(Recipes!$B$2:$B$500,MATCH(A87,Recipes!$A$2:$A$500,0)),"")</f>
        <v>Grilled Pineapple with Coconut &amp; Lime</v>
      </c>
      <c r="C87" s="7" t="s">
        <v>2758</v>
      </c>
      <c r="D87" s="34">
        <v>1</v>
      </c>
      <c r="E87" s="22" t="s">
        <v>2753</v>
      </c>
      <c r="F87" s="22"/>
      <c r="G87" s="22" t="s">
        <v>2749</v>
      </c>
      <c r="H87" s="7"/>
      <c r="I87" s="35"/>
      <c r="J87" s="30">
        <f>IF(OR($F87="",$I87=""),0,IFERROR(INDEX(Nutrition!$D$2:$D$300,MATCH($F87,Nutrition!$A$2:$A$300,0))*$I87/100,0))</f>
        <v>0</v>
      </c>
      <c r="K87" s="30">
        <f>IF(OR($F87="",$I87=""),0,IFERROR(INDEX(Nutrition!$E$2:$E$300,MATCH($F87,Nutrition!$A$2:$A$300,0))*$I87/100,0))</f>
        <v>0</v>
      </c>
      <c r="L87" s="30">
        <f>IF(OR($F87="",$I87=""),0,IFERROR(INDEX(Nutrition!$F$2:$F$300,MATCH($F87,Nutrition!$A$2:$A$300,0))*$I87/100,0))</f>
        <v>0</v>
      </c>
      <c r="M87" s="30">
        <f>IF(OR($F87="",$I87=""),0,IFERROR(INDEX(Nutrition!$G$2:$G$300,MATCH($F87,Nutrition!$A$2:$A$300,0))*$I87/100,0))</f>
        <v>0</v>
      </c>
      <c r="N87" s="30">
        <f>IF(OR($F87="",$I87=""),0,IFERROR(INDEX(Nutrition!$H$2:$H$300,MATCH($F87,Nutrition!$A$2:$A$300,0))*$I87/100,0))</f>
        <v>0</v>
      </c>
      <c r="O87" s="30">
        <f>IF(OR($F87="",$I87=""),0,IFERROR(INDEX(Nutrition!$I$2:$I$300,MATCH($F87,Nutrition!$A$2:$A$300,0))*$I87/100,0))</f>
        <v>0</v>
      </c>
      <c r="P87" s="30">
        <f>IF(OR($F87="",$I87=""),0,IFERROR(INDEX(Nutrition!$J$2:$J$300,MATCH($F87,Nutrition!$A$2:$A$300,0))*$I87/100,0))</f>
        <v>0</v>
      </c>
      <c r="Q87" s="30">
        <f>IF(OR($F87="",$I87=""),0,IFERROR(INDEX(Nutrition!$K$2:$K$300,MATCH($F87,Nutrition!$A$2:$A$300,0))*$I87/100,0))</f>
        <v>0</v>
      </c>
      <c r="R87" s="30">
        <f>IF(OR($F87="",$I87=""),0,IFERROR(INDEX(Nutrition!$L$2:$L$300,MATCH($F87,Nutrition!$A$2:$A$300,0))*$I87/100,0))</f>
        <v>0</v>
      </c>
      <c r="S87" s="30">
        <f>IF(OR($F87="",$I87=""),0,IFERROR(INDEX(Nutrition!$M$2:$M$300,MATCH($F87,Nutrition!$A$2:$A$300,0))*$I87/100,0))</f>
        <v>0</v>
      </c>
    </row>
    <row r="88" spans="1:19" ht="15" customHeight="1" x14ac:dyDescent="0.25">
      <c r="A88" s="22" t="s">
        <v>1092</v>
      </c>
      <c r="B88" s="33" t="str">
        <f>IFERROR(INDEX(Recipes!$B$2:$B$500,MATCH(A88,Recipes!$A$2:$A$500,0)),"")</f>
        <v>Grilled Pineapple with Coconut &amp; Lime</v>
      </c>
      <c r="C88" s="7" t="s">
        <v>2770</v>
      </c>
      <c r="D88" s="34">
        <v>0.5</v>
      </c>
      <c r="E88" s="22" t="s">
        <v>2759</v>
      </c>
      <c r="F88" s="22"/>
      <c r="G88" s="22" t="s">
        <v>2749</v>
      </c>
      <c r="H88" s="7"/>
      <c r="I88" s="35"/>
      <c r="J88" s="30">
        <f>IF(OR($F88="",$I88=""),0,IFERROR(INDEX(Nutrition!$D$2:$D$300,MATCH($F88,Nutrition!$A$2:$A$300,0))*$I88/100,0))</f>
        <v>0</v>
      </c>
      <c r="K88" s="30">
        <f>IF(OR($F88="",$I88=""),0,IFERROR(INDEX(Nutrition!$E$2:$E$300,MATCH($F88,Nutrition!$A$2:$A$300,0))*$I88/100,0))</f>
        <v>0</v>
      </c>
      <c r="L88" s="30">
        <f>IF(OR($F88="",$I88=""),0,IFERROR(INDEX(Nutrition!$F$2:$F$300,MATCH($F88,Nutrition!$A$2:$A$300,0))*$I88/100,0))</f>
        <v>0</v>
      </c>
      <c r="M88" s="30">
        <f>IF(OR($F88="",$I88=""),0,IFERROR(INDEX(Nutrition!$G$2:$G$300,MATCH($F88,Nutrition!$A$2:$A$300,0))*$I88/100,0))</f>
        <v>0</v>
      </c>
      <c r="N88" s="30">
        <f>IF(OR($F88="",$I88=""),0,IFERROR(INDEX(Nutrition!$H$2:$H$300,MATCH($F88,Nutrition!$A$2:$A$300,0))*$I88/100,0))</f>
        <v>0</v>
      </c>
      <c r="O88" s="30">
        <f>IF(OR($F88="",$I88=""),0,IFERROR(INDEX(Nutrition!$I$2:$I$300,MATCH($F88,Nutrition!$A$2:$A$300,0))*$I88/100,0))</f>
        <v>0</v>
      </c>
      <c r="P88" s="30">
        <f>IF(OR($F88="",$I88=""),0,IFERROR(INDEX(Nutrition!$J$2:$J$300,MATCH($F88,Nutrition!$A$2:$A$300,0))*$I88/100,0))</f>
        <v>0</v>
      </c>
      <c r="Q88" s="30">
        <f>IF(OR($F88="",$I88=""),0,IFERROR(INDEX(Nutrition!$K$2:$K$300,MATCH($F88,Nutrition!$A$2:$A$300,0))*$I88/100,0))</f>
        <v>0</v>
      </c>
      <c r="R88" s="30">
        <f>IF(OR($F88="",$I88=""),0,IFERROR(INDEX(Nutrition!$L$2:$L$300,MATCH($F88,Nutrition!$A$2:$A$300,0))*$I88/100,0))</f>
        <v>0</v>
      </c>
      <c r="S88" s="30">
        <f>IF(OR($F88="",$I88=""),0,IFERROR(INDEX(Nutrition!$M$2:$M$300,MATCH($F88,Nutrition!$A$2:$A$300,0))*$I88/100,0))</f>
        <v>0</v>
      </c>
    </row>
    <row r="89" spans="1:19" ht="15" customHeight="1" x14ac:dyDescent="0.25">
      <c r="A89" s="22" t="s">
        <v>1105</v>
      </c>
      <c r="B89" s="33" t="str">
        <f>IFERROR(INDEX(Recipes!$B$2:$B$500,MATCH(A89,Recipes!$A$2:$A$500,0)),"")</f>
        <v>Mango Coconut Rice Pudding</v>
      </c>
      <c r="C89" s="7" t="s">
        <v>2801</v>
      </c>
      <c r="D89" s="34">
        <v>1</v>
      </c>
      <c r="E89" s="22" t="s">
        <v>2748</v>
      </c>
      <c r="F89" s="22"/>
      <c r="G89" s="22" t="s">
        <v>2749</v>
      </c>
      <c r="H89" s="7"/>
      <c r="I89" s="35"/>
      <c r="J89" s="30">
        <f>IF(OR($F89="",$I89=""),0,IFERROR(INDEX(Nutrition!$D$2:$D$300,MATCH($F89,Nutrition!$A$2:$A$300,0))*$I89/100,0))</f>
        <v>0</v>
      </c>
      <c r="K89" s="30">
        <f>IF(OR($F89="",$I89=""),0,IFERROR(INDEX(Nutrition!$E$2:$E$300,MATCH($F89,Nutrition!$A$2:$A$300,0))*$I89/100,0))</f>
        <v>0</v>
      </c>
      <c r="L89" s="30">
        <f>IF(OR($F89="",$I89=""),0,IFERROR(INDEX(Nutrition!$F$2:$F$300,MATCH($F89,Nutrition!$A$2:$A$300,0))*$I89/100,0))</f>
        <v>0</v>
      </c>
      <c r="M89" s="30">
        <f>IF(OR($F89="",$I89=""),0,IFERROR(INDEX(Nutrition!$G$2:$G$300,MATCH($F89,Nutrition!$A$2:$A$300,0))*$I89/100,0))</f>
        <v>0</v>
      </c>
      <c r="N89" s="30">
        <f>IF(OR($F89="",$I89=""),0,IFERROR(INDEX(Nutrition!$H$2:$H$300,MATCH($F89,Nutrition!$A$2:$A$300,0))*$I89/100,0))</f>
        <v>0</v>
      </c>
      <c r="O89" s="30">
        <f>IF(OR($F89="",$I89=""),0,IFERROR(INDEX(Nutrition!$I$2:$I$300,MATCH($F89,Nutrition!$A$2:$A$300,0))*$I89/100,0))</f>
        <v>0</v>
      </c>
      <c r="P89" s="30">
        <f>IF(OR($F89="",$I89=""),0,IFERROR(INDEX(Nutrition!$J$2:$J$300,MATCH($F89,Nutrition!$A$2:$A$300,0))*$I89/100,0))</f>
        <v>0</v>
      </c>
      <c r="Q89" s="30">
        <f>IF(OR($F89="",$I89=""),0,IFERROR(INDEX(Nutrition!$K$2:$K$300,MATCH($F89,Nutrition!$A$2:$A$300,0))*$I89/100,0))</f>
        <v>0</v>
      </c>
      <c r="R89" s="30">
        <f>IF(OR($F89="",$I89=""),0,IFERROR(INDEX(Nutrition!$L$2:$L$300,MATCH($F89,Nutrition!$A$2:$A$300,0))*$I89/100,0))</f>
        <v>0</v>
      </c>
      <c r="S89" s="30">
        <f>IF(OR($F89="",$I89=""),0,IFERROR(INDEX(Nutrition!$M$2:$M$300,MATCH($F89,Nutrition!$A$2:$A$300,0))*$I89/100,0))</f>
        <v>0</v>
      </c>
    </row>
    <row r="90" spans="1:19" ht="15" customHeight="1" x14ac:dyDescent="0.25">
      <c r="A90" s="22" t="s">
        <v>1105</v>
      </c>
      <c r="B90" s="33" t="str">
        <f>IFERROR(INDEX(Recipes!$B$2:$B$500,MATCH(A90,Recipes!$A$2:$A$500,0)),"")</f>
        <v>Mango Coconut Rice Pudding</v>
      </c>
      <c r="C90" s="7" t="s">
        <v>262</v>
      </c>
      <c r="D90" s="34">
        <v>1</v>
      </c>
      <c r="E90" s="22" t="s">
        <v>2754</v>
      </c>
      <c r="F90" s="22" t="s">
        <v>261</v>
      </c>
      <c r="G90" s="22" t="s">
        <v>2755</v>
      </c>
      <c r="H90" s="7" t="s">
        <v>2802</v>
      </c>
      <c r="I90" s="35">
        <v>397</v>
      </c>
      <c r="J90" s="30">
        <f>IF(OR($F90="",$I90=""),0,IFERROR(INDEX(Nutrition!$D$2:$D$300,MATCH($F90,Nutrition!$A$2:$A$300,0))*$I90/100,0))</f>
        <v>35.729999999999997</v>
      </c>
      <c r="K90" s="30">
        <f>IF(OR($F90="",$I90=""),0,IFERROR(INDEX(Nutrition!$E$2:$E$300,MATCH($F90,Nutrition!$A$2:$A$300,0))*$I90/100,0))</f>
        <v>13.100999999999999</v>
      </c>
      <c r="L90" s="30">
        <f>IF(OR($F90="",$I90=""),0,IFERROR(INDEX(Nutrition!$F$2:$F$300,MATCH($F90,Nutrition!$A$2:$A$300,0))*$I90/100,0))</f>
        <v>0</v>
      </c>
      <c r="M90" s="30">
        <f>IF(OR($F90="",$I90=""),0,IFERROR(INDEX(Nutrition!$G$2:$G$300,MATCH($F90,Nutrition!$A$2:$A$300,0))*$I90/100,0))</f>
        <v>0.79400000000000004</v>
      </c>
      <c r="N90" s="30">
        <f>IF(OR($F90="",$I90=""),0,IFERROR(INDEX(Nutrition!$H$2:$H$300,MATCH($F90,Nutrition!$A$2:$A$300,0))*$I90/100,0))</f>
        <v>103.22</v>
      </c>
      <c r="O90" s="30">
        <f>IF(OR($F90="",$I90=""),0,IFERROR(INDEX(Nutrition!$I$2:$I$300,MATCH($F90,Nutrition!$A$2:$A$300,0))*$I90/100,0))</f>
        <v>1413.32</v>
      </c>
      <c r="P90" s="30">
        <f>IF(OR($F90="",$I90=""),0,IFERROR(INDEX(Nutrition!$J$2:$J$300,MATCH($F90,Nutrition!$A$2:$A$300,0))*$I90/100,0))</f>
        <v>0.95279999999999998</v>
      </c>
      <c r="Q90" s="30">
        <f>IF(OR($F90="",$I90=""),0,IFERROR(INDEX(Nutrition!$K$2:$K$300,MATCH($F90,Nutrition!$A$2:$A$300,0))*$I90/100,0))</f>
        <v>0.21437999999999999</v>
      </c>
      <c r="R90" s="30">
        <f>IF(OR($F90="",$I90=""),0,IFERROR(INDEX(Nutrition!$L$2:$L$300,MATCH($F90,Nutrition!$A$2:$A$300,0))*$I90/100,0))</f>
        <v>127.04</v>
      </c>
      <c r="S90" s="30">
        <f>IF(OR($F90="",$I90=""),0,IFERROR(INDEX(Nutrition!$M$2:$M$300,MATCH($F90,Nutrition!$A$2:$A$300,0))*$I90/100,0))</f>
        <v>9.6471</v>
      </c>
    </row>
    <row r="91" spans="1:19" ht="15" customHeight="1" x14ac:dyDescent="0.25">
      <c r="A91" s="22" t="s">
        <v>1105</v>
      </c>
      <c r="B91" s="33" t="str">
        <f>IFERROR(INDEX(Recipes!$B$2:$B$500,MATCH(A91,Recipes!$A$2:$A$500,0)),"")</f>
        <v>Mango Coconut Rice Pudding</v>
      </c>
      <c r="C91" s="7" t="s">
        <v>168</v>
      </c>
      <c r="D91" s="34">
        <v>2</v>
      </c>
      <c r="E91" s="22" t="s">
        <v>2754</v>
      </c>
      <c r="F91" s="22" t="s">
        <v>167</v>
      </c>
      <c r="G91" s="22" t="s">
        <v>2755</v>
      </c>
      <c r="H91" s="7"/>
      <c r="I91" s="35">
        <v>672</v>
      </c>
      <c r="J91" s="30">
        <f>IF(OR($F91="",$I91=""),0,IFERROR(INDEX(Nutrition!$D$2:$D$300,MATCH($F91,Nutrition!$A$2:$A$300,0))*$I91/100,0))</f>
        <v>10.752000000000001</v>
      </c>
      <c r="K91" s="30">
        <f>IF(OR($F91="",$I91=""),0,IFERROR(INDEX(Nutrition!$E$2:$E$300,MATCH($F91,Nutrition!$A$2:$A$300,0))*$I91/100,0))</f>
        <v>244.608</v>
      </c>
      <c r="L91" s="30">
        <f>IF(OR($F91="",$I91=""),0,IFERROR(INDEX(Nutrition!$F$2:$F$300,MATCH($F91,Nutrition!$A$2:$A$300,0))*$I91/100,0))</f>
        <v>362.88</v>
      </c>
      <c r="M91" s="30">
        <f>IF(OR($F91="",$I91=""),0,IFERROR(INDEX(Nutrition!$G$2:$G$300,MATCH($F91,Nutrition!$A$2:$A$300,0))*$I91/100,0))</f>
        <v>28.224</v>
      </c>
      <c r="N91" s="30">
        <f>IF(OR($F91="",$I91=""),0,IFERROR(INDEX(Nutrition!$H$2:$H$300,MATCH($F91,Nutrition!$A$2:$A$300,0))*$I91/100,0))</f>
        <v>288.95999999999998</v>
      </c>
      <c r="O91" s="30">
        <f>IF(OR($F91="",$I91=""),0,IFERROR(INDEX(Nutrition!$I$2:$I$300,MATCH($F91,Nutrition!$A$2:$A$300,0))*$I91/100,0))</f>
        <v>1128.96</v>
      </c>
      <c r="P91" s="30">
        <f>IF(OR($F91="",$I91=""),0,IFERROR(INDEX(Nutrition!$J$2:$J$300,MATCH($F91,Nutrition!$A$2:$A$300,0))*$I91/100,0))</f>
        <v>6.0480000000000009</v>
      </c>
      <c r="Q91" s="30">
        <f>IF(OR($F91="",$I91=""),0,IFERROR(INDEX(Nutrition!$K$2:$K$300,MATCH($F91,Nutrition!$A$2:$A$300,0))*$I91/100,0))</f>
        <v>0.79967999999999995</v>
      </c>
      <c r="R91" s="30">
        <f>IF(OR($F91="",$I91=""),0,IFERROR(INDEX(Nutrition!$L$2:$L$300,MATCH($F91,Nutrition!$A$2:$A$300,0))*$I91/100,0))</f>
        <v>67.2</v>
      </c>
      <c r="S91" s="30">
        <f>IF(OR($F91="",$I91=""),0,IFERROR(INDEX(Nutrition!$M$2:$M$300,MATCH($F91,Nutrition!$A$2:$A$300,0))*$I91/100,0))</f>
        <v>1.0751999999999999</v>
      </c>
    </row>
    <row r="92" spans="1:19" ht="15" customHeight="1" x14ac:dyDescent="0.25">
      <c r="A92" s="22" t="s">
        <v>1105</v>
      </c>
      <c r="B92" s="33" t="str">
        <f>IFERROR(INDEX(Recipes!$B$2:$B$500,MATCH(A92,Recipes!$A$2:$A$500,0)),"")</f>
        <v>Mango Coconut Rice Pudding</v>
      </c>
      <c r="C92" s="7" t="s">
        <v>370</v>
      </c>
      <c r="D92" s="34">
        <v>4</v>
      </c>
      <c r="E92" s="22" t="s">
        <v>2754</v>
      </c>
      <c r="F92" s="22" t="s">
        <v>369</v>
      </c>
      <c r="G92" s="22" t="s">
        <v>2755</v>
      </c>
      <c r="H92" s="7" t="s">
        <v>2793</v>
      </c>
      <c r="I92" s="35">
        <v>28</v>
      </c>
      <c r="J92" s="30">
        <f>IF(OR($F92="",$I92=""),0,IFERROR(INDEX(Nutrition!$D$2:$D$300,MATCH($F92,Nutrition!$A$2:$A$300,0))*$I92/100,0))</f>
        <v>2.2400000000000002</v>
      </c>
      <c r="K92" s="30">
        <f>IF(OR($F92="",$I92=""),0,IFERROR(INDEX(Nutrition!$E$2:$E$300,MATCH($F92,Nutrition!$A$2:$A$300,0))*$I92/100,0))</f>
        <v>0.11200000000000002</v>
      </c>
      <c r="L92" s="30">
        <f>IF(OR($F92="",$I92=""),0,IFERROR(INDEX(Nutrition!$F$2:$F$300,MATCH($F92,Nutrition!$A$2:$A$300,0))*$I92/100,0))</f>
        <v>0</v>
      </c>
      <c r="M92" s="30">
        <f>IF(OR($F92="",$I92=""),0,IFERROR(INDEX(Nutrition!$G$2:$G$300,MATCH($F92,Nutrition!$A$2:$A$300,0))*$I92/100,0))</f>
        <v>0.75600000000000012</v>
      </c>
      <c r="N92" s="30">
        <f>IF(OR($F92="",$I92=""),0,IFERROR(INDEX(Nutrition!$H$2:$H$300,MATCH($F92,Nutrition!$A$2:$A$300,0))*$I92/100,0))</f>
        <v>5.32</v>
      </c>
      <c r="O92" s="30">
        <f>IF(OR($F92="",$I92=""),0,IFERROR(INDEX(Nutrition!$I$2:$I$300,MATCH($F92,Nutrition!$A$2:$A$300,0))*$I92/100,0))</f>
        <v>183.68</v>
      </c>
      <c r="P92" s="30">
        <f>IF(OR($F92="",$I92=""),0,IFERROR(INDEX(Nutrition!$J$2:$J$300,MATCH($F92,Nutrition!$A$2:$A$300,0))*$I92/100,0))</f>
        <v>1.4000000000000002E-2</v>
      </c>
      <c r="Q92" s="30">
        <f>IF(OR($F92="",$I92=""),0,IFERROR(INDEX(Nutrition!$K$2:$K$300,MATCH($F92,Nutrition!$A$2:$A$300,0))*$I92/100,0))</f>
        <v>4.6199999999999998E-2</v>
      </c>
      <c r="R92" s="30">
        <f>IF(OR($F92="",$I92=""),0,IFERROR(INDEX(Nutrition!$L$2:$L$300,MATCH($F92,Nutrition!$A$2:$A$300,0))*$I92/100,0))</f>
        <v>12.04</v>
      </c>
      <c r="S92" s="30">
        <f>IF(OR($F92="",$I92=""),0,IFERROR(INDEX(Nutrition!$M$2:$M$300,MATCH($F92,Nutrition!$A$2:$A$300,0))*$I92/100,0))</f>
        <v>0.28560000000000002</v>
      </c>
    </row>
    <row r="93" spans="1:19" ht="15" customHeight="1" x14ac:dyDescent="0.25">
      <c r="A93" s="22" t="s">
        <v>1105</v>
      </c>
      <c r="B93" s="33" t="str">
        <f>IFERROR(INDEX(Recipes!$B$2:$B$500,MATCH(A93,Recipes!$A$2:$A$500,0)),"")</f>
        <v>Mango Coconut Rice Pudding</v>
      </c>
      <c r="C93" s="7" t="s">
        <v>213</v>
      </c>
      <c r="D93" s="34">
        <v>1</v>
      </c>
      <c r="E93" s="22" t="s">
        <v>2754</v>
      </c>
      <c r="F93" s="22" t="s">
        <v>212</v>
      </c>
      <c r="G93" s="22" t="s">
        <v>2755</v>
      </c>
      <c r="H93" s="7" t="s">
        <v>2794</v>
      </c>
      <c r="I93" s="35">
        <v>67</v>
      </c>
      <c r="J93" s="30">
        <f>IF(OR($F93="",$I93=""),0,IFERROR(INDEX(Nutrition!$D$2:$D$300,MATCH($F93,Nutrition!$A$2:$A$300,0))*$I93/100,0))</f>
        <v>1.8759999999999999</v>
      </c>
      <c r="K93" s="30">
        <f>IF(OR($F93="",$I93=""),0,IFERROR(INDEX(Nutrition!$E$2:$E$300,MATCH($F93,Nutrition!$A$2:$A$300,0))*$I93/100,0))</f>
        <v>19.497</v>
      </c>
      <c r="L93" s="30">
        <f>IF(OR($F93="",$I93=""),0,IFERROR(INDEX(Nutrition!$F$2:$F$300,MATCH($F93,Nutrition!$A$2:$A$300,0))*$I93/100,0))</f>
        <v>1.34</v>
      </c>
      <c r="M93" s="30">
        <f>IF(OR($F93="",$I93=""),0,IFERROR(INDEX(Nutrition!$G$2:$G$300,MATCH($F93,Nutrition!$A$2:$A$300,0))*$I93/100,0))</f>
        <v>0.40199999999999997</v>
      </c>
      <c r="N93" s="30">
        <f>IF(OR($F93="",$I93=""),0,IFERROR(INDEX(Nutrition!$H$2:$H$300,MATCH($F93,Nutrition!$A$2:$A$300,0))*$I93/100,0))</f>
        <v>5.36</v>
      </c>
      <c r="O93" s="30">
        <f>IF(OR($F93="",$I93=""),0,IFERROR(INDEX(Nutrition!$I$2:$I$300,MATCH($F93,Nutrition!$A$2:$A$300,0))*$I93/100,0))</f>
        <v>68.34</v>
      </c>
      <c r="P93" s="30">
        <f>IF(OR($F93="",$I93=""),0,IFERROR(INDEX(Nutrition!$J$2:$J$300,MATCH($F93,Nutrition!$A$2:$A$300,0))*$I93/100,0))</f>
        <v>0.1474</v>
      </c>
      <c r="Q93" s="30">
        <f>IF(OR($F93="",$I93=""),0,IFERROR(INDEX(Nutrition!$K$2:$K$300,MATCH($F93,Nutrition!$A$2:$A$300,0))*$I93/100,0))</f>
        <v>2.8809999999999999E-2</v>
      </c>
      <c r="R93" s="30">
        <f>IF(OR($F93="",$I93=""),0,IFERROR(INDEX(Nutrition!$L$2:$L$300,MATCH($F93,Nutrition!$A$2:$A$300,0))*$I93/100,0))</f>
        <v>4.0199999999999996</v>
      </c>
      <c r="S93" s="30">
        <f>IF(OR($F93="",$I93=""),0,IFERROR(INDEX(Nutrition!$M$2:$M$300,MATCH($F93,Nutrition!$A$2:$A$300,0))*$I93/100,0))</f>
        <v>0.40199999999999997</v>
      </c>
    </row>
    <row r="94" spans="1:19" ht="15" customHeight="1" x14ac:dyDescent="0.25">
      <c r="A94" s="22" t="s">
        <v>1105</v>
      </c>
      <c r="B94" s="33" t="str">
        <f>IFERROR(INDEX(Recipes!$B$2:$B$500,MATCH(A94,Recipes!$A$2:$A$500,0)),"")</f>
        <v>Mango Coconut Rice Pudding</v>
      </c>
      <c r="C94" s="7" t="s">
        <v>2781</v>
      </c>
      <c r="D94" s="34">
        <v>1</v>
      </c>
      <c r="E94" s="22" t="s">
        <v>2782</v>
      </c>
      <c r="F94" s="22"/>
      <c r="G94" s="22" t="s">
        <v>2773</v>
      </c>
      <c r="H94" s="7"/>
      <c r="I94" s="35"/>
      <c r="J94" s="30">
        <f>IF(OR($F94="",$I94=""),0,IFERROR(INDEX(Nutrition!$D$2:$D$300,MATCH($F94,Nutrition!$A$2:$A$300,0))*$I94/100,0))</f>
        <v>0</v>
      </c>
      <c r="K94" s="30">
        <f>IF(OR($F94="",$I94=""),0,IFERROR(INDEX(Nutrition!$E$2:$E$300,MATCH($F94,Nutrition!$A$2:$A$300,0))*$I94/100,0))</f>
        <v>0</v>
      </c>
      <c r="L94" s="30">
        <f>IF(OR($F94="",$I94=""),0,IFERROR(INDEX(Nutrition!$F$2:$F$300,MATCH($F94,Nutrition!$A$2:$A$300,0))*$I94/100,0))</f>
        <v>0</v>
      </c>
      <c r="M94" s="30">
        <f>IF(OR($F94="",$I94=""),0,IFERROR(INDEX(Nutrition!$G$2:$G$300,MATCH($F94,Nutrition!$A$2:$A$300,0))*$I94/100,0))</f>
        <v>0</v>
      </c>
      <c r="N94" s="30">
        <f>IF(OR($F94="",$I94=""),0,IFERROR(INDEX(Nutrition!$H$2:$H$300,MATCH($F94,Nutrition!$A$2:$A$300,0))*$I94/100,0))</f>
        <v>0</v>
      </c>
      <c r="O94" s="30">
        <f>IF(OR($F94="",$I94=""),0,IFERROR(INDEX(Nutrition!$I$2:$I$300,MATCH($F94,Nutrition!$A$2:$A$300,0))*$I94/100,0))</f>
        <v>0</v>
      </c>
      <c r="P94" s="30">
        <f>IF(OR($F94="",$I94=""),0,IFERROR(INDEX(Nutrition!$J$2:$J$300,MATCH($F94,Nutrition!$A$2:$A$300,0))*$I94/100,0))</f>
        <v>0</v>
      </c>
      <c r="Q94" s="30">
        <f>IF(OR($F94="",$I94=""),0,IFERROR(INDEX(Nutrition!$K$2:$K$300,MATCH($F94,Nutrition!$A$2:$A$300,0))*$I94/100,0))</f>
        <v>0</v>
      </c>
      <c r="R94" s="30">
        <f>IF(OR($F94="",$I94=""),0,IFERROR(INDEX(Nutrition!$L$2:$L$300,MATCH($F94,Nutrition!$A$2:$A$300,0))*$I94/100,0))</f>
        <v>0</v>
      </c>
      <c r="S94" s="30">
        <f>IF(OR($F94="",$I94=""),0,IFERROR(INDEX(Nutrition!$M$2:$M$300,MATCH($F94,Nutrition!$A$2:$A$300,0))*$I94/100,0))</f>
        <v>0</v>
      </c>
    </row>
    <row r="95" spans="1:19" ht="15" customHeight="1" x14ac:dyDescent="0.25">
      <c r="A95" s="22" t="s">
        <v>1117</v>
      </c>
      <c r="B95" s="33" t="str">
        <f>IFERROR(INDEX(Recipes!$B$2:$B$500,MATCH(A95,Recipes!$A$2:$A$500,0)),"")</f>
        <v>No-Churn Mango Passion Sorbet</v>
      </c>
      <c r="C95" s="7" t="s">
        <v>168</v>
      </c>
      <c r="D95" s="34">
        <v>3</v>
      </c>
      <c r="E95" s="22" t="s">
        <v>2754</v>
      </c>
      <c r="F95" s="22" t="s">
        <v>167</v>
      </c>
      <c r="G95" s="22" t="s">
        <v>2755</v>
      </c>
      <c r="H95" s="7"/>
      <c r="I95" s="35">
        <v>1008</v>
      </c>
      <c r="J95" s="30">
        <f>IF(OR($F95="",$I95=""),0,IFERROR(INDEX(Nutrition!$D$2:$D$300,MATCH($F95,Nutrition!$A$2:$A$300,0))*$I95/100,0))</f>
        <v>16.128</v>
      </c>
      <c r="K95" s="30">
        <f>IF(OR($F95="",$I95=""),0,IFERROR(INDEX(Nutrition!$E$2:$E$300,MATCH($F95,Nutrition!$A$2:$A$300,0))*$I95/100,0))</f>
        <v>366.91199999999998</v>
      </c>
      <c r="L95" s="30">
        <f>IF(OR($F95="",$I95=""),0,IFERROR(INDEX(Nutrition!$F$2:$F$300,MATCH($F95,Nutrition!$A$2:$A$300,0))*$I95/100,0))</f>
        <v>544.32000000000005</v>
      </c>
      <c r="M95" s="30">
        <f>IF(OR($F95="",$I95=""),0,IFERROR(INDEX(Nutrition!$G$2:$G$300,MATCH($F95,Nutrition!$A$2:$A$300,0))*$I95/100,0))</f>
        <v>42.336000000000006</v>
      </c>
      <c r="N95" s="30">
        <f>IF(OR($F95="",$I95=""),0,IFERROR(INDEX(Nutrition!$H$2:$H$300,MATCH($F95,Nutrition!$A$2:$A$300,0))*$I95/100,0))</f>
        <v>433.44</v>
      </c>
      <c r="O95" s="30">
        <f>IF(OR($F95="",$I95=""),0,IFERROR(INDEX(Nutrition!$I$2:$I$300,MATCH($F95,Nutrition!$A$2:$A$300,0))*$I95/100,0))</f>
        <v>1693.44</v>
      </c>
      <c r="P95" s="30">
        <f>IF(OR($F95="",$I95=""),0,IFERROR(INDEX(Nutrition!$J$2:$J$300,MATCH($F95,Nutrition!$A$2:$A$300,0))*$I95/100,0))</f>
        <v>9.072000000000001</v>
      </c>
      <c r="Q95" s="30">
        <f>IF(OR($F95="",$I95=""),0,IFERROR(INDEX(Nutrition!$K$2:$K$300,MATCH($F95,Nutrition!$A$2:$A$300,0))*$I95/100,0))</f>
        <v>1.1995199999999999</v>
      </c>
      <c r="R95" s="30">
        <f>IF(OR($F95="",$I95=""),0,IFERROR(INDEX(Nutrition!$L$2:$L$300,MATCH($F95,Nutrition!$A$2:$A$300,0))*$I95/100,0))</f>
        <v>100.8</v>
      </c>
      <c r="S95" s="30">
        <f>IF(OR($F95="",$I95=""),0,IFERROR(INDEX(Nutrition!$M$2:$M$300,MATCH($F95,Nutrition!$A$2:$A$300,0))*$I95/100,0))</f>
        <v>1.6128</v>
      </c>
    </row>
    <row r="96" spans="1:19" ht="15" customHeight="1" x14ac:dyDescent="0.25">
      <c r="A96" s="22" t="s">
        <v>1117</v>
      </c>
      <c r="B96" s="33" t="str">
        <f>IFERROR(INDEX(Recipes!$B$2:$B$500,MATCH(A96,Recipes!$A$2:$A$500,0)),"")</f>
        <v>No-Churn Mango Passion Sorbet</v>
      </c>
      <c r="C96" s="7" t="s">
        <v>252</v>
      </c>
      <c r="D96" s="34">
        <v>3</v>
      </c>
      <c r="E96" s="22" t="s">
        <v>2754</v>
      </c>
      <c r="F96" s="22" t="s">
        <v>251</v>
      </c>
      <c r="G96" s="22" t="s">
        <v>2755</v>
      </c>
      <c r="H96" s="7" t="s">
        <v>2757</v>
      </c>
      <c r="I96" s="35">
        <v>54</v>
      </c>
      <c r="J96" s="30">
        <f>IF(OR($F96="",$I96=""),0,IFERROR(INDEX(Nutrition!$D$2:$D$300,MATCH($F96,Nutrition!$A$2:$A$300,0))*$I96/100,0))</f>
        <v>5.6160000000000005</v>
      </c>
      <c r="K96" s="30">
        <f>IF(OR($F96="",$I96=""),0,IFERROR(INDEX(Nutrition!$E$2:$E$300,MATCH($F96,Nutrition!$A$2:$A$300,0))*$I96/100,0))</f>
        <v>16.2</v>
      </c>
      <c r="L96" s="30">
        <f>IF(OR($F96="",$I96=""),0,IFERROR(INDEX(Nutrition!$F$2:$F$300,MATCH($F96,Nutrition!$A$2:$A$300,0))*$I96/100,0))</f>
        <v>34.56</v>
      </c>
      <c r="M96" s="30">
        <f>IF(OR($F96="",$I96=""),0,IFERROR(INDEX(Nutrition!$G$2:$G$300,MATCH($F96,Nutrition!$A$2:$A$300,0))*$I96/100,0))</f>
        <v>0.37799999999999995</v>
      </c>
      <c r="N96" s="30">
        <f>IF(OR($F96="",$I96=""),0,IFERROR(INDEX(Nutrition!$H$2:$H$300,MATCH($F96,Nutrition!$A$2:$A$300,0))*$I96/100,0))</f>
        <v>7.56</v>
      </c>
      <c r="O96" s="30">
        <f>IF(OR($F96="",$I96=""),0,IFERROR(INDEX(Nutrition!$I$2:$I$300,MATCH($F96,Nutrition!$A$2:$A$300,0))*$I96/100,0))</f>
        <v>187.92</v>
      </c>
      <c r="P96" s="30">
        <f>IF(OR($F96="",$I96=""),0,IFERROR(INDEX(Nutrition!$J$2:$J$300,MATCH($F96,Nutrition!$A$2:$A$300,0))*$I96/100,0))</f>
        <v>1.0800000000000001E-2</v>
      </c>
      <c r="Q96" s="30">
        <f>IF(OR($F96="",$I96=""),0,IFERROR(INDEX(Nutrition!$K$2:$K$300,MATCH($F96,Nutrition!$A$2:$A$300,0))*$I96/100,0))</f>
        <v>5.4000000000000006E-2</v>
      </c>
      <c r="R96" s="30">
        <f>IF(OR($F96="",$I96=""),0,IFERROR(INDEX(Nutrition!$L$2:$L$300,MATCH($F96,Nutrition!$A$2:$A$300,0))*$I96/100,0))</f>
        <v>15.66</v>
      </c>
      <c r="S96" s="30">
        <f>IF(OR($F96="",$I96=""),0,IFERROR(INDEX(Nutrition!$M$2:$M$300,MATCH($F96,Nutrition!$A$2:$A$300,0))*$I96/100,0))</f>
        <v>0.8640000000000001</v>
      </c>
    </row>
    <row r="97" spans="1:19" ht="15" customHeight="1" x14ac:dyDescent="0.25">
      <c r="A97" s="22" t="s">
        <v>1117</v>
      </c>
      <c r="B97" s="33" t="str">
        <f>IFERROR(INDEX(Recipes!$B$2:$B$500,MATCH(A97,Recipes!$A$2:$A$500,0)),"")</f>
        <v>No-Churn Mango Passion Sorbet</v>
      </c>
      <c r="C97" s="7" t="s">
        <v>213</v>
      </c>
      <c r="D97" s="34">
        <v>1</v>
      </c>
      <c r="E97" s="22" t="s">
        <v>2754</v>
      </c>
      <c r="F97" s="22" t="s">
        <v>212</v>
      </c>
      <c r="G97" s="22" t="s">
        <v>2755</v>
      </c>
      <c r="H97" s="7"/>
      <c r="I97" s="35">
        <v>67</v>
      </c>
      <c r="J97" s="30">
        <f>IF(OR($F97="",$I97=""),0,IFERROR(INDEX(Nutrition!$D$2:$D$300,MATCH($F97,Nutrition!$A$2:$A$300,0))*$I97/100,0))</f>
        <v>1.8759999999999999</v>
      </c>
      <c r="K97" s="30">
        <f>IF(OR($F97="",$I97=""),0,IFERROR(INDEX(Nutrition!$E$2:$E$300,MATCH($F97,Nutrition!$A$2:$A$300,0))*$I97/100,0))</f>
        <v>19.497</v>
      </c>
      <c r="L97" s="30">
        <f>IF(OR($F97="",$I97=""),0,IFERROR(INDEX(Nutrition!$F$2:$F$300,MATCH($F97,Nutrition!$A$2:$A$300,0))*$I97/100,0))</f>
        <v>1.34</v>
      </c>
      <c r="M97" s="30">
        <f>IF(OR($F97="",$I97=""),0,IFERROR(INDEX(Nutrition!$G$2:$G$300,MATCH($F97,Nutrition!$A$2:$A$300,0))*$I97/100,0))</f>
        <v>0.40199999999999997</v>
      </c>
      <c r="N97" s="30">
        <f>IF(OR($F97="",$I97=""),0,IFERROR(INDEX(Nutrition!$H$2:$H$300,MATCH($F97,Nutrition!$A$2:$A$300,0))*$I97/100,0))</f>
        <v>5.36</v>
      </c>
      <c r="O97" s="30">
        <f>IF(OR($F97="",$I97=""),0,IFERROR(INDEX(Nutrition!$I$2:$I$300,MATCH($F97,Nutrition!$A$2:$A$300,0))*$I97/100,0))</f>
        <v>68.34</v>
      </c>
      <c r="P97" s="30">
        <f>IF(OR($F97="",$I97=""),0,IFERROR(INDEX(Nutrition!$J$2:$J$300,MATCH($F97,Nutrition!$A$2:$A$300,0))*$I97/100,0))</f>
        <v>0.1474</v>
      </c>
      <c r="Q97" s="30">
        <f>IF(OR($F97="",$I97=""),0,IFERROR(INDEX(Nutrition!$K$2:$K$300,MATCH($F97,Nutrition!$A$2:$A$300,0))*$I97/100,0))</f>
        <v>2.8809999999999999E-2</v>
      </c>
      <c r="R97" s="30">
        <f>IF(OR($F97="",$I97=""),0,IFERROR(INDEX(Nutrition!$L$2:$L$300,MATCH($F97,Nutrition!$A$2:$A$300,0))*$I97/100,0))</f>
        <v>4.0199999999999996</v>
      </c>
      <c r="S97" s="30">
        <f>IF(OR($F97="",$I97=""),0,IFERROR(INDEX(Nutrition!$M$2:$M$300,MATCH($F97,Nutrition!$A$2:$A$300,0))*$I97/100,0))</f>
        <v>0.40199999999999997</v>
      </c>
    </row>
    <row r="98" spans="1:19" ht="15" customHeight="1" x14ac:dyDescent="0.25">
      <c r="A98" s="22" t="s">
        <v>1117</v>
      </c>
      <c r="B98" s="33" t="str">
        <f>IFERROR(INDEX(Recipes!$B$2:$B$500,MATCH(A98,Recipes!$A$2:$A$500,0)),"")</f>
        <v>No-Churn Mango Passion Sorbet</v>
      </c>
      <c r="C98" s="7" t="s">
        <v>2758</v>
      </c>
      <c r="D98" s="34">
        <v>2</v>
      </c>
      <c r="E98" s="22" t="s">
        <v>2753</v>
      </c>
      <c r="F98" s="22"/>
      <c r="G98" s="22" t="s">
        <v>2749</v>
      </c>
      <c r="H98" s="7"/>
      <c r="I98" s="35"/>
      <c r="J98" s="30">
        <f>IF(OR($F98="",$I98=""),0,IFERROR(INDEX(Nutrition!$D$2:$D$300,MATCH($F98,Nutrition!$A$2:$A$300,0))*$I98/100,0))</f>
        <v>0</v>
      </c>
      <c r="K98" s="30">
        <f>IF(OR($F98="",$I98=""),0,IFERROR(INDEX(Nutrition!$E$2:$E$300,MATCH($F98,Nutrition!$A$2:$A$300,0))*$I98/100,0))</f>
        <v>0</v>
      </c>
      <c r="L98" s="30">
        <f>IF(OR($F98="",$I98=""),0,IFERROR(INDEX(Nutrition!$F$2:$F$300,MATCH($F98,Nutrition!$A$2:$A$300,0))*$I98/100,0))</f>
        <v>0</v>
      </c>
      <c r="M98" s="30">
        <f>IF(OR($F98="",$I98=""),0,IFERROR(INDEX(Nutrition!$G$2:$G$300,MATCH($F98,Nutrition!$A$2:$A$300,0))*$I98/100,0))</f>
        <v>0</v>
      </c>
      <c r="N98" s="30">
        <f>IF(OR($F98="",$I98=""),0,IFERROR(INDEX(Nutrition!$H$2:$H$300,MATCH($F98,Nutrition!$A$2:$A$300,0))*$I98/100,0))</f>
        <v>0</v>
      </c>
      <c r="O98" s="30">
        <f>IF(OR($F98="",$I98=""),0,IFERROR(INDEX(Nutrition!$I$2:$I$300,MATCH($F98,Nutrition!$A$2:$A$300,0))*$I98/100,0))</f>
        <v>0</v>
      </c>
      <c r="P98" s="30">
        <f>IF(OR($F98="",$I98=""),0,IFERROR(INDEX(Nutrition!$J$2:$J$300,MATCH($F98,Nutrition!$A$2:$A$300,0))*$I98/100,0))</f>
        <v>0</v>
      </c>
      <c r="Q98" s="30">
        <f>IF(OR($F98="",$I98=""),0,IFERROR(INDEX(Nutrition!$K$2:$K$300,MATCH($F98,Nutrition!$A$2:$A$300,0))*$I98/100,0))</f>
        <v>0</v>
      </c>
      <c r="R98" s="30">
        <f>IF(OR($F98="",$I98=""),0,IFERROR(INDEX(Nutrition!$L$2:$L$300,MATCH($F98,Nutrition!$A$2:$A$300,0))*$I98/100,0))</f>
        <v>0</v>
      </c>
      <c r="S98" s="30">
        <f>IF(OR($F98="",$I98=""),0,IFERROR(INDEX(Nutrition!$M$2:$M$300,MATCH($F98,Nutrition!$A$2:$A$300,0))*$I98/100,0))</f>
        <v>0</v>
      </c>
    </row>
    <row r="99" spans="1:19" ht="15" customHeight="1" x14ac:dyDescent="0.25">
      <c r="A99" s="22" t="s">
        <v>1127</v>
      </c>
      <c r="B99" s="33" t="str">
        <f>IFERROR(INDEX(Recipes!$B$2:$B$500,MATCH(A99,Recipes!$A$2:$A$500,0)),"")</f>
        <v>Garden Egg Chopped Salad</v>
      </c>
      <c r="C99" s="7" t="s">
        <v>566</v>
      </c>
      <c r="D99" s="34">
        <v>4</v>
      </c>
      <c r="E99" s="22" t="s">
        <v>2754</v>
      </c>
      <c r="F99" s="22" t="s">
        <v>565</v>
      </c>
      <c r="G99" s="22" t="s">
        <v>2755</v>
      </c>
      <c r="H99" s="7"/>
      <c r="I99" s="35">
        <v>160</v>
      </c>
      <c r="J99" s="30">
        <f>IF(OR($F99="",$I99=""),0,IFERROR(INDEX(Nutrition!$D$2:$D$300,MATCH($F99,Nutrition!$A$2:$A$300,0))*$I99/100,0))</f>
        <v>5.6</v>
      </c>
      <c r="K99" s="30">
        <f>IF(OR($F99="",$I99=""),0,IFERROR(INDEX(Nutrition!$E$2:$E$300,MATCH($F99,Nutrition!$A$2:$A$300,0))*$I99/100,0))</f>
        <v>18.559999999999999</v>
      </c>
      <c r="L99" s="30">
        <f>IF(OR($F99="",$I99=""),0,IFERROR(INDEX(Nutrition!$F$2:$F$300,MATCH($F99,Nutrition!$A$2:$A$300,0))*$I99/100,0))</f>
        <v>3.2</v>
      </c>
      <c r="M99" s="30">
        <f>IF(OR($F99="",$I99=""),0,IFERROR(INDEX(Nutrition!$G$2:$G$300,MATCH($F99,Nutrition!$A$2:$A$300,0))*$I99/100,0))</f>
        <v>5.6</v>
      </c>
      <c r="N99" s="30">
        <f>IF(OR($F99="",$I99=""),0,IFERROR(INDEX(Nutrition!$H$2:$H$300,MATCH($F99,Nutrition!$A$2:$A$300,0))*$I99/100,0))</f>
        <v>35.200000000000003</v>
      </c>
      <c r="O99" s="30">
        <f>IF(OR($F99="",$I99=""),0,IFERROR(INDEX(Nutrition!$I$2:$I$300,MATCH($F99,Nutrition!$A$2:$A$300,0))*$I99/100,0))</f>
        <v>384</v>
      </c>
      <c r="P99" s="30">
        <f>IF(OR($F99="",$I99=""),0,IFERROR(INDEX(Nutrition!$J$2:$J$300,MATCH($F99,Nutrition!$A$2:$A$300,0))*$I99/100,0))</f>
        <v>0.48</v>
      </c>
      <c r="Q99" s="30">
        <f>IF(OR($F99="",$I99=""),0,IFERROR(INDEX(Nutrition!$K$2:$K$300,MATCH($F99,Nutrition!$A$2:$A$300,0))*$I99/100,0))</f>
        <v>0.128</v>
      </c>
      <c r="R99" s="30">
        <f>IF(OR($F99="",$I99=""),0,IFERROR(INDEX(Nutrition!$L$2:$L$300,MATCH($F99,Nutrition!$A$2:$A$300,0))*$I99/100,0))</f>
        <v>24</v>
      </c>
      <c r="S99" s="30">
        <f>IF(OR($F99="",$I99=""),0,IFERROR(INDEX(Nutrition!$M$2:$M$300,MATCH($F99,Nutrition!$A$2:$A$300,0))*$I99/100,0))</f>
        <v>0.8</v>
      </c>
    </row>
    <row r="100" spans="1:19" ht="15" customHeight="1" x14ac:dyDescent="0.25">
      <c r="A100" s="22" t="s">
        <v>1127</v>
      </c>
      <c r="B100" s="33" t="str">
        <f>IFERROR(INDEX(Recipes!$B$2:$B$500,MATCH(A100,Recipes!$A$2:$A$500,0)),"")</f>
        <v>Garden Egg Chopped Salad</v>
      </c>
      <c r="C100" s="7" t="s">
        <v>446</v>
      </c>
      <c r="D100" s="34">
        <v>3</v>
      </c>
      <c r="E100" s="22" t="s">
        <v>2754</v>
      </c>
      <c r="F100" s="22" t="s">
        <v>445</v>
      </c>
      <c r="G100" s="22" t="s">
        <v>2755</v>
      </c>
      <c r="H100" s="7"/>
      <c r="I100" s="35">
        <v>186</v>
      </c>
      <c r="J100" s="30">
        <f>IF(OR($F100="",$I100=""),0,IFERROR(INDEX(Nutrition!$D$2:$D$300,MATCH($F100,Nutrition!$A$2:$A$300,0))*$I100/100,0))</f>
        <v>2.2319999999999998</v>
      </c>
      <c r="K100" s="30">
        <f>IF(OR($F100="",$I100=""),0,IFERROR(INDEX(Nutrition!$E$2:$E$300,MATCH($F100,Nutrition!$A$2:$A$300,0))*$I100/100,0))</f>
        <v>25.481999999999999</v>
      </c>
      <c r="L100" s="30">
        <f>IF(OR($F100="",$I100=""),0,IFERROR(INDEX(Nutrition!$F$2:$F$300,MATCH($F100,Nutrition!$A$2:$A$300,0))*$I100/100,0))</f>
        <v>78.12</v>
      </c>
      <c r="M100" s="30">
        <f>IF(OR($F100="",$I100=""),0,IFERROR(INDEX(Nutrition!$G$2:$G$300,MATCH($F100,Nutrition!$A$2:$A$300,0))*$I100/100,0))</f>
        <v>14.694000000000001</v>
      </c>
      <c r="N100" s="30">
        <f>IF(OR($F100="",$I100=""),0,IFERROR(INDEX(Nutrition!$H$2:$H$300,MATCH($F100,Nutrition!$A$2:$A$300,0))*$I100/100,0))</f>
        <v>27.9</v>
      </c>
      <c r="O100" s="30">
        <f>IF(OR($F100="",$I100=""),0,IFERROR(INDEX(Nutrition!$I$2:$I$300,MATCH($F100,Nutrition!$A$2:$A$300,0))*$I100/100,0))</f>
        <v>440.82</v>
      </c>
      <c r="P100" s="30">
        <f>IF(OR($F100="",$I100=""),0,IFERROR(INDEX(Nutrition!$J$2:$J$300,MATCH($F100,Nutrition!$A$2:$A$300,0))*$I100/100,0))</f>
        <v>1.0044000000000002</v>
      </c>
      <c r="Q100" s="30">
        <f>IF(OR($F100="",$I100=""),0,IFERROR(INDEX(Nutrition!$K$2:$K$300,MATCH($F100,Nutrition!$A$2:$A$300,0))*$I100/100,0))</f>
        <v>0.14880000000000002</v>
      </c>
      <c r="R100" s="30">
        <f>IF(OR($F100="",$I100=""),0,IFERROR(INDEX(Nutrition!$L$2:$L$300,MATCH($F100,Nutrition!$A$2:$A$300,0))*$I100/100,0))</f>
        <v>20.46</v>
      </c>
      <c r="S100" s="30">
        <f>IF(OR($F100="",$I100=""),0,IFERROR(INDEX(Nutrition!$M$2:$M$300,MATCH($F100,Nutrition!$A$2:$A$300,0))*$I100/100,0))</f>
        <v>0.50220000000000009</v>
      </c>
    </row>
    <row r="101" spans="1:19" ht="15" customHeight="1" x14ac:dyDescent="0.25">
      <c r="A101" s="22" t="s">
        <v>1127</v>
      </c>
      <c r="B101" s="33" t="str">
        <f>IFERROR(INDEX(Recipes!$B$2:$B$500,MATCH(A101,Recipes!$A$2:$A$500,0)),"")</f>
        <v>Garden Egg Chopped Salad</v>
      </c>
      <c r="C101" s="7" t="s">
        <v>523</v>
      </c>
      <c r="D101" s="34">
        <v>1</v>
      </c>
      <c r="E101" s="22" t="s">
        <v>2754</v>
      </c>
      <c r="F101" s="22" t="s">
        <v>522</v>
      </c>
      <c r="G101" s="22" t="s">
        <v>2755</v>
      </c>
      <c r="H101" s="7"/>
      <c r="I101" s="35">
        <v>301</v>
      </c>
      <c r="J101" s="30">
        <f>IF(OR($F101="",$I101=""),0,IFERROR(INDEX(Nutrition!$D$2:$D$300,MATCH($F101,Nutrition!$A$2:$A$300,0))*$I101/100,0))</f>
        <v>1.5049999999999999</v>
      </c>
      <c r="K101" s="30">
        <f>IF(OR($F101="",$I101=""),0,IFERROR(INDEX(Nutrition!$E$2:$E$300,MATCH($F101,Nutrition!$A$2:$A$300,0))*$I101/100,0))</f>
        <v>8.427999999999999</v>
      </c>
      <c r="L101" s="30">
        <f>IF(OR($F101="",$I101=""),0,IFERROR(INDEX(Nutrition!$F$2:$F$300,MATCH($F101,Nutrition!$A$2:$A$300,0))*$I101/100,0))</f>
        <v>15.05</v>
      </c>
      <c r="M101" s="30">
        <f>IF(OR($F101="",$I101=""),0,IFERROR(INDEX(Nutrition!$G$2:$G$300,MATCH($F101,Nutrition!$A$2:$A$300,0))*$I101/100,0))</f>
        <v>49.363999999999997</v>
      </c>
      <c r="N101" s="30">
        <f>IF(OR($F101="",$I101=""),0,IFERROR(INDEX(Nutrition!$H$2:$H$300,MATCH($F101,Nutrition!$A$2:$A$300,0))*$I101/100,0))</f>
        <v>21.07</v>
      </c>
      <c r="O101" s="30">
        <f>IF(OR($F101="",$I101=""),0,IFERROR(INDEX(Nutrition!$I$2:$I$300,MATCH($F101,Nutrition!$A$2:$A$300,0))*$I101/100,0))</f>
        <v>442.47</v>
      </c>
      <c r="P101" s="30">
        <f>IF(OR($F101="",$I101=""),0,IFERROR(INDEX(Nutrition!$J$2:$J$300,MATCH($F101,Nutrition!$A$2:$A$300,0))*$I101/100,0))</f>
        <v>9.0299999999999991E-2</v>
      </c>
      <c r="Q101" s="30">
        <f>IF(OR($F101="",$I101=""),0,IFERROR(INDEX(Nutrition!$K$2:$K$300,MATCH($F101,Nutrition!$A$2:$A$300,0))*$I101/100,0))</f>
        <v>0.12040000000000001</v>
      </c>
      <c r="R101" s="30">
        <f>IF(OR($F101="",$I101=""),0,IFERROR(INDEX(Nutrition!$L$2:$L$300,MATCH($F101,Nutrition!$A$2:$A$300,0))*$I101/100,0))</f>
        <v>39.130000000000003</v>
      </c>
      <c r="S101" s="30">
        <f>IF(OR($F101="",$I101=""),0,IFERROR(INDEX(Nutrition!$M$2:$M$300,MATCH($F101,Nutrition!$A$2:$A$300,0))*$I101/100,0))</f>
        <v>0.84279999999999999</v>
      </c>
    </row>
    <row r="102" spans="1:19" ht="15" customHeight="1" x14ac:dyDescent="0.25">
      <c r="A102" s="22" t="s">
        <v>1127</v>
      </c>
      <c r="B102" s="33" t="str">
        <f>IFERROR(INDEX(Recipes!$B$2:$B$500,MATCH(A102,Recipes!$A$2:$A$500,0)),"")</f>
        <v>Garden Egg Chopped Salad</v>
      </c>
      <c r="C102" s="7" t="s">
        <v>482</v>
      </c>
      <c r="D102" s="34">
        <v>0.5</v>
      </c>
      <c r="E102" s="22" t="s">
        <v>2754</v>
      </c>
      <c r="F102" s="22" t="s">
        <v>481</v>
      </c>
      <c r="G102" s="22" t="s">
        <v>2755</v>
      </c>
      <c r="H102" s="7" t="s">
        <v>2784</v>
      </c>
      <c r="I102" s="35">
        <v>55</v>
      </c>
      <c r="J102" s="30">
        <f>IF(OR($F102="",$I102=""),0,IFERROR(INDEX(Nutrition!$D$2:$D$300,MATCH($F102,Nutrition!$A$2:$A$300,0))*$I102/100,0))</f>
        <v>0.93500000000000005</v>
      </c>
      <c r="K102" s="30">
        <f>IF(OR($F102="",$I102=""),0,IFERROR(INDEX(Nutrition!$E$2:$E$300,MATCH($F102,Nutrition!$A$2:$A$300,0))*$I102/100,0))</f>
        <v>4.07</v>
      </c>
      <c r="L102" s="30">
        <f>IF(OR($F102="",$I102=""),0,IFERROR(INDEX(Nutrition!$F$2:$F$300,MATCH($F102,Nutrition!$A$2:$A$300,0))*$I102/100,0))</f>
        <v>0</v>
      </c>
      <c r="M102" s="30">
        <f>IF(OR($F102="",$I102=""),0,IFERROR(INDEX(Nutrition!$G$2:$G$300,MATCH($F102,Nutrition!$A$2:$A$300,0))*$I102/100,0))</f>
        <v>0.22</v>
      </c>
      <c r="N102" s="30">
        <f>IF(OR($F102="",$I102=""),0,IFERROR(INDEX(Nutrition!$H$2:$H$300,MATCH($F102,Nutrition!$A$2:$A$300,0))*$I102/100,0))</f>
        <v>10.45</v>
      </c>
      <c r="O102" s="30">
        <f>IF(OR($F102="",$I102=""),0,IFERROR(INDEX(Nutrition!$I$2:$I$300,MATCH($F102,Nutrition!$A$2:$A$300,0))*$I102/100,0))</f>
        <v>80.3</v>
      </c>
      <c r="P102" s="30">
        <f>IF(OR($F102="",$I102=""),0,IFERROR(INDEX(Nutrition!$J$2:$J$300,MATCH($F102,Nutrition!$A$2:$A$300,0))*$I102/100,0))</f>
        <v>1.1000000000000001E-2</v>
      </c>
      <c r="Q102" s="30">
        <f>IF(OR($F102="",$I102=""),0,IFERROR(INDEX(Nutrition!$K$2:$K$300,MATCH($F102,Nutrition!$A$2:$A$300,0))*$I102/100,0))</f>
        <v>6.6000000000000003E-2</v>
      </c>
      <c r="R102" s="30">
        <f>IF(OR($F102="",$I102=""),0,IFERROR(INDEX(Nutrition!$L$2:$L$300,MATCH($F102,Nutrition!$A$2:$A$300,0))*$I102/100,0))</f>
        <v>5.5</v>
      </c>
      <c r="S102" s="30">
        <f>IF(OR($F102="",$I102=""),0,IFERROR(INDEX(Nutrition!$M$2:$M$300,MATCH($F102,Nutrition!$A$2:$A$300,0))*$I102/100,0))</f>
        <v>0.11549999999999999</v>
      </c>
    </row>
    <row r="103" spans="1:19" ht="15" customHeight="1" x14ac:dyDescent="0.25">
      <c r="A103" s="22" t="s">
        <v>1127</v>
      </c>
      <c r="B103" s="33" t="str">
        <f>IFERROR(INDEX(Recipes!$B$2:$B$500,MATCH(A103,Recipes!$A$2:$A$500,0)),"")</f>
        <v>Garden Egg Chopped Salad</v>
      </c>
      <c r="C103" s="7" t="s">
        <v>671</v>
      </c>
      <c r="D103" s="34">
        <v>0.5</v>
      </c>
      <c r="E103" s="22" t="s">
        <v>635</v>
      </c>
      <c r="F103" s="22" t="s">
        <v>670</v>
      </c>
      <c r="G103" s="22" t="s">
        <v>2755</v>
      </c>
      <c r="H103" s="7" t="s">
        <v>2803</v>
      </c>
      <c r="I103" s="35">
        <v>25</v>
      </c>
      <c r="J103" s="30">
        <f>IF(OR($F103="",$I103=""),0,IFERROR(INDEX(Nutrition!$D$2:$D$300,MATCH($F103,Nutrition!$A$2:$A$300,0))*$I103/100,0))</f>
        <v>0.82499999999999996</v>
      </c>
      <c r="K103" s="30">
        <f>IF(OR($F103="",$I103=""),0,IFERROR(INDEX(Nutrition!$E$2:$E$300,MATCH($F103,Nutrition!$A$2:$A$300,0))*$I103/100,0))</f>
        <v>33.25</v>
      </c>
      <c r="L103" s="30">
        <f>IF(OR($F103="",$I103=""),0,IFERROR(INDEX(Nutrition!$F$2:$F$300,MATCH($F103,Nutrition!$A$2:$A$300,0))*$I103/100,0))</f>
        <v>105.25</v>
      </c>
      <c r="M103" s="30">
        <f>IF(OR($F103="",$I103=""),0,IFERROR(INDEX(Nutrition!$G$2:$G$300,MATCH($F103,Nutrition!$A$2:$A$300,0))*$I103/100,0))</f>
        <v>410</v>
      </c>
      <c r="N103" s="30">
        <f>IF(OR($F103="",$I103=""),0,IFERROR(INDEX(Nutrition!$H$2:$H$300,MATCH($F103,Nutrition!$A$2:$A$300,0))*$I103/100,0))</f>
        <v>38</v>
      </c>
      <c r="O103" s="30">
        <f>IF(OR($F103="",$I103=""),0,IFERROR(INDEX(Nutrition!$I$2:$I$300,MATCH($F103,Nutrition!$A$2:$A$300,0))*$I103/100,0))</f>
        <v>138.5</v>
      </c>
      <c r="P103" s="30">
        <f>IF(OR($F103="",$I103=""),0,IFERROR(INDEX(Nutrition!$J$2:$J$300,MATCH($F103,Nutrition!$A$2:$A$300,0))*$I103/100,0))</f>
        <v>0.1875</v>
      </c>
      <c r="Q103" s="30">
        <f>IF(OR($F103="",$I103=""),0,IFERROR(INDEX(Nutrition!$K$2:$K$300,MATCH($F103,Nutrition!$A$2:$A$300,0))*$I103/100,0))</f>
        <v>2.2499999999999999E-2</v>
      </c>
      <c r="R103" s="30">
        <f>IF(OR($F103="",$I103=""),0,IFERROR(INDEX(Nutrition!$L$2:$L$300,MATCH($F103,Nutrition!$A$2:$A$300,0))*$I103/100,0))</f>
        <v>12.5</v>
      </c>
      <c r="S103" s="30">
        <f>IF(OR($F103="",$I103=""),0,IFERROR(INDEX(Nutrition!$M$2:$M$300,MATCH($F103,Nutrition!$A$2:$A$300,0))*$I103/100,0))</f>
        <v>1.55</v>
      </c>
    </row>
    <row r="104" spans="1:19" ht="15" customHeight="1" x14ac:dyDescent="0.25">
      <c r="A104" s="22" t="s">
        <v>1127</v>
      </c>
      <c r="B104" s="33" t="str">
        <f>IFERROR(INDEX(Recipes!$B$2:$B$500,MATCH(A104,Recipes!$A$2:$A$500,0)),"")</f>
        <v>Garden Egg Chopped Salad</v>
      </c>
      <c r="C104" s="7" t="s">
        <v>206</v>
      </c>
      <c r="D104" s="34">
        <v>1</v>
      </c>
      <c r="E104" s="22" t="s">
        <v>2754</v>
      </c>
      <c r="F104" s="22" t="s">
        <v>205</v>
      </c>
      <c r="G104" s="22" t="s">
        <v>2755</v>
      </c>
      <c r="H104" s="7" t="s">
        <v>2804</v>
      </c>
      <c r="I104" s="35">
        <v>58</v>
      </c>
      <c r="J104" s="30">
        <f>IF(OR($F104="",$I104=""),0,IFERROR(INDEX(Nutrition!$D$2:$D$300,MATCH($F104,Nutrition!$A$2:$A$300,0))*$I104/100,0))</f>
        <v>1.6239999999999997</v>
      </c>
      <c r="K104" s="30">
        <f>IF(OR($F104="",$I104=""),0,IFERROR(INDEX(Nutrition!$E$2:$E$300,MATCH($F104,Nutrition!$A$2:$A$300,0))*$I104/100,0))</f>
        <v>30.74</v>
      </c>
      <c r="L104" s="30">
        <f>IF(OR($F104="",$I104=""),0,IFERROR(INDEX(Nutrition!$F$2:$F$300,MATCH($F104,Nutrition!$A$2:$A$300,0))*$I104/100,0))</f>
        <v>0.57999999999999996</v>
      </c>
      <c r="M104" s="30">
        <f>IF(OR($F104="",$I104=""),0,IFERROR(INDEX(Nutrition!$G$2:$G$300,MATCH($F104,Nutrition!$A$2:$A$300,0))*$I104/100,0))</f>
        <v>0</v>
      </c>
      <c r="N104" s="30">
        <f>IF(OR($F104="",$I104=""),0,IFERROR(INDEX(Nutrition!$H$2:$H$300,MATCH($F104,Nutrition!$A$2:$A$300,0))*$I104/100,0))</f>
        <v>6.38</v>
      </c>
      <c r="O104" s="30">
        <f>IF(OR($F104="",$I104=""),0,IFERROR(INDEX(Nutrition!$I$2:$I$300,MATCH($F104,Nutrition!$A$2:$A$300,0))*$I104/100,0))</f>
        <v>80.040000000000006</v>
      </c>
      <c r="P104" s="30">
        <f>IF(OR($F104="",$I104=""),0,IFERROR(INDEX(Nutrition!$J$2:$J$300,MATCH($F104,Nutrition!$A$2:$A$300,0))*$I104/100,0))</f>
        <v>8.6999999999999994E-2</v>
      </c>
      <c r="Q104" s="30">
        <f>IF(OR($F104="",$I104=""),0,IFERROR(INDEX(Nutrition!$K$2:$K$300,MATCH($F104,Nutrition!$A$2:$A$300,0))*$I104/100,0))</f>
        <v>4.6399999999999997E-2</v>
      </c>
      <c r="R104" s="30">
        <f>IF(OR($F104="",$I104=""),0,IFERROR(INDEX(Nutrition!$L$2:$L$300,MATCH($F104,Nutrition!$A$2:$A$300,0))*$I104/100,0))</f>
        <v>4.6399999999999997</v>
      </c>
      <c r="S104" s="30">
        <f>IF(OR($F104="",$I104=""),0,IFERROR(INDEX(Nutrition!$M$2:$M$300,MATCH($F104,Nutrition!$A$2:$A$300,0))*$I104/100,0))</f>
        <v>0.34799999999999998</v>
      </c>
    </row>
    <row r="105" spans="1:19" ht="15" customHeight="1" x14ac:dyDescent="0.25">
      <c r="A105" s="22" t="s">
        <v>1127</v>
      </c>
      <c r="B105" s="33" t="str">
        <f>IFERROR(INDEX(Recipes!$B$2:$B$500,MATCH(A105,Recipes!$A$2:$A$500,0)),"")</f>
        <v>Garden Egg Chopped Salad</v>
      </c>
      <c r="C105" s="7" t="s">
        <v>2805</v>
      </c>
      <c r="D105" s="34">
        <v>2</v>
      </c>
      <c r="E105" s="22" t="s">
        <v>2753</v>
      </c>
      <c r="F105" s="22"/>
      <c r="G105" s="22" t="s">
        <v>2773</v>
      </c>
      <c r="H105" s="7"/>
      <c r="I105" s="35"/>
      <c r="J105" s="30">
        <f>IF(OR($F105="",$I105=""),0,IFERROR(INDEX(Nutrition!$D$2:$D$300,MATCH($F105,Nutrition!$A$2:$A$300,0))*$I105/100,0))</f>
        <v>0</v>
      </c>
      <c r="K105" s="30">
        <f>IF(OR($F105="",$I105=""),0,IFERROR(INDEX(Nutrition!$E$2:$E$300,MATCH($F105,Nutrition!$A$2:$A$300,0))*$I105/100,0))</f>
        <v>0</v>
      </c>
      <c r="L105" s="30">
        <f>IF(OR($F105="",$I105=""),0,IFERROR(INDEX(Nutrition!$F$2:$F$300,MATCH($F105,Nutrition!$A$2:$A$300,0))*$I105/100,0))</f>
        <v>0</v>
      </c>
      <c r="M105" s="30">
        <f>IF(OR($F105="",$I105=""),0,IFERROR(INDEX(Nutrition!$G$2:$G$300,MATCH($F105,Nutrition!$A$2:$A$300,0))*$I105/100,0))</f>
        <v>0</v>
      </c>
      <c r="N105" s="30">
        <f>IF(OR($F105="",$I105=""),0,IFERROR(INDEX(Nutrition!$H$2:$H$300,MATCH($F105,Nutrition!$A$2:$A$300,0))*$I105/100,0))</f>
        <v>0</v>
      </c>
      <c r="O105" s="30">
        <f>IF(OR($F105="",$I105=""),0,IFERROR(INDEX(Nutrition!$I$2:$I$300,MATCH($F105,Nutrition!$A$2:$A$300,0))*$I105/100,0))</f>
        <v>0</v>
      </c>
      <c r="P105" s="30">
        <f>IF(OR($F105="",$I105=""),0,IFERROR(INDEX(Nutrition!$J$2:$J$300,MATCH($F105,Nutrition!$A$2:$A$300,0))*$I105/100,0))</f>
        <v>0</v>
      </c>
      <c r="Q105" s="30">
        <f>IF(OR($F105="",$I105=""),0,IFERROR(INDEX(Nutrition!$K$2:$K$300,MATCH($F105,Nutrition!$A$2:$A$300,0))*$I105/100,0))</f>
        <v>0</v>
      </c>
      <c r="R105" s="30">
        <f>IF(OR($F105="",$I105=""),0,IFERROR(INDEX(Nutrition!$L$2:$L$300,MATCH($F105,Nutrition!$A$2:$A$300,0))*$I105/100,0))</f>
        <v>0</v>
      </c>
      <c r="S105" s="30">
        <f>IF(OR($F105="",$I105=""),0,IFERROR(INDEX(Nutrition!$M$2:$M$300,MATCH($F105,Nutrition!$A$2:$A$300,0))*$I105/100,0))</f>
        <v>0</v>
      </c>
    </row>
    <row r="106" spans="1:19" ht="15" customHeight="1" x14ac:dyDescent="0.25">
      <c r="A106" s="22" t="s">
        <v>1127</v>
      </c>
      <c r="B106" s="33" t="str">
        <f>IFERROR(INDEX(Recipes!$B$2:$B$500,MATCH(A106,Recipes!$A$2:$A$500,0)),"")</f>
        <v>Garden Egg Chopped Salad</v>
      </c>
      <c r="C106" s="7" t="s">
        <v>2781</v>
      </c>
      <c r="D106" s="34">
        <v>1</v>
      </c>
      <c r="E106" s="22" t="s">
        <v>2782</v>
      </c>
      <c r="F106" s="22"/>
      <c r="G106" s="22" t="s">
        <v>2773</v>
      </c>
      <c r="H106" s="7"/>
      <c r="I106" s="35"/>
      <c r="J106" s="30">
        <f>IF(OR($F106="",$I106=""),0,IFERROR(INDEX(Nutrition!$D$2:$D$300,MATCH($F106,Nutrition!$A$2:$A$300,0))*$I106/100,0))</f>
        <v>0</v>
      </c>
      <c r="K106" s="30">
        <f>IF(OR($F106="",$I106=""),0,IFERROR(INDEX(Nutrition!$E$2:$E$300,MATCH($F106,Nutrition!$A$2:$A$300,0))*$I106/100,0))</f>
        <v>0</v>
      </c>
      <c r="L106" s="30">
        <f>IF(OR($F106="",$I106=""),0,IFERROR(INDEX(Nutrition!$F$2:$F$300,MATCH($F106,Nutrition!$A$2:$A$300,0))*$I106/100,0))</f>
        <v>0</v>
      </c>
      <c r="M106" s="30">
        <f>IF(OR($F106="",$I106=""),0,IFERROR(INDEX(Nutrition!$G$2:$G$300,MATCH($F106,Nutrition!$A$2:$A$300,0))*$I106/100,0))</f>
        <v>0</v>
      </c>
      <c r="N106" s="30">
        <f>IF(OR($F106="",$I106=""),0,IFERROR(INDEX(Nutrition!$H$2:$H$300,MATCH($F106,Nutrition!$A$2:$A$300,0))*$I106/100,0))</f>
        <v>0</v>
      </c>
      <c r="O106" s="30">
        <f>IF(OR($F106="",$I106=""),0,IFERROR(INDEX(Nutrition!$I$2:$I$300,MATCH($F106,Nutrition!$A$2:$A$300,0))*$I106/100,0))</f>
        <v>0</v>
      </c>
      <c r="P106" s="30">
        <f>IF(OR($F106="",$I106=""),0,IFERROR(INDEX(Nutrition!$J$2:$J$300,MATCH($F106,Nutrition!$A$2:$A$300,0))*$I106/100,0))</f>
        <v>0</v>
      </c>
      <c r="Q106" s="30">
        <f>IF(OR($F106="",$I106=""),0,IFERROR(INDEX(Nutrition!$K$2:$K$300,MATCH($F106,Nutrition!$A$2:$A$300,0))*$I106/100,0))</f>
        <v>0</v>
      </c>
      <c r="R106" s="30">
        <f>IF(OR($F106="",$I106=""),0,IFERROR(INDEX(Nutrition!$L$2:$L$300,MATCH($F106,Nutrition!$A$2:$A$300,0))*$I106/100,0))</f>
        <v>0</v>
      </c>
      <c r="S106" s="30">
        <f>IF(OR($F106="",$I106=""),0,IFERROR(INDEX(Nutrition!$M$2:$M$300,MATCH($F106,Nutrition!$A$2:$A$300,0))*$I106/100,0))</f>
        <v>0</v>
      </c>
    </row>
    <row r="107" spans="1:19" ht="15" customHeight="1" x14ac:dyDescent="0.25">
      <c r="A107" s="22" t="s">
        <v>1143</v>
      </c>
      <c r="B107" s="33" t="str">
        <f>IFERROR(INDEX(Recipes!$B$2:$B$500,MATCH(A107,Recipes!$A$2:$A$500,0)),"")</f>
        <v>Grilled Pineapple &amp; Chicken Salad</v>
      </c>
      <c r="C107" s="7" t="s">
        <v>2806</v>
      </c>
      <c r="D107" s="34">
        <v>2</v>
      </c>
      <c r="E107" s="22" t="s">
        <v>2754</v>
      </c>
      <c r="F107" s="22"/>
      <c r="G107" s="22" t="s">
        <v>2768</v>
      </c>
      <c r="H107" s="7"/>
      <c r="I107" s="35"/>
      <c r="J107" s="30">
        <f>IF(OR($F107="",$I107=""),0,IFERROR(INDEX(Nutrition!$D$2:$D$300,MATCH($F107,Nutrition!$A$2:$A$300,0))*$I107/100,0))</f>
        <v>0</v>
      </c>
      <c r="K107" s="30">
        <f>IF(OR($F107="",$I107=""),0,IFERROR(INDEX(Nutrition!$E$2:$E$300,MATCH($F107,Nutrition!$A$2:$A$300,0))*$I107/100,0))</f>
        <v>0</v>
      </c>
      <c r="L107" s="30">
        <f>IF(OR($F107="",$I107=""),0,IFERROR(INDEX(Nutrition!$F$2:$F$300,MATCH($F107,Nutrition!$A$2:$A$300,0))*$I107/100,0))</f>
        <v>0</v>
      </c>
      <c r="M107" s="30">
        <f>IF(OR($F107="",$I107=""),0,IFERROR(INDEX(Nutrition!$G$2:$G$300,MATCH($F107,Nutrition!$A$2:$A$300,0))*$I107/100,0))</f>
        <v>0</v>
      </c>
      <c r="N107" s="30">
        <f>IF(OR($F107="",$I107=""),0,IFERROR(INDEX(Nutrition!$H$2:$H$300,MATCH($F107,Nutrition!$A$2:$A$300,0))*$I107/100,0))</f>
        <v>0</v>
      </c>
      <c r="O107" s="30">
        <f>IF(OR($F107="",$I107=""),0,IFERROR(INDEX(Nutrition!$I$2:$I$300,MATCH($F107,Nutrition!$A$2:$A$300,0))*$I107/100,0))</f>
        <v>0</v>
      </c>
      <c r="P107" s="30">
        <f>IF(OR($F107="",$I107=""),0,IFERROR(INDEX(Nutrition!$J$2:$J$300,MATCH($F107,Nutrition!$A$2:$A$300,0))*$I107/100,0))</f>
        <v>0</v>
      </c>
      <c r="Q107" s="30">
        <f>IF(OR($F107="",$I107=""),0,IFERROR(INDEX(Nutrition!$K$2:$K$300,MATCH($F107,Nutrition!$A$2:$A$300,0))*$I107/100,0))</f>
        <v>0</v>
      </c>
      <c r="R107" s="30">
        <f>IF(OR($F107="",$I107=""),0,IFERROR(INDEX(Nutrition!$L$2:$L$300,MATCH($F107,Nutrition!$A$2:$A$300,0))*$I107/100,0))</f>
        <v>0</v>
      </c>
      <c r="S107" s="30">
        <f>IF(OR($F107="",$I107=""),0,IFERROR(INDEX(Nutrition!$M$2:$M$300,MATCH($F107,Nutrition!$A$2:$A$300,0))*$I107/100,0))</f>
        <v>0</v>
      </c>
    </row>
    <row r="108" spans="1:19" ht="15" customHeight="1" x14ac:dyDescent="0.25">
      <c r="A108" s="22" t="s">
        <v>1143</v>
      </c>
      <c r="B108" s="33" t="str">
        <f>IFERROR(INDEX(Recipes!$B$2:$B$500,MATCH(A108,Recipes!$A$2:$A$500,0)),"")</f>
        <v>Grilled Pineapple &amp; Chicken Salad</v>
      </c>
      <c r="C108" s="7" t="s">
        <v>139</v>
      </c>
      <c r="D108" s="34">
        <v>0.25</v>
      </c>
      <c r="E108" s="22" t="s">
        <v>2754</v>
      </c>
      <c r="F108" s="22" t="s">
        <v>138</v>
      </c>
      <c r="G108" s="22" t="s">
        <v>2755</v>
      </c>
      <c r="H108" s="7" t="s">
        <v>2807</v>
      </c>
      <c r="I108" s="35">
        <v>226</v>
      </c>
      <c r="J108" s="30">
        <f>IF(OR($F108="",$I108=""),0,IFERROR(INDEX(Nutrition!$D$2:$D$300,MATCH($F108,Nutrition!$A$2:$A$300,0))*$I108/100,0))</f>
        <v>3.1639999999999997</v>
      </c>
      <c r="K108" s="30">
        <f>IF(OR($F108="",$I108=""),0,IFERROR(INDEX(Nutrition!$E$2:$E$300,MATCH($F108,Nutrition!$A$2:$A$300,0))*$I108/100,0))</f>
        <v>108.02799999999999</v>
      </c>
      <c r="L108" s="30">
        <f>IF(OR($F108="",$I108=""),0,IFERROR(INDEX(Nutrition!$F$2:$F$300,MATCH($F108,Nutrition!$A$2:$A$300,0))*$I108/100,0))</f>
        <v>6.78</v>
      </c>
      <c r="M108" s="30">
        <f>IF(OR($F108="",$I108=""),0,IFERROR(INDEX(Nutrition!$G$2:$G$300,MATCH($F108,Nutrition!$A$2:$A$300,0))*$I108/100,0))</f>
        <v>1.5819999999999999</v>
      </c>
      <c r="N108" s="30">
        <f>IF(OR($F108="",$I108=""),0,IFERROR(INDEX(Nutrition!$H$2:$H$300,MATCH($F108,Nutrition!$A$2:$A$300,0))*$I108/100,0))</f>
        <v>40.68</v>
      </c>
      <c r="O108" s="30">
        <f>IF(OR($F108="",$I108=""),0,IFERROR(INDEX(Nutrition!$I$2:$I$300,MATCH($F108,Nutrition!$A$2:$A$300,0))*$I108/100,0))</f>
        <v>246.34</v>
      </c>
      <c r="P108" s="30">
        <f>IF(OR($F108="",$I108=""),0,IFERROR(INDEX(Nutrition!$J$2:$J$300,MATCH($F108,Nutrition!$A$2:$A$300,0))*$I108/100,0))</f>
        <v>4.5200000000000004E-2</v>
      </c>
      <c r="Q108" s="30">
        <f>IF(OR($F108="",$I108=""),0,IFERROR(INDEX(Nutrition!$K$2:$K$300,MATCH($F108,Nutrition!$A$2:$A$300,0))*$I108/100,0))</f>
        <v>0.25312000000000001</v>
      </c>
      <c r="R108" s="30">
        <f>IF(OR($F108="",$I108=""),0,IFERROR(INDEX(Nutrition!$L$2:$L$300,MATCH($F108,Nutrition!$A$2:$A$300,0))*$I108/100,0))</f>
        <v>27.12</v>
      </c>
      <c r="S108" s="30">
        <f>IF(OR($F108="",$I108=""),0,IFERROR(INDEX(Nutrition!$M$2:$M$300,MATCH($F108,Nutrition!$A$2:$A$300,0))*$I108/100,0))</f>
        <v>0.65539999999999987</v>
      </c>
    </row>
    <row r="109" spans="1:19" ht="15" customHeight="1" x14ac:dyDescent="0.25">
      <c r="A109" s="22" t="s">
        <v>1143</v>
      </c>
      <c r="B109" s="33" t="str">
        <f>IFERROR(INDEX(Recipes!$B$2:$B$500,MATCH(A109,Recipes!$A$2:$A$500,0)),"")</f>
        <v>Grilled Pineapple &amp; Chicken Salad</v>
      </c>
      <c r="C109" s="7" t="s">
        <v>546</v>
      </c>
      <c r="D109" s="34">
        <v>1</v>
      </c>
      <c r="E109" s="22" t="s">
        <v>2808</v>
      </c>
      <c r="F109" s="22" t="s">
        <v>545</v>
      </c>
      <c r="G109" s="22" t="s">
        <v>2755</v>
      </c>
      <c r="H109" s="7"/>
      <c r="I109" s="35">
        <v>626</v>
      </c>
      <c r="J109" s="30">
        <f>IF(OR($F109="",$I109=""),0,IFERROR(INDEX(Nutrition!$D$2:$D$300,MATCH($F109,Nutrition!$A$2:$A$300,0))*$I109/100,0))</f>
        <v>13.146000000000001</v>
      </c>
      <c r="K109" s="30">
        <f>IF(OR($F109="",$I109=""),0,IFERROR(INDEX(Nutrition!$E$2:$E$300,MATCH($F109,Nutrition!$A$2:$A$300,0))*$I109/100,0))</f>
        <v>25.04</v>
      </c>
      <c r="L109" s="30">
        <f>IF(OR($F109="",$I109=""),0,IFERROR(INDEX(Nutrition!$F$2:$F$300,MATCH($F109,Nutrition!$A$2:$A$300,0))*$I109/100,0))</f>
        <v>2729.36</v>
      </c>
      <c r="M109" s="30">
        <f>IF(OR($F109="",$I109=""),0,IFERROR(INDEX(Nutrition!$G$2:$G$300,MATCH($F109,Nutrition!$A$2:$A$300,0))*$I109/100,0))</f>
        <v>641.65</v>
      </c>
      <c r="N109" s="30">
        <f>IF(OR($F109="",$I109=""),0,IFERROR(INDEX(Nutrition!$H$2:$H$300,MATCH($F109,Nutrition!$A$2:$A$300,0))*$I109/100,0))</f>
        <v>851.36</v>
      </c>
      <c r="O109" s="30">
        <f>IF(OR($F109="",$I109=""),0,IFERROR(INDEX(Nutrition!$I$2:$I$300,MATCH($F109,Nutrition!$A$2:$A$300,0))*$I109/100,0))</f>
        <v>1546.22</v>
      </c>
      <c r="P109" s="30">
        <f>IF(OR($F109="",$I109=""),0,IFERROR(INDEX(Nutrition!$J$2:$J$300,MATCH($F109,Nutrition!$A$2:$A$300,0))*$I109/100,0))</f>
        <v>0.81380000000000008</v>
      </c>
      <c r="Q109" s="30">
        <f>IF(OR($F109="",$I109=""),0,IFERROR(INDEX(Nutrition!$K$2:$K$300,MATCH($F109,Nutrition!$A$2:$A$300,0))*$I109/100,0))</f>
        <v>0.46323999999999999</v>
      </c>
      <c r="R109" s="30">
        <f>IF(OR($F109="",$I109=""),0,IFERROR(INDEX(Nutrition!$L$2:$L$300,MATCH($F109,Nutrition!$A$2:$A$300,0))*$I109/100,0))</f>
        <v>87.64</v>
      </c>
      <c r="S109" s="30">
        <f>IF(OR($F109="",$I109=""),0,IFERROR(INDEX(Nutrition!$M$2:$M$300,MATCH($F109,Nutrition!$A$2:$A$300,0))*$I109/100,0))</f>
        <v>6.0722000000000005</v>
      </c>
    </row>
    <row r="110" spans="1:19" ht="15" customHeight="1" x14ac:dyDescent="0.25">
      <c r="A110" s="22" t="s">
        <v>1143</v>
      </c>
      <c r="B110" s="33" t="str">
        <f>IFERROR(INDEX(Recipes!$B$2:$B$500,MATCH(A110,Recipes!$A$2:$A$500,0)),"")</f>
        <v>Grilled Pineapple &amp; Chicken Salad</v>
      </c>
      <c r="C110" s="7" t="s">
        <v>523</v>
      </c>
      <c r="D110" s="34">
        <v>1</v>
      </c>
      <c r="E110" s="22" t="s">
        <v>2754</v>
      </c>
      <c r="F110" s="22" t="s">
        <v>522</v>
      </c>
      <c r="G110" s="22" t="s">
        <v>2755</v>
      </c>
      <c r="H110" s="7"/>
      <c r="I110" s="35">
        <v>301</v>
      </c>
      <c r="J110" s="30">
        <f>IF(OR($F110="",$I110=""),0,IFERROR(INDEX(Nutrition!$D$2:$D$300,MATCH($F110,Nutrition!$A$2:$A$300,0))*$I110/100,0))</f>
        <v>1.5049999999999999</v>
      </c>
      <c r="K110" s="30">
        <f>IF(OR($F110="",$I110=""),0,IFERROR(INDEX(Nutrition!$E$2:$E$300,MATCH($F110,Nutrition!$A$2:$A$300,0))*$I110/100,0))</f>
        <v>8.427999999999999</v>
      </c>
      <c r="L110" s="30">
        <f>IF(OR($F110="",$I110=""),0,IFERROR(INDEX(Nutrition!$F$2:$F$300,MATCH($F110,Nutrition!$A$2:$A$300,0))*$I110/100,0))</f>
        <v>15.05</v>
      </c>
      <c r="M110" s="30">
        <f>IF(OR($F110="",$I110=""),0,IFERROR(INDEX(Nutrition!$G$2:$G$300,MATCH($F110,Nutrition!$A$2:$A$300,0))*$I110/100,0))</f>
        <v>49.363999999999997</v>
      </c>
      <c r="N110" s="30">
        <f>IF(OR($F110="",$I110=""),0,IFERROR(INDEX(Nutrition!$H$2:$H$300,MATCH($F110,Nutrition!$A$2:$A$300,0))*$I110/100,0))</f>
        <v>21.07</v>
      </c>
      <c r="O110" s="30">
        <f>IF(OR($F110="",$I110=""),0,IFERROR(INDEX(Nutrition!$I$2:$I$300,MATCH($F110,Nutrition!$A$2:$A$300,0))*$I110/100,0))</f>
        <v>442.47</v>
      </c>
      <c r="P110" s="30">
        <f>IF(OR($F110="",$I110=""),0,IFERROR(INDEX(Nutrition!$J$2:$J$300,MATCH($F110,Nutrition!$A$2:$A$300,0))*$I110/100,0))</f>
        <v>9.0299999999999991E-2</v>
      </c>
      <c r="Q110" s="30">
        <f>IF(OR($F110="",$I110=""),0,IFERROR(INDEX(Nutrition!$K$2:$K$300,MATCH($F110,Nutrition!$A$2:$A$300,0))*$I110/100,0))</f>
        <v>0.12040000000000001</v>
      </c>
      <c r="R110" s="30">
        <f>IF(OR($F110="",$I110=""),0,IFERROR(INDEX(Nutrition!$L$2:$L$300,MATCH($F110,Nutrition!$A$2:$A$300,0))*$I110/100,0))</f>
        <v>39.130000000000003</v>
      </c>
      <c r="S110" s="30">
        <f>IF(OR($F110="",$I110=""),0,IFERROR(INDEX(Nutrition!$M$2:$M$300,MATCH($F110,Nutrition!$A$2:$A$300,0))*$I110/100,0))</f>
        <v>0.84279999999999999</v>
      </c>
    </row>
    <row r="111" spans="1:19" ht="15" customHeight="1" x14ac:dyDescent="0.25">
      <c r="A111" s="22" t="s">
        <v>1143</v>
      </c>
      <c r="B111" s="33" t="str">
        <f>IFERROR(INDEX(Recipes!$B$2:$B$500,MATCH(A111,Recipes!$A$2:$A$500,0)),"")</f>
        <v>Grilled Pineapple &amp; Chicken Salad</v>
      </c>
      <c r="C111" s="7" t="s">
        <v>462</v>
      </c>
      <c r="D111" s="34">
        <v>1</v>
      </c>
      <c r="E111" s="22" t="s">
        <v>2754</v>
      </c>
      <c r="F111" s="22" t="s">
        <v>461</v>
      </c>
      <c r="G111" s="22" t="s">
        <v>2755</v>
      </c>
      <c r="H111" s="7"/>
      <c r="I111" s="35">
        <v>119</v>
      </c>
      <c r="J111" s="30">
        <f>IF(OR($F111="",$I111=""),0,IFERROR(INDEX(Nutrition!$D$2:$D$300,MATCH($F111,Nutrition!$A$2:$A$300,0))*$I111/100,0))</f>
        <v>2.4990000000000001</v>
      </c>
      <c r="K111" s="30">
        <f>IF(OR($F111="",$I111=""),0,IFERROR(INDEX(Nutrition!$E$2:$E$300,MATCH($F111,Nutrition!$A$2:$A$300,0))*$I111/100,0))</f>
        <v>151.96300000000002</v>
      </c>
      <c r="L111" s="30">
        <f>IF(OR($F111="",$I111=""),0,IFERROR(INDEX(Nutrition!$F$2:$F$300,MATCH($F111,Nutrition!$A$2:$A$300,0))*$I111/100,0))</f>
        <v>186.83</v>
      </c>
      <c r="M111" s="30">
        <f>IF(OR($F111="",$I111=""),0,IFERROR(INDEX(Nutrition!$G$2:$G$300,MATCH($F111,Nutrition!$A$2:$A$300,0))*$I111/100,0))</f>
        <v>5.8310000000000004</v>
      </c>
      <c r="N111" s="30">
        <f>IF(OR($F111="",$I111=""),0,IFERROR(INDEX(Nutrition!$H$2:$H$300,MATCH($F111,Nutrition!$A$2:$A$300,0))*$I111/100,0))</f>
        <v>54.74</v>
      </c>
      <c r="O111" s="30">
        <f>IF(OR($F111="",$I111=""),0,IFERROR(INDEX(Nutrition!$I$2:$I$300,MATCH($F111,Nutrition!$A$2:$A$300,0))*$I111/100,0))</f>
        <v>251.09</v>
      </c>
      <c r="P111" s="30">
        <f>IF(OR($F111="",$I111=""),0,IFERROR(INDEX(Nutrition!$J$2:$J$300,MATCH($F111,Nutrition!$A$2:$A$300,0))*$I111/100,0))</f>
        <v>1.8802000000000001</v>
      </c>
      <c r="Q111" s="30">
        <f>IF(OR($F111="",$I111=""),0,IFERROR(INDEX(Nutrition!$K$2:$K$300,MATCH($F111,Nutrition!$A$2:$A$300,0))*$I111/100,0))</f>
        <v>0.34628999999999999</v>
      </c>
      <c r="R111" s="30">
        <f>IF(OR($F111="",$I111=""),0,IFERROR(INDEX(Nutrition!$L$2:$L$300,MATCH($F111,Nutrition!$A$2:$A$300,0))*$I111/100,0))</f>
        <v>14.28</v>
      </c>
      <c r="S111" s="30">
        <f>IF(OR($F111="",$I111=""),0,IFERROR(INDEX(Nutrition!$M$2:$M$300,MATCH($F111,Nutrition!$A$2:$A$300,0))*$I111/100,0))</f>
        <v>0.51170000000000004</v>
      </c>
    </row>
    <row r="112" spans="1:19" ht="15" customHeight="1" x14ac:dyDescent="0.25">
      <c r="A112" s="22" t="s">
        <v>1143</v>
      </c>
      <c r="B112" s="33" t="str">
        <f>IFERROR(INDEX(Recipes!$B$2:$B$500,MATCH(A112,Recipes!$A$2:$A$500,0)),"")</f>
        <v>Grilled Pineapple &amp; Chicken Salad</v>
      </c>
      <c r="C112" s="7" t="s">
        <v>490</v>
      </c>
      <c r="D112" s="34">
        <v>1</v>
      </c>
      <c r="E112" s="22" t="s">
        <v>2788</v>
      </c>
      <c r="F112" s="22" t="s">
        <v>489</v>
      </c>
      <c r="G112" s="22" t="s">
        <v>2755</v>
      </c>
      <c r="H112" s="7"/>
      <c r="I112" s="35">
        <v>15</v>
      </c>
      <c r="J112" s="30">
        <f>IF(OR($F112="",$I112=""),0,IFERROR(INDEX(Nutrition!$D$2:$D$300,MATCH($F112,Nutrition!$A$2:$A$300,0))*$I112/100,0))</f>
        <v>0.39</v>
      </c>
      <c r="K112" s="30">
        <f>IF(OR($F112="",$I112=""),0,IFERROR(INDEX(Nutrition!$E$2:$E$300,MATCH($F112,Nutrition!$A$2:$A$300,0))*$I112/100,0))</f>
        <v>2.82</v>
      </c>
      <c r="L112" s="30">
        <f>IF(OR($F112="",$I112=""),0,IFERROR(INDEX(Nutrition!$F$2:$F$300,MATCH($F112,Nutrition!$A$2:$A$300,0))*$I112/100,0))</f>
        <v>7.5</v>
      </c>
      <c r="M112" s="30">
        <f>IF(OR($F112="",$I112=""),0,IFERROR(INDEX(Nutrition!$G$2:$G$300,MATCH($F112,Nutrition!$A$2:$A$300,0))*$I112/100,0))</f>
        <v>31.05</v>
      </c>
      <c r="N112" s="30">
        <f>IF(OR($F112="",$I112=""),0,IFERROR(INDEX(Nutrition!$H$2:$H$300,MATCH($F112,Nutrition!$A$2:$A$300,0))*$I112/100,0))</f>
        <v>9.6</v>
      </c>
      <c r="O112" s="30">
        <f>IF(OR($F112="",$I112=""),0,IFERROR(INDEX(Nutrition!$I$2:$I$300,MATCH($F112,Nutrition!$A$2:$A$300,0))*$I112/100,0))</f>
        <v>41.4</v>
      </c>
      <c r="P112" s="30">
        <f>IF(OR($F112="",$I112=""),0,IFERROR(INDEX(Nutrition!$J$2:$J$300,MATCH($F112,Nutrition!$A$2:$A$300,0))*$I112/100,0))</f>
        <v>8.2500000000000004E-2</v>
      </c>
      <c r="Q112" s="30">
        <f>IF(OR($F112="",$I112=""),0,IFERROR(INDEX(Nutrition!$K$2:$K$300,MATCH($F112,Nutrition!$A$2:$A$300,0))*$I112/100,0))</f>
        <v>9.1500000000000001E-3</v>
      </c>
      <c r="R112" s="30">
        <f>IF(OR($F112="",$I112=""),0,IFERROR(INDEX(Nutrition!$L$2:$L$300,MATCH($F112,Nutrition!$A$2:$A$300,0))*$I112/100,0))</f>
        <v>3</v>
      </c>
      <c r="S112" s="30">
        <f>IF(OR($F112="",$I112=""),0,IFERROR(INDEX(Nutrition!$M$2:$M$300,MATCH($F112,Nutrition!$A$2:$A$300,0))*$I112/100,0))</f>
        <v>0.222</v>
      </c>
    </row>
    <row r="113" spans="1:19" ht="15" customHeight="1" x14ac:dyDescent="0.25">
      <c r="A113" s="22" t="s">
        <v>1143</v>
      </c>
      <c r="B113" s="33" t="str">
        <f>IFERROR(INDEX(Recipes!$B$2:$B$500,MATCH(A113,Recipes!$A$2:$A$500,0)),"")</f>
        <v>Grilled Pineapple &amp; Chicken Salad</v>
      </c>
      <c r="C113" s="7" t="s">
        <v>213</v>
      </c>
      <c r="D113" s="34">
        <v>1</v>
      </c>
      <c r="E113" s="22" t="s">
        <v>2754</v>
      </c>
      <c r="F113" s="22" t="s">
        <v>212</v>
      </c>
      <c r="G113" s="22" t="s">
        <v>2755</v>
      </c>
      <c r="H113" s="7"/>
      <c r="I113" s="35">
        <v>67</v>
      </c>
      <c r="J113" s="30">
        <f>IF(OR($F113="",$I113=""),0,IFERROR(INDEX(Nutrition!$D$2:$D$300,MATCH($F113,Nutrition!$A$2:$A$300,0))*$I113/100,0))</f>
        <v>1.8759999999999999</v>
      </c>
      <c r="K113" s="30">
        <f>IF(OR($F113="",$I113=""),0,IFERROR(INDEX(Nutrition!$E$2:$E$300,MATCH($F113,Nutrition!$A$2:$A$300,0))*$I113/100,0))</f>
        <v>19.497</v>
      </c>
      <c r="L113" s="30">
        <f>IF(OR($F113="",$I113=""),0,IFERROR(INDEX(Nutrition!$F$2:$F$300,MATCH($F113,Nutrition!$A$2:$A$300,0))*$I113/100,0))</f>
        <v>1.34</v>
      </c>
      <c r="M113" s="30">
        <f>IF(OR($F113="",$I113=""),0,IFERROR(INDEX(Nutrition!$G$2:$G$300,MATCH($F113,Nutrition!$A$2:$A$300,0))*$I113/100,0))</f>
        <v>0.40199999999999997</v>
      </c>
      <c r="N113" s="30">
        <f>IF(OR($F113="",$I113=""),0,IFERROR(INDEX(Nutrition!$H$2:$H$300,MATCH($F113,Nutrition!$A$2:$A$300,0))*$I113/100,0))</f>
        <v>5.36</v>
      </c>
      <c r="O113" s="30">
        <f>IF(OR($F113="",$I113=""),0,IFERROR(INDEX(Nutrition!$I$2:$I$300,MATCH($F113,Nutrition!$A$2:$A$300,0))*$I113/100,0))</f>
        <v>68.34</v>
      </c>
      <c r="P113" s="30">
        <f>IF(OR($F113="",$I113=""),0,IFERROR(INDEX(Nutrition!$J$2:$J$300,MATCH($F113,Nutrition!$A$2:$A$300,0))*$I113/100,0))</f>
        <v>0.1474</v>
      </c>
      <c r="Q113" s="30">
        <f>IF(OR($F113="",$I113=""),0,IFERROR(INDEX(Nutrition!$K$2:$K$300,MATCH($F113,Nutrition!$A$2:$A$300,0))*$I113/100,0))</f>
        <v>2.8809999999999999E-2</v>
      </c>
      <c r="R113" s="30">
        <f>IF(OR($F113="",$I113=""),0,IFERROR(INDEX(Nutrition!$L$2:$L$300,MATCH($F113,Nutrition!$A$2:$A$300,0))*$I113/100,0))</f>
        <v>4.0199999999999996</v>
      </c>
      <c r="S113" s="30">
        <f>IF(OR($F113="",$I113=""),0,IFERROR(INDEX(Nutrition!$M$2:$M$300,MATCH($F113,Nutrition!$A$2:$A$300,0))*$I113/100,0))</f>
        <v>0.40199999999999997</v>
      </c>
    </row>
    <row r="114" spans="1:19" ht="15" customHeight="1" x14ac:dyDescent="0.25">
      <c r="A114" s="22" t="s">
        <v>1143</v>
      </c>
      <c r="B114" s="33" t="str">
        <f>IFERROR(INDEX(Recipes!$B$2:$B$500,MATCH(A114,Recipes!$A$2:$A$500,0)),"")</f>
        <v>Grilled Pineapple &amp; Chicken Salad</v>
      </c>
      <c r="C114" s="7" t="s">
        <v>2798</v>
      </c>
      <c r="D114" s="34">
        <v>1</v>
      </c>
      <c r="E114" s="22" t="s">
        <v>2759</v>
      </c>
      <c r="F114" s="22"/>
      <c r="G114" s="22" t="s">
        <v>2749</v>
      </c>
      <c r="H114" s="7"/>
      <c r="I114" s="35"/>
      <c r="J114" s="30">
        <f>IF(OR($F114="",$I114=""),0,IFERROR(INDEX(Nutrition!$D$2:$D$300,MATCH($F114,Nutrition!$A$2:$A$300,0))*$I114/100,0))</f>
        <v>0</v>
      </c>
      <c r="K114" s="30">
        <f>IF(OR($F114="",$I114=""),0,IFERROR(INDEX(Nutrition!$E$2:$E$300,MATCH($F114,Nutrition!$A$2:$A$300,0))*$I114/100,0))</f>
        <v>0</v>
      </c>
      <c r="L114" s="30">
        <f>IF(OR($F114="",$I114=""),0,IFERROR(INDEX(Nutrition!$F$2:$F$300,MATCH($F114,Nutrition!$A$2:$A$300,0))*$I114/100,0))</f>
        <v>0</v>
      </c>
      <c r="M114" s="30">
        <f>IF(OR($F114="",$I114=""),0,IFERROR(INDEX(Nutrition!$G$2:$G$300,MATCH($F114,Nutrition!$A$2:$A$300,0))*$I114/100,0))</f>
        <v>0</v>
      </c>
      <c r="N114" s="30">
        <f>IF(OR($F114="",$I114=""),0,IFERROR(INDEX(Nutrition!$H$2:$H$300,MATCH($F114,Nutrition!$A$2:$A$300,0))*$I114/100,0))</f>
        <v>0</v>
      </c>
      <c r="O114" s="30">
        <f>IF(OR($F114="",$I114=""),0,IFERROR(INDEX(Nutrition!$I$2:$I$300,MATCH($F114,Nutrition!$A$2:$A$300,0))*$I114/100,0))</f>
        <v>0</v>
      </c>
      <c r="P114" s="30">
        <f>IF(OR($F114="",$I114=""),0,IFERROR(INDEX(Nutrition!$J$2:$J$300,MATCH($F114,Nutrition!$A$2:$A$300,0))*$I114/100,0))</f>
        <v>0</v>
      </c>
      <c r="Q114" s="30">
        <f>IF(OR($F114="",$I114=""),0,IFERROR(INDEX(Nutrition!$K$2:$K$300,MATCH($F114,Nutrition!$A$2:$A$300,0))*$I114/100,0))</f>
        <v>0</v>
      </c>
      <c r="R114" s="30">
        <f>IF(OR($F114="",$I114=""),0,IFERROR(INDEX(Nutrition!$L$2:$L$300,MATCH($F114,Nutrition!$A$2:$A$300,0))*$I114/100,0))</f>
        <v>0</v>
      </c>
      <c r="S114" s="30">
        <f>IF(OR($F114="",$I114=""),0,IFERROR(INDEX(Nutrition!$M$2:$M$300,MATCH($F114,Nutrition!$A$2:$A$300,0))*$I114/100,0))</f>
        <v>0</v>
      </c>
    </row>
    <row r="115" spans="1:19" ht="15" customHeight="1" x14ac:dyDescent="0.25">
      <c r="A115" s="22" t="s">
        <v>1143</v>
      </c>
      <c r="B115" s="33" t="str">
        <f>IFERROR(INDEX(Recipes!$B$2:$B$500,MATCH(A115,Recipes!$A$2:$A$500,0)),"")</f>
        <v>Grilled Pineapple &amp; Chicken Salad</v>
      </c>
      <c r="C115" s="7" t="s">
        <v>2758</v>
      </c>
      <c r="D115" s="34">
        <v>1</v>
      </c>
      <c r="E115" s="22" t="s">
        <v>2759</v>
      </c>
      <c r="F115" s="22"/>
      <c r="G115" s="22" t="s">
        <v>2749</v>
      </c>
      <c r="H115" s="7"/>
      <c r="I115" s="35"/>
      <c r="J115" s="30">
        <f>IF(OR($F115="",$I115=""),0,IFERROR(INDEX(Nutrition!$D$2:$D$300,MATCH($F115,Nutrition!$A$2:$A$300,0))*$I115/100,0))</f>
        <v>0</v>
      </c>
      <c r="K115" s="30">
        <f>IF(OR($F115="",$I115=""),0,IFERROR(INDEX(Nutrition!$E$2:$E$300,MATCH($F115,Nutrition!$A$2:$A$300,0))*$I115/100,0))</f>
        <v>0</v>
      </c>
      <c r="L115" s="30">
        <f>IF(OR($F115="",$I115=""),0,IFERROR(INDEX(Nutrition!$F$2:$F$300,MATCH($F115,Nutrition!$A$2:$A$300,0))*$I115/100,0))</f>
        <v>0</v>
      </c>
      <c r="M115" s="30">
        <f>IF(OR($F115="",$I115=""),0,IFERROR(INDEX(Nutrition!$G$2:$G$300,MATCH($F115,Nutrition!$A$2:$A$300,0))*$I115/100,0))</f>
        <v>0</v>
      </c>
      <c r="N115" s="30">
        <f>IF(OR($F115="",$I115=""),0,IFERROR(INDEX(Nutrition!$H$2:$H$300,MATCH($F115,Nutrition!$A$2:$A$300,0))*$I115/100,0))</f>
        <v>0</v>
      </c>
      <c r="O115" s="30">
        <f>IF(OR($F115="",$I115=""),0,IFERROR(INDEX(Nutrition!$I$2:$I$300,MATCH($F115,Nutrition!$A$2:$A$300,0))*$I115/100,0))</f>
        <v>0</v>
      </c>
      <c r="P115" s="30">
        <f>IF(OR($F115="",$I115=""),0,IFERROR(INDEX(Nutrition!$J$2:$J$300,MATCH($F115,Nutrition!$A$2:$A$300,0))*$I115/100,0))</f>
        <v>0</v>
      </c>
      <c r="Q115" s="30">
        <f>IF(OR($F115="",$I115=""),0,IFERROR(INDEX(Nutrition!$K$2:$K$300,MATCH($F115,Nutrition!$A$2:$A$300,0))*$I115/100,0))</f>
        <v>0</v>
      </c>
      <c r="R115" s="30">
        <f>IF(OR($F115="",$I115=""),0,IFERROR(INDEX(Nutrition!$L$2:$L$300,MATCH($F115,Nutrition!$A$2:$A$300,0))*$I115/100,0))</f>
        <v>0</v>
      </c>
      <c r="S115" s="30">
        <f>IF(OR($F115="",$I115=""),0,IFERROR(INDEX(Nutrition!$M$2:$M$300,MATCH($F115,Nutrition!$A$2:$A$300,0))*$I115/100,0))</f>
        <v>0</v>
      </c>
    </row>
    <row r="116" spans="1:19" ht="15" customHeight="1" x14ac:dyDescent="0.25">
      <c r="A116" s="22" t="s">
        <v>1143</v>
      </c>
      <c r="B116" s="33" t="str">
        <f>IFERROR(INDEX(Recipes!$B$2:$B$500,MATCH(A116,Recipes!$A$2:$A$500,0)),"")</f>
        <v>Grilled Pineapple &amp; Chicken Salad</v>
      </c>
      <c r="C116" s="7" t="s">
        <v>2805</v>
      </c>
      <c r="D116" s="34">
        <v>2</v>
      </c>
      <c r="E116" s="22" t="s">
        <v>2753</v>
      </c>
      <c r="F116" s="22"/>
      <c r="G116" s="22" t="s">
        <v>2773</v>
      </c>
      <c r="H116" s="7"/>
      <c r="I116" s="35"/>
      <c r="J116" s="30">
        <f>IF(OR($F116="",$I116=""),0,IFERROR(INDEX(Nutrition!$D$2:$D$300,MATCH($F116,Nutrition!$A$2:$A$300,0))*$I116/100,0))</f>
        <v>0</v>
      </c>
      <c r="K116" s="30">
        <f>IF(OR($F116="",$I116=""),0,IFERROR(INDEX(Nutrition!$E$2:$E$300,MATCH($F116,Nutrition!$A$2:$A$300,0))*$I116/100,0))</f>
        <v>0</v>
      </c>
      <c r="L116" s="30">
        <f>IF(OR($F116="",$I116=""),0,IFERROR(INDEX(Nutrition!$F$2:$F$300,MATCH($F116,Nutrition!$A$2:$A$300,0))*$I116/100,0))</f>
        <v>0</v>
      </c>
      <c r="M116" s="30">
        <f>IF(OR($F116="",$I116=""),0,IFERROR(INDEX(Nutrition!$G$2:$G$300,MATCH($F116,Nutrition!$A$2:$A$300,0))*$I116/100,0))</f>
        <v>0</v>
      </c>
      <c r="N116" s="30">
        <f>IF(OR($F116="",$I116=""),0,IFERROR(INDEX(Nutrition!$H$2:$H$300,MATCH($F116,Nutrition!$A$2:$A$300,0))*$I116/100,0))</f>
        <v>0</v>
      </c>
      <c r="O116" s="30">
        <f>IF(OR($F116="",$I116=""),0,IFERROR(INDEX(Nutrition!$I$2:$I$300,MATCH($F116,Nutrition!$A$2:$A$300,0))*$I116/100,0))</f>
        <v>0</v>
      </c>
      <c r="P116" s="30">
        <f>IF(OR($F116="",$I116=""),0,IFERROR(INDEX(Nutrition!$J$2:$J$300,MATCH($F116,Nutrition!$A$2:$A$300,0))*$I116/100,0))</f>
        <v>0</v>
      </c>
      <c r="Q116" s="30">
        <f>IF(OR($F116="",$I116=""),0,IFERROR(INDEX(Nutrition!$K$2:$K$300,MATCH($F116,Nutrition!$A$2:$A$300,0))*$I116/100,0))</f>
        <v>0</v>
      </c>
      <c r="R116" s="30">
        <f>IF(OR($F116="",$I116=""),0,IFERROR(INDEX(Nutrition!$L$2:$L$300,MATCH($F116,Nutrition!$A$2:$A$300,0))*$I116/100,0))</f>
        <v>0</v>
      </c>
      <c r="S116" s="30">
        <f>IF(OR($F116="",$I116=""),0,IFERROR(INDEX(Nutrition!$M$2:$M$300,MATCH($F116,Nutrition!$A$2:$A$300,0))*$I116/100,0))</f>
        <v>0</v>
      </c>
    </row>
    <row r="117" spans="1:19" ht="15" customHeight="1" x14ac:dyDescent="0.25">
      <c r="A117" s="22" t="s">
        <v>1156</v>
      </c>
      <c r="B117" s="33" t="str">
        <f>IFERROR(INDEX(Recipes!$B$2:$B$500,MATCH(A117,Recipes!$A$2:$A$500,0)),"")</f>
        <v>Avocado, Mango &amp; Cucumber Salad</v>
      </c>
      <c r="C117" s="7" t="s">
        <v>227</v>
      </c>
      <c r="D117" s="34">
        <v>1</v>
      </c>
      <c r="E117" s="22" t="s">
        <v>2754</v>
      </c>
      <c r="F117" s="22" t="s">
        <v>226</v>
      </c>
      <c r="G117" s="22" t="s">
        <v>2755</v>
      </c>
      <c r="H117" s="7"/>
      <c r="I117" s="35">
        <v>201</v>
      </c>
      <c r="J117" s="30">
        <f>IF(OR($F117="",$I117=""),0,IFERROR(INDEX(Nutrition!$D$2:$D$300,MATCH($F117,Nutrition!$A$2:$A$300,0))*$I117/100,0))</f>
        <v>13.467000000000001</v>
      </c>
      <c r="K117" s="30">
        <f>IF(OR($F117="",$I117=""),0,IFERROR(INDEX(Nutrition!$E$2:$E$300,MATCH($F117,Nutrition!$A$2:$A$300,0))*$I117/100,0))</f>
        <v>20.100000000000001</v>
      </c>
      <c r="L117" s="30">
        <f>IF(OR($F117="",$I117=""),0,IFERROR(INDEX(Nutrition!$F$2:$F$300,MATCH($F117,Nutrition!$A$2:$A$300,0))*$I117/100,0))</f>
        <v>14.07</v>
      </c>
      <c r="M117" s="30">
        <f>IF(OR($F117="",$I117=""),0,IFERROR(INDEX(Nutrition!$G$2:$G$300,MATCH($F117,Nutrition!$A$2:$A$300,0))*$I117/100,0))</f>
        <v>42.21</v>
      </c>
      <c r="N117" s="30">
        <f>IF(OR($F117="",$I117=""),0,IFERROR(INDEX(Nutrition!$H$2:$H$300,MATCH($F117,Nutrition!$A$2:$A$300,0))*$I117/100,0))</f>
        <v>162.81</v>
      </c>
      <c r="O117" s="30">
        <f>IF(OR($F117="",$I117=""),0,IFERROR(INDEX(Nutrition!$I$2:$I$300,MATCH($F117,Nutrition!$A$2:$A$300,0))*$I117/100,0))</f>
        <v>974.85</v>
      </c>
      <c r="P117" s="30">
        <f>IF(OR($F117="",$I117=""),0,IFERROR(INDEX(Nutrition!$J$2:$J$300,MATCH($F117,Nutrition!$A$2:$A$300,0))*$I117/100,0))</f>
        <v>4.1607000000000003</v>
      </c>
      <c r="Q117" s="30">
        <f>IF(OR($F117="",$I117=""),0,IFERROR(INDEX(Nutrition!$K$2:$K$300,MATCH($F117,Nutrition!$A$2:$A$300,0))*$I117/100,0))</f>
        <v>0.51657000000000008</v>
      </c>
      <c r="R117" s="30">
        <f>IF(OR($F117="",$I117=""),0,IFERROR(INDEX(Nutrition!$L$2:$L$300,MATCH($F117,Nutrition!$A$2:$A$300,0))*$I117/100,0))</f>
        <v>58.29</v>
      </c>
      <c r="S117" s="30">
        <f>IF(OR($F117="",$I117=""),0,IFERROR(INDEX(Nutrition!$M$2:$M$300,MATCH($F117,Nutrition!$A$2:$A$300,0))*$I117/100,0))</f>
        <v>1.1055000000000001</v>
      </c>
    </row>
    <row r="118" spans="1:19" ht="15" customHeight="1" x14ac:dyDescent="0.25">
      <c r="A118" s="22" t="s">
        <v>1156</v>
      </c>
      <c r="B118" s="33" t="str">
        <f>IFERROR(INDEX(Recipes!$B$2:$B$500,MATCH(A118,Recipes!$A$2:$A$500,0)),"")</f>
        <v>Avocado, Mango &amp; Cucumber Salad</v>
      </c>
      <c r="C118" s="7" t="s">
        <v>168</v>
      </c>
      <c r="D118" s="34">
        <v>1</v>
      </c>
      <c r="E118" s="22" t="s">
        <v>2754</v>
      </c>
      <c r="F118" s="22" t="s">
        <v>167</v>
      </c>
      <c r="G118" s="22" t="s">
        <v>2755</v>
      </c>
      <c r="H118" s="7"/>
      <c r="I118" s="35">
        <v>336</v>
      </c>
      <c r="J118" s="30">
        <f>IF(OR($F118="",$I118=""),0,IFERROR(INDEX(Nutrition!$D$2:$D$300,MATCH($F118,Nutrition!$A$2:$A$300,0))*$I118/100,0))</f>
        <v>5.3760000000000003</v>
      </c>
      <c r="K118" s="30">
        <f>IF(OR($F118="",$I118=""),0,IFERROR(INDEX(Nutrition!$E$2:$E$300,MATCH($F118,Nutrition!$A$2:$A$300,0))*$I118/100,0))</f>
        <v>122.304</v>
      </c>
      <c r="L118" s="30">
        <f>IF(OR($F118="",$I118=""),0,IFERROR(INDEX(Nutrition!$F$2:$F$300,MATCH($F118,Nutrition!$A$2:$A$300,0))*$I118/100,0))</f>
        <v>181.44</v>
      </c>
      <c r="M118" s="30">
        <f>IF(OR($F118="",$I118=""),0,IFERROR(INDEX(Nutrition!$G$2:$G$300,MATCH($F118,Nutrition!$A$2:$A$300,0))*$I118/100,0))</f>
        <v>14.112</v>
      </c>
      <c r="N118" s="30">
        <f>IF(OR($F118="",$I118=""),0,IFERROR(INDEX(Nutrition!$H$2:$H$300,MATCH($F118,Nutrition!$A$2:$A$300,0))*$I118/100,0))</f>
        <v>144.47999999999999</v>
      </c>
      <c r="O118" s="30">
        <f>IF(OR($F118="",$I118=""),0,IFERROR(INDEX(Nutrition!$I$2:$I$300,MATCH($F118,Nutrition!$A$2:$A$300,0))*$I118/100,0))</f>
        <v>564.48</v>
      </c>
      <c r="P118" s="30">
        <f>IF(OR($F118="",$I118=""),0,IFERROR(INDEX(Nutrition!$J$2:$J$300,MATCH($F118,Nutrition!$A$2:$A$300,0))*$I118/100,0))</f>
        <v>3.0240000000000005</v>
      </c>
      <c r="Q118" s="30">
        <f>IF(OR($F118="",$I118=""),0,IFERROR(INDEX(Nutrition!$K$2:$K$300,MATCH($F118,Nutrition!$A$2:$A$300,0))*$I118/100,0))</f>
        <v>0.39983999999999997</v>
      </c>
      <c r="R118" s="30">
        <f>IF(OR($F118="",$I118=""),0,IFERROR(INDEX(Nutrition!$L$2:$L$300,MATCH($F118,Nutrition!$A$2:$A$300,0))*$I118/100,0))</f>
        <v>33.6</v>
      </c>
      <c r="S118" s="30">
        <f>IF(OR($F118="",$I118=""),0,IFERROR(INDEX(Nutrition!$M$2:$M$300,MATCH($F118,Nutrition!$A$2:$A$300,0))*$I118/100,0))</f>
        <v>0.53759999999999997</v>
      </c>
    </row>
    <row r="119" spans="1:19" ht="15" customHeight="1" x14ac:dyDescent="0.25">
      <c r="A119" s="22" t="s">
        <v>1156</v>
      </c>
      <c r="B119" s="33" t="str">
        <f>IFERROR(INDEX(Recipes!$B$2:$B$500,MATCH(A119,Recipes!$A$2:$A$500,0)),"")</f>
        <v>Avocado, Mango &amp; Cucumber Salad</v>
      </c>
      <c r="C119" s="7" t="s">
        <v>523</v>
      </c>
      <c r="D119" s="34">
        <v>1</v>
      </c>
      <c r="E119" s="22" t="s">
        <v>2754</v>
      </c>
      <c r="F119" s="22" t="s">
        <v>522</v>
      </c>
      <c r="G119" s="22" t="s">
        <v>2755</v>
      </c>
      <c r="H119" s="7"/>
      <c r="I119" s="35">
        <v>301</v>
      </c>
      <c r="J119" s="30">
        <f>IF(OR($F119="",$I119=""),0,IFERROR(INDEX(Nutrition!$D$2:$D$300,MATCH($F119,Nutrition!$A$2:$A$300,0))*$I119/100,0))</f>
        <v>1.5049999999999999</v>
      </c>
      <c r="K119" s="30">
        <f>IF(OR($F119="",$I119=""),0,IFERROR(INDEX(Nutrition!$E$2:$E$300,MATCH($F119,Nutrition!$A$2:$A$300,0))*$I119/100,0))</f>
        <v>8.427999999999999</v>
      </c>
      <c r="L119" s="30">
        <f>IF(OR($F119="",$I119=""),0,IFERROR(INDEX(Nutrition!$F$2:$F$300,MATCH($F119,Nutrition!$A$2:$A$300,0))*$I119/100,0))</f>
        <v>15.05</v>
      </c>
      <c r="M119" s="30">
        <f>IF(OR($F119="",$I119=""),0,IFERROR(INDEX(Nutrition!$G$2:$G$300,MATCH($F119,Nutrition!$A$2:$A$300,0))*$I119/100,0))</f>
        <v>49.363999999999997</v>
      </c>
      <c r="N119" s="30">
        <f>IF(OR($F119="",$I119=""),0,IFERROR(INDEX(Nutrition!$H$2:$H$300,MATCH($F119,Nutrition!$A$2:$A$300,0))*$I119/100,0))</f>
        <v>21.07</v>
      </c>
      <c r="O119" s="30">
        <f>IF(OR($F119="",$I119=""),0,IFERROR(INDEX(Nutrition!$I$2:$I$300,MATCH($F119,Nutrition!$A$2:$A$300,0))*$I119/100,0))</f>
        <v>442.47</v>
      </c>
      <c r="P119" s="30">
        <f>IF(OR($F119="",$I119=""),0,IFERROR(INDEX(Nutrition!$J$2:$J$300,MATCH($F119,Nutrition!$A$2:$A$300,0))*$I119/100,0))</f>
        <v>9.0299999999999991E-2</v>
      </c>
      <c r="Q119" s="30">
        <f>IF(OR($F119="",$I119=""),0,IFERROR(INDEX(Nutrition!$K$2:$K$300,MATCH($F119,Nutrition!$A$2:$A$300,0))*$I119/100,0))</f>
        <v>0.12040000000000001</v>
      </c>
      <c r="R119" s="30">
        <f>IF(OR($F119="",$I119=""),0,IFERROR(INDEX(Nutrition!$L$2:$L$300,MATCH($F119,Nutrition!$A$2:$A$300,0))*$I119/100,0))</f>
        <v>39.130000000000003</v>
      </c>
      <c r="S119" s="30">
        <f>IF(OR($F119="",$I119=""),0,IFERROR(INDEX(Nutrition!$M$2:$M$300,MATCH($F119,Nutrition!$A$2:$A$300,0))*$I119/100,0))</f>
        <v>0.84279999999999999</v>
      </c>
    </row>
    <row r="120" spans="1:19" ht="15" customHeight="1" x14ac:dyDescent="0.25">
      <c r="A120" s="22" t="s">
        <v>1156</v>
      </c>
      <c r="B120" s="33" t="str">
        <f>IFERROR(INDEX(Recipes!$B$2:$B$500,MATCH(A120,Recipes!$A$2:$A$500,0)),"")</f>
        <v>Avocado, Mango &amp; Cucumber Salad</v>
      </c>
      <c r="C120" s="7" t="s">
        <v>482</v>
      </c>
      <c r="D120" s="34">
        <v>0.25</v>
      </c>
      <c r="E120" s="22" t="s">
        <v>2754</v>
      </c>
      <c r="F120" s="22" t="s">
        <v>481</v>
      </c>
      <c r="G120" s="22" t="s">
        <v>2755</v>
      </c>
      <c r="H120" s="7" t="s">
        <v>2784</v>
      </c>
      <c r="I120" s="35">
        <v>28</v>
      </c>
      <c r="J120" s="30">
        <f>IF(OR($F120="",$I120=""),0,IFERROR(INDEX(Nutrition!$D$2:$D$300,MATCH($F120,Nutrition!$A$2:$A$300,0))*$I120/100,0))</f>
        <v>0.47600000000000003</v>
      </c>
      <c r="K120" s="30">
        <f>IF(OR($F120="",$I120=""),0,IFERROR(INDEX(Nutrition!$E$2:$E$300,MATCH($F120,Nutrition!$A$2:$A$300,0))*$I120/100,0))</f>
        <v>2.0720000000000001</v>
      </c>
      <c r="L120" s="30">
        <f>IF(OR($F120="",$I120=""),0,IFERROR(INDEX(Nutrition!$F$2:$F$300,MATCH($F120,Nutrition!$A$2:$A$300,0))*$I120/100,0))</f>
        <v>0</v>
      </c>
      <c r="M120" s="30">
        <f>IF(OR($F120="",$I120=""),0,IFERROR(INDEX(Nutrition!$G$2:$G$300,MATCH($F120,Nutrition!$A$2:$A$300,0))*$I120/100,0))</f>
        <v>0.11200000000000002</v>
      </c>
      <c r="N120" s="30">
        <f>IF(OR($F120="",$I120=""),0,IFERROR(INDEX(Nutrition!$H$2:$H$300,MATCH($F120,Nutrition!$A$2:$A$300,0))*$I120/100,0))</f>
        <v>5.32</v>
      </c>
      <c r="O120" s="30">
        <f>IF(OR($F120="",$I120=""),0,IFERROR(INDEX(Nutrition!$I$2:$I$300,MATCH($F120,Nutrition!$A$2:$A$300,0))*$I120/100,0))</f>
        <v>40.880000000000003</v>
      </c>
      <c r="P120" s="30">
        <f>IF(OR($F120="",$I120=""),0,IFERROR(INDEX(Nutrition!$J$2:$J$300,MATCH($F120,Nutrition!$A$2:$A$300,0))*$I120/100,0))</f>
        <v>5.6000000000000008E-3</v>
      </c>
      <c r="Q120" s="30">
        <f>IF(OR($F120="",$I120=""),0,IFERROR(INDEX(Nutrition!$K$2:$K$300,MATCH($F120,Nutrition!$A$2:$A$300,0))*$I120/100,0))</f>
        <v>3.3599999999999998E-2</v>
      </c>
      <c r="R120" s="30">
        <f>IF(OR($F120="",$I120=""),0,IFERROR(INDEX(Nutrition!$L$2:$L$300,MATCH($F120,Nutrition!$A$2:$A$300,0))*$I120/100,0))</f>
        <v>2.8</v>
      </c>
      <c r="S120" s="30">
        <f>IF(OR($F120="",$I120=""),0,IFERROR(INDEX(Nutrition!$M$2:$M$300,MATCH($F120,Nutrition!$A$2:$A$300,0))*$I120/100,0))</f>
        <v>5.8799999999999998E-2</v>
      </c>
    </row>
    <row r="121" spans="1:19" ht="15" customHeight="1" x14ac:dyDescent="0.25">
      <c r="A121" s="22" t="s">
        <v>1156</v>
      </c>
      <c r="B121" s="33" t="str">
        <f>IFERROR(INDEX(Recipes!$B$2:$B$500,MATCH(A121,Recipes!$A$2:$A$500,0)),"")</f>
        <v>Avocado, Mango &amp; Cucumber Salad</v>
      </c>
      <c r="C121" s="7" t="s">
        <v>473</v>
      </c>
      <c r="D121" s="34">
        <v>0.25</v>
      </c>
      <c r="E121" s="22" t="s">
        <v>2754</v>
      </c>
      <c r="F121" s="22" t="s">
        <v>472</v>
      </c>
      <c r="G121" s="22" t="s">
        <v>2755</v>
      </c>
      <c r="H121" s="7"/>
      <c r="I121" s="35">
        <v>2</v>
      </c>
      <c r="J121" s="30">
        <f>IF(OR($F121="",$I121=""),0,IFERROR(INDEX(Nutrition!$D$2:$D$300,MATCH($F121,Nutrition!$A$2:$A$300,0))*$I121/100,0))</f>
        <v>0.03</v>
      </c>
      <c r="K121" s="30">
        <f>IF(OR($F121="",$I121=""),0,IFERROR(INDEX(Nutrition!$E$2:$E$300,MATCH($F121,Nutrition!$A$2:$A$300,0))*$I121/100,0))</f>
        <v>2.8739999999999997</v>
      </c>
      <c r="L121" s="30">
        <f>IF(OR($F121="",$I121=""),0,IFERROR(INDEX(Nutrition!$F$2:$F$300,MATCH($F121,Nutrition!$A$2:$A$300,0))*$I121/100,0))</f>
        <v>0.96</v>
      </c>
      <c r="M121" s="30">
        <f>IF(OR($F121="",$I121=""),0,IFERROR(INDEX(Nutrition!$G$2:$G$300,MATCH($F121,Nutrition!$A$2:$A$300,0))*$I121/100,0))</f>
        <v>0.28000000000000003</v>
      </c>
      <c r="N121" s="30">
        <f>IF(OR($F121="",$I121=""),0,IFERROR(INDEX(Nutrition!$H$2:$H$300,MATCH($F121,Nutrition!$A$2:$A$300,0))*$I121/100,0))</f>
        <v>0.46</v>
      </c>
      <c r="O121" s="30">
        <f>IF(OR($F121="",$I121=""),0,IFERROR(INDEX(Nutrition!$I$2:$I$300,MATCH($F121,Nutrition!$A$2:$A$300,0))*$I121/100,0))</f>
        <v>6.44</v>
      </c>
      <c r="P121" s="30">
        <f>IF(OR($F121="",$I121=""),0,IFERROR(INDEX(Nutrition!$J$2:$J$300,MATCH($F121,Nutrition!$A$2:$A$300,0))*$I121/100,0))</f>
        <v>1.38E-2</v>
      </c>
      <c r="Q121" s="30">
        <f>IF(OR($F121="",$I121=""),0,IFERROR(INDEX(Nutrition!$K$2:$K$300,MATCH($F121,Nutrition!$A$2:$A$300,0))*$I121/100,0))</f>
        <v>1.0120000000000001E-2</v>
      </c>
      <c r="R121" s="30">
        <f>IF(OR($F121="",$I121=""),0,IFERROR(INDEX(Nutrition!$L$2:$L$300,MATCH($F121,Nutrition!$A$2:$A$300,0))*$I121/100,0))</f>
        <v>0.46</v>
      </c>
      <c r="S121" s="30">
        <f>IF(OR($F121="",$I121=""),0,IFERROR(INDEX(Nutrition!$M$2:$M$300,MATCH($F121,Nutrition!$A$2:$A$300,0))*$I121/100,0))</f>
        <v>2.06E-2</v>
      </c>
    </row>
    <row r="122" spans="1:19" ht="15" customHeight="1" x14ac:dyDescent="0.25">
      <c r="A122" s="22" t="s">
        <v>1156</v>
      </c>
      <c r="B122" s="33" t="str">
        <f>IFERROR(INDEX(Recipes!$B$2:$B$500,MATCH(A122,Recipes!$A$2:$A$500,0)),"")</f>
        <v>Avocado, Mango &amp; Cucumber Salad</v>
      </c>
      <c r="C122" s="7" t="s">
        <v>668</v>
      </c>
      <c r="D122" s="34">
        <v>1</v>
      </c>
      <c r="E122" s="22" t="s">
        <v>2809</v>
      </c>
      <c r="F122" s="22" t="s">
        <v>667</v>
      </c>
      <c r="G122" s="22" t="s">
        <v>2755</v>
      </c>
      <c r="H122" s="7"/>
      <c r="I122" s="35">
        <v>30</v>
      </c>
      <c r="J122" s="30">
        <f>IF(OR($F122="",$I122=""),0,IFERROR(INDEX(Nutrition!$D$2:$D$300,MATCH($F122,Nutrition!$A$2:$A$300,0))*$I122/100,0))</f>
        <v>0.84</v>
      </c>
      <c r="K122" s="30">
        <f>IF(OR($F122="",$I122=""),0,IFERROR(INDEX(Nutrition!$E$2:$E$300,MATCH($F122,Nutrition!$A$2:$A$300,0))*$I122/100,0))</f>
        <v>8.1</v>
      </c>
      <c r="L122" s="30">
        <f>IF(OR($F122="",$I122=""),0,IFERROR(INDEX(Nutrition!$F$2:$F$300,MATCH($F122,Nutrition!$A$2:$A$300,0))*$I122/100,0))</f>
        <v>101.1</v>
      </c>
      <c r="M122" s="30">
        <f>IF(OR($F122="",$I122=""),0,IFERROR(INDEX(Nutrition!$G$2:$G$300,MATCH($F122,Nutrition!$A$2:$A$300,0))*$I122/100,0))</f>
        <v>93</v>
      </c>
      <c r="N122" s="30">
        <f>IF(OR($F122="",$I122=""),0,IFERROR(INDEX(Nutrition!$H$2:$H$300,MATCH($F122,Nutrition!$A$2:$A$300,0))*$I122/100,0))</f>
        <v>18.600000000000001</v>
      </c>
      <c r="O122" s="30">
        <f>IF(OR($F122="",$I122=""),0,IFERROR(INDEX(Nutrition!$I$2:$I$300,MATCH($F122,Nutrition!$A$2:$A$300,0))*$I122/100,0))</f>
        <v>156.30000000000001</v>
      </c>
      <c r="P122" s="30">
        <f>IF(OR($F122="",$I122=""),0,IFERROR(INDEX(Nutrition!$J$2:$J$300,MATCH($F122,Nutrition!$A$2:$A$300,0))*$I122/100,0))</f>
        <v>0.75</v>
      </c>
      <c r="Q122" s="30">
        <f>IF(OR($F122="",$I122=""),0,IFERROR(INDEX(Nutrition!$K$2:$K$300,MATCH($F122,Nutrition!$A$2:$A$300,0))*$I122/100,0))</f>
        <v>4.4699999999999997E-2</v>
      </c>
      <c r="R122" s="30">
        <f>IF(OR($F122="",$I122=""),0,IFERROR(INDEX(Nutrition!$L$2:$L$300,MATCH($F122,Nutrition!$A$2:$A$300,0))*$I122/100,0))</f>
        <v>7.8</v>
      </c>
      <c r="S122" s="30">
        <f>IF(OR($F122="",$I122=""),0,IFERROR(INDEX(Nutrition!$M$2:$M$300,MATCH($F122,Nutrition!$A$2:$A$300,0))*$I122/100,0))</f>
        <v>0.53100000000000003</v>
      </c>
    </row>
    <row r="123" spans="1:19" ht="15" customHeight="1" x14ac:dyDescent="0.25">
      <c r="A123" s="22" t="s">
        <v>1156</v>
      </c>
      <c r="B123" s="33" t="str">
        <f>IFERROR(INDEX(Recipes!$B$2:$B$500,MATCH(A123,Recipes!$A$2:$A$500,0)),"")</f>
        <v>Avocado, Mango &amp; Cucumber Salad</v>
      </c>
      <c r="C123" s="7" t="s">
        <v>213</v>
      </c>
      <c r="D123" s="34">
        <v>1</v>
      </c>
      <c r="E123" s="22" t="s">
        <v>2754</v>
      </c>
      <c r="F123" s="22" t="s">
        <v>212</v>
      </c>
      <c r="G123" s="22" t="s">
        <v>2755</v>
      </c>
      <c r="H123" s="7"/>
      <c r="I123" s="35">
        <v>67</v>
      </c>
      <c r="J123" s="30">
        <f>IF(OR($F123="",$I123=""),0,IFERROR(INDEX(Nutrition!$D$2:$D$300,MATCH($F123,Nutrition!$A$2:$A$300,0))*$I123/100,0))</f>
        <v>1.8759999999999999</v>
      </c>
      <c r="K123" s="30">
        <f>IF(OR($F123="",$I123=""),0,IFERROR(INDEX(Nutrition!$E$2:$E$300,MATCH($F123,Nutrition!$A$2:$A$300,0))*$I123/100,0))</f>
        <v>19.497</v>
      </c>
      <c r="L123" s="30">
        <f>IF(OR($F123="",$I123=""),0,IFERROR(INDEX(Nutrition!$F$2:$F$300,MATCH($F123,Nutrition!$A$2:$A$300,0))*$I123/100,0))</f>
        <v>1.34</v>
      </c>
      <c r="M123" s="30">
        <f>IF(OR($F123="",$I123=""),0,IFERROR(INDEX(Nutrition!$G$2:$G$300,MATCH($F123,Nutrition!$A$2:$A$300,0))*$I123/100,0))</f>
        <v>0.40199999999999997</v>
      </c>
      <c r="N123" s="30">
        <f>IF(OR($F123="",$I123=""),0,IFERROR(INDEX(Nutrition!$H$2:$H$300,MATCH($F123,Nutrition!$A$2:$A$300,0))*$I123/100,0))</f>
        <v>5.36</v>
      </c>
      <c r="O123" s="30">
        <f>IF(OR($F123="",$I123=""),0,IFERROR(INDEX(Nutrition!$I$2:$I$300,MATCH($F123,Nutrition!$A$2:$A$300,0))*$I123/100,0))</f>
        <v>68.34</v>
      </c>
      <c r="P123" s="30">
        <f>IF(OR($F123="",$I123=""),0,IFERROR(INDEX(Nutrition!$J$2:$J$300,MATCH($F123,Nutrition!$A$2:$A$300,0))*$I123/100,0))</f>
        <v>0.1474</v>
      </c>
      <c r="Q123" s="30">
        <f>IF(OR($F123="",$I123=""),0,IFERROR(INDEX(Nutrition!$K$2:$K$300,MATCH($F123,Nutrition!$A$2:$A$300,0))*$I123/100,0))</f>
        <v>2.8809999999999999E-2</v>
      </c>
      <c r="R123" s="30">
        <f>IF(OR($F123="",$I123=""),0,IFERROR(INDEX(Nutrition!$L$2:$L$300,MATCH($F123,Nutrition!$A$2:$A$300,0))*$I123/100,0))</f>
        <v>4.0199999999999996</v>
      </c>
      <c r="S123" s="30">
        <f>IF(OR($F123="",$I123=""),0,IFERROR(INDEX(Nutrition!$M$2:$M$300,MATCH($F123,Nutrition!$A$2:$A$300,0))*$I123/100,0))</f>
        <v>0.40199999999999997</v>
      </c>
    </row>
    <row r="124" spans="1:19" ht="15" customHeight="1" x14ac:dyDescent="0.25">
      <c r="A124" s="22" t="s">
        <v>1156</v>
      </c>
      <c r="B124" s="33" t="str">
        <f>IFERROR(INDEX(Recipes!$B$2:$B$500,MATCH(A124,Recipes!$A$2:$A$500,0)),"")</f>
        <v>Avocado, Mango &amp; Cucumber Salad</v>
      </c>
      <c r="C124" s="7" t="s">
        <v>2805</v>
      </c>
      <c r="D124" s="34">
        <v>1</v>
      </c>
      <c r="E124" s="22" t="s">
        <v>2753</v>
      </c>
      <c r="F124" s="22"/>
      <c r="G124" s="22" t="s">
        <v>2773</v>
      </c>
      <c r="H124" s="7"/>
      <c r="I124" s="35"/>
      <c r="J124" s="30">
        <f>IF(OR($F124="",$I124=""),0,IFERROR(INDEX(Nutrition!$D$2:$D$300,MATCH($F124,Nutrition!$A$2:$A$300,0))*$I124/100,0))</f>
        <v>0</v>
      </c>
      <c r="K124" s="30">
        <f>IF(OR($F124="",$I124=""),0,IFERROR(INDEX(Nutrition!$E$2:$E$300,MATCH($F124,Nutrition!$A$2:$A$300,0))*$I124/100,0))</f>
        <v>0</v>
      </c>
      <c r="L124" s="30">
        <f>IF(OR($F124="",$I124=""),0,IFERROR(INDEX(Nutrition!$F$2:$F$300,MATCH($F124,Nutrition!$A$2:$A$300,0))*$I124/100,0))</f>
        <v>0</v>
      </c>
      <c r="M124" s="30">
        <f>IF(OR($F124="",$I124=""),0,IFERROR(INDEX(Nutrition!$G$2:$G$300,MATCH($F124,Nutrition!$A$2:$A$300,0))*$I124/100,0))</f>
        <v>0</v>
      </c>
      <c r="N124" s="30">
        <f>IF(OR($F124="",$I124=""),0,IFERROR(INDEX(Nutrition!$H$2:$H$300,MATCH($F124,Nutrition!$A$2:$A$300,0))*$I124/100,0))</f>
        <v>0</v>
      </c>
      <c r="O124" s="30">
        <f>IF(OR($F124="",$I124=""),0,IFERROR(INDEX(Nutrition!$I$2:$I$300,MATCH($F124,Nutrition!$A$2:$A$300,0))*$I124/100,0))</f>
        <v>0</v>
      </c>
      <c r="P124" s="30">
        <f>IF(OR($F124="",$I124=""),0,IFERROR(INDEX(Nutrition!$J$2:$J$300,MATCH($F124,Nutrition!$A$2:$A$300,0))*$I124/100,0))</f>
        <v>0</v>
      </c>
      <c r="Q124" s="30">
        <f>IF(OR($F124="",$I124=""),0,IFERROR(INDEX(Nutrition!$K$2:$K$300,MATCH($F124,Nutrition!$A$2:$A$300,0))*$I124/100,0))</f>
        <v>0</v>
      </c>
      <c r="R124" s="30">
        <f>IF(OR($F124="",$I124=""),0,IFERROR(INDEX(Nutrition!$L$2:$L$300,MATCH($F124,Nutrition!$A$2:$A$300,0))*$I124/100,0))</f>
        <v>0</v>
      </c>
      <c r="S124" s="30">
        <f>IF(OR($F124="",$I124=""),0,IFERROR(INDEX(Nutrition!$M$2:$M$300,MATCH($F124,Nutrition!$A$2:$A$300,0))*$I124/100,0))</f>
        <v>0</v>
      </c>
    </row>
    <row r="125" spans="1:19" ht="15" customHeight="1" x14ac:dyDescent="0.25">
      <c r="A125" s="22" t="s">
        <v>1156</v>
      </c>
      <c r="B125" s="33" t="str">
        <f>IFERROR(INDEX(Recipes!$B$2:$B$500,MATCH(A125,Recipes!$A$2:$A$500,0)),"")</f>
        <v>Avocado, Mango &amp; Cucumber Salad</v>
      </c>
      <c r="C125" s="7" t="s">
        <v>2781</v>
      </c>
      <c r="D125" s="34">
        <v>1</v>
      </c>
      <c r="E125" s="22" t="s">
        <v>2782</v>
      </c>
      <c r="F125" s="22"/>
      <c r="G125" s="22" t="s">
        <v>2773</v>
      </c>
      <c r="H125" s="7"/>
      <c r="I125" s="35"/>
      <c r="J125" s="30">
        <f>IF(OR($F125="",$I125=""),0,IFERROR(INDEX(Nutrition!$D$2:$D$300,MATCH($F125,Nutrition!$A$2:$A$300,0))*$I125/100,0))</f>
        <v>0</v>
      </c>
      <c r="K125" s="30">
        <f>IF(OR($F125="",$I125=""),0,IFERROR(INDEX(Nutrition!$E$2:$E$300,MATCH($F125,Nutrition!$A$2:$A$300,0))*$I125/100,0))</f>
        <v>0</v>
      </c>
      <c r="L125" s="30">
        <f>IF(OR($F125="",$I125=""),0,IFERROR(INDEX(Nutrition!$F$2:$F$300,MATCH($F125,Nutrition!$A$2:$A$300,0))*$I125/100,0))</f>
        <v>0</v>
      </c>
      <c r="M125" s="30">
        <f>IF(OR($F125="",$I125=""),0,IFERROR(INDEX(Nutrition!$G$2:$G$300,MATCH($F125,Nutrition!$A$2:$A$300,0))*$I125/100,0))</f>
        <v>0</v>
      </c>
      <c r="N125" s="30">
        <f>IF(OR($F125="",$I125=""),0,IFERROR(INDEX(Nutrition!$H$2:$H$300,MATCH($F125,Nutrition!$A$2:$A$300,0))*$I125/100,0))</f>
        <v>0</v>
      </c>
      <c r="O125" s="30">
        <f>IF(OR($F125="",$I125=""),0,IFERROR(INDEX(Nutrition!$I$2:$I$300,MATCH($F125,Nutrition!$A$2:$A$300,0))*$I125/100,0))</f>
        <v>0</v>
      </c>
      <c r="P125" s="30">
        <f>IF(OR($F125="",$I125=""),0,IFERROR(INDEX(Nutrition!$J$2:$J$300,MATCH($F125,Nutrition!$A$2:$A$300,0))*$I125/100,0))</f>
        <v>0</v>
      </c>
      <c r="Q125" s="30">
        <f>IF(OR($F125="",$I125=""),0,IFERROR(INDEX(Nutrition!$K$2:$K$300,MATCH($F125,Nutrition!$A$2:$A$300,0))*$I125/100,0))</f>
        <v>0</v>
      </c>
      <c r="R125" s="30">
        <f>IF(OR($F125="",$I125=""),0,IFERROR(INDEX(Nutrition!$L$2:$L$300,MATCH($F125,Nutrition!$A$2:$A$300,0))*$I125/100,0))</f>
        <v>0</v>
      </c>
      <c r="S125" s="30">
        <f>IF(OR($F125="",$I125=""),0,IFERROR(INDEX(Nutrition!$M$2:$M$300,MATCH($F125,Nutrition!$A$2:$A$300,0))*$I125/100,0))</f>
        <v>0</v>
      </c>
    </row>
    <row r="126" spans="1:19" ht="15" customHeight="1" x14ac:dyDescent="0.25">
      <c r="A126" s="22" t="s">
        <v>1168</v>
      </c>
      <c r="B126" s="33" t="str">
        <f>IFERROR(INDEX(Recipes!$B$2:$B$500,MATCH(A126,Recipes!$A$2:$A$500,0)),"")</f>
        <v>Watermelon, Cucumber &amp; Grilled Wara Salad</v>
      </c>
      <c r="C126" s="7" t="s">
        <v>150</v>
      </c>
      <c r="D126" s="34">
        <v>3</v>
      </c>
      <c r="E126" s="22" t="s">
        <v>2790</v>
      </c>
      <c r="F126" s="22" t="s">
        <v>149</v>
      </c>
      <c r="G126" s="22" t="s">
        <v>2755</v>
      </c>
      <c r="H126" s="7" t="s">
        <v>2810</v>
      </c>
      <c r="I126" s="35">
        <v>456</v>
      </c>
      <c r="J126" s="30">
        <f>IF(OR($F126="",$I126=""),0,IFERROR(INDEX(Nutrition!$D$2:$D$300,MATCH($F126,Nutrition!$A$2:$A$300,0))*$I126/100,0))</f>
        <v>1.8240000000000001</v>
      </c>
      <c r="K126" s="30">
        <f>IF(OR($F126="",$I126=""),0,IFERROR(INDEX(Nutrition!$E$2:$E$300,MATCH($F126,Nutrition!$A$2:$A$300,0))*$I126/100,0))</f>
        <v>36.936</v>
      </c>
      <c r="L126" s="30">
        <f>IF(OR($F126="",$I126=""),0,IFERROR(INDEX(Nutrition!$F$2:$F$300,MATCH($F126,Nutrition!$A$2:$A$300,0))*$I126/100,0))</f>
        <v>127.68</v>
      </c>
      <c r="M126" s="30">
        <f>IF(OR($F126="",$I126=""),0,IFERROR(INDEX(Nutrition!$G$2:$G$300,MATCH($F126,Nutrition!$A$2:$A$300,0))*$I126/100,0))</f>
        <v>0.45600000000000002</v>
      </c>
      <c r="N126" s="30">
        <f>IF(OR($F126="",$I126=""),0,IFERROR(INDEX(Nutrition!$H$2:$H$300,MATCH($F126,Nutrition!$A$2:$A$300,0))*$I126/100,0))</f>
        <v>13.68</v>
      </c>
      <c r="O126" s="30">
        <f>IF(OR($F126="",$I126=""),0,IFERROR(INDEX(Nutrition!$I$2:$I$300,MATCH($F126,Nutrition!$A$2:$A$300,0))*$I126/100,0))</f>
        <v>510.72</v>
      </c>
      <c r="P126" s="30">
        <f>IF(OR($F126="",$I126=""),0,IFERROR(INDEX(Nutrition!$J$2:$J$300,MATCH($F126,Nutrition!$A$2:$A$300,0))*$I126/100,0))</f>
        <v>0.22800000000000001</v>
      </c>
      <c r="Q126" s="30">
        <f>IF(OR($F126="",$I126=""),0,IFERROR(INDEX(Nutrition!$K$2:$K$300,MATCH($F126,Nutrition!$A$2:$A$300,0))*$I126/100,0))</f>
        <v>0.20519999999999999</v>
      </c>
      <c r="R126" s="30">
        <f>IF(OR($F126="",$I126=""),0,IFERROR(INDEX(Nutrition!$L$2:$L$300,MATCH($F126,Nutrition!$A$2:$A$300,0))*$I126/100,0))</f>
        <v>45.6</v>
      </c>
      <c r="S126" s="30">
        <f>IF(OR($F126="",$I126=""),0,IFERROR(INDEX(Nutrition!$M$2:$M$300,MATCH($F126,Nutrition!$A$2:$A$300,0))*$I126/100,0))</f>
        <v>1.0944</v>
      </c>
    </row>
    <row r="127" spans="1:19" ht="15" customHeight="1" x14ac:dyDescent="0.25">
      <c r="A127" s="22" t="s">
        <v>1168</v>
      </c>
      <c r="B127" s="33" t="str">
        <f>IFERROR(INDEX(Recipes!$B$2:$B$500,MATCH(A127,Recipes!$A$2:$A$500,0)),"")</f>
        <v>Watermelon, Cucumber &amp; Grilled Wara Salad</v>
      </c>
      <c r="C127" s="7" t="s">
        <v>523</v>
      </c>
      <c r="D127" s="34">
        <v>1</v>
      </c>
      <c r="E127" s="22" t="s">
        <v>2754</v>
      </c>
      <c r="F127" s="22" t="s">
        <v>522</v>
      </c>
      <c r="G127" s="22" t="s">
        <v>2755</v>
      </c>
      <c r="H127" s="7"/>
      <c r="I127" s="35">
        <v>301</v>
      </c>
      <c r="J127" s="30">
        <f>IF(OR($F127="",$I127=""),0,IFERROR(INDEX(Nutrition!$D$2:$D$300,MATCH($F127,Nutrition!$A$2:$A$300,0))*$I127/100,0))</f>
        <v>1.5049999999999999</v>
      </c>
      <c r="K127" s="30">
        <f>IF(OR($F127="",$I127=""),0,IFERROR(INDEX(Nutrition!$E$2:$E$300,MATCH($F127,Nutrition!$A$2:$A$300,0))*$I127/100,0))</f>
        <v>8.427999999999999</v>
      </c>
      <c r="L127" s="30">
        <f>IF(OR($F127="",$I127=""),0,IFERROR(INDEX(Nutrition!$F$2:$F$300,MATCH($F127,Nutrition!$A$2:$A$300,0))*$I127/100,0))</f>
        <v>15.05</v>
      </c>
      <c r="M127" s="30">
        <f>IF(OR($F127="",$I127=""),0,IFERROR(INDEX(Nutrition!$G$2:$G$300,MATCH($F127,Nutrition!$A$2:$A$300,0))*$I127/100,0))</f>
        <v>49.363999999999997</v>
      </c>
      <c r="N127" s="30">
        <f>IF(OR($F127="",$I127=""),0,IFERROR(INDEX(Nutrition!$H$2:$H$300,MATCH($F127,Nutrition!$A$2:$A$300,0))*$I127/100,0))</f>
        <v>21.07</v>
      </c>
      <c r="O127" s="30">
        <f>IF(OR($F127="",$I127=""),0,IFERROR(INDEX(Nutrition!$I$2:$I$300,MATCH($F127,Nutrition!$A$2:$A$300,0))*$I127/100,0))</f>
        <v>442.47</v>
      </c>
      <c r="P127" s="30">
        <f>IF(OR($F127="",$I127=""),0,IFERROR(INDEX(Nutrition!$J$2:$J$300,MATCH($F127,Nutrition!$A$2:$A$300,0))*$I127/100,0))</f>
        <v>9.0299999999999991E-2</v>
      </c>
      <c r="Q127" s="30">
        <f>IF(OR($F127="",$I127=""),0,IFERROR(INDEX(Nutrition!$K$2:$K$300,MATCH($F127,Nutrition!$A$2:$A$300,0))*$I127/100,0))</f>
        <v>0.12040000000000001</v>
      </c>
      <c r="R127" s="30">
        <f>IF(OR($F127="",$I127=""),0,IFERROR(INDEX(Nutrition!$L$2:$L$300,MATCH($F127,Nutrition!$A$2:$A$300,0))*$I127/100,0))</f>
        <v>39.130000000000003</v>
      </c>
      <c r="S127" s="30">
        <f>IF(OR($F127="",$I127=""),0,IFERROR(INDEX(Nutrition!$M$2:$M$300,MATCH($F127,Nutrition!$A$2:$A$300,0))*$I127/100,0))</f>
        <v>0.84279999999999999</v>
      </c>
    </row>
    <row r="128" spans="1:19" ht="15" customHeight="1" x14ac:dyDescent="0.25">
      <c r="A128" s="22" t="s">
        <v>1168</v>
      </c>
      <c r="B128" s="33" t="str">
        <f>IFERROR(INDEX(Recipes!$B$2:$B$500,MATCH(A128,Recipes!$A$2:$A$500,0)),"")</f>
        <v>Watermelon, Cucumber &amp; Grilled Wara Salad</v>
      </c>
      <c r="C128" s="7" t="s">
        <v>482</v>
      </c>
      <c r="D128" s="34">
        <v>0.25</v>
      </c>
      <c r="E128" s="22" t="s">
        <v>2754</v>
      </c>
      <c r="F128" s="22" t="s">
        <v>481</v>
      </c>
      <c r="G128" s="22" t="s">
        <v>2755</v>
      </c>
      <c r="H128" s="7" t="s">
        <v>2784</v>
      </c>
      <c r="I128" s="35">
        <v>28</v>
      </c>
      <c r="J128" s="30">
        <f>IF(OR($F128="",$I128=""),0,IFERROR(INDEX(Nutrition!$D$2:$D$300,MATCH($F128,Nutrition!$A$2:$A$300,0))*$I128/100,0))</f>
        <v>0.47600000000000003</v>
      </c>
      <c r="K128" s="30">
        <f>IF(OR($F128="",$I128=""),0,IFERROR(INDEX(Nutrition!$E$2:$E$300,MATCH($F128,Nutrition!$A$2:$A$300,0))*$I128/100,0))</f>
        <v>2.0720000000000001</v>
      </c>
      <c r="L128" s="30">
        <f>IF(OR($F128="",$I128=""),0,IFERROR(INDEX(Nutrition!$F$2:$F$300,MATCH($F128,Nutrition!$A$2:$A$300,0))*$I128/100,0))</f>
        <v>0</v>
      </c>
      <c r="M128" s="30">
        <f>IF(OR($F128="",$I128=""),0,IFERROR(INDEX(Nutrition!$G$2:$G$300,MATCH($F128,Nutrition!$A$2:$A$300,0))*$I128/100,0))</f>
        <v>0.11200000000000002</v>
      </c>
      <c r="N128" s="30">
        <f>IF(OR($F128="",$I128=""),0,IFERROR(INDEX(Nutrition!$H$2:$H$300,MATCH($F128,Nutrition!$A$2:$A$300,0))*$I128/100,0))</f>
        <v>5.32</v>
      </c>
      <c r="O128" s="30">
        <f>IF(OR($F128="",$I128=""),0,IFERROR(INDEX(Nutrition!$I$2:$I$300,MATCH($F128,Nutrition!$A$2:$A$300,0))*$I128/100,0))</f>
        <v>40.880000000000003</v>
      </c>
      <c r="P128" s="30">
        <f>IF(OR($F128="",$I128=""),0,IFERROR(INDEX(Nutrition!$J$2:$J$300,MATCH($F128,Nutrition!$A$2:$A$300,0))*$I128/100,0))</f>
        <v>5.6000000000000008E-3</v>
      </c>
      <c r="Q128" s="30">
        <f>IF(OR($F128="",$I128=""),0,IFERROR(INDEX(Nutrition!$K$2:$K$300,MATCH($F128,Nutrition!$A$2:$A$300,0))*$I128/100,0))</f>
        <v>3.3599999999999998E-2</v>
      </c>
      <c r="R128" s="30">
        <f>IF(OR($F128="",$I128=""),0,IFERROR(INDEX(Nutrition!$L$2:$L$300,MATCH($F128,Nutrition!$A$2:$A$300,0))*$I128/100,0))</f>
        <v>2.8</v>
      </c>
      <c r="S128" s="30">
        <f>IF(OR($F128="",$I128=""),0,IFERROR(INDEX(Nutrition!$M$2:$M$300,MATCH($F128,Nutrition!$A$2:$A$300,0))*$I128/100,0))</f>
        <v>5.8799999999999998E-2</v>
      </c>
    </row>
    <row r="129" spans="1:19" ht="15" customHeight="1" x14ac:dyDescent="0.25">
      <c r="A129" s="22" t="s">
        <v>1168</v>
      </c>
      <c r="B129" s="33" t="str">
        <f>IFERROR(INDEX(Recipes!$B$2:$B$500,MATCH(A129,Recipes!$A$2:$A$500,0)),"")</f>
        <v>Watermelon, Cucumber &amp; Grilled Wara Salad</v>
      </c>
      <c r="C129" s="7" t="s">
        <v>663</v>
      </c>
      <c r="D129" s="34">
        <v>1</v>
      </c>
      <c r="E129" s="22" t="s">
        <v>2811</v>
      </c>
      <c r="F129" s="22" t="s">
        <v>662</v>
      </c>
      <c r="G129" s="22" t="s">
        <v>2755</v>
      </c>
      <c r="H129" s="7"/>
      <c r="I129" s="35">
        <v>25</v>
      </c>
      <c r="J129" s="30">
        <f>IF(OR($F129="",$I129=""),0,IFERROR(INDEX(Nutrition!$D$2:$D$300,MATCH($F129,Nutrition!$A$2:$A$300,0))*$I129/100,0))</f>
        <v>1.7</v>
      </c>
      <c r="K129" s="30">
        <f>IF(OR($F129="",$I129=""),0,IFERROR(INDEX(Nutrition!$E$2:$E$300,MATCH($F129,Nutrition!$A$2:$A$300,0))*$I129/100,0))</f>
        <v>3.3250000000000002</v>
      </c>
      <c r="L129" s="30">
        <f>IF(OR($F129="",$I129=""),0,IFERROR(INDEX(Nutrition!$F$2:$F$300,MATCH($F129,Nutrition!$A$2:$A$300,0))*$I129/100,0))</f>
        <v>50.75</v>
      </c>
      <c r="M129" s="30">
        <f>IF(OR($F129="",$I129=""),0,IFERROR(INDEX(Nutrition!$G$2:$G$300,MATCH($F129,Nutrition!$A$2:$A$300,0))*$I129/100,0))</f>
        <v>0</v>
      </c>
      <c r="N129" s="30">
        <f>IF(OR($F129="",$I129=""),0,IFERROR(INDEX(Nutrition!$H$2:$H$300,MATCH($F129,Nutrition!$A$2:$A$300,0))*$I129/100,0))</f>
        <v>26.25</v>
      </c>
      <c r="O129" s="30">
        <f>IF(OR($F129="",$I129=""),0,IFERROR(INDEX(Nutrition!$I$2:$I$300,MATCH($F129,Nutrition!$A$2:$A$300,0))*$I129/100,0))</f>
        <v>114.5</v>
      </c>
      <c r="P129" s="30">
        <f>IF(OR($F129="",$I129=""),0,IFERROR(INDEX(Nutrition!$J$2:$J$300,MATCH($F129,Nutrition!$A$2:$A$300,0))*$I129/100,0))</f>
        <v>0</v>
      </c>
      <c r="Q129" s="30">
        <f>IF(OR($F129="",$I129=""),0,IFERROR(INDEX(Nutrition!$K$2:$K$300,MATCH($F129,Nutrition!$A$2:$A$300,0))*$I129/100,0))</f>
        <v>3.95E-2</v>
      </c>
      <c r="R129" s="30">
        <f>IF(OR($F129="",$I129=""),0,IFERROR(INDEX(Nutrition!$L$2:$L$300,MATCH($F129,Nutrition!$A$2:$A$300,0))*$I129/100,0))</f>
        <v>15.75</v>
      </c>
      <c r="S129" s="30">
        <f>IF(OR($F129="",$I129=""),0,IFERROR(INDEX(Nutrition!$M$2:$M$300,MATCH($F129,Nutrition!$A$2:$A$300,0))*$I129/100,0))</f>
        <v>2.9674999999999998</v>
      </c>
    </row>
    <row r="130" spans="1:19" ht="15" customHeight="1" x14ac:dyDescent="0.25">
      <c r="A130" s="22" t="s">
        <v>1168</v>
      </c>
      <c r="B130" s="33" t="str">
        <f>IFERROR(INDEX(Recipes!$B$2:$B$500,MATCH(A130,Recipes!$A$2:$A$500,0)),"")</f>
        <v>Watermelon, Cucumber &amp; Grilled Wara Salad</v>
      </c>
      <c r="C130" s="7" t="s">
        <v>213</v>
      </c>
      <c r="D130" s="34">
        <v>1</v>
      </c>
      <c r="E130" s="22" t="s">
        <v>2754</v>
      </c>
      <c r="F130" s="22" t="s">
        <v>212</v>
      </c>
      <c r="G130" s="22" t="s">
        <v>2755</v>
      </c>
      <c r="H130" s="7"/>
      <c r="I130" s="35">
        <v>67</v>
      </c>
      <c r="J130" s="30">
        <f>IF(OR($F130="",$I130=""),0,IFERROR(INDEX(Nutrition!$D$2:$D$300,MATCH($F130,Nutrition!$A$2:$A$300,0))*$I130/100,0))</f>
        <v>1.8759999999999999</v>
      </c>
      <c r="K130" s="30">
        <f>IF(OR($F130="",$I130=""),0,IFERROR(INDEX(Nutrition!$E$2:$E$300,MATCH($F130,Nutrition!$A$2:$A$300,0))*$I130/100,0))</f>
        <v>19.497</v>
      </c>
      <c r="L130" s="30">
        <f>IF(OR($F130="",$I130=""),0,IFERROR(INDEX(Nutrition!$F$2:$F$300,MATCH($F130,Nutrition!$A$2:$A$300,0))*$I130/100,0))</f>
        <v>1.34</v>
      </c>
      <c r="M130" s="30">
        <f>IF(OR($F130="",$I130=""),0,IFERROR(INDEX(Nutrition!$G$2:$G$300,MATCH($F130,Nutrition!$A$2:$A$300,0))*$I130/100,0))</f>
        <v>0.40199999999999997</v>
      </c>
      <c r="N130" s="30">
        <f>IF(OR($F130="",$I130=""),0,IFERROR(INDEX(Nutrition!$H$2:$H$300,MATCH($F130,Nutrition!$A$2:$A$300,0))*$I130/100,0))</f>
        <v>5.36</v>
      </c>
      <c r="O130" s="30">
        <f>IF(OR($F130="",$I130=""),0,IFERROR(INDEX(Nutrition!$I$2:$I$300,MATCH($F130,Nutrition!$A$2:$A$300,0))*$I130/100,0))</f>
        <v>68.34</v>
      </c>
      <c r="P130" s="30">
        <f>IF(OR($F130="",$I130=""),0,IFERROR(INDEX(Nutrition!$J$2:$J$300,MATCH($F130,Nutrition!$A$2:$A$300,0))*$I130/100,0))</f>
        <v>0.1474</v>
      </c>
      <c r="Q130" s="30">
        <f>IF(OR($F130="",$I130=""),0,IFERROR(INDEX(Nutrition!$K$2:$K$300,MATCH($F130,Nutrition!$A$2:$A$300,0))*$I130/100,0))</f>
        <v>2.8809999999999999E-2</v>
      </c>
      <c r="R130" s="30">
        <f>IF(OR($F130="",$I130=""),0,IFERROR(INDEX(Nutrition!$L$2:$L$300,MATCH($F130,Nutrition!$A$2:$A$300,0))*$I130/100,0))</f>
        <v>4.0199999999999996</v>
      </c>
      <c r="S130" s="30">
        <f>IF(OR($F130="",$I130=""),0,IFERROR(INDEX(Nutrition!$M$2:$M$300,MATCH($F130,Nutrition!$A$2:$A$300,0))*$I130/100,0))</f>
        <v>0.40199999999999997</v>
      </c>
    </row>
    <row r="131" spans="1:19" ht="15" customHeight="1" x14ac:dyDescent="0.25">
      <c r="A131" s="22" t="s">
        <v>1168</v>
      </c>
      <c r="B131" s="33" t="str">
        <f>IFERROR(INDEX(Recipes!$B$2:$B$500,MATCH(A131,Recipes!$A$2:$A$500,0)),"")</f>
        <v>Watermelon, Cucumber &amp; Grilled Wara Salad</v>
      </c>
      <c r="C131" s="7" t="s">
        <v>2812</v>
      </c>
      <c r="D131" s="34">
        <v>150</v>
      </c>
      <c r="E131" s="22" t="s">
        <v>2813</v>
      </c>
      <c r="F131" s="22"/>
      <c r="G131" s="22" t="s">
        <v>2768</v>
      </c>
      <c r="H131" s="7"/>
      <c r="I131" s="35"/>
      <c r="J131" s="30">
        <f>IF(OR($F131="",$I131=""),0,IFERROR(INDEX(Nutrition!$D$2:$D$300,MATCH($F131,Nutrition!$A$2:$A$300,0))*$I131/100,0))</f>
        <v>0</v>
      </c>
      <c r="K131" s="30">
        <f>IF(OR($F131="",$I131=""),0,IFERROR(INDEX(Nutrition!$E$2:$E$300,MATCH($F131,Nutrition!$A$2:$A$300,0))*$I131/100,0))</f>
        <v>0</v>
      </c>
      <c r="L131" s="30">
        <f>IF(OR($F131="",$I131=""),0,IFERROR(INDEX(Nutrition!$F$2:$F$300,MATCH($F131,Nutrition!$A$2:$A$300,0))*$I131/100,0))</f>
        <v>0</v>
      </c>
      <c r="M131" s="30">
        <f>IF(OR($F131="",$I131=""),0,IFERROR(INDEX(Nutrition!$G$2:$G$300,MATCH($F131,Nutrition!$A$2:$A$300,0))*$I131/100,0))</f>
        <v>0</v>
      </c>
      <c r="N131" s="30">
        <f>IF(OR($F131="",$I131=""),0,IFERROR(INDEX(Nutrition!$H$2:$H$300,MATCH($F131,Nutrition!$A$2:$A$300,0))*$I131/100,0))</f>
        <v>0</v>
      </c>
      <c r="O131" s="30">
        <f>IF(OR($F131="",$I131=""),0,IFERROR(INDEX(Nutrition!$I$2:$I$300,MATCH($F131,Nutrition!$A$2:$A$300,0))*$I131/100,0))</f>
        <v>0</v>
      </c>
      <c r="P131" s="30">
        <f>IF(OR($F131="",$I131=""),0,IFERROR(INDEX(Nutrition!$J$2:$J$300,MATCH($F131,Nutrition!$A$2:$A$300,0))*$I131/100,0))</f>
        <v>0</v>
      </c>
      <c r="Q131" s="30">
        <f>IF(OR($F131="",$I131=""),0,IFERROR(INDEX(Nutrition!$K$2:$K$300,MATCH($F131,Nutrition!$A$2:$A$300,0))*$I131/100,0))</f>
        <v>0</v>
      </c>
      <c r="R131" s="30">
        <f>IF(OR($F131="",$I131=""),0,IFERROR(INDEX(Nutrition!$L$2:$L$300,MATCH($F131,Nutrition!$A$2:$A$300,0))*$I131/100,0))</f>
        <v>0</v>
      </c>
      <c r="S131" s="30">
        <f>IF(OR($F131="",$I131=""),0,IFERROR(INDEX(Nutrition!$M$2:$M$300,MATCH($F131,Nutrition!$A$2:$A$300,0))*$I131/100,0))</f>
        <v>0</v>
      </c>
    </row>
    <row r="132" spans="1:19" ht="15" customHeight="1" x14ac:dyDescent="0.25">
      <c r="A132" s="22" t="s">
        <v>1168</v>
      </c>
      <c r="B132" s="33" t="str">
        <f>IFERROR(INDEX(Recipes!$B$2:$B$500,MATCH(A132,Recipes!$A$2:$A$500,0)),"")</f>
        <v>Watermelon, Cucumber &amp; Grilled Wara Salad</v>
      </c>
      <c r="C132" s="7" t="s">
        <v>2805</v>
      </c>
      <c r="D132" s="34">
        <v>1</v>
      </c>
      <c r="E132" s="22" t="s">
        <v>2753</v>
      </c>
      <c r="F132" s="22"/>
      <c r="G132" s="22" t="s">
        <v>2773</v>
      </c>
      <c r="H132" s="7"/>
      <c r="I132" s="35"/>
      <c r="J132" s="30">
        <f>IF(OR($F132="",$I132=""),0,IFERROR(INDEX(Nutrition!$D$2:$D$300,MATCH($F132,Nutrition!$A$2:$A$300,0))*$I132/100,0))</f>
        <v>0</v>
      </c>
      <c r="K132" s="30">
        <f>IF(OR($F132="",$I132=""),0,IFERROR(INDEX(Nutrition!$E$2:$E$300,MATCH($F132,Nutrition!$A$2:$A$300,0))*$I132/100,0))</f>
        <v>0</v>
      </c>
      <c r="L132" s="30">
        <f>IF(OR($F132="",$I132=""),0,IFERROR(INDEX(Nutrition!$F$2:$F$300,MATCH($F132,Nutrition!$A$2:$A$300,0))*$I132/100,0))</f>
        <v>0</v>
      </c>
      <c r="M132" s="30">
        <f>IF(OR($F132="",$I132=""),0,IFERROR(INDEX(Nutrition!$G$2:$G$300,MATCH($F132,Nutrition!$A$2:$A$300,0))*$I132/100,0))</f>
        <v>0</v>
      </c>
      <c r="N132" s="30">
        <f>IF(OR($F132="",$I132=""),0,IFERROR(INDEX(Nutrition!$H$2:$H$300,MATCH($F132,Nutrition!$A$2:$A$300,0))*$I132/100,0))</f>
        <v>0</v>
      </c>
      <c r="O132" s="30">
        <f>IF(OR($F132="",$I132=""),0,IFERROR(INDEX(Nutrition!$I$2:$I$300,MATCH($F132,Nutrition!$A$2:$A$300,0))*$I132/100,0))</f>
        <v>0</v>
      </c>
      <c r="P132" s="30">
        <f>IF(OR($F132="",$I132=""),0,IFERROR(INDEX(Nutrition!$J$2:$J$300,MATCH($F132,Nutrition!$A$2:$A$300,0))*$I132/100,0))</f>
        <v>0</v>
      </c>
      <c r="Q132" s="30">
        <f>IF(OR($F132="",$I132=""),0,IFERROR(INDEX(Nutrition!$K$2:$K$300,MATCH($F132,Nutrition!$A$2:$A$300,0))*$I132/100,0))</f>
        <v>0</v>
      </c>
      <c r="R132" s="30">
        <f>IF(OR($F132="",$I132=""),0,IFERROR(INDEX(Nutrition!$L$2:$L$300,MATCH($F132,Nutrition!$A$2:$A$300,0))*$I132/100,0))</f>
        <v>0</v>
      </c>
      <c r="S132" s="30">
        <f>IF(OR($F132="",$I132=""),0,IFERROR(INDEX(Nutrition!$M$2:$M$300,MATCH($F132,Nutrition!$A$2:$A$300,0))*$I132/100,0))</f>
        <v>0</v>
      </c>
    </row>
    <row r="133" spans="1:19" ht="15" customHeight="1" x14ac:dyDescent="0.25">
      <c r="A133" s="22" t="s">
        <v>1168</v>
      </c>
      <c r="B133" s="33" t="str">
        <f>IFERROR(INDEX(Recipes!$B$2:$B$500,MATCH(A133,Recipes!$A$2:$A$500,0)),"")</f>
        <v>Watermelon, Cucumber &amp; Grilled Wara Salad</v>
      </c>
      <c r="C133" s="7" t="s">
        <v>2814</v>
      </c>
      <c r="D133" s="34">
        <v>1</v>
      </c>
      <c r="E133" s="22" t="s">
        <v>2782</v>
      </c>
      <c r="F133" s="22"/>
      <c r="G133" s="22" t="s">
        <v>2773</v>
      </c>
      <c r="H133" s="7"/>
      <c r="I133" s="35"/>
      <c r="J133" s="30">
        <f>IF(OR($F133="",$I133=""),0,IFERROR(INDEX(Nutrition!$D$2:$D$300,MATCH($F133,Nutrition!$A$2:$A$300,0))*$I133/100,0))</f>
        <v>0</v>
      </c>
      <c r="K133" s="30">
        <f>IF(OR($F133="",$I133=""),0,IFERROR(INDEX(Nutrition!$E$2:$E$300,MATCH($F133,Nutrition!$A$2:$A$300,0))*$I133/100,0))</f>
        <v>0</v>
      </c>
      <c r="L133" s="30">
        <f>IF(OR($F133="",$I133=""),0,IFERROR(INDEX(Nutrition!$F$2:$F$300,MATCH($F133,Nutrition!$A$2:$A$300,0))*$I133/100,0))</f>
        <v>0</v>
      </c>
      <c r="M133" s="30">
        <f>IF(OR($F133="",$I133=""),0,IFERROR(INDEX(Nutrition!$G$2:$G$300,MATCH($F133,Nutrition!$A$2:$A$300,0))*$I133/100,0))</f>
        <v>0</v>
      </c>
      <c r="N133" s="30">
        <f>IF(OR($F133="",$I133=""),0,IFERROR(INDEX(Nutrition!$H$2:$H$300,MATCH($F133,Nutrition!$A$2:$A$300,0))*$I133/100,0))</f>
        <v>0</v>
      </c>
      <c r="O133" s="30">
        <f>IF(OR($F133="",$I133=""),0,IFERROR(INDEX(Nutrition!$I$2:$I$300,MATCH($F133,Nutrition!$A$2:$A$300,0))*$I133/100,0))</f>
        <v>0</v>
      </c>
      <c r="P133" s="30">
        <f>IF(OR($F133="",$I133=""),0,IFERROR(INDEX(Nutrition!$J$2:$J$300,MATCH($F133,Nutrition!$A$2:$A$300,0))*$I133/100,0))</f>
        <v>0</v>
      </c>
      <c r="Q133" s="30">
        <f>IF(OR($F133="",$I133=""),0,IFERROR(INDEX(Nutrition!$K$2:$K$300,MATCH($F133,Nutrition!$A$2:$A$300,0))*$I133/100,0))</f>
        <v>0</v>
      </c>
      <c r="R133" s="30">
        <f>IF(OR($F133="",$I133=""),0,IFERROR(INDEX(Nutrition!$L$2:$L$300,MATCH($F133,Nutrition!$A$2:$A$300,0))*$I133/100,0))</f>
        <v>0</v>
      </c>
      <c r="S133" s="30">
        <f>IF(OR($F133="",$I133=""),0,IFERROR(INDEX(Nutrition!$M$2:$M$300,MATCH($F133,Nutrition!$A$2:$A$300,0))*$I133/100,0))</f>
        <v>0</v>
      </c>
    </row>
    <row r="134" spans="1:19" ht="15" customHeight="1" x14ac:dyDescent="0.25">
      <c r="A134" s="22" t="s">
        <v>1178</v>
      </c>
      <c r="B134" s="33" t="str">
        <f>IFERROR(INDEX(Recipes!$B$2:$B$500,MATCH(A134,Recipes!$A$2:$A$500,0)),"")</f>
        <v>Lighter Chicken Caesar Salad</v>
      </c>
      <c r="C134" s="7" t="s">
        <v>2806</v>
      </c>
      <c r="D134" s="34">
        <v>2</v>
      </c>
      <c r="E134" s="22" t="s">
        <v>2754</v>
      </c>
      <c r="F134" s="22"/>
      <c r="G134" s="22" t="s">
        <v>2768</v>
      </c>
      <c r="H134" s="7"/>
      <c r="I134" s="35"/>
      <c r="J134" s="30">
        <f>IF(OR($F134="",$I134=""),0,IFERROR(INDEX(Nutrition!$D$2:$D$300,MATCH($F134,Nutrition!$A$2:$A$300,0))*$I134/100,0))</f>
        <v>0</v>
      </c>
      <c r="K134" s="30">
        <f>IF(OR($F134="",$I134=""),0,IFERROR(INDEX(Nutrition!$E$2:$E$300,MATCH($F134,Nutrition!$A$2:$A$300,0))*$I134/100,0))</f>
        <v>0</v>
      </c>
      <c r="L134" s="30">
        <f>IF(OR($F134="",$I134=""),0,IFERROR(INDEX(Nutrition!$F$2:$F$300,MATCH($F134,Nutrition!$A$2:$A$300,0))*$I134/100,0))</f>
        <v>0</v>
      </c>
      <c r="M134" s="30">
        <f>IF(OR($F134="",$I134=""),0,IFERROR(INDEX(Nutrition!$G$2:$G$300,MATCH($F134,Nutrition!$A$2:$A$300,0))*$I134/100,0))</f>
        <v>0</v>
      </c>
      <c r="N134" s="30">
        <f>IF(OR($F134="",$I134=""),0,IFERROR(INDEX(Nutrition!$H$2:$H$300,MATCH($F134,Nutrition!$A$2:$A$300,0))*$I134/100,0))</f>
        <v>0</v>
      </c>
      <c r="O134" s="30">
        <f>IF(OR($F134="",$I134=""),0,IFERROR(INDEX(Nutrition!$I$2:$I$300,MATCH($F134,Nutrition!$A$2:$A$300,0))*$I134/100,0))</f>
        <v>0</v>
      </c>
      <c r="P134" s="30">
        <f>IF(OR($F134="",$I134=""),0,IFERROR(INDEX(Nutrition!$J$2:$J$300,MATCH($F134,Nutrition!$A$2:$A$300,0))*$I134/100,0))</f>
        <v>0</v>
      </c>
      <c r="Q134" s="30">
        <f>IF(OR($F134="",$I134=""),0,IFERROR(INDEX(Nutrition!$K$2:$K$300,MATCH($F134,Nutrition!$A$2:$A$300,0))*$I134/100,0))</f>
        <v>0</v>
      </c>
      <c r="R134" s="30">
        <f>IF(OR($F134="",$I134=""),0,IFERROR(INDEX(Nutrition!$L$2:$L$300,MATCH($F134,Nutrition!$A$2:$A$300,0))*$I134/100,0))</f>
        <v>0</v>
      </c>
      <c r="S134" s="30">
        <f>IF(OR($F134="",$I134=""),0,IFERROR(INDEX(Nutrition!$M$2:$M$300,MATCH($F134,Nutrition!$A$2:$A$300,0))*$I134/100,0))</f>
        <v>0</v>
      </c>
    </row>
    <row r="135" spans="1:19" ht="15" customHeight="1" x14ac:dyDescent="0.25">
      <c r="A135" s="22" t="s">
        <v>1178</v>
      </c>
      <c r="B135" s="33" t="str">
        <f>IFERROR(INDEX(Recipes!$B$2:$B$500,MATCH(A135,Recipes!$A$2:$A$500,0)),"")</f>
        <v>Lighter Chicken Caesar Salad</v>
      </c>
      <c r="C135" s="7" t="s">
        <v>546</v>
      </c>
      <c r="D135" s="34">
        <v>1</v>
      </c>
      <c r="E135" s="22" t="s">
        <v>2808</v>
      </c>
      <c r="F135" s="22" t="s">
        <v>545</v>
      </c>
      <c r="G135" s="22" t="s">
        <v>2755</v>
      </c>
      <c r="H135" s="7" t="s">
        <v>2815</v>
      </c>
      <c r="I135" s="35">
        <v>626</v>
      </c>
      <c r="J135" s="30">
        <f>IF(OR($F135="",$I135=""),0,IFERROR(INDEX(Nutrition!$D$2:$D$300,MATCH($F135,Nutrition!$A$2:$A$300,0))*$I135/100,0))</f>
        <v>13.146000000000001</v>
      </c>
      <c r="K135" s="30">
        <f>IF(OR($F135="",$I135=""),0,IFERROR(INDEX(Nutrition!$E$2:$E$300,MATCH($F135,Nutrition!$A$2:$A$300,0))*$I135/100,0))</f>
        <v>25.04</v>
      </c>
      <c r="L135" s="30">
        <f>IF(OR($F135="",$I135=""),0,IFERROR(INDEX(Nutrition!$F$2:$F$300,MATCH($F135,Nutrition!$A$2:$A$300,0))*$I135/100,0))</f>
        <v>2729.36</v>
      </c>
      <c r="M135" s="30">
        <f>IF(OR($F135="",$I135=""),0,IFERROR(INDEX(Nutrition!$G$2:$G$300,MATCH($F135,Nutrition!$A$2:$A$300,0))*$I135/100,0))</f>
        <v>641.65</v>
      </c>
      <c r="N135" s="30">
        <f>IF(OR($F135="",$I135=""),0,IFERROR(INDEX(Nutrition!$H$2:$H$300,MATCH($F135,Nutrition!$A$2:$A$300,0))*$I135/100,0))</f>
        <v>851.36</v>
      </c>
      <c r="O135" s="30">
        <f>IF(OR($F135="",$I135=""),0,IFERROR(INDEX(Nutrition!$I$2:$I$300,MATCH($F135,Nutrition!$A$2:$A$300,0))*$I135/100,0))</f>
        <v>1546.22</v>
      </c>
      <c r="P135" s="30">
        <f>IF(OR($F135="",$I135=""),0,IFERROR(INDEX(Nutrition!$J$2:$J$300,MATCH($F135,Nutrition!$A$2:$A$300,0))*$I135/100,0))</f>
        <v>0.81380000000000008</v>
      </c>
      <c r="Q135" s="30">
        <f>IF(OR($F135="",$I135=""),0,IFERROR(INDEX(Nutrition!$K$2:$K$300,MATCH($F135,Nutrition!$A$2:$A$300,0))*$I135/100,0))</f>
        <v>0.46323999999999999</v>
      </c>
      <c r="R135" s="30">
        <f>IF(OR($F135="",$I135=""),0,IFERROR(INDEX(Nutrition!$L$2:$L$300,MATCH($F135,Nutrition!$A$2:$A$300,0))*$I135/100,0))</f>
        <v>87.64</v>
      </c>
      <c r="S135" s="30">
        <f>IF(OR($F135="",$I135=""),0,IFERROR(INDEX(Nutrition!$M$2:$M$300,MATCH($F135,Nutrition!$A$2:$A$300,0))*$I135/100,0))</f>
        <v>6.0722000000000005</v>
      </c>
    </row>
    <row r="136" spans="1:19" ht="15" customHeight="1" x14ac:dyDescent="0.25">
      <c r="A136" s="22" t="s">
        <v>1178</v>
      </c>
      <c r="B136" s="33" t="str">
        <f>IFERROR(INDEX(Recipes!$B$2:$B$500,MATCH(A136,Recipes!$A$2:$A$500,0)),"")</f>
        <v>Lighter Chicken Caesar Salad</v>
      </c>
      <c r="C136" s="7" t="s">
        <v>446</v>
      </c>
      <c r="D136" s="34">
        <v>2</v>
      </c>
      <c r="E136" s="22" t="s">
        <v>2754</v>
      </c>
      <c r="F136" s="22" t="s">
        <v>445</v>
      </c>
      <c r="G136" s="22" t="s">
        <v>2755</v>
      </c>
      <c r="H136" s="7"/>
      <c r="I136" s="35">
        <v>124</v>
      </c>
      <c r="J136" s="30">
        <f>IF(OR($F136="",$I136=""),0,IFERROR(INDEX(Nutrition!$D$2:$D$300,MATCH($F136,Nutrition!$A$2:$A$300,0))*$I136/100,0))</f>
        <v>1.4879999999999998</v>
      </c>
      <c r="K136" s="30">
        <f>IF(OR($F136="",$I136=""),0,IFERROR(INDEX(Nutrition!$E$2:$E$300,MATCH($F136,Nutrition!$A$2:$A$300,0))*$I136/100,0))</f>
        <v>16.988</v>
      </c>
      <c r="L136" s="30">
        <f>IF(OR($F136="",$I136=""),0,IFERROR(INDEX(Nutrition!$F$2:$F$300,MATCH($F136,Nutrition!$A$2:$A$300,0))*$I136/100,0))</f>
        <v>52.08</v>
      </c>
      <c r="M136" s="30">
        <f>IF(OR($F136="",$I136=""),0,IFERROR(INDEX(Nutrition!$G$2:$G$300,MATCH($F136,Nutrition!$A$2:$A$300,0))*$I136/100,0))</f>
        <v>9.7959999999999994</v>
      </c>
      <c r="N136" s="30">
        <f>IF(OR($F136="",$I136=""),0,IFERROR(INDEX(Nutrition!$H$2:$H$300,MATCH($F136,Nutrition!$A$2:$A$300,0))*$I136/100,0))</f>
        <v>18.600000000000001</v>
      </c>
      <c r="O136" s="30">
        <f>IF(OR($F136="",$I136=""),0,IFERROR(INDEX(Nutrition!$I$2:$I$300,MATCH($F136,Nutrition!$A$2:$A$300,0))*$I136/100,0))</f>
        <v>293.88</v>
      </c>
      <c r="P136" s="30">
        <f>IF(OR($F136="",$I136=""),0,IFERROR(INDEX(Nutrition!$J$2:$J$300,MATCH($F136,Nutrition!$A$2:$A$300,0))*$I136/100,0))</f>
        <v>0.66960000000000008</v>
      </c>
      <c r="Q136" s="30">
        <f>IF(OR($F136="",$I136=""),0,IFERROR(INDEX(Nutrition!$K$2:$K$300,MATCH($F136,Nutrition!$A$2:$A$300,0))*$I136/100,0))</f>
        <v>9.9199999999999997E-2</v>
      </c>
      <c r="R136" s="30">
        <f>IF(OR($F136="",$I136=""),0,IFERROR(INDEX(Nutrition!$L$2:$L$300,MATCH($F136,Nutrition!$A$2:$A$300,0))*$I136/100,0))</f>
        <v>13.64</v>
      </c>
      <c r="S136" s="30">
        <f>IF(OR($F136="",$I136=""),0,IFERROR(INDEX(Nutrition!$M$2:$M$300,MATCH($F136,Nutrition!$A$2:$A$300,0))*$I136/100,0))</f>
        <v>0.33480000000000004</v>
      </c>
    </row>
    <row r="137" spans="1:19" ht="15" customHeight="1" x14ac:dyDescent="0.25">
      <c r="A137" s="22" t="s">
        <v>1178</v>
      </c>
      <c r="B137" s="33" t="str">
        <f>IFERROR(INDEX(Recipes!$B$2:$B$500,MATCH(A137,Recipes!$A$2:$A$500,0)),"")</f>
        <v>Lighter Chicken Caesar Salad</v>
      </c>
      <c r="C137" s="7" t="s">
        <v>2762</v>
      </c>
      <c r="D137" s="34">
        <v>0.5</v>
      </c>
      <c r="E137" s="22" t="s">
        <v>2748</v>
      </c>
      <c r="F137" s="22"/>
      <c r="G137" s="22" t="s">
        <v>2749</v>
      </c>
      <c r="H137" s="7"/>
      <c r="I137" s="35"/>
      <c r="J137" s="30">
        <f>IF(OR($F137="",$I137=""),0,IFERROR(INDEX(Nutrition!$D$2:$D$300,MATCH($F137,Nutrition!$A$2:$A$300,0))*$I137/100,0))</f>
        <v>0</v>
      </c>
      <c r="K137" s="30">
        <f>IF(OR($F137="",$I137=""),0,IFERROR(INDEX(Nutrition!$E$2:$E$300,MATCH($F137,Nutrition!$A$2:$A$300,0))*$I137/100,0))</f>
        <v>0</v>
      </c>
      <c r="L137" s="30">
        <f>IF(OR($F137="",$I137=""),0,IFERROR(INDEX(Nutrition!$F$2:$F$300,MATCH($F137,Nutrition!$A$2:$A$300,0))*$I137/100,0))</f>
        <v>0</v>
      </c>
      <c r="M137" s="30">
        <f>IF(OR($F137="",$I137=""),0,IFERROR(INDEX(Nutrition!$G$2:$G$300,MATCH($F137,Nutrition!$A$2:$A$300,0))*$I137/100,0))</f>
        <v>0</v>
      </c>
      <c r="N137" s="30">
        <f>IF(OR($F137="",$I137=""),0,IFERROR(INDEX(Nutrition!$H$2:$H$300,MATCH($F137,Nutrition!$A$2:$A$300,0))*$I137/100,0))</f>
        <v>0</v>
      </c>
      <c r="O137" s="30">
        <f>IF(OR($F137="",$I137=""),0,IFERROR(INDEX(Nutrition!$I$2:$I$300,MATCH($F137,Nutrition!$A$2:$A$300,0))*$I137/100,0))</f>
        <v>0</v>
      </c>
      <c r="P137" s="30">
        <f>IF(OR($F137="",$I137=""),0,IFERROR(INDEX(Nutrition!$J$2:$J$300,MATCH($F137,Nutrition!$A$2:$A$300,0))*$I137/100,0))</f>
        <v>0</v>
      </c>
      <c r="Q137" s="30">
        <f>IF(OR($F137="",$I137=""),0,IFERROR(INDEX(Nutrition!$K$2:$K$300,MATCH($F137,Nutrition!$A$2:$A$300,0))*$I137/100,0))</f>
        <v>0</v>
      </c>
      <c r="R137" s="30">
        <f>IF(OR($F137="",$I137=""),0,IFERROR(INDEX(Nutrition!$L$2:$L$300,MATCH($F137,Nutrition!$A$2:$A$300,0))*$I137/100,0))</f>
        <v>0</v>
      </c>
      <c r="S137" s="30">
        <f>IF(OR($F137="",$I137=""),0,IFERROR(INDEX(Nutrition!$M$2:$M$300,MATCH($F137,Nutrition!$A$2:$A$300,0))*$I137/100,0))</f>
        <v>0</v>
      </c>
    </row>
    <row r="138" spans="1:19" ht="15" customHeight="1" x14ac:dyDescent="0.25">
      <c r="A138" s="22" t="s">
        <v>1178</v>
      </c>
      <c r="B138" s="33" t="str">
        <f>IFERROR(INDEX(Recipes!$B$2:$B$500,MATCH(A138,Recipes!$A$2:$A$500,0)),"")</f>
        <v>Lighter Chicken Caesar Salad</v>
      </c>
      <c r="C138" s="7" t="s">
        <v>206</v>
      </c>
      <c r="D138" s="34">
        <v>1</v>
      </c>
      <c r="E138" s="22" t="s">
        <v>2754</v>
      </c>
      <c r="F138" s="22" t="s">
        <v>205</v>
      </c>
      <c r="G138" s="22" t="s">
        <v>2755</v>
      </c>
      <c r="H138" s="7"/>
      <c r="I138" s="35">
        <v>58</v>
      </c>
      <c r="J138" s="30">
        <f>IF(OR($F138="",$I138=""),0,IFERROR(INDEX(Nutrition!$D$2:$D$300,MATCH($F138,Nutrition!$A$2:$A$300,0))*$I138/100,0))</f>
        <v>1.6239999999999997</v>
      </c>
      <c r="K138" s="30">
        <f>IF(OR($F138="",$I138=""),0,IFERROR(INDEX(Nutrition!$E$2:$E$300,MATCH($F138,Nutrition!$A$2:$A$300,0))*$I138/100,0))</f>
        <v>30.74</v>
      </c>
      <c r="L138" s="30">
        <f>IF(OR($F138="",$I138=""),0,IFERROR(INDEX(Nutrition!$F$2:$F$300,MATCH($F138,Nutrition!$A$2:$A$300,0))*$I138/100,0))</f>
        <v>0.57999999999999996</v>
      </c>
      <c r="M138" s="30">
        <f>IF(OR($F138="",$I138=""),0,IFERROR(INDEX(Nutrition!$G$2:$G$300,MATCH($F138,Nutrition!$A$2:$A$300,0))*$I138/100,0))</f>
        <v>0</v>
      </c>
      <c r="N138" s="30">
        <f>IF(OR($F138="",$I138=""),0,IFERROR(INDEX(Nutrition!$H$2:$H$300,MATCH($F138,Nutrition!$A$2:$A$300,0))*$I138/100,0))</f>
        <v>6.38</v>
      </c>
      <c r="O138" s="30">
        <f>IF(OR($F138="",$I138=""),0,IFERROR(INDEX(Nutrition!$I$2:$I$300,MATCH($F138,Nutrition!$A$2:$A$300,0))*$I138/100,0))</f>
        <v>80.040000000000006</v>
      </c>
      <c r="P138" s="30">
        <f>IF(OR($F138="",$I138=""),0,IFERROR(INDEX(Nutrition!$J$2:$J$300,MATCH($F138,Nutrition!$A$2:$A$300,0))*$I138/100,0))</f>
        <v>8.6999999999999994E-2</v>
      </c>
      <c r="Q138" s="30">
        <f>IF(OR($F138="",$I138=""),0,IFERROR(INDEX(Nutrition!$K$2:$K$300,MATCH($F138,Nutrition!$A$2:$A$300,0))*$I138/100,0))</f>
        <v>4.6399999999999997E-2</v>
      </c>
      <c r="R138" s="30">
        <f>IF(OR($F138="",$I138=""),0,IFERROR(INDEX(Nutrition!$L$2:$L$300,MATCH($F138,Nutrition!$A$2:$A$300,0))*$I138/100,0))</f>
        <v>4.6399999999999997</v>
      </c>
      <c r="S138" s="30">
        <f>IF(OR($F138="",$I138=""),0,IFERROR(INDEX(Nutrition!$M$2:$M$300,MATCH($F138,Nutrition!$A$2:$A$300,0))*$I138/100,0))</f>
        <v>0.34799999999999998</v>
      </c>
    </row>
    <row r="139" spans="1:19" ht="15" customHeight="1" x14ac:dyDescent="0.25">
      <c r="A139" s="22" t="s">
        <v>1178</v>
      </c>
      <c r="B139" s="33" t="str">
        <f>IFERROR(INDEX(Recipes!$B$2:$B$500,MATCH(A139,Recipes!$A$2:$A$500,0)),"")</f>
        <v>Lighter Chicken Caesar Salad</v>
      </c>
      <c r="C139" s="7" t="s">
        <v>500</v>
      </c>
      <c r="D139" s="34">
        <v>1</v>
      </c>
      <c r="E139" s="22" t="s">
        <v>2816</v>
      </c>
      <c r="F139" s="22" t="s">
        <v>499</v>
      </c>
      <c r="G139" s="22" t="s">
        <v>2755</v>
      </c>
      <c r="H139" s="7"/>
      <c r="I139" s="35">
        <v>3</v>
      </c>
      <c r="J139" s="30">
        <f>IF(OR($F139="",$I139=""),0,IFERROR(INDEX(Nutrition!$D$2:$D$300,MATCH($F139,Nutrition!$A$2:$A$300,0))*$I139/100,0))</f>
        <v>6.3E-2</v>
      </c>
      <c r="K139" s="30">
        <f>IF(OR($F139="",$I139=""),0,IFERROR(INDEX(Nutrition!$E$2:$E$300,MATCH($F139,Nutrition!$A$2:$A$300,0))*$I139/100,0))</f>
        <v>0.93599999999999994</v>
      </c>
      <c r="L139" s="30">
        <f>IF(OR($F139="",$I139=""),0,IFERROR(INDEX(Nutrition!$F$2:$F$300,MATCH($F139,Nutrition!$A$2:$A$300,0))*$I139/100,0))</f>
        <v>0</v>
      </c>
      <c r="M139" s="30">
        <f>IF(OR($F139="",$I139=""),0,IFERROR(INDEX(Nutrition!$G$2:$G$300,MATCH($F139,Nutrition!$A$2:$A$300,0))*$I139/100,0))</f>
        <v>5.0999999999999997E-2</v>
      </c>
      <c r="N139" s="30">
        <f>IF(OR($F139="",$I139=""),0,IFERROR(INDEX(Nutrition!$H$2:$H$300,MATCH($F139,Nutrition!$A$2:$A$300,0))*$I139/100,0))</f>
        <v>0.09</v>
      </c>
      <c r="O139" s="30">
        <f>IF(OR($F139="",$I139=""),0,IFERROR(INDEX(Nutrition!$I$2:$I$300,MATCH($F139,Nutrition!$A$2:$A$300,0))*$I139/100,0))</f>
        <v>12.03</v>
      </c>
      <c r="P139" s="30">
        <f>IF(OR($F139="",$I139=""),0,IFERROR(INDEX(Nutrition!$J$2:$J$300,MATCH($F139,Nutrition!$A$2:$A$300,0))*$I139/100,0))</f>
        <v>2.3999999999999998E-3</v>
      </c>
      <c r="Q139" s="30">
        <f>IF(OR($F139="",$I139=""),0,IFERROR(INDEX(Nutrition!$K$2:$K$300,MATCH($F139,Nutrition!$A$2:$A$300,0))*$I139/100,0))</f>
        <v>3.705E-2</v>
      </c>
      <c r="R139" s="30">
        <f>IF(OR($F139="",$I139=""),0,IFERROR(INDEX(Nutrition!$L$2:$L$300,MATCH($F139,Nutrition!$A$2:$A$300,0))*$I139/100,0))</f>
        <v>0.75</v>
      </c>
      <c r="S139" s="30">
        <f>IF(OR($F139="",$I139=""),0,IFERROR(INDEX(Nutrition!$M$2:$M$300,MATCH($F139,Nutrition!$A$2:$A$300,0))*$I139/100,0))</f>
        <v>5.0999999999999997E-2</v>
      </c>
    </row>
    <row r="140" spans="1:19" ht="15" customHeight="1" x14ac:dyDescent="0.25">
      <c r="A140" s="22" t="s">
        <v>1178</v>
      </c>
      <c r="B140" s="33" t="str">
        <f>IFERROR(INDEX(Recipes!$B$2:$B$500,MATCH(A140,Recipes!$A$2:$A$500,0)),"")</f>
        <v>Lighter Chicken Caesar Salad</v>
      </c>
      <c r="C140" s="7" t="s">
        <v>2817</v>
      </c>
      <c r="D140" s="34">
        <v>2</v>
      </c>
      <c r="E140" s="22" t="s">
        <v>2753</v>
      </c>
      <c r="F140" s="22"/>
      <c r="G140" s="22" t="s">
        <v>2749</v>
      </c>
      <c r="H140" s="7" t="s">
        <v>2791</v>
      </c>
      <c r="I140" s="35"/>
      <c r="J140" s="30">
        <f>IF(OR($F140="",$I140=""),0,IFERROR(INDEX(Nutrition!$D$2:$D$300,MATCH($F140,Nutrition!$A$2:$A$300,0))*$I140/100,0))</f>
        <v>0</v>
      </c>
      <c r="K140" s="30">
        <f>IF(OR($F140="",$I140=""),0,IFERROR(INDEX(Nutrition!$E$2:$E$300,MATCH($F140,Nutrition!$A$2:$A$300,0))*$I140/100,0))</f>
        <v>0</v>
      </c>
      <c r="L140" s="30">
        <f>IF(OR($F140="",$I140=""),0,IFERROR(INDEX(Nutrition!$F$2:$F$300,MATCH($F140,Nutrition!$A$2:$A$300,0))*$I140/100,0))</f>
        <v>0</v>
      </c>
      <c r="M140" s="30">
        <f>IF(OR($F140="",$I140=""),0,IFERROR(INDEX(Nutrition!$G$2:$G$300,MATCH($F140,Nutrition!$A$2:$A$300,0))*$I140/100,0))</f>
        <v>0</v>
      </c>
      <c r="N140" s="30">
        <f>IF(OR($F140="",$I140=""),0,IFERROR(INDEX(Nutrition!$H$2:$H$300,MATCH($F140,Nutrition!$A$2:$A$300,0))*$I140/100,0))</f>
        <v>0</v>
      </c>
      <c r="O140" s="30">
        <f>IF(OR($F140="",$I140=""),0,IFERROR(INDEX(Nutrition!$I$2:$I$300,MATCH($F140,Nutrition!$A$2:$A$300,0))*$I140/100,0))</f>
        <v>0</v>
      </c>
      <c r="P140" s="30">
        <f>IF(OR($F140="",$I140=""),0,IFERROR(INDEX(Nutrition!$J$2:$J$300,MATCH($F140,Nutrition!$A$2:$A$300,0))*$I140/100,0))</f>
        <v>0</v>
      </c>
      <c r="Q140" s="30">
        <f>IF(OR($F140="",$I140=""),0,IFERROR(INDEX(Nutrition!$K$2:$K$300,MATCH($F140,Nutrition!$A$2:$A$300,0))*$I140/100,0))</f>
        <v>0</v>
      </c>
      <c r="R140" s="30">
        <f>IF(OR($F140="",$I140=""),0,IFERROR(INDEX(Nutrition!$L$2:$L$300,MATCH($F140,Nutrition!$A$2:$A$300,0))*$I140/100,0))</f>
        <v>0</v>
      </c>
      <c r="S140" s="30">
        <f>IF(OR($F140="",$I140=""),0,IFERROR(INDEX(Nutrition!$M$2:$M$300,MATCH($F140,Nutrition!$A$2:$A$300,0))*$I140/100,0))</f>
        <v>0</v>
      </c>
    </row>
    <row r="141" spans="1:19" ht="15" customHeight="1" x14ac:dyDescent="0.25">
      <c r="A141" s="22" t="s">
        <v>1178</v>
      </c>
      <c r="B141" s="33" t="str">
        <f>IFERROR(INDEX(Recipes!$B$2:$B$500,MATCH(A141,Recipes!$A$2:$A$500,0)),"")</f>
        <v>Lighter Chicken Caesar Salad</v>
      </c>
      <c r="C141" s="7" t="s">
        <v>2818</v>
      </c>
      <c r="D141" s="34">
        <v>1</v>
      </c>
      <c r="E141" s="22" t="s">
        <v>2759</v>
      </c>
      <c r="F141" s="22"/>
      <c r="G141" s="22" t="s">
        <v>2749</v>
      </c>
      <c r="H141" s="7"/>
      <c r="I141" s="35"/>
      <c r="J141" s="30">
        <f>IF(OR($F141="",$I141=""),0,IFERROR(INDEX(Nutrition!$D$2:$D$300,MATCH($F141,Nutrition!$A$2:$A$300,0))*$I141/100,0))</f>
        <v>0</v>
      </c>
      <c r="K141" s="30">
        <f>IF(OR($F141="",$I141=""),0,IFERROR(INDEX(Nutrition!$E$2:$E$300,MATCH($F141,Nutrition!$A$2:$A$300,0))*$I141/100,0))</f>
        <v>0</v>
      </c>
      <c r="L141" s="30">
        <f>IF(OR($F141="",$I141=""),0,IFERROR(INDEX(Nutrition!$F$2:$F$300,MATCH($F141,Nutrition!$A$2:$A$300,0))*$I141/100,0))</f>
        <v>0</v>
      </c>
      <c r="M141" s="30">
        <f>IF(OR($F141="",$I141=""),0,IFERROR(INDEX(Nutrition!$G$2:$G$300,MATCH($F141,Nutrition!$A$2:$A$300,0))*$I141/100,0))</f>
        <v>0</v>
      </c>
      <c r="N141" s="30">
        <f>IF(OR($F141="",$I141=""),0,IFERROR(INDEX(Nutrition!$H$2:$H$300,MATCH($F141,Nutrition!$A$2:$A$300,0))*$I141/100,0))</f>
        <v>0</v>
      </c>
      <c r="O141" s="30">
        <f>IF(OR($F141="",$I141=""),0,IFERROR(INDEX(Nutrition!$I$2:$I$300,MATCH($F141,Nutrition!$A$2:$A$300,0))*$I141/100,0))</f>
        <v>0</v>
      </c>
      <c r="P141" s="30">
        <f>IF(OR($F141="",$I141=""),0,IFERROR(INDEX(Nutrition!$J$2:$J$300,MATCH($F141,Nutrition!$A$2:$A$300,0))*$I141/100,0))</f>
        <v>0</v>
      </c>
      <c r="Q141" s="30">
        <f>IF(OR($F141="",$I141=""),0,IFERROR(INDEX(Nutrition!$K$2:$K$300,MATCH($F141,Nutrition!$A$2:$A$300,0))*$I141/100,0))</f>
        <v>0</v>
      </c>
      <c r="R141" s="30">
        <f>IF(OR($F141="",$I141=""),0,IFERROR(INDEX(Nutrition!$L$2:$L$300,MATCH($F141,Nutrition!$A$2:$A$300,0))*$I141/100,0))</f>
        <v>0</v>
      </c>
      <c r="S141" s="30">
        <f>IF(OR($F141="",$I141=""),0,IFERROR(INDEX(Nutrition!$M$2:$M$300,MATCH($F141,Nutrition!$A$2:$A$300,0))*$I141/100,0))</f>
        <v>0</v>
      </c>
    </row>
    <row r="142" spans="1:19" ht="15" customHeight="1" x14ac:dyDescent="0.25">
      <c r="A142" s="22" t="s">
        <v>1178</v>
      </c>
      <c r="B142" s="33" t="str">
        <f>IFERROR(INDEX(Recipes!$B$2:$B$500,MATCH(A142,Recipes!$A$2:$A$500,0)),"")</f>
        <v>Lighter Chicken Caesar Salad</v>
      </c>
      <c r="C142" s="7" t="s">
        <v>2819</v>
      </c>
      <c r="D142" s="34">
        <v>1</v>
      </c>
      <c r="E142" s="22" t="s">
        <v>2748</v>
      </c>
      <c r="F142" s="22"/>
      <c r="G142" s="22" t="s">
        <v>2749</v>
      </c>
      <c r="H142" s="7"/>
      <c r="I142" s="35"/>
      <c r="J142" s="30">
        <f>IF(OR($F142="",$I142=""),0,IFERROR(INDEX(Nutrition!$D$2:$D$300,MATCH($F142,Nutrition!$A$2:$A$300,0))*$I142/100,0))</f>
        <v>0</v>
      </c>
      <c r="K142" s="30">
        <f>IF(OR($F142="",$I142=""),0,IFERROR(INDEX(Nutrition!$E$2:$E$300,MATCH($F142,Nutrition!$A$2:$A$300,0))*$I142/100,0))</f>
        <v>0</v>
      </c>
      <c r="L142" s="30">
        <f>IF(OR($F142="",$I142=""),0,IFERROR(INDEX(Nutrition!$F$2:$F$300,MATCH($F142,Nutrition!$A$2:$A$300,0))*$I142/100,0))</f>
        <v>0</v>
      </c>
      <c r="M142" s="30">
        <f>IF(OR($F142="",$I142=""),0,IFERROR(INDEX(Nutrition!$G$2:$G$300,MATCH($F142,Nutrition!$A$2:$A$300,0))*$I142/100,0))</f>
        <v>0</v>
      </c>
      <c r="N142" s="30">
        <f>IF(OR($F142="",$I142=""),0,IFERROR(INDEX(Nutrition!$H$2:$H$300,MATCH($F142,Nutrition!$A$2:$A$300,0))*$I142/100,0))</f>
        <v>0</v>
      </c>
      <c r="O142" s="30">
        <f>IF(OR($F142="",$I142=""),0,IFERROR(INDEX(Nutrition!$I$2:$I$300,MATCH($F142,Nutrition!$A$2:$A$300,0))*$I142/100,0))</f>
        <v>0</v>
      </c>
      <c r="P142" s="30">
        <f>IF(OR($F142="",$I142=""),0,IFERROR(INDEX(Nutrition!$J$2:$J$300,MATCH($F142,Nutrition!$A$2:$A$300,0))*$I142/100,0))</f>
        <v>0</v>
      </c>
      <c r="Q142" s="30">
        <f>IF(OR($F142="",$I142=""),0,IFERROR(INDEX(Nutrition!$K$2:$K$300,MATCH($F142,Nutrition!$A$2:$A$300,0))*$I142/100,0))</f>
        <v>0</v>
      </c>
      <c r="R142" s="30">
        <f>IF(OR($F142="",$I142=""),0,IFERROR(INDEX(Nutrition!$L$2:$L$300,MATCH($F142,Nutrition!$A$2:$A$300,0))*$I142/100,0))</f>
        <v>0</v>
      </c>
      <c r="S142" s="30">
        <f>IF(OR($F142="",$I142=""),0,IFERROR(INDEX(Nutrition!$M$2:$M$300,MATCH($F142,Nutrition!$A$2:$A$300,0))*$I142/100,0))</f>
        <v>0</v>
      </c>
    </row>
    <row r="143" spans="1:19" ht="15" customHeight="1" x14ac:dyDescent="0.25">
      <c r="A143" s="22" t="s">
        <v>1178</v>
      </c>
      <c r="B143" s="33" t="str">
        <f>IFERROR(INDEX(Recipes!$B$2:$B$500,MATCH(A143,Recipes!$A$2:$A$500,0)),"")</f>
        <v>Lighter Chicken Caesar Salad</v>
      </c>
      <c r="C143" s="7" t="s">
        <v>2805</v>
      </c>
      <c r="D143" s="34">
        <v>1</v>
      </c>
      <c r="E143" s="22" t="s">
        <v>2753</v>
      </c>
      <c r="F143" s="22"/>
      <c r="G143" s="22" t="s">
        <v>2773</v>
      </c>
      <c r="H143" s="7"/>
      <c r="I143" s="35"/>
      <c r="J143" s="30">
        <f>IF(OR($F143="",$I143=""),0,IFERROR(INDEX(Nutrition!$D$2:$D$300,MATCH($F143,Nutrition!$A$2:$A$300,0))*$I143/100,0))</f>
        <v>0</v>
      </c>
      <c r="K143" s="30">
        <f>IF(OR($F143="",$I143=""),0,IFERROR(INDEX(Nutrition!$E$2:$E$300,MATCH($F143,Nutrition!$A$2:$A$300,0))*$I143/100,0))</f>
        <v>0</v>
      </c>
      <c r="L143" s="30">
        <f>IF(OR($F143="",$I143=""),0,IFERROR(INDEX(Nutrition!$F$2:$F$300,MATCH($F143,Nutrition!$A$2:$A$300,0))*$I143/100,0))</f>
        <v>0</v>
      </c>
      <c r="M143" s="30">
        <f>IF(OR($F143="",$I143=""),0,IFERROR(INDEX(Nutrition!$G$2:$G$300,MATCH($F143,Nutrition!$A$2:$A$300,0))*$I143/100,0))</f>
        <v>0</v>
      </c>
      <c r="N143" s="30">
        <f>IF(OR($F143="",$I143=""),0,IFERROR(INDEX(Nutrition!$H$2:$H$300,MATCH($F143,Nutrition!$A$2:$A$300,0))*$I143/100,0))</f>
        <v>0</v>
      </c>
      <c r="O143" s="30">
        <f>IF(OR($F143="",$I143=""),0,IFERROR(INDEX(Nutrition!$I$2:$I$300,MATCH($F143,Nutrition!$A$2:$A$300,0))*$I143/100,0))</f>
        <v>0</v>
      </c>
      <c r="P143" s="30">
        <f>IF(OR($F143="",$I143=""),0,IFERROR(INDEX(Nutrition!$J$2:$J$300,MATCH($F143,Nutrition!$A$2:$A$300,0))*$I143/100,0))</f>
        <v>0</v>
      </c>
      <c r="Q143" s="30">
        <f>IF(OR($F143="",$I143=""),0,IFERROR(INDEX(Nutrition!$K$2:$K$300,MATCH($F143,Nutrition!$A$2:$A$300,0))*$I143/100,0))</f>
        <v>0</v>
      </c>
      <c r="R143" s="30">
        <f>IF(OR($F143="",$I143=""),0,IFERROR(INDEX(Nutrition!$L$2:$L$300,MATCH($F143,Nutrition!$A$2:$A$300,0))*$I143/100,0))</f>
        <v>0</v>
      </c>
      <c r="S143" s="30">
        <f>IF(OR($F143="",$I143=""),0,IFERROR(INDEX(Nutrition!$M$2:$M$300,MATCH($F143,Nutrition!$A$2:$A$300,0))*$I143/100,0))</f>
        <v>0</v>
      </c>
    </row>
    <row r="144" spans="1:19" ht="15" customHeight="1" x14ac:dyDescent="0.25">
      <c r="A144" s="22" t="s">
        <v>1189</v>
      </c>
      <c r="B144" s="33" t="str">
        <f>IFERROR(INDEX(Recipes!$B$2:$B$500,MATCH(A144,Recipes!$A$2:$A$500,0)),"")</f>
        <v>Crunchy Groundnut Cabbage Slaw</v>
      </c>
      <c r="C144" s="7" t="s">
        <v>537</v>
      </c>
      <c r="D144" s="34">
        <v>0.25</v>
      </c>
      <c r="E144" s="22" t="s">
        <v>2808</v>
      </c>
      <c r="F144" s="22" t="s">
        <v>536</v>
      </c>
      <c r="G144" s="22" t="s">
        <v>2755</v>
      </c>
      <c r="H144" s="7"/>
      <c r="I144" s="35">
        <v>227</v>
      </c>
      <c r="J144" s="30">
        <f>IF(OR($F144="",$I144=""),0,IFERROR(INDEX(Nutrition!$D$2:$D$300,MATCH($F144,Nutrition!$A$2:$A$300,0))*$I144/100,0))</f>
        <v>5.6749999999999998</v>
      </c>
      <c r="K144" s="30">
        <f>IF(OR($F144="",$I144=""),0,IFERROR(INDEX(Nutrition!$E$2:$E$300,MATCH($F144,Nutrition!$A$2:$A$300,0))*$I144/100,0))</f>
        <v>83.082000000000008</v>
      </c>
      <c r="L144" s="30">
        <f>IF(OR($F144="",$I144=""),0,IFERROR(INDEX(Nutrition!$F$2:$F$300,MATCH($F144,Nutrition!$A$2:$A$300,0))*$I144/100,0))</f>
        <v>11.35</v>
      </c>
      <c r="M144" s="30">
        <f>IF(OR($F144="",$I144=""),0,IFERROR(INDEX(Nutrition!$G$2:$G$300,MATCH($F144,Nutrition!$A$2:$A$300,0))*$I144/100,0))</f>
        <v>172.52</v>
      </c>
      <c r="N144" s="30">
        <f>IF(OR($F144="",$I144=""),0,IFERROR(INDEX(Nutrition!$H$2:$H$300,MATCH($F144,Nutrition!$A$2:$A$300,0))*$I144/100,0))</f>
        <v>97.61</v>
      </c>
      <c r="O144" s="30">
        <f>IF(OR($F144="",$I144=""),0,IFERROR(INDEX(Nutrition!$I$2:$I$300,MATCH($F144,Nutrition!$A$2:$A$300,0))*$I144/100,0))</f>
        <v>385.9</v>
      </c>
      <c r="P144" s="30">
        <f>IF(OR($F144="",$I144=""),0,IFERROR(INDEX(Nutrition!$J$2:$J$300,MATCH($F144,Nutrition!$A$2:$A$300,0))*$I144/100,0))</f>
        <v>0.34049999999999997</v>
      </c>
      <c r="Q144" s="30">
        <f>IF(OR($F144="",$I144=""),0,IFERROR(INDEX(Nutrition!$K$2:$K$300,MATCH($F144,Nutrition!$A$2:$A$300,0))*$I144/100,0))</f>
        <v>0.28148000000000001</v>
      </c>
      <c r="R144" s="30">
        <f>IF(OR($F144="",$I144=""),0,IFERROR(INDEX(Nutrition!$L$2:$L$300,MATCH($F144,Nutrition!$A$2:$A$300,0))*$I144/100,0))</f>
        <v>27.24</v>
      </c>
      <c r="S144" s="30">
        <f>IF(OR($F144="",$I144=""),0,IFERROR(INDEX(Nutrition!$M$2:$M$300,MATCH($F144,Nutrition!$A$2:$A$300,0))*$I144/100,0))</f>
        <v>1.0669</v>
      </c>
    </row>
    <row r="145" spans="1:19" ht="15" customHeight="1" x14ac:dyDescent="0.25">
      <c r="A145" s="22" t="s">
        <v>1189</v>
      </c>
      <c r="B145" s="33" t="str">
        <f>IFERROR(INDEX(Recipes!$B$2:$B$500,MATCH(A145,Recipes!$A$2:$A$500,0)),"")</f>
        <v>Crunchy Groundnut Cabbage Slaw</v>
      </c>
      <c r="C145" s="7" t="s">
        <v>544</v>
      </c>
      <c r="D145" s="34">
        <v>0.25</v>
      </c>
      <c r="E145" s="22" t="s">
        <v>2808</v>
      </c>
      <c r="F145" s="22" t="s">
        <v>543</v>
      </c>
      <c r="G145" s="22" t="s">
        <v>2755</v>
      </c>
      <c r="H145" s="7"/>
      <c r="I145" s="35">
        <v>225</v>
      </c>
      <c r="J145" s="30">
        <f>IF(OR($F145="",$I145=""),0,IFERROR(INDEX(Nutrition!$D$2:$D$300,MATCH($F145,Nutrition!$A$2:$A$300,0))*$I145/100,0))</f>
        <v>4.7249999999999996</v>
      </c>
      <c r="K145" s="30">
        <f>IF(OR($F145="",$I145=""),0,IFERROR(INDEX(Nutrition!$E$2:$E$300,MATCH($F145,Nutrition!$A$2:$A$300,0))*$I145/100,0))</f>
        <v>128.25</v>
      </c>
      <c r="L145" s="30">
        <f>IF(OR($F145="",$I145=""),0,IFERROR(INDEX(Nutrition!$F$2:$F$300,MATCH($F145,Nutrition!$A$2:$A$300,0))*$I145/100,0))</f>
        <v>126</v>
      </c>
      <c r="M145" s="30">
        <f>IF(OR($F145="",$I145=""),0,IFERROR(INDEX(Nutrition!$G$2:$G$300,MATCH($F145,Nutrition!$A$2:$A$300,0))*$I145/100,0))</f>
        <v>85.95</v>
      </c>
      <c r="N145" s="30">
        <f>IF(OR($F145="",$I145=""),0,IFERROR(INDEX(Nutrition!$H$2:$H$300,MATCH($F145,Nutrition!$A$2:$A$300,0))*$I145/100,0))</f>
        <v>40.5</v>
      </c>
      <c r="O145" s="30">
        <f>IF(OR($F145="",$I145=""),0,IFERROR(INDEX(Nutrition!$I$2:$I$300,MATCH($F145,Nutrition!$A$2:$A$300,0))*$I145/100,0))</f>
        <v>546.75</v>
      </c>
      <c r="P145" s="30">
        <f>IF(OR($F145="",$I145=""),0,IFERROR(INDEX(Nutrition!$J$2:$J$300,MATCH($F145,Nutrition!$A$2:$A$300,0))*$I145/100,0))</f>
        <v>0.2475</v>
      </c>
      <c r="Q145" s="30">
        <f>IF(OR($F145="",$I145=""),0,IFERROR(INDEX(Nutrition!$K$2:$K$300,MATCH($F145,Nutrition!$A$2:$A$300,0))*$I145/100,0))</f>
        <v>0.47025</v>
      </c>
      <c r="R145" s="30">
        <f>IF(OR($F145="",$I145=""),0,IFERROR(INDEX(Nutrition!$L$2:$L$300,MATCH($F145,Nutrition!$A$2:$A$300,0))*$I145/100,0))</f>
        <v>36</v>
      </c>
      <c r="S145" s="30">
        <f>IF(OR($F145="",$I145=""),0,IFERROR(INDEX(Nutrition!$M$2:$M$300,MATCH($F145,Nutrition!$A$2:$A$300,0))*$I145/100,0))</f>
        <v>1.8</v>
      </c>
    </row>
    <row r="146" spans="1:19" ht="15" customHeight="1" x14ac:dyDescent="0.25">
      <c r="A146" s="22" t="s">
        <v>1189</v>
      </c>
      <c r="B146" s="33" t="str">
        <f>IFERROR(INDEX(Recipes!$B$2:$B$500,MATCH(A146,Recipes!$A$2:$A$500,0)),"")</f>
        <v>Crunchy Groundnut Cabbage Slaw</v>
      </c>
      <c r="C146" s="7" t="s">
        <v>529</v>
      </c>
      <c r="D146" s="34">
        <v>2</v>
      </c>
      <c r="E146" s="22" t="s">
        <v>2754</v>
      </c>
      <c r="F146" s="22" t="s">
        <v>528</v>
      </c>
      <c r="G146" s="22" t="s">
        <v>2755</v>
      </c>
      <c r="H146" s="7"/>
      <c r="I146" s="35">
        <v>122</v>
      </c>
      <c r="J146" s="30">
        <f>IF(OR($F146="",$I146=""),0,IFERROR(INDEX(Nutrition!$D$2:$D$300,MATCH($F146,Nutrition!$A$2:$A$300,0))*$I146/100,0))</f>
        <v>3.4159999999999995</v>
      </c>
      <c r="K146" s="30">
        <f>IF(OR($F146="",$I146=""),0,IFERROR(INDEX(Nutrition!$E$2:$E$300,MATCH($F146,Nutrition!$A$2:$A$300,0))*$I146/100,0))</f>
        <v>7.1980000000000004</v>
      </c>
      <c r="L146" s="30">
        <f>IF(OR($F146="",$I146=""),0,IFERROR(INDEX(Nutrition!$F$2:$F$300,MATCH($F146,Nutrition!$A$2:$A$300,0))*$I146/100,0))</f>
        <v>1018.7</v>
      </c>
      <c r="M146" s="30">
        <f>IF(OR($F146="",$I146=""),0,IFERROR(INDEX(Nutrition!$G$2:$G$300,MATCH($F146,Nutrition!$A$2:$A$300,0))*$I146/100,0))</f>
        <v>16.103999999999999</v>
      </c>
      <c r="N146" s="30">
        <f>IF(OR($F146="",$I146=""),0,IFERROR(INDEX(Nutrition!$H$2:$H$300,MATCH($F146,Nutrition!$A$2:$A$300,0))*$I146/100,0))</f>
        <v>23.18</v>
      </c>
      <c r="O146" s="30">
        <f>IF(OR($F146="",$I146=""),0,IFERROR(INDEX(Nutrition!$I$2:$I$300,MATCH($F146,Nutrition!$A$2:$A$300,0))*$I146/100,0))</f>
        <v>390.4</v>
      </c>
      <c r="P146" s="30">
        <f>IF(OR($F146="",$I146=""),0,IFERROR(INDEX(Nutrition!$J$2:$J$300,MATCH($F146,Nutrition!$A$2:$A$300,0))*$I146/100,0))</f>
        <v>0.80520000000000014</v>
      </c>
      <c r="Q146" s="30">
        <f>IF(OR($F146="",$I146=""),0,IFERROR(INDEX(Nutrition!$K$2:$K$300,MATCH($F146,Nutrition!$A$2:$A$300,0))*$I146/100,0))</f>
        <v>0.16836000000000001</v>
      </c>
      <c r="R146" s="30">
        <f>IF(OR($F146="",$I146=""),0,IFERROR(INDEX(Nutrition!$L$2:$L$300,MATCH($F146,Nutrition!$A$2:$A$300,0))*$I146/100,0))</f>
        <v>14.64</v>
      </c>
      <c r="S146" s="30">
        <f>IF(OR($F146="",$I146=""),0,IFERROR(INDEX(Nutrition!$M$2:$M$300,MATCH($F146,Nutrition!$A$2:$A$300,0))*$I146/100,0))</f>
        <v>0.36599999999999999</v>
      </c>
    </row>
    <row r="147" spans="1:19" ht="15" customHeight="1" x14ac:dyDescent="0.25">
      <c r="A147" s="22" t="s">
        <v>1189</v>
      </c>
      <c r="B147" s="33" t="str">
        <f>IFERROR(INDEX(Recipes!$B$2:$B$500,MATCH(A147,Recipes!$A$2:$A$500,0)),"")</f>
        <v>Crunchy Groundnut Cabbage Slaw</v>
      </c>
      <c r="C147" s="7" t="s">
        <v>490</v>
      </c>
      <c r="D147" s="34">
        <v>2</v>
      </c>
      <c r="E147" s="22" t="s">
        <v>2820</v>
      </c>
      <c r="F147" s="22" t="s">
        <v>489</v>
      </c>
      <c r="G147" s="22" t="s">
        <v>2755</v>
      </c>
      <c r="H147" s="7"/>
      <c r="I147" s="35">
        <v>30</v>
      </c>
      <c r="J147" s="30">
        <f>IF(OR($F147="",$I147=""),0,IFERROR(INDEX(Nutrition!$D$2:$D$300,MATCH($F147,Nutrition!$A$2:$A$300,0))*$I147/100,0))</f>
        <v>0.78</v>
      </c>
      <c r="K147" s="30">
        <f>IF(OR($F147="",$I147=""),0,IFERROR(INDEX(Nutrition!$E$2:$E$300,MATCH($F147,Nutrition!$A$2:$A$300,0))*$I147/100,0))</f>
        <v>5.64</v>
      </c>
      <c r="L147" s="30">
        <f>IF(OR($F147="",$I147=""),0,IFERROR(INDEX(Nutrition!$F$2:$F$300,MATCH($F147,Nutrition!$A$2:$A$300,0))*$I147/100,0))</f>
        <v>15</v>
      </c>
      <c r="M147" s="30">
        <f>IF(OR($F147="",$I147=""),0,IFERROR(INDEX(Nutrition!$G$2:$G$300,MATCH($F147,Nutrition!$A$2:$A$300,0))*$I147/100,0))</f>
        <v>62.1</v>
      </c>
      <c r="N147" s="30">
        <f>IF(OR($F147="",$I147=""),0,IFERROR(INDEX(Nutrition!$H$2:$H$300,MATCH($F147,Nutrition!$A$2:$A$300,0))*$I147/100,0))</f>
        <v>19.2</v>
      </c>
      <c r="O147" s="30">
        <f>IF(OR($F147="",$I147=""),0,IFERROR(INDEX(Nutrition!$I$2:$I$300,MATCH($F147,Nutrition!$A$2:$A$300,0))*$I147/100,0))</f>
        <v>82.8</v>
      </c>
      <c r="P147" s="30">
        <f>IF(OR($F147="",$I147=""),0,IFERROR(INDEX(Nutrition!$J$2:$J$300,MATCH($F147,Nutrition!$A$2:$A$300,0))*$I147/100,0))</f>
        <v>0.16500000000000001</v>
      </c>
      <c r="Q147" s="30">
        <f>IF(OR($F147="",$I147=""),0,IFERROR(INDEX(Nutrition!$K$2:$K$300,MATCH($F147,Nutrition!$A$2:$A$300,0))*$I147/100,0))</f>
        <v>1.83E-2</v>
      </c>
      <c r="R147" s="30">
        <f>IF(OR($F147="",$I147=""),0,IFERROR(INDEX(Nutrition!$L$2:$L$300,MATCH($F147,Nutrition!$A$2:$A$300,0))*$I147/100,0))</f>
        <v>6</v>
      </c>
      <c r="S147" s="30">
        <f>IF(OR($F147="",$I147=""),0,IFERROR(INDEX(Nutrition!$M$2:$M$300,MATCH($F147,Nutrition!$A$2:$A$300,0))*$I147/100,0))</f>
        <v>0.44400000000000001</v>
      </c>
    </row>
    <row r="148" spans="1:19" ht="15" customHeight="1" x14ac:dyDescent="0.25">
      <c r="A148" s="22" t="s">
        <v>1189</v>
      </c>
      <c r="B148" s="33" t="str">
        <f>IFERROR(INDEX(Recipes!$B$2:$B$500,MATCH(A148,Recipes!$A$2:$A$500,0)),"")</f>
        <v>Crunchy Groundnut Cabbage Slaw</v>
      </c>
      <c r="C148" s="7" t="s">
        <v>668</v>
      </c>
      <c r="D148" s="34">
        <v>1</v>
      </c>
      <c r="E148" s="22" t="s">
        <v>2809</v>
      </c>
      <c r="F148" s="22" t="s">
        <v>667</v>
      </c>
      <c r="G148" s="22" t="s">
        <v>2755</v>
      </c>
      <c r="H148" s="7"/>
      <c r="I148" s="35">
        <v>30</v>
      </c>
      <c r="J148" s="30">
        <f>IF(OR($F148="",$I148=""),0,IFERROR(INDEX(Nutrition!$D$2:$D$300,MATCH($F148,Nutrition!$A$2:$A$300,0))*$I148/100,0))</f>
        <v>0.84</v>
      </c>
      <c r="K148" s="30">
        <f>IF(OR($F148="",$I148=""),0,IFERROR(INDEX(Nutrition!$E$2:$E$300,MATCH($F148,Nutrition!$A$2:$A$300,0))*$I148/100,0))</f>
        <v>8.1</v>
      </c>
      <c r="L148" s="30">
        <f>IF(OR($F148="",$I148=""),0,IFERROR(INDEX(Nutrition!$F$2:$F$300,MATCH($F148,Nutrition!$A$2:$A$300,0))*$I148/100,0))</f>
        <v>101.1</v>
      </c>
      <c r="M148" s="30">
        <f>IF(OR($F148="",$I148=""),0,IFERROR(INDEX(Nutrition!$G$2:$G$300,MATCH($F148,Nutrition!$A$2:$A$300,0))*$I148/100,0))</f>
        <v>93</v>
      </c>
      <c r="N148" s="30">
        <f>IF(OR($F148="",$I148=""),0,IFERROR(INDEX(Nutrition!$H$2:$H$300,MATCH($F148,Nutrition!$A$2:$A$300,0))*$I148/100,0))</f>
        <v>18.600000000000001</v>
      </c>
      <c r="O148" s="30">
        <f>IF(OR($F148="",$I148=""),0,IFERROR(INDEX(Nutrition!$I$2:$I$300,MATCH($F148,Nutrition!$A$2:$A$300,0))*$I148/100,0))</f>
        <v>156.30000000000001</v>
      </c>
      <c r="P148" s="30">
        <f>IF(OR($F148="",$I148=""),0,IFERROR(INDEX(Nutrition!$J$2:$J$300,MATCH($F148,Nutrition!$A$2:$A$300,0))*$I148/100,0))</f>
        <v>0.75</v>
      </c>
      <c r="Q148" s="30">
        <f>IF(OR($F148="",$I148=""),0,IFERROR(INDEX(Nutrition!$K$2:$K$300,MATCH($F148,Nutrition!$A$2:$A$300,0))*$I148/100,0))</f>
        <v>4.4699999999999997E-2</v>
      </c>
      <c r="R148" s="30">
        <f>IF(OR($F148="",$I148=""),0,IFERROR(INDEX(Nutrition!$L$2:$L$300,MATCH($F148,Nutrition!$A$2:$A$300,0))*$I148/100,0))</f>
        <v>7.8</v>
      </c>
      <c r="S148" s="30">
        <f>IF(OR($F148="",$I148=""),0,IFERROR(INDEX(Nutrition!$M$2:$M$300,MATCH($F148,Nutrition!$A$2:$A$300,0))*$I148/100,0))</f>
        <v>0.53100000000000003</v>
      </c>
    </row>
    <row r="149" spans="1:19" ht="15" customHeight="1" x14ac:dyDescent="0.25">
      <c r="A149" s="22" t="s">
        <v>1189</v>
      </c>
      <c r="B149" s="33" t="str">
        <f>IFERROR(INDEX(Recipes!$B$2:$B$500,MATCH(A149,Recipes!$A$2:$A$500,0)),"")</f>
        <v>Crunchy Groundnut Cabbage Slaw</v>
      </c>
      <c r="C149" s="7" t="s">
        <v>428</v>
      </c>
      <c r="D149" s="34">
        <v>0.5</v>
      </c>
      <c r="E149" s="22" t="s">
        <v>2748</v>
      </c>
      <c r="F149" s="22" t="s">
        <v>427</v>
      </c>
      <c r="G149" s="22" t="s">
        <v>2755</v>
      </c>
      <c r="H149" s="7" t="s">
        <v>2800</v>
      </c>
      <c r="I149" s="35">
        <v>73</v>
      </c>
      <c r="J149" s="30">
        <f>IF(OR($F149="",$I149=""),0,IFERROR(INDEX(Nutrition!$D$2:$D$300,MATCH($F149,Nutrition!$A$2:$A$300,0))*$I149/100,0))</f>
        <v>6.2050000000000001</v>
      </c>
      <c r="K149" s="30">
        <f>IF(OR($F149="",$I149=""),0,IFERROR(INDEX(Nutrition!$E$2:$E$300,MATCH($F149,Nutrition!$A$2:$A$300,0))*$I149/100,0))</f>
        <v>0</v>
      </c>
      <c r="L149" s="30">
        <f>IF(OR($F149="",$I149=""),0,IFERROR(INDEX(Nutrition!$F$2:$F$300,MATCH($F149,Nutrition!$A$2:$A$300,0))*$I149/100,0))</f>
        <v>0</v>
      </c>
      <c r="M149" s="30">
        <f>IF(OR($F149="",$I149=""),0,IFERROR(INDEX(Nutrition!$G$2:$G$300,MATCH($F149,Nutrition!$A$2:$A$300,0))*$I149/100,0))</f>
        <v>0</v>
      </c>
      <c r="N149" s="30">
        <f>IF(OR($F149="",$I149=""),0,IFERROR(INDEX(Nutrition!$H$2:$H$300,MATCH($F149,Nutrition!$A$2:$A$300,0))*$I149/100,0))</f>
        <v>175.2</v>
      </c>
      <c r="O149" s="30">
        <f>IF(OR($F149="",$I149=""),0,IFERROR(INDEX(Nutrition!$I$2:$I$300,MATCH($F149,Nutrition!$A$2:$A$300,0))*$I149/100,0))</f>
        <v>514.65</v>
      </c>
      <c r="P149" s="30">
        <f>IF(OR($F149="",$I149=""),0,IFERROR(INDEX(Nutrition!$J$2:$J$300,MATCH($F149,Nutrition!$A$2:$A$300,0))*$I149/100,0))</f>
        <v>6.0809000000000006</v>
      </c>
      <c r="Q149" s="30">
        <f>IF(OR($F149="",$I149=""),0,IFERROR(INDEX(Nutrition!$K$2:$K$300,MATCH($F149,Nutrition!$A$2:$A$300,0))*$I149/100,0))</f>
        <v>0.25403999999999999</v>
      </c>
      <c r="R149" s="30">
        <f>IF(OR($F149="",$I149=""),0,IFERROR(INDEX(Nutrition!$L$2:$L$300,MATCH($F149,Nutrition!$A$2:$A$300,0))*$I149/100,0))</f>
        <v>122.64</v>
      </c>
      <c r="S149" s="30">
        <f>IF(OR($F149="",$I149=""),0,IFERROR(INDEX(Nutrition!$M$2:$M$300,MATCH($F149,Nutrition!$A$2:$A$300,0))*$I149/100,0))</f>
        <v>3.3434000000000004</v>
      </c>
    </row>
    <row r="150" spans="1:19" ht="15" customHeight="1" x14ac:dyDescent="0.25">
      <c r="A150" s="22" t="s">
        <v>1189</v>
      </c>
      <c r="B150" s="33" t="str">
        <f>IFERROR(INDEX(Recipes!$B$2:$B$500,MATCH(A150,Recipes!$A$2:$A$500,0)),"")</f>
        <v>Crunchy Groundnut Cabbage Slaw</v>
      </c>
      <c r="C150" s="7" t="s">
        <v>213</v>
      </c>
      <c r="D150" s="34">
        <v>2</v>
      </c>
      <c r="E150" s="22" t="s">
        <v>2754</v>
      </c>
      <c r="F150" s="22" t="s">
        <v>212</v>
      </c>
      <c r="G150" s="22" t="s">
        <v>2755</v>
      </c>
      <c r="H150" s="7"/>
      <c r="I150" s="35">
        <v>134</v>
      </c>
      <c r="J150" s="30">
        <f>IF(OR($F150="",$I150=""),0,IFERROR(INDEX(Nutrition!$D$2:$D$300,MATCH($F150,Nutrition!$A$2:$A$300,0))*$I150/100,0))</f>
        <v>3.7519999999999998</v>
      </c>
      <c r="K150" s="30">
        <f>IF(OR($F150="",$I150=""),0,IFERROR(INDEX(Nutrition!$E$2:$E$300,MATCH($F150,Nutrition!$A$2:$A$300,0))*$I150/100,0))</f>
        <v>38.994</v>
      </c>
      <c r="L150" s="30">
        <f>IF(OR($F150="",$I150=""),0,IFERROR(INDEX(Nutrition!$F$2:$F$300,MATCH($F150,Nutrition!$A$2:$A$300,0))*$I150/100,0))</f>
        <v>2.68</v>
      </c>
      <c r="M150" s="30">
        <f>IF(OR($F150="",$I150=""),0,IFERROR(INDEX(Nutrition!$G$2:$G$300,MATCH($F150,Nutrition!$A$2:$A$300,0))*$I150/100,0))</f>
        <v>0.80399999999999994</v>
      </c>
      <c r="N150" s="30">
        <f>IF(OR($F150="",$I150=""),0,IFERROR(INDEX(Nutrition!$H$2:$H$300,MATCH($F150,Nutrition!$A$2:$A$300,0))*$I150/100,0))</f>
        <v>10.72</v>
      </c>
      <c r="O150" s="30">
        <f>IF(OR($F150="",$I150=""),0,IFERROR(INDEX(Nutrition!$I$2:$I$300,MATCH($F150,Nutrition!$A$2:$A$300,0))*$I150/100,0))</f>
        <v>136.68</v>
      </c>
      <c r="P150" s="30">
        <f>IF(OR($F150="",$I150=""),0,IFERROR(INDEX(Nutrition!$J$2:$J$300,MATCH($F150,Nutrition!$A$2:$A$300,0))*$I150/100,0))</f>
        <v>0.29480000000000001</v>
      </c>
      <c r="Q150" s="30">
        <f>IF(OR($F150="",$I150=""),0,IFERROR(INDEX(Nutrition!$K$2:$K$300,MATCH($F150,Nutrition!$A$2:$A$300,0))*$I150/100,0))</f>
        <v>5.7619999999999998E-2</v>
      </c>
      <c r="R150" s="30">
        <f>IF(OR($F150="",$I150=""),0,IFERROR(INDEX(Nutrition!$L$2:$L$300,MATCH($F150,Nutrition!$A$2:$A$300,0))*$I150/100,0))</f>
        <v>8.0399999999999991</v>
      </c>
      <c r="S150" s="30">
        <f>IF(OR($F150="",$I150=""),0,IFERROR(INDEX(Nutrition!$M$2:$M$300,MATCH($F150,Nutrition!$A$2:$A$300,0))*$I150/100,0))</f>
        <v>0.80399999999999994</v>
      </c>
    </row>
    <row r="151" spans="1:19" ht="15" customHeight="1" x14ac:dyDescent="0.25">
      <c r="A151" s="22" t="s">
        <v>1189</v>
      </c>
      <c r="B151" s="33" t="str">
        <f>IFERROR(INDEX(Recipes!$B$2:$B$500,MATCH(A151,Recipes!$A$2:$A$500,0)),"")</f>
        <v>Crunchy Groundnut Cabbage Slaw</v>
      </c>
      <c r="C151" s="7" t="s">
        <v>508</v>
      </c>
      <c r="D151" s="34">
        <v>1</v>
      </c>
      <c r="E151" s="22" t="s">
        <v>2821</v>
      </c>
      <c r="F151" s="22" t="s">
        <v>507</v>
      </c>
      <c r="G151" s="22" t="s">
        <v>2755</v>
      </c>
      <c r="H151" s="7"/>
      <c r="I151" s="35">
        <v>15</v>
      </c>
      <c r="J151" s="30">
        <f>IF(OR($F151="",$I151=""),0,IFERROR(INDEX(Nutrition!$D$2:$D$300,MATCH($F151,Nutrition!$A$2:$A$300,0))*$I151/100,0))</f>
        <v>0.3</v>
      </c>
      <c r="K151" s="30">
        <f>IF(OR($F151="",$I151=""),0,IFERROR(INDEX(Nutrition!$E$2:$E$300,MATCH($F151,Nutrition!$A$2:$A$300,0))*$I151/100,0))</f>
        <v>0.75</v>
      </c>
      <c r="L151" s="30">
        <f>IF(OR($F151="",$I151=""),0,IFERROR(INDEX(Nutrition!$F$2:$F$300,MATCH($F151,Nutrition!$A$2:$A$300,0))*$I151/100,0))</f>
        <v>0</v>
      </c>
      <c r="M151" s="30">
        <f>IF(OR($F151="",$I151=""),0,IFERROR(INDEX(Nutrition!$G$2:$G$300,MATCH($F151,Nutrition!$A$2:$A$300,0))*$I151/100,0))</f>
        <v>1.4999999999999999E-2</v>
      </c>
      <c r="N151" s="30">
        <f>IF(OR($F151="",$I151=""),0,IFERROR(INDEX(Nutrition!$H$2:$H$300,MATCH($F151,Nutrition!$A$2:$A$300,0))*$I151/100,0))</f>
        <v>1.65</v>
      </c>
      <c r="O151" s="30">
        <f>IF(OR($F151="",$I151=""),0,IFERROR(INDEX(Nutrition!$I$2:$I$300,MATCH($F151,Nutrition!$A$2:$A$300,0))*$I151/100,0))</f>
        <v>62.25</v>
      </c>
      <c r="P151" s="30">
        <f>IF(OR($F151="",$I151=""),0,IFERROR(INDEX(Nutrition!$J$2:$J$300,MATCH($F151,Nutrition!$A$2:$A$300,0))*$I151/100,0))</f>
        <v>3.9000000000000007E-2</v>
      </c>
      <c r="Q151" s="30">
        <f>IF(OR($F151="",$I151=""),0,IFERROR(INDEX(Nutrition!$K$2:$K$300,MATCH($F151,Nutrition!$A$2:$A$300,0))*$I151/100,0))</f>
        <v>2.4E-2</v>
      </c>
      <c r="R151" s="30">
        <f>IF(OR($F151="",$I151=""),0,IFERROR(INDEX(Nutrition!$L$2:$L$300,MATCH($F151,Nutrition!$A$2:$A$300,0))*$I151/100,0))</f>
        <v>6.45</v>
      </c>
      <c r="S151" s="30">
        <f>IF(OR($F151="",$I151=""),0,IFERROR(INDEX(Nutrition!$M$2:$M$300,MATCH($F151,Nutrition!$A$2:$A$300,0))*$I151/100,0))</f>
        <v>0.09</v>
      </c>
    </row>
    <row r="152" spans="1:19" ht="15" customHeight="1" x14ac:dyDescent="0.25">
      <c r="A152" s="22" t="s">
        <v>1189</v>
      </c>
      <c r="B152" s="33" t="str">
        <f>IFERROR(INDEX(Recipes!$B$2:$B$500,MATCH(A152,Recipes!$A$2:$A$500,0)),"")</f>
        <v>Crunchy Groundnut Cabbage Slaw</v>
      </c>
      <c r="C152" s="7" t="s">
        <v>2822</v>
      </c>
      <c r="D152" s="34">
        <v>2</v>
      </c>
      <c r="E152" s="22" t="s">
        <v>2753</v>
      </c>
      <c r="F152" s="22"/>
      <c r="G152" s="22" t="s">
        <v>2749</v>
      </c>
      <c r="H152" s="7"/>
      <c r="I152" s="35"/>
      <c r="J152" s="30">
        <f>IF(OR($F152="",$I152=""),0,IFERROR(INDEX(Nutrition!$D$2:$D$300,MATCH($F152,Nutrition!$A$2:$A$300,0))*$I152/100,0))</f>
        <v>0</v>
      </c>
      <c r="K152" s="30">
        <f>IF(OR($F152="",$I152=""),0,IFERROR(INDEX(Nutrition!$E$2:$E$300,MATCH($F152,Nutrition!$A$2:$A$300,0))*$I152/100,0))</f>
        <v>0</v>
      </c>
      <c r="L152" s="30">
        <f>IF(OR($F152="",$I152=""),0,IFERROR(INDEX(Nutrition!$F$2:$F$300,MATCH($F152,Nutrition!$A$2:$A$300,0))*$I152/100,0))</f>
        <v>0</v>
      </c>
      <c r="M152" s="30">
        <f>IF(OR($F152="",$I152=""),0,IFERROR(INDEX(Nutrition!$G$2:$G$300,MATCH($F152,Nutrition!$A$2:$A$300,0))*$I152/100,0))</f>
        <v>0</v>
      </c>
      <c r="N152" s="30">
        <f>IF(OR($F152="",$I152=""),0,IFERROR(INDEX(Nutrition!$H$2:$H$300,MATCH($F152,Nutrition!$A$2:$A$300,0))*$I152/100,0))</f>
        <v>0</v>
      </c>
      <c r="O152" s="30">
        <f>IF(OR($F152="",$I152=""),0,IFERROR(INDEX(Nutrition!$I$2:$I$300,MATCH($F152,Nutrition!$A$2:$A$300,0))*$I152/100,0))</f>
        <v>0</v>
      </c>
      <c r="P152" s="30">
        <f>IF(OR($F152="",$I152=""),0,IFERROR(INDEX(Nutrition!$J$2:$J$300,MATCH($F152,Nutrition!$A$2:$A$300,0))*$I152/100,0))</f>
        <v>0</v>
      </c>
      <c r="Q152" s="30">
        <f>IF(OR($F152="",$I152=""),0,IFERROR(INDEX(Nutrition!$K$2:$K$300,MATCH($F152,Nutrition!$A$2:$A$300,0))*$I152/100,0))</f>
        <v>0</v>
      </c>
      <c r="R152" s="30">
        <f>IF(OR($F152="",$I152=""),0,IFERROR(INDEX(Nutrition!$L$2:$L$300,MATCH($F152,Nutrition!$A$2:$A$300,0))*$I152/100,0))</f>
        <v>0</v>
      </c>
      <c r="S152" s="30">
        <f>IF(OR($F152="",$I152=""),0,IFERROR(INDEX(Nutrition!$M$2:$M$300,MATCH($F152,Nutrition!$A$2:$A$300,0))*$I152/100,0))</f>
        <v>0</v>
      </c>
    </row>
    <row r="153" spans="1:19" ht="15" customHeight="1" x14ac:dyDescent="0.25">
      <c r="A153" s="22" t="s">
        <v>1189</v>
      </c>
      <c r="B153" s="33" t="str">
        <f>IFERROR(INDEX(Recipes!$B$2:$B$500,MATCH(A153,Recipes!$A$2:$A$500,0)),"")</f>
        <v>Crunchy Groundnut Cabbage Slaw</v>
      </c>
      <c r="C153" s="7" t="s">
        <v>2823</v>
      </c>
      <c r="D153" s="34">
        <v>1</v>
      </c>
      <c r="E153" s="22" t="s">
        <v>2753</v>
      </c>
      <c r="F153" s="22"/>
      <c r="G153" s="22" t="s">
        <v>2749</v>
      </c>
      <c r="H153" s="7"/>
      <c r="I153" s="35"/>
      <c r="J153" s="30">
        <f>IF(OR($F153="",$I153=""),0,IFERROR(INDEX(Nutrition!$D$2:$D$300,MATCH($F153,Nutrition!$A$2:$A$300,0))*$I153/100,0))</f>
        <v>0</v>
      </c>
      <c r="K153" s="30">
        <f>IF(OR($F153="",$I153=""),0,IFERROR(INDEX(Nutrition!$E$2:$E$300,MATCH($F153,Nutrition!$A$2:$A$300,0))*$I153/100,0))</f>
        <v>0</v>
      </c>
      <c r="L153" s="30">
        <f>IF(OR($F153="",$I153=""),0,IFERROR(INDEX(Nutrition!$F$2:$F$300,MATCH($F153,Nutrition!$A$2:$A$300,0))*$I153/100,0))</f>
        <v>0</v>
      </c>
      <c r="M153" s="30">
        <f>IF(OR($F153="",$I153=""),0,IFERROR(INDEX(Nutrition!$G$2:$G$300,MATCH($F153,Nutrition!$A$2:$A$300,0))*$I153/100,0))</f>
        <v>0</v>
      </c>
      <c r="N153" s="30">
        <f>IF(OR($F153="",$I153=""),0,IFERROR(INDEX(Nutrition!$H$2:$H$300,MATCH($F153,Nutrition!$A$2:$A$300,0))*$I153/100,0))</f>
        <v>0</v>
      </c>
      <c r="O153" s="30">
        <f>IF(OR($F153="",$I153=""),0,IFERROR(INDEX(Nutrition!$I$2:$I$300,MATCH($F153,Nutrition!$A$2:$A$300,0))*$I153/100,0))</f>
        <v>0</v>
      </c>
      <c r="P153" s="30">
        <f>IF(OR($F153="",$I153=""),0,IFERROR(INDEX(Nutrition!$J$2:$J$300,MATCH($F153,Nutrition!$A$2:$A$300,0))*$I153/100,0))</f>
        <v>0</v>
      </c>
      <c r="Q153" s="30">
        <f>IF(OR($F153="",$I153=""),0,IFERROR(INDEX(Nutrition!$K$2:$K$300,MATCH($F153,Nutrition!$A$2:$A$300,0))*$I153/100,0))</f>
        <v>0</v>
      </c>
      <c r="R153" s="30">
        <f>IF(OR($F153="",$I153=""),0,IFERROR(INDEX(Nutrition!$L$2:$L$300,MATCH($F153,Nutrition!$A$2:$A$300,0))*$I153/100,0))</f>
        <v>0</v>
      </c>
      <c r="S153" s="30">
        <f>IF(OR($F153="",$I153=""),0,IFERROR(INDEX(Nutrition!$M$2:$M$300,MATCH($F153,Nutrition!$A$2:$A$300,0))*$I153/100,0))</f>
        <v>0</v>
      </c>
    </row>
    <row r="154" spans="1:19" ht="15" customHeight="1" x14ac:dyDescent="0.25">
      <c r="A154" s="22" t="s">
        <v>1189</v>
      </c>
      <c r="B154" s="33" t="str">
        <f>IFERROR(INDEX(Recipes!$B$2:$B$500,MATCH(A154,Recipes!$A$2:$A$500,0)),"")</f>
        <v>Crunchy Groundnut Cabbage Slaw</v>
      </c>
      <c r="C154" s="7" t="s">
        <v>2758</v>
      </c>
      <c r="D154" s="34">
        <v>1</v>
      </c>
      <c r="E154" s="22" t="s">
        <v>2759</v>
      </c>
      <c r="F154" s="22"/>
      <c r="G154" s="22" t="s">
        <v>2749</v>
      </c>
      <c r="H154" s="7" t="s">
        <v>2824</v>
      </c>
      <c r="I154" s="35"/>
      <c r="J154" s="30">
        <f>IF(OR($F154="",$I154=""),0,IFERROR(INDEX(Nutrition!$D$2:$D$300,MATCH($F154,Nutrition!$A$2:$A$300,0))*$I154/100,0))</f>
        <v>0</v>
      </c>
      <c r="K154" s="30">
        <f>IF(OR($F154="",$I154=""),0,IFERROR(INDEX(Nutrition!$E$2:$E$300,MATCH($F154,Nutrition!$A$2:$A$300,0))*$I154/100,0))</f>
        <v>0</v>
      </c>
      <c r="L154" s="30">
        <f>IF(OR($F154="",$I154=""),0,IFERROR(INDEX(Nutrition!$F$2:$F$300,MATCH($F154,Nutrition!$A$2:$A$300,0))*$I154/100,0))</f>
        <v>0</v>
      </c>
      <c r="M154" s="30">
        <f>IF(OR($F154="",$I154=""),0,IFERROR(INDEX(Nutrition!$G$2:$G$300,MATCH($F154,Nutrition!$A$2:$A$300,0))*$I154/100,0))</f>
        <v>0</v>
      </c>
      <c r="N154" s="30">
        <f>IF(OR($F154="",$I154=""),0,IFERROR(INDEX(Nutrition!$H$2:$H$300,MATCH($F154,Nutrition!$A$2:$A$300,0))*$I154/100,0))</f>
        <v>0</v>
      </c>
      <c r="O154" s="30">
        <f>IF(OR($F154="",$I154=""),0,IFERROR(INDEX(Nutrition!$I$2:$I$300,MATCH($F154,Nutrition!$A$2:$A$300,0))*$I154/100,0))</f>
        <v>0</v>
      </c>
      <c r="P154" s="30">
        <f>IF(OR($F154="",$I154=""),0,IFERROR(INDEX(Nutrition!$J$2:$J$300,MATCH($F154,Nutrition!$A$2:$A$300,0))*$I154/100,0))</f>
        <v>0</v>
      </c>
      <c r="Q154" s="30">
        <f>IF(OR($F154="",$I154=""),0,IFERROR(INDEX(Nutrition!$K$2:$K$300,MATCH($F154,Nutrition!$A$2:$A$300,0))*$I154/100,0))</f>
        <v>0</v>
      </c>
      <c r="R154" s="30">
        <f>IF(OR($F154="",$I154=""),0,IFERROR(INDEX(Nutrition!$L$2:$L$300,MATCH($F154,Nutrition!$A$2:$A$300,0))*$I154/100,0))</f>
        <v>0</v>
      </c>
      <c r="S154" s="30">
        <f>IF(OR($F154="",$I154=""),0,IFERROR(INDEX(Nutrition!$M$2:$M$300,MATCH($F154,Nutrition!$A$2:$A$300,0))*$I154/100,0))</f>
        <v>0</v>
      </c>
    </row>
    <row r="155" spans="1:19" ht="15" customHeight="1" x14ac:dyDescent="0.25">
      <c r="A155" s="22" t="s">
        <v>1203</v>
      </c>
      <c r="B155" s="33" t="str">
        <f>IFERROR(INDEX(Recipes!$B$2:$B$500,MATCH(A155,Recipes!$A$2:$A$500,0)),"")</f>
        <v>Greek Salad with Wara</v>
      </c>
      <c r="C155" s="7" t="s">
        <v>446</v>
      </c>
      <c r="D155" s="34">
        <v>3</v>
      </c>
      <c r="E155" s="22" t="s">
        <v>2754</v>
      </c>
      <c r="F155" s="22" t="s">
        <v>445</v>
      </c>
      <c r="G155" s="22" t="s">
        <v>2755</v>
      </c>
      <c r="H155" s="7"/>
      <c r="I155" s="35">
        <v>186</v>
      </c>
      <c r="J155" s="30">
        <f>IF(OR($F155="",$I155=""),0,IFERROR(INDEX(Nutrition!$D$2:$D$300,MATCH($F155,Nutrition!$A$2:$A$300,0))*$I155/100,0))</f>
        <v>2.2319999999999998</v>
      </c>
      <c r="K155" s="30">
        <f>IF(OR($F155="",$I155=""),0,IFERROR(INDEX(Nutrition!$E$2:$E$300,MATCH($F155,Nutrition!$A$2:$A$300,0))*$I155/100,0))</f>
        <v>25.481999999999999</v>
      </c>
      <c r="L155" s="30">
        <f>IF(OR($F155="",$I155=""),0,IFERROR(INDEX(Nutrition!$F$2:$F$300,MATCH($F155,Nutrition!$A$2:$A$300,0))*$I155/100,0))</f>
        <v>78.12</v>
      </c>
      <c r="M155" s="30">
        <f>IF(OR($F155="",$I155=""),0,IFERROR(INDEX(Nutrition!$G$2:$G$300,MATCH($F155,Nutrition!$A$2:$A$300,0))*$I155/100,0))</f>
        <v>14.694000000000001</v>
      </c>
      <c r="N155" s="30">
        <f>IF(OR($F155="",$I155=""),0,IFERROR(INDEX(Nutrition!$H$2:$H$300,MATCH($F155,Nutrition!$A$2:$A$300,0))*$I155/100,0))</f>
        <v>27.9</v>
      </c>
      <c r="O155" s="30">
        <f>IF(OR($F155="",$I155=""),0,IFERROR(INDEX(Nutrition!$I$2:$I$300,MATCH($F155,Nutrition!$A$2:$A$300,0))*$I155/100,0))</f>
        <v>440.82</v>
      </c>
      <c r="P155" s="30">
        <f>IF(OR($F155="",$I155=""),0,IFERROR(INDEX(Nutrition!$J$2:$J$300,MATCH($F155,Nutrition!$A$2:$A$300,0))*$I155/100,0))</f>
        <v>1.0044000000000002</v>
      </c>
      <c r="Q155" s="30">
        <f>IF(OR($F155="",$I155=""),0,IFERROR(INDEX(Nutrition!$K$2:$K$300,MATCH($F155,Nutrition!$A$2:$A$300,0))*$I155/100,0))</f>
        <v>0.14880000000000002</v>
      </c>
      <c r="R155" s="30">
        <f>IF(OR($F155="",$I155=""),0,IFERROR(INDEX(Nutrition!$L$2:$L$300,MATCH($F155,Nutrition!$A$2:$A$300,0))*$I155/100,0))</f>
        <v>20.46</v>
      </c>
      <c r="S155" s="30">
        <f>IF(OR($F155="",$I155=""),0,IFERROR(INDEX(Nutrition!$M$2:$M$300,MATCH($F155,Nutrition!$A$2:$A$300,0))*$I155/100,0))</f>
        <v>0.50220000000000009</v>
      </c>
    </row>
    <row r="156" spans="1:19" ht="15" customHeight="1" x14ac:dyDescent="0.25">
      <c r="A156" s="22" t="s">
        <v>1203</v>
      </c>
      <c r="B156" s="33" t="str">
        <f>IFERROR(INDEX(Recipes!$B$2:$B$500,MATCH(A156,Recipes!$A$2:$A$500,0)),"")</f>
        <v>Greek Salad with Wara</v>
      </c>
      <c r="C156" s="7" t="s">
        <v>523</v>
      </c>
      <c r="D156" s="34">
        <v>1</v>
      </c>
      <c r="E156" s="22" t="s">
        <v>2754</v>
      </c>
      <c r="F156" s="22" t="s">
        <v>522</v>
      </c>
      <c r="G156" s="22" t="s">
        <v>2755</v>
      </c>
      <c r="H156" s="7"/>
      <c r="I156" s="35">
        <v>301</v>
      </c>
      <c r="J156" s="30">
        <f>IF(OR($F156="",$I156=""),0,IFERROR(INDEX(Nutrition!$D$2:$D$300,MATCH($F156,Nutrition!$A$2:$A$300,0))*$I156/100,0))</f>
        <v>1.5049999999999999</v>
      </c>
      <c r="K156" s="30">
        <f>IF(OR($F156="",$I156=""),0,IFERROR(INDEX(Nutrition!$E$2:$E$300,MATCH($F156,Nutrition!$A$2:$A$300,0))*$I156/100,0))</f>
        <v>8.427999999999999</v>
      </c>
      <c r="L156" s="30">
        <f>IF(OR($F156="",$I156=""),0,IFERROR(INDEX(Nutrition!$F$2:$F$300,MATCH($F156,Nutrition!$A$2:$A$300,0))*$I156/100,0))</f>
        <v>15.05</v>
      </c>
      <c r="M156" s="30">
        <f>IF(OR($F156="",$I156=""),0,IFERROR(INDEX(Nutrition!$G$2:$G$300,MATCH($F156,Nutrition!$A$2:$A$300,0))*$I156/100,0))</f>
        <v>49.363999999999997</v>
      </c>
      <c r="N156" s="30">
        <f>IF(OR($F156="",$I156=""),0,IFERROR(INDEX(Nutrition!$H$2:$H$300,MATCH($F156,Nutrition!$A$2:$A$300,0))*$I156/100,0))</f>
        <v>21.07</v>
      </c>
      <c r="O156" s="30">
        <f>IF(OR($F156="",$I156=""),0,IFERROR(INDEX(Nutrition!$I$2:$I$300,MATCH($F156,Nutrition!$A$2:$A$300,0))*$I156/100,0))</f>
        <v>442.47</v>
      </c>
      <c r="P156" s="30">
        <f>IF(OR($F156="",$I156=""),0,IFERROR(INDEX(Nutrition!$J$2:$J$300,MATCH($F156,Nutrition!$A$2:$A$300,0))*$I156/100,0))</f>
        <v>9.0299999999999991E-2</v>
      </c>
      <c r="Q156" s="30">
        <f>IF(OR($F156="",$I156=""),0,IFERROR(INDEX(Nutrition!$K$2:$K$300,MATCH($F156,Nutrition!$A$2:$A$300,0))*$I156/100,0))</f>
        <v>0.12040000000000001</v>
      </c>
      <c r="R156" s="30">
        <f>IF(OR($F156="",$I156=""),0,IFERROR(INDEX(Nutrition!$L$2:$L$300,MATCH($F156,Nutrition!$A$2:$A$300,0))*$I156/100,0))</f>
        <v>39.130000000000003</v>
      </c>
      <c r="S156" s="30">
        <f>IF(OR($F156="",$I156=""),0,IFERROR(INDEX(Nutrition!$M$2:$M$300,MATCH($F156,Nutrition!$A$2:$A$300,0))*$I156/100,0))</f>
        <v>0.84279999999999999</v>
      </c>
    </row>
    <row r="157" spans="1:19" ht="15" customHeight="1" x14ac:dyDescent="0.25">
      <c r="A157" s="22" t="s">
        <v>1203</v>
      </c>
      <c r="B157" s="33" t="str">
        <f>IFERROR(INDEX(Recipes!$B$2:$B$500,MATCH(A157,Recipes!$A$2:$A$500,0)),"")</f>
        <v>Greek Salad with Wara</v>
      </c>
      <c r="C157" s="7" t="s">
        <v>468</v>
      </c>
      <c r="D157" s="34">
        <v>1</v>
      </c>
      <c r="E157" s="22" t="s">
        <v>2754</v>
      </c>
      <c r="F157" s="22" t="s">
        <v>467</v>
      </c>
      <c r="G157" s="22" t="s">
        <v>2755</v>
      </c>
      <c r="H157" s="7" t="s">
        <v>2825</v>
      </c>
      <c r="I157" s="35">
        <v>119</v>
      </c>
      <c r="J157" s="30">
        <f>IF(OR($F157="",$I157=""),0,IFERROR(INDEX(Nutrition!$D$2:$D$300,MATCH($F157,Nutrition!$A$2:$A$300,0))*$I157/100,0))</f>
        <v>2.0229999999999997</v>
      </c>
      <c r="K157" s="30">
        <f>IF(OR($F157="",$I157=""),0,IFERROR(INDEX(Nutrition!$E$2:$E$300,MATCH($F157,Nutrition!$A$2:$A$300,0))*$I157/100,0))</f>
        <v>95.676000000000002</v>
      </c>
      <c r="L157" s="30">
        <f>IF(OR($F157="",$I157=""),0,IFERROR(INDEX(Nutrition!$F$2:$F$300,MATCH($F157,Nutrition!$A$2:$A$300,0))*$I157/100,0))</f>
        <v>21.42</v>
      </c>
      <c r="M157" s="30">
        <f>IF(OR($F157="",$I157=""),0,IFERROR(INDEX(Nutrition!$G$2:$G$300,MATCH($F157,Nutrition!$A$2:$A$300,0))*$I157/100,0))</f>
        <v>8.8060000000000009</v>
      </c>
      <c r="N157" s="30">
        <f>IF(OR($F157="",$I157=""),0,IFERROR(INDEX(Nutrition!$H$2:$H$300,MATCH($F157,Nutrition!$A$2:$A$300,0))*$I157/100,0))</f>
        <v>11.9</v>
      </c>
      <c r="O157" s="30">
        <f>IF(OR($F157="",$I157=""),0,IFERROR(INDEX(Nutrition!$I$2:$I$300,MATCH($F157,Nutrition!$A$2:$A$300,0))*$I157/100,0))</f>
        <v>208.25</v>
      </c>
      <c r="P157" s="30">
        <f>IF(OR($F157="",$I157=""),0,IFERROR(INDEX(Nutrition!$J$2:$J$300,MATCH($F157,Nutrition!$A$2:$A$300,0))*$I157/100,0))</f>
        <v>0.44030000000000002</v>
      </c>
      <c r="Q157" s="30">
        <f>IF(OR($F157="",$I157=""),0,IFERROR(INDEX(Nutrition!$K$2:$K$300,MATCH($F157,Nutrition!$A$2:$A$300,0))*$I157/100,0))</f>
        <v>0.26655999999999996</v>
      </c>
      <c r="R157" s="30">
        <f>IF(OR($F157="",$I157=""),0,IFERROR(INDEX(Nutrition!$L$2:$L$300,MATCH($F157,Nutrition!$A$2:$A$300,0))*$I157/100,0))</f>
        <v>11.9</v>
      </c>
      <c r="S157" s="30">
        <f>IF(OR($F157="",$I157=""),0,IFERROR(INDEX(Nutrition!$M$2:$M$300,MATCH($F157,Nutrition!$A$2:$A$300,0))*$I157/100,0))</f>
        <v>0.40460000000000002</v>
      </c>
    </row>
    <row r="158" spans="1:19" ht="15" customHeight="1" x14ac:dyDescent="0.25">
      <c r="A158" s="22" t="s">
        <v>1203</v>
      </c>
      <c r="B158" s="33" t="str">
        <f>IFERROR(INDEX(Recipes!$B$2:$B$500,MATCH(A158,Recipes!$A$2:$A$500,0)),"")</f>
        <v>Greek Salad with Wara</v>
      </c>
      <c r="C158" s="7" t="s">
        <v>482</v>
      </c>
      <c r="D158" s="34">
        <v>0.5</v>
      </c>
      <c r="E158" s="22" t="s">
        <v>2754</v>
      </c>
      <c r="F158" s="22" t="s">
        <v>481</v>
      </c>
      <c r="G158" s="22" t="s">
        <v>2755</v>
      </c>
      <c r="H158" s="7" t="s">
        <v>2784</v>
      </c>
      <c r="I158" s="35">
        <v>55</v>
      </c>
      <c r="J158" s="30">
        <f>IF(OR($F158="",$I158=""),0,IFERROR(INDEX(Nutrition!$D$2:$D$300,MATCH($F158,Nutrition!$A$2:$A$300,0))*$I158/100,0))</f>
        <v>0.93500000000000005</v>
      </c>
      <c r="K158" s="30">
        <f>IF(OR($F158="",$I158=""),0,IFERROR(INDEX(Nutrition!$E$2:$E$300,MATCH($F158,Nutrition!$A$2:$A$300,0))*$I158/100,0))</f>
        <v>4.07</v>
      </c>
      <c r="L158" s="30">
        <f>IF(OR($F158="",$I158=""),0,IFERROR(INDEX(Nutrition!$F$2:$F$300,MATCH($F158,Nutrition!$A$2:$A$300,0))*$I158/100,0))</f>
        <v>0</v>
      </c>
      <c r="M158" s="30">
        <f>IF(OR($F158="",$I158=""),0,IFERROR(INDEX(Nutrition!$G$2:$G$300,MATCH($F158,Nutrition!$A$2:$A$300,0))*$I158/100,0))</f>
        <v>0.22</v>
      </c>
      <c r="N158" s="30">
        <f>IF(OR($F158="",$I158=""),0,IFERROR(INDEX(Nutrition!$H$2:$H$300,MATCH($F158,Nutrition!$A$2:$A$300,0))*$I158/100,0))</f>
        <v>10.45</v>
      </c>
      <c r="O158" s="30">
        <f>IF(OR($F158="",$I158=""),0,IFERROR(INDEX(Nutrition!$I$2:$I$300,MATCH($F158,Nutrition!$A$2:$A$300,0))*$I158/100,0))</f>
        <v>80.3</v>
      </c>
      <c r="P158" s="30">
        <f>IF(OR($F158="",$I158=""),0,IFERROR(INDEX(Nutrition!$J$2:$J$300,MATCH($F158,Nutrition!$A$2:$A$300,0))*$I158/100,0))</f>
        <v>1.1000000000000001E-2</v>
      </c>
      <c r="Q158" s="30">
        <f>IF(OR($F158="",$I158=""),0,IFERROR(INDEX(Nutrition!$K$2:$K$300,MATCH($F158,Nutrition!$A$2:$A$300,0))*$I158/100,0))</f>
        <v>6.6000000000000003E-2</v>
      </c>
      <c r="R158" s="30">
        <f>IF(OR($F158="",$I158=""),0,IFERROR(INDEX(Nutrition!$L$2:$L$300,MATCH($F158,Nutrition!$A$2:$A$300,0))*$I158/100,0))</f>
        <v>5.5</v>
      </c>
      <c r="S158" s="30">
        <f>IF(OR($F158="",$I158=""),0,IFERROR(INDEX(Nutrition!$M$2:$M$300,MATCH($F158,Nutrition!$A$2:$A$300,0))*$I158/100,0))</f>
        <v>0.11549999999999999</v>
      </c>
    </row>
    <row r="159" spans="1:19" ht="15" customHeight="1" x14ac:dyDescent="0.25">
      <c r="A159" s="22" t="s">
        <v>1203</v>
      </c>
      <c r="B159" s="33" t="str">
        <f>IFERROR(INDEX(Recipes!$B$2:$B$500,MATCH(A159,Recipes!$A$2:$A$500,0)),"")</f>
        <v>Greek Salad with Wara</v>
      </c>
      <c r="C159" s="7" t="s">
        <v>206</v>
      </c>
      <c r="D159" s="34">
        <v>0.5</v>
      </c>
      <c r="E159" s="22" t="s">
        <v>2754</v>
      </c>
      <c r="F159" s="22" t="s">
        <v>205</v>
      </c>
      <c r="G159" s="22" t="s">
        <v>2755</v>
      </c>
      <c r="H159" s="7"/>
      <c r="I159" s="35">
        <v>29</v>
      </c>
      <c r="J159" s="30">
        <f>IF(OR($F159="",$I159=""),0,IFERROR(INDEX(Nutrition!$D$2:$D$300,MATCH($F159,Nutrition!$A$2:$A$300,0))*$I159/100,0))</f>
        <v>0.81199999999999983</v>
      </c>
      <c r="K159" s="30">
        <f>IF(OR($F159="",$I159=""),0,IFERROR(INDEX(Nutrition!$E$2:$E$300,MATCH($F159,Nutrition!$A$2:$A$300,0))*$I159/100,0))</f>
        <v>15.37</v>
      </c>
      <c r="L159" s="30">
        <f>IF(OR($F159="",$I159=""),0,IFERROR(INDEX(Nutrition!$F$2:$F$300,MATCH($F159,Nutrition!$A$2:$A$300,0))*$I159/100,0))</f>
        <v>0.28999999999999998</v>
      </c>
      <c r="M159" s="30">
        <f>IF(OR($F159="",$I159=""),0,IFERROR(INDEX(Nutrition!$G$2:$G$300,MATCH($F159,Nutrition!$A$2:$A$300,0))*$I159/100,0))</f>
        <v>0</v>
      </c>
      <c r="N159" s="30">
        <f>IF(OR($F159="",$I159=""),0,IFERROR(INDEX(Nutrition!$H$2:$H$300,MATCH($F159,Nutrition!$A$2:$A$300,0))*$I159/100,0))</f>
        <v>3.19</v>
      </c>
      <c r="O159" s="30">
        <f>IF(OR($F159="",$I159=""),0,IFERROR(INDEX(Nutrition!$I$2:$I$300,MATCH($F159,Nutrition!$A$2:$A$300,0))*$I159/100,0))</f>
        <v>40.020000000000003</v>
      </c>
      <c r="P159" s="30">
        <f>IF(OR($F159="",$I159=""),0,IFERROR(INDEX(Nutrition!$J$2:$J$300,MATCH($F159,Nutrition!$A$2:$A$300,0))*$I159/100,0))</f>
        <v>4.3499999999999997E-2</v>
      </c>
      <c r="Q159" s="30">
        <f>IF(OR($F159="",$I159=""),0,IFERROR(INDEX(Nutrition!$K$2:$K$300,MATCH($F159,Nutrition!$A$2:$A$300,0))*$I159/100,0))</f>
        <v>2.3199999999999998E-2</v>
      </c>
      <c r="R159" s="30">
        <f>IF(OR($F159="",$I159=""),0,IFERROR(INDEX(Nutrition!$L$2:$L$300,MATCH($F159,Nutrition!$A$2:$A$300,0))*$I159/100,0))</f>
        <v>2.3199999999999998</v>
      </c>
      <c r="S159" s="30">
        <f>IF(OR($F159="",$I159=""),0,IFERROR(INDEX(Nutrition!$M$2:$M$300,MATCH($F159,Nutrition!$A$2:$A$300,0))*$I159/100,0))</f>
        <v>0.17399999999999999</v>
      </c>
    </row>
    <row r="160" spans="1:19" ht="15" customHeight="1" x14ac:dyDescent="0.25">
      <c r="A160" s="22" t="s">
        <v>1203</v>
      </c>
      <c r="B160" s="33" t="str">
        <f>IFERROR(INDEX(Recipes!$B$2:$B$500,MATCH(A160,Recipes!$A$2:$A$500,0)),"")</f>
        <v>Greek Salad with Wara</v>
      </c>
      <c r="C160" s="7" t="s">
        <v>2812</v>
      </c>
      <c r="D160" s="34">
        <v>150</v>
      </c>
      <c r="E160" s="22" t="s">
        <v>2813</v>
      </c>
      <c r="F160" s="22"/>
      <c r="G160" s="22" t="s">
        <v>2768</v>
      </c>
      <c r="H160" s="7"/>
      <c r="I160" s="35"/>
      <c r="J160" s="30">
        <f>IF(OR($F160="",$I160=""),0,IFERROR(INDEX(Nutrition!$D$2:$D$300,MATCH($F160,Nutrition!$A$2:$A$300,0))*$I160/100,0))</f>
        <v>0</v>
      </c>
      <c r="K160" s="30">
        <f>IF(OR($F160="",$I160=""),0,IFERROR(INDEX(Nutrition!$E$2:$E$300,MATCH($F160,Nutrition!$A$2:$A$300,0))*$I160/100,0))</f>
        <v>0</v>
      </c>
      <c r="L160" s="30">
        <f>IF(OR($F160="",$I160=""),0,IFERROR(INDEX(Nutrition!$F$2:$F$300,MATCH($F160,Nutrition!$A$2:$A$300,0))*$I160/100,0))</f>
        <v>0</v>
      </c>
      <c r="M160" s="30">
        <f>IF(OR($F160="",$I160=""),0,IFERROR(INDEX(Nutrition!$G$2:$G$300,MATCH($F160,Nutrition!$A$2:$A$300,0))*$I160/100,0))</f>
        <v>0</v>
      </c>
      <c r="N160" s="30">
        <f>IF(OR($F160="",$I160=""),0,IFERROR(INDEX(Nutrition!$H$2:$H$300,MATCH($F160,Nutrition!$A$2:$A$300,0))*$I160/100,0))</f>
        <v>0</v>
      </c>
      <c r="O160" s="30">
        <f>IF(OR($F160="",$I160=""),0,IFERROR(INDEX(Nutrition!$I$2:$I$300,MATCH($F160,Nutrition!$A$2:$A$300,0))*$I160/100,0))</f>
        <v>0</v>
      </c>
      <c r="P160" s="30">
        <f>IF(OR($F160="",$I160=""),0,IFERROR(INDEX(Nutrition!$J$2:$J$300,MATCH($F160,Nutrition!$A$2:$A$300,0))*$I160/100,0))</f>
        <v>0</v>
      </c>
      <c r="Q160" s="30">
        <f>IF(OR($F160="",$I160=""),0,IFERROR(INDEX(Nutrition!$K$2:$K$300,MATCH($F160,Nutrition!$A$2:$A$300,0))*$I160/100,0))</f>
        <v>0</v>
      </c>
      <c r="R160" s="30">
        <f>IF(OR($F160="",$I160=""),0,IFERROR(INDEX(Nutrition!$L$2:$L$300,MATCH($F160,Nutrition!$A$2:$A$300,0))*$I160/100,0))</f>
        <v>0</v>
      </c>
      <c r="S160" s="30">
        <f>IF(OR($F160="",$I160=""),0,IFERROR(INDEX(Nutrition!$M$2:$M$300,MATCH($F160,Nutrition!$A$2:$A$300,0))*$I160/100,0))</f>
        <v>0</v>
      </c>
    </row>
    <row r="161" spans="1:19" ht="15" customHeight="1" x14ac:dyDescent="0.25">
      <c r="A161" s="22" t="s">
        <v>1203</v>
      </c>
      <c r="B161" s="33" t="str">
        <f>IFERROR(INDEX(Recipes!$B$2:$B$500,MATCH(A161,Recipes!$A$2:$A$500,0)),"")</f>
        <v>Greek Salad with Wara</v>
      </c>
      <c r="C161" s="7" t="s">
        <v>2826</v>
      </c>
      <c r="D161" s="34">
        <v>10</v>
      </c>
      <c r="E161" s="22" t="s">
        <v>2754</v>
      </c>
      <c r="F161" s="22"/>
      <c r="G161" s="22" t="s">
        <v>2749</v>
      </c>
      <c r="H161" s="7"/>
      <c r="I161" s="35"/>
      <c r="J161" s="30">
        <f>IF(OR($F161="",$I161=""),0,IFERROR(INDEX(Nutrition!$D$2:$D$300,MATCH($F161,Nutrition!$A$2:$A$300,0))*$I161/100,0))</f>
        <v>0</v>
      </c>
      <c r="K161" s="30">
        <f>IF(OR($F161="",$I161=""),0,IFERROR(INDEX(Nutrition!$E$2:$E$300,MATCH($F161,Nutrition!$A$2:$A$300,0))*$I161/100,0))</f>
        <v>0</v>
      </c>
      <c r="L161" s="30">
        <f>IF(OR($F161="",$I161=""),0,IFERROR(INDEX(Nutrition!$F$2:$F$300,MATCH($F161,Nutrition!$A$2:$A$300,0))*$I161/100,0))</f>
        <v>0</v>
      </c>
      <c r="M161" s="30">
        <f>IF(OR($F161="",$I161=""),0,IFERROR(INDEX(Nutrition!$G$2:$G$300,MATCH($F161,Nutrition!$A$2:$A$300,0))*$I161/100,0))</f>
        <v>0</v>
      </c>
      <c r="N161" s="30">
        <f>IF(OR($F161="",$I161=""),0,IFERROR(INDEX(Nutrition!$H$2:$H$300,MATCH($F161,Nutrition!$A$2:$A$300,0))*$I161/100,0))</f>
        <v>0</v>
      </c>
      <c r="O161" s="30">
        <f>IF(OR($F161="",$I161=""),0,IFERROR(INDEX(Nutrition!$I$2:$I$300,MATCH($F161,Nutrition!$A$2:$A$300,0))*$I161/100,0))</f>
        <v>0</v>
      </c>
      <c r="P161" s="30">
        <f>IF(OR($F161="",$I161=""),0,IFERROR(INDEX(Nutrition!$J$2:$J$300,MATCH($F161,Nutrition!$A$2:$A$300,0))*$I161/100,0))</f>
        <v>0</v>
      </c>
      <c r="Q161" s="30">
        <f>IF(OR($F161="",$I161=""),0,IFERROR(INDEX(Nutrition!$K$2:$K$300,MATCH($F161,Nutrition!$A$2:$A$300,0))*$I161/100,0))</f>
        <v>0</v>
      </c>
      <c r="R161" s="30">
        <f>IF(OR($F161="",$I161=""),0,IFERROR(INDEX(Nutrition!$L$2:$L$300,MATCH($F161,Nutrition!$A$2:$A$300,0))*$I161/100,0))</f>
        <v>0</v>
      </c>
      <c r="S161" s="30">
        <f>IF(OR($F161="",$I161=""),0,IFERROR(INDEX(Nutrition!$M$2:$M$300,MATCH($F161,Nutrition!$A$2:$A$300,0))*$I161/100,0))</f>
        <v>0</v>
      </c>
    </row>
    <row r="162" spans="1:19" ht="15" customHeight="1" x14ac:dyDescent="0.25">
      <c r="A162" s="22" t="s">
        <v>1203</v>
      </c>
      <c r="B162" s="33" t="str">
        <f>IFERROR(INDEX(Recipes!$B$2:$B$500,MATCH(A162,Recipes!$A$2:$A$500,0)),"")</f>
        <v>Greek Salad with Wara</v>
      </c>
      <c r="C162" s="7" t="s">
        <v>2827</v>
      </c>
      <c r="D162" s="34">
        <v>1</v>
      </c>
      <c r="E162" s="22" t="s">
        <v>2759</v>
      </c>
      <c r="F162" s="22"/>
      <c r="G162" s="22" t="s">
        <v>2749</v>
      </c>
      <c r="H162" s="7"/>
      <c r="I162" s="35"/>
      <c r="J162" s="30">
        <f>IF(OR($F162="",$I162=""),0,IFERROR(INDEX(Nutrition!$D$2:$D$300,MATCH($F162,Nutrition!$A$2:$A$300,0))*$I162/100,0))</f>
        <v>0</v>
      </c>
      <c r="K162" s="30">
        <f>IF(OR($F162="",$I162=""),0,IFERROR(INDEX(Nutrition!$E$2:$E$300,MATCH($F162,Nutrition!$A$2:$A$300,0))*$I162/100,0))</f>
        <v>0</v>
      </c>
      <c r="L162" s="30">
        <f>IF(OR($F162="",$I162=""),0,IFERROR(INDEX(Nutrition!$F$2:$F$300,MATCH($F162,Nutrition!$A$2:$A$300,0))*$I162/100,0))</f>
        <v>0</v>
      </c>
      <c r="M162" s="30">
        <f>IF(OR($F162="",$I162=""),0,IFERROR(INDEX(Nutrition!$G$2:$G$300,MATCH($F162,Nutrition!$A$2:$A$300,0))*$I162/100,0))</f>
        <v>0</v>
      </c>
      <c r="N162" s="30">
        <f>IF(OR($F162="",$I162=""),0,IFERROR(INDEX(Nutrition!$H$2:$H$300,MATCH($F162,Nutrition!$A$2:$A$300,0))*$I162/100,0))</f>
        <v>0</v>
      </c>
      <c r="O162" s="30">
        <f>IF(OR($F162="",$I162=""),0,IFERROR(INDEX(Nutrition!$I$2:$I$300,MATCH($F162,Nutrition!$A$2:$A$300,0))*$I162/100,0))</f>
        <v>0</v>
      </c>
      <c r="P162" s="30">
        <f>IF(OR($F162="",$I162=""),0,IFERROR(INDEX(Nutrition!$J$2:$J$300,MATCH($F162,Nutrition!$A$2:$A$300,0))*$I162/100,0))</f>
        <v>0</v>
      </c>
      <c r="Q162" s="30">
        <f>IF(OR($F162="",$I162=""),0,IFERROR(INDEX(Nutrition!$K$2:$K$300,MATCH($F162,Nutrition!$A$2:$A$300,0))*$I162/100,0))</f>
        <v>0</v>
      </c>
      <c r="R162" s="30">
        <f>IF(OR($F162="",$I162=""),0,IFERROR(INDEX(Nutrition!$L$2:$L$300,MATCH($F162,Nutrition!$A$2:$A$300,0))*$I162/100,0))</f>
        <v>0</v>
      </c>
      <c r="S162" s="30">
        <f>IF(OR($F162="",$I162=""),0,IFERROR(INDEX(Nutrition!$M$2:$M$300,MATCH($F162,Nutrition!$A$2:$A$300,0))*$I162/100,0))</f>
        <v>0</v>
      </c>
    </row>
    <row r="163" spans="1:19" ht="15" customHeight="1" x14ac:dyDescent="0.25">
      <c r="A163" s="22" t="s">
        <v>1203</v>
      </c>
      <c r="B163" s="33" t="str">
        <f>IFERROR(INDEX(Recipes!$B$2:$B$500,MATCH(A163,Recipes!$A$2:$A$500,0)),"")</f>
        <v>Greek Salad with Wara</v>
      </c>
      <c r="C163" s="7" t="s">
        <v>2805</v>
      </c>
      <c r="D163" s="34">
        <v>2</v>
      </c>
      <c r="E163" s="22" t="s">
        <v>2753</v>
      </c>
      <c r="F163" s="22"/>
      <c r="G163" s="22" t="s">
        <v>2773</v>
      </c>
      <c r="H163" s="7"/>
      <c r="I163" s="35"/>
      <c r="J163" s="30">
        <f>IF(OR($F163="",$I163=""),0,IFERROR(INDEX(Nutrition!$D$2:$D$300,MATCH($F163,Nutrition!$A$2:$A$300,0))*$I163/100,0))</f>
        <v>0</v>
      </c>
      <c r="K163" s="30">
        <f>IF(OR($F163="",$I163=""),0,IFERROR(INDEX(Nutrition!$E$2:$E$300,MATCH($F163,Nutrition!$A$2:$A$300,0))*$I163/100,0))</f>
        <v>0</v>
      </c>
      <c r="L163" s="30">
        <f>IF(OR($F163="",$I163=""),0,IFERROR(INDEX(Nutrition!$F$2:$F$300,MATCH($F163,Nutrition!$A$2:$A$300,0))*$I163/100,0))</f>
        <v>0</v>
      </c>
      <c r="M163" s="30">
        <f>IF(OR($F163="",$I163=""),0,IFERROR(INDEX(Nutrition!$G$2:$G$300,MATCH($F163,Nutrition!$A$2:$A$300,0))*$I163/100,0))</f>
        <v>0</v>
      </c>
      <c r="N163" s="30">
        <f>IF(OR($F163="",$I163=""),0,IFERROR(INDEX(Nutrition!$H$2:$H$300,MATCH($F163,Nutrition!$A$2:$A$300,0))*$I163/100,0))</f>
        <v>0</v>
      </c>
      <c r="O163" s="30">
        <f>IF(OR($F163="",$I163=""),0,IFERROR(INDEX(Nutrition!$I$2:$I$300,MATCH($F163,Nutrition!$A$2:$A$300,0))*$I163/100,0))</f>
        <v>0</v>
      </c>
      <c r="P163" s="30">
        <f>IF(OR($F163="",$I163=""),0,IFERROR(INDEX(Nutrition!$J$2:$J$300,MATCH($F163,Nutrition!$A$2:$A$300,0))*$I163/100,0))</f>
        <v>0</v>
      </c>
      <c r="Q163" s="30">
        <f>IF(OR($F163="",$I163=""),0,IFERROR(INDEX(Nutrition!$K$2:$K$300,MATCH($F163,Nutrition!$A$2:$A$300,0))*$I163/100,0))</f>
        <v>0</v>
      </c>
      <c r="R163" s="30">
        <f>IF(OR($F163="",$I163=""),0,IFERROR(INDEX(Nutrition!$L$2:$L$300,MATCH($F163,Nutrition!$A$2:$A$300,0))*$I163/100,0))</f>
        <v>0</v>
      </c>
      <c r="S163" s="30">
        <f>IF(OR($F163="",$I163=""),0,IFERROR(INDEX(Nutrition!$M$2:$M$300,MATCH($F163,Nutrition!$A$2:$A$300,0))*$I163/100,0))</f>
        <v>0</v>
      </c>
    </row>
    <row r="164" spans="1:19" ht="15" customHeight="1" x14ac:dyDescent="0.25">
      <c r="A164" s="22" t="s">
        <v>1213</v>
      </c>
      <c r="B164" s="33" t="str">
        <f>IFERROR(INDEX(Recipes!$B$2:$B$500,MATCH(A164,Recipes!$A$2:$A$500,0)),"")</f>
        <v>Orange, Spinach &amp; Tiger Nut Salad</v>
      </c>
      <c r="C164" s="7" t="s">
        <v>643</v>
      </c>
      <c r="D164" s="34">
        <v>2</v>
      </c>
      <c r="E164" s="22" t="s">
        <v>2790</v>
      </c>
      <c r="F164" s="22" t="s">
        <v>642</v>
      </c>
      <c r="G164" s="22" t="s">
        <v>2755</v>
      </c>
      <c r="H164" s="7" t="s">
        <v>2828</v>
      </c>
      <c r="I164" s="35">
        <v>60</v>
      </c>
      <c r="J164" s="30">
        <f>IF(OR($F164="",$I164=""),0,IFERROR(INDEX(Nutrition!$D$2:$D$300,MATCH($F164,Nutrition!$A$2:$A$300,0))*$I164/100,0))</f>
        <v>1.32</v>
      </c>
      <c r="K164" s="30">
        <f>IF(OR($F164="",$I164=""),0,IFERROR(INDEX(Nutrition!$E$2:$E$300,MATCH($F164,Nutrition!$A$2:$A$300,0))*$I164/100,0))</f>
        <v>16.86</v>
      </c>
      <c r="L164" s="30">
        <f>IF(OR($F164="",$I164=""),0,IFERROR(INDEX(Nutrition!$F$2:$F$300,MATCH($F164,Nutrition!$A$2:$A$300,0))*$I164/100,0))</f>
        <v>281.39999999999998</v>
      </c>
      <c r="M164" s="30">
        <f>IF(OR($F164="",$I164=""),0,IFERROR(INDEX(Nutrition!$G$2:$G$300,MATCH($F164,Nutrition!$A$2:$A$300,0))*$I164/100,0))</f>
        <v>289.74</v>
      </c>
      <c r="N164" s="30">
        <f>IF(OR($F164="",$I164=""),0,IFERROR(INDEX(Nutrition!$H$2:$H$300,MATCH($F164,Nutrition!$A$2:$A$300,0))*$I164/100,0))</f>
        <v>116.4</v>
      </c>
      <c r="O164" s="30">
        <f>IF(OR($F164="",$I164=""),0,IFERROR(INDEX(Nutrition!$I$2:$I$300,MATCH($F164,Nutrition!$A$2:$A$300,0))*$I164/100,0))</f>
        <v>334.8</v>
      </c>
      <c r="P164" s="30">
        <f>IF(OR($F164="",$I164=""),0,IFERROR(INDEX(Nutrition!$J$2:$J$300,MATCH($F164,Nutrition!$A$2:$A$300,0))*$I164/100,0))</f>
        <v>1.2179999999999997</v>
      </c>
      <c r="Q164" s="30">
        <f>IF(OR($F164="",$I164=""),0,IFERROR(INDEX(Nutrition!$K$2:$K$300,MATCH($F164,Nutrition!$A$2:$A$300,0))*$I164/100,0))</f>
        <v>0.11700000000000001</v>
      </c>
      <c r="R164" s="30">
        <f>IF(OR($F164="",$I164=""),0,IFERROR(INDEX(Nutrition!$L$2:$L$300,MATCH($F164,Nutrition!$A$2:$A$300,0))*$I164/100,0))</f>
        <v>47.4</v>
      </c>
      <c r="S164" s="30">
        <f>IF(OR($F164="",$I164=""),0,IFERROR(INDEX(Nutrition!$M$2:$M$300,MATCH($F164,Nutrition!$A$2:$A$300,0))*$I164/100,0))</f>
        <v>1.6259999999999999</v>
      </c>
    </row>
    <row r="165" spans="1:19" ht="15" customHeight="1" x14ac:dyDescent="0.25">
      <c r="A165" s="22" t="s">
        <v>1213</v>
      </c>
      <c r="B165" s="33" t="str">
        <f>IFERROR(INDEX(Recipes!$B$2:$B$500,MATCH(A165,Recipes!$A$2:$A$500,0)),"")</f>
        <v>Orange, Spinach &amp; Tiger Nut Salad</v>
      </c>
      <c r="C165" s="7" t="s">
        <v>183</v>
      </c>
      <c r="D165" s="34">
        <v>3</v>
      </c>
      <c r="E165" s="22" t="s">
        <v>2754</v>
      </c>
      <c r="F165" s="22" t="s">
        <v>182</v>
      </c>
      <c r="G165" s="22" t="s">
        <v>2755</v>
      </c>
      <c r="H165" s="7" t="s">
        <v>2829</v>
      </c>
      <c r="I165" s="35">
        <v>393</v>
      </c>
      <c r="J165" s="30">
        <f>IF(OR($F165="",$I165=""),0,IFERROR(INDEX(Nutrition!$D$2:$D$300,MATCH($F165,Nutrition!$A$2:$A$300,0))*$I165/100,0))</f>
        <v>9.4319999999999986</v>
      </c>
      <c r="K165" s="30">
        <f>IF(OR($F165="",$I165=""),0,IFERROR(INDEX(Nutrition!$E$2:$E$300,MATCH($F165,Nutrition!$A$2:$A$300,0))*$I165/100,0))</f>
        <v>209.07600000000002</v>
      </c>
      <c r="L165" s="30">
        <f>IF(OR($F165="",$I165=""),0,IFERROR(INDEX(Nutrition!$F$2:$F$300,MATCH($F165,Nutrition!$A$2:$A$300,0))*$I165/100,0))</f>
        <v>43.23</v>
      </c>
      <c r="M165" s="30">
        <f>IF(OR($F165="",$I165=""),0,IFERROR(INDEX(Nutrition!$G$2:$G$300,MATCH($F165,Nutrition!$A$2:$A$300,0))*$I165/100,0))</f>
        <v>0</v>
      </c>
      <c r="N165" s="30">
        <f>IF(OR($F165="",$I165=""),0,IFERROR(INDEX(Nutrition!$H$2:$H$300,MATCH($F165,Nutrition!$A$2:$A$300,0))*$I165/100,0))</f>
        <v>117.9</v>
      </c>
      <c r="O165" s="30">
        <f>IF(OR($F165="",$I165=""),0,IFERROR(INDEX(Nutrition!$I$2:$I$300,MATCH($F165,Nutrition!$A$2:$A$300,0))*$I165/100,0))</f>
        <v>711.33</v>
      </c>
      <c r="P165" s="30">
        <f>IF(OR($F165="",$I165=""),0,IFERROR(INDEX(Nutrition!$J$2:$J$300,MATCH($F165,Nutrition!$A$2:$A$300,0))*$I165/100,0))</f>
        <v>0.70739999999999992</v>
      </c>
      <c r="Q165" s="30">
        <f>IF(OR($F165="",$I165=""),0,IFERROR(INDEX(Nutrition!$K$2:$K$300,MATCH($F165,Nutrition!$A$2:$A$300,0))*$I165/100,0))</f>
        <v>0.23579999999999998</v>
      </c>
      <c r="R165" s="30">
        <f>IF(OR($F165="",$I165=""),0,IFERROR(INDEX(Nutrition!$L$2:$L$300,MATCH($F165,Nutrition!$A$2:$A$300,0))*$I165/100,0))</f>
        <v>39.299999999999997</v>
      </c>
      <c r="S165" s="30">
        <f>IF(OR($F165="",$I165=""),0,IFERROR(INDEX(Nutrition!$M$2:$M$300,MATCH($F165,Nutrition!$A$2:$A$300,0))*$I165/100,0))</f>
        <v>0.39300000000000002</v>
      </c>
    </row>
    <row r="166" spans="1:19" ht="15" customHeight="1" x14ac:dyDescent="0.25">
      <c r="A166" s="22" t="s">
        <v>1213</v>
      </c>
      <c r="B166" s="33" t="str">
        <f>IFERROR(INDEX(Recipes!$B$2:$B$500,MATCH(A166,Recipes!$A$2:$A$500,0)),"")</f>
        <v>Orange, Spinach &amp; Tiger Nut Salad</v>
      </c>
      <c r="C166" s="7" t="s">
        <v>482</v>
      </c>
      <c r="D166" s="34">
        <v>0.25</v>
      </c>
      <c r="E166" s="22" t="s">
        <v>2754</v>
      </c>
      <c r="F166" s="22" t="s">
        <v>481</v>
      </c>
      <c r="G166" s="22" t="s">
        <v>2755</v>
      </c>
      <c r="H166" s="7" t="s">
        <v>2784</v>
      </c>
      <c r="I166" s="35">
        <v>28</v>
      </c>
      <c r="J166" s="30">
        <f>IF(OR($F166="",$I166=""),0,IFERROR(INDEX(Nutrition!$D$2:$D$300,MATCH($F166,Nutrition!$A$2:$A$300,0))*$I166/100,0))</f>
        <v>0.47600000000000003</v>
      </c>
      <c r="K166" s="30">
        <f>IF(OR($F166="",$I166=""),0,IFERROR(INDEX(Nutrition!$E$2:$E$300,MATCH($F166,Nutrition!$A$2:$A$300,0))*$I166/100,0))</f>
        <v>2.0720000000000001</v>
      </c>
      <c r="L166" s="30">
        <f>IF(OR($F166="",$I166=""),0,IFERROR(INDEX(Nutrition!$F$2:$F$300,MATCH($F166,Nutrition!$A$2:$A$300,0))*$I166/100,0))</f>
        <v>0</v>
      </c>
      <c r="M166" s="30">
        <f>IF(OR($F166="",$I166=""),0,IFERROR(INDEX(Nutrition!$G$2:$G$300,MATCH($F166,Nutrition!$A$2:$A$300,0))*$I166/100,0))</f>
        <v>0.11200000000000002</v>
      </c>
      <c r="N166" s="30">
        <f>IF(OR($F166="",$I166=""),0,IFERROR(INDEX(Nutrition!$H$2:$H$300,MATCH($F166,Nutrition!$A$2:$A$300,0))*$I166/100,0))</f>
        <v>5.32</v>
      </c>
      <c r="O166" s="30">
        <f>IF(OR($F166="",$I166=""),0,IFERROR(INDEX(Nutrition!$I$2:$I$300,MATCH($F166,Nutrition!$A$2:$A$300,0))*$I166/100,0))</f>
        <v>40.880000000000003</v>
      </c>
      <c r="P166" s="30">
        <f>IF(OR($F166="",$I166=""),0,IFERROR(INDEX(Nutrition!$J$2:$J$300,MATCH($F166,Nutrition!$A$2:$A$300,0))*$I166/100,0))</f>
        <v>5.6000000000000008E-3</v>
      </c>
      <c r="Q166" s="30">
        <f>IF(OR($F166="",$I166=""),0,IFERROR(INDEX(Nutrition!$K$2:$K$300,MATCH($F166,Nutrition!$A$2:$A$300,0))*$I166/100,0))</f>
        <v>3.3599999999999998E-2</v>
      </c>
      <c r="R166" s="30">
        <f>IF(OR($F166="",$I166=""),0,IFERROR(INDEX(Nutrition!$L$2:$L$300,MATCH($F166,Nutrition!$A$2:$A$300,0))*$I166/100,0))</f>
        <v>2.8</v>
      </c>
      <c r="S166" s="30">
        <f>IF(OR($F166="",$I166=""),0,IFERROR(INDEX(Nutrition!$M$2:$M$300,MATCH($F166,Nutrition!$A$2:$A$300,0))*$I166/100,0))</f>
        <v>5.8799999999999998E-2</v>
      </c>
    </row>
    <row r="167" spans="1:19" ht="15" customHeight="1" x14ac:dyDescent="0.25">
      <c r="A167" s="22" t="s">
        <v>1213</v>
      </c>
      <c r="B167" s="33" t="str">
        <f>IFERROR(INDEX(Recipes!$B$2:$B$500,MATCH(A167,Recipes!$A$2:$A$500,0)),"")</f>
        <v>Orange, Spinach &amp; Tiger Nut Salad</v>
      </c>
      <c r="C167" s="7" t="s">
        <v>326</v>
      </c>
      <c r="D167" s="34">
        <v>3</v>
      </c>
      <c r="E167" s="22" t="s">
        <v>2753</v>
      </c>
      <c r="F167" s="22" t="s">
        <v>325</v>
      </c>
      <c r="G167" s="22" t="s">
        <v>2755</v>
      </c>
      <c r="H167" s="7" t="s">
        <v>2830</v>
      </c>
      <c r="I167" s="35">
        <v>45</v>
      </c>
      <c r="J167" s="30">
        <f>IF(OR($F167="",$I167=""),0,IFERROR(INDEX(Nutrition!$D$2:$D$300,MATCH($F167,Nutrition!$A$2:$A$300,0))*$I167/100,0))</f>
        <v>5.4</v>
      </c>
      <c r="K167" s="30">
        <f>IF(OR($F167="",$I167=""),0,IFERROR(INDEX(Nutrition!$E$2:$E$300,MATCH($F167,Nutrition!$A$2:$A$300,0))*$I167/100,0))</f>
        <v>2.7</v>
      </c>
      <c r="L167" s="30">
        <f>IF(OR($F167="",$I167=""),0,IFERROR(INDEX(Nutrition!$F$2:$F$300,MATCH($F167,Nutrition!$A$2:$A$300,0))*$I167/100,0))</f>
        <v>0</v>
      </c>
      <c r="M167" s="30">
        <f>IF(OR($F167="",$I167=""),0,IFERROR(INDEX(Nutrition!$G$2:$G$300,MATCH($F167,Nutrition!$A$2:$A$300,0))*$I167/100,0))</f>
        <v>0</v>
      </c>
      <c r="N167" s="30">
        <f>IF(OR($F167="",$I167=""),0,IFERROR(INDEX(Nutrition!$H$2:$H$300,MATCH($F167,Nutrition!$A$2:$A$300,0))*$I167/100,0))</f>
        <v>0</v>
      </c>
      <c r="O167" s="30">
        <f>IF(OR($F167="",$I167=""),0,IFERROR(INDEX(Nutrition!$I$2:$I$300,MATCH($F167,Nutrition!$A$2:$A$300,0))*$I167/100,0))</f>
        <v>319.5</v>
      </c>
      <c r="P167" s="30">
        <f>IF(OR($F167="",$I167=""),0,IFERROR(INDEX(Nutrition!$J$2:$J$300,MATCH($F167,Nutrition!$A$2:$A$300,0))*$I167/100,0))</f>
        <v>2.34</v>
      </c>
      <c r="Q167" s="30">
        <f>IF(OR($F167="",$I167=""),0,IFERROR(INDEX(Nutrition!$K$2:$K$300,MATCH($F167,Nutrition!$A$2:$A$300,0))*$I167/100,0))</f>
        <v>0</v>
      </c>
      <c r="R167" s="30">
        <f>IF(OR($F167="",$I167=""),0,IFERROR(INDEX(Nutrition!$L$2:$L$300,MATCH($F167,Nutrition!$A$2:$A$300,0))*$I167/100,0))</f>
        <v>42.75</v>
      </c>
      <c r="S167" s="30">
        <f>IF(OR($F167="",$I167=""),0,IFERROR(INDEX(Nutrition!$M$2:$M$300,MATCH($F167,Nutrition!$A$2:$A$300,0))*$I167/100,0))</f>
        <v>1.62</v>
      </c>
    </row>
    <row r="168" spans="1:19" ht="15" customHeight="1" x14ac:dyDescent="0.25">
      <c r="A168" s="22" t="s">
        <v>1213</v>
      </c>
      <c r="B168" s="33" t="str">
        <f>IFERROR(INDEX(Recipes!$B$2:$B$500,MATCH(A168,Recipes!$A$2:$A$500,0)),"")</f>
        <v>Orange, Spinach &amp; Tiger Nut Salad</v>
      </c>
      <c r="C168" s="7" t="s">
        <v>227</v>
      </c>
      <c r="D168" s="34">
        <v>0.5</v>
      </c>
      <c r="E168" s="22" t="s">
        <v>2754</v>
      </c>
      <c r="F168" s="22" t="s">
        <v>226</v>
      </c>
      <c r="G168" s="22" t="s">
        <v>2755</v>
      </c>
      <c r="H168" s="7"/>
      <c r="I168" s="35">
        <v>100</v>
      </c>
      <c r="J168" s="30">
        <f>IF(OR($F168="",$I168=""),0,IFERROR(INDEX(Nutrition!$D$2:$D$300,MATCH($F168,Nutrition!$A$2:$A$300,0))*$I168/100,0))</f>
        <v>6.7</v>
      </c>
      <c r="K168" s="30">
        <f>IF(OR($F168="",$I168=""),0,IFERROR(INDEX(Nutrition!$E$2:$E$300,MATCH($F168,Nutrition!$A$2:$A$300,0))*$I168/100,0))</f>
        <v>10</v>
      </c>
      <c r="L168" s="30">
        <f>IF(OR($F168="",$I168=""),0,IFERROR(INDEX(Nutrition!$F$2:$F$300,MATCH($F168,Nutrition!$A$2:$A$300,0))*$I168/100,0))</f>
        <v>7</v>
      </c>
      <c r="M168" s="30">
        <f>IF(OR($F168="",$I168=""),0,IFERROR(INDEX(Nutrition!$G$2:$G$300,MATCH($F168,Nutrition!$A$2:$A$300,0))*$I168/100,0))</f>
        <v>21</v>
      </c>
      <c r="N168" s="30">
        <f>IF(OR($F168="",$I168=""),0,IFERROR(INDEX(Nutrition!$H$2:$H$300,MATCH($F168,Nutrition!$A$2:$A$300,0))*$I168/100,0))</f>
        <v>81</v>
      </c>
      <c r="O168" s="30">
        <f>IF(OR($F168="",$I168=""),0,IFERROR(INDEX(Nutrition!$I$2:$I$300,MATCH($F168,Nutrition!$A$2:$A$300,0))*$I168/100,0))</f>
        <v>485</v>
      </c>
      <c r="P168" s="30">
        <f>IF(OR($F168="",$I168=""),0,IFERROR(INDEX(Nutrition!$J$2:$J$300,MATCH($F168,Nutrition!$A$2:$A$300,0))*$I168/100,0))</f>
        <v>2.0699999999999998</v>
      </c>
      <c r="Q168" s="30">
        <f>IF(OR($F168="",$I168=""),0,IFERROR(INDEX(Nutrition!$K$2:$K$300,MATCH($F168,Nutrition!$A$2:$A$300,0))*$I168/100,0))</f>
        <v>0.25700000000000001</v>
      </c>
      <c r="R168" s="30">
        <f>IF(OR($F168="",$I168=""),0,IFERROR(INDEX(Nutrition!$L$2:$L$300,MATCH($F168,Nutrition!$A$2:$A$300,0))*$I168/100,0))</f>
        <v>29</v>
      </c>
      <c r="S168" s="30">
        <f>IF(OR($F168="",$I168=""),0,IFERROR(INDEX(Nutrition!$M$2:$M$300,MATCH($F168,Nutrition!$A$2:$A$300,0))*$I168/100,0))</f>
        <v>0.55000000000000004</v>
      </c>
    </row>
    <row r="169" spans="1:19" ht="15" customHeight="1" x14ac:dyDescent="0.25">
      <c r="A169" s="22" t="s">
        <v>1213</v>
      </c>
      <c r="B169" s="33" t="str">
        <f>IFERROR(INDEX(Recipes!$B$2:$B$500,MATCH(A169,Recipes!$A$2:$A$500,0)),"")</f>
        <v>Orange, Spinach &amp; Tiger Nut Salad</v>
      </c>
      <c r="C169" s="7" t="s">
        <v>206</v>
      </c>
      <c r="D169" s="34">
        <v>0.5</v>
      </c>
      <c r="E169" s="22" t="s">
        <v>2754</v>
      </c>
      <c r="F169" s="22" t="s">
        <v>205</v>
      </c>
      <c r="G169" s="22" t="s">
        <v>2755</v>
      </c>
      <c r="H169" s="7"/>
      <c r="I169" s="35">
        <v>29</v>
      </c>
      <c r="J169" s="30">
        <f>IF(OR($F169="",$I169=""),0,IFERROR(INDEX(Nutrition!$D$2:$D$300,MATCH($F169,Nutrition!$A$2:$A$300,0))*$I169/100,0))</f>
        <v>0.81199999999999983</v>
      </c>
      <c r="K169" s="30">
        <f>IF(OR($F169="",$I169=""),0,IFERROR(INDEX(Nutrition!$E$2:$E$300,MATCH($F169,Nutrition!$A$2:$A$300,0))*$I169/100,0))</f>
        <v>15.37</v>
      </c>
      <c r="L169" s="30">
        <f>IF(OR($F169="",$I169=""),0,IFERROR(INDEX(Nutrition!$F$2:$F$300,MATCH($F169,Nutrition!$A$2:$A$300,0))*$I169/100,0))</f>
        <v>0.28999999999999998</v>
      </c>
      <c r="M169" s="30">
        <f>IF(OR($F169="",$I169=""),0,IFERROR(INDEX(Nutrition!$G$2:$G$300,MATCH($F169,Nutrition!$A$2:$A$300,0))*$I169/100,0))</f>
        <v>0</v>
      </c>
      <c r="N169" s="30">
        <f>IF(OR($F169="",$I169=""),0,IFERROR(INDEX(Nutrition!$H$2:$H$300,MATCH($F169,Nutrition!$A$2:$A$300,0))*$I169/100,0))</f>
        <v>3.19</v>
      </c>
      <c r="O169" s="30">
        <f>IF(OR($F169="",$I169=""),0,IFERROR(INDEX(Nutrition!$I$2:$I$300,MATCH($F169,Nutrition!$A$2:$A$300,0))*$I169/100,0))</f>
        <v>40.020000000000003</v>
      </c>
      <c r="P169" s="30">
        <f>IF(OR($F169="",$I169=""),0,IFERROR(INDEX(Nutrition!$J$2:$J$300,MATCH($F169,Nutrition!$A$2:$A$300,0))*$I169/100,0))</f>
        <v>4.3499999999999997E-2</v>
      </c>
      <c r="Q169" s="30">
        <f>IF(OR($F169="",$I169=""),0,IFERROR(INDEX(Nutrition!$K$2:$K$300,MATCH($F169,Nutrition!$A$2:$A$300,0))*$I169/100,0))</f>
        <v>2.3199999999999998E-2</v>
      </c>
      <c r="R169" s="30">
        <f>IF(OR($F169="",$I169=""),0,IFERROR(INDEX(Nutrition!$L$2:$L$300,MATCH($F169,Nutrition!$A$2:$A$300,0))*$I169/100,0))</f>
        <v>2.3199999999999998</v>
      </c>
      <c r="S169" s="30">
        <f>IF(OR($F169="",$I169=""),0,IFERROR(INDEX(Nutrition!$M$2:$M$300,MATCH($F169,Nutrition!$A$2:$A$300,0))*$I169/100,0))</f>
        <v>0.17399999999999999</v>
      </c>
    </row>
    <row r="170" spans="1:19" ht="15" customHeight="1" x14ac:dyDescent="0.25">
      <c r="A170" s="22" t="s">
        <v>1213</v>
      </c>
      <c r="B170" s="33" t="str">
        <f>IFERROR(INDEX(Recipes!$B$2:$B$500,MATCH(A170,Recipes!$A$2:$A$500,0)),"")</f>
        <v>Orange, Spinach &amp; Tiger Nut Salad</v>
      </c>
      <c r="C170" s="7" t="s">
        <v>2758</v>
      </c>
      <c r="D170" s="34">
        <v>1</v>
      </c>
      <c r="E170" s="22" t="s">
        <v>2753</v>
      </c>
      <c r="F170" s="22"/>
      <c r="G170" s="22" t="s">
        <v>2749</v>
      </c>
      <c r="H170" s="7"/>
      <c r="I170" s="35"/>
      <c r="J170" s="30">
        <f>IF(OR($F170="",$I170=""),0,IFERROR(INDEX(Nutrition!$D$2:$D$300,MATCH($F170,Nutrition!$A$2:$A$300,0))*$I170/100,0))</f>
        <v>0</v>
      </c>
      <c r="K170" s="30">
        <f>IF(OR($F170="",$I170=""),0,IFERROR(INDEX(Nutrition!$E$2:$E$300,MATCH($F170,Nutrition!$A$2:$A$300,0))*$I170/100,0))</f>
        <v>0</v>
      </c>
      <c r="L170" s="30">
        <f>IF(OR($F170="",$I170=""),0,IFERROR(INDEX(Nutrition!$F$2:$F$300,MATCH($F170,Nutrition!$A$2:$A$300,0))*$I170/100,0))</f>
        <v>0</v>
      </c>
      <c r="M170" s="30">
        <f>IF(OR($F170="",$I170=""),0,IFERROR(INDEX(Nutrition!$G$2:$G$300,MATCH($F170,Nutrition!$A$2:$A$300,0))*$I170/100,0))</f>
        <v>0</v>
      </c>
      <c r="N170" s="30">
        <f>IF(OR($F170="",$I170=""),0,IFERROR(INDEX(Nutrition!$H$2:$H$300,MATCH($F170,Nutrition!$A$2:$A$300,0))*$I170/100,0))</f>
        <v>0</v>
      </c>
      <c r="O170" s="30">
        <f>IF(OR($F170="",$I170=""),0,IFERROR(INDEX(Nutrition!$I$2:$I$300,MATCH($F170,Nutrition!$A$2:$A$300,0))*$I170/100,0))</f>
        <v>0</v>
      </c>
      <c r="P170" s="30">
        <f>IF(OR($F170="",$I170=""),0,IFERROR(INDEX(Nutrition!$J$2:$J$300,MATCH($F170,Nutrition!$A$2:$A$300,0))*$I170/100,0))</f>
        <v>0</v>
      </c>
      <c r="Q170" s="30">
        <f>IF(OR($F170="",$I170=""),0,IFERROR(INDEX(Nutrition!$K$2:$K$300,MATCH($F170,Nutrition!$A$2:$A$300,0))*$I170/100,0))</f>
        <v>0</v>
      </c>
      <c r="R170" s="30">
        <f>IF(OR($F170="",$I170=""),0,IFERROR(INDEX(Nutrition!$L$2:$L$300,MATCH($F170,Nutrition!$A$2:$A$300,0))*$I170/100,0))</f>
        <v>0</v>
      </c>
      <c r="S170" s="30">
        <f>IF(OR($F170="",$I170=""),0,IFERROR(INDEX(Nutrition!$M$2:$M$300,MATCH($F170,Nutrition!$A$2:$A$300,0))*$I170/100,0))</f>
        <v>0</v>
      </c>
    </row>
    <row r="171" spans="1:19" ht="15" customHeight="1" x14ac:dyDescent="0.25">
      <c r="A171" s="22" t="s">
        <v>1213</v>
      </c>
      <c r="B171" s="33" t="str">
        <f>IFERROR(INDEX(Recipes!$B$2:$B$500,MATCH(A171,Recipes!$A$2:$A$500,0)),"")</f>
        <v>Orange, Spinach &amp; Tiger Nut Salad</v>
      </c>
      <c r="C171" s="7" t="s">
        <v>2805</v>
      </c>
      <c r="D171" s="34">
        <v>1</v>
      </c>
      <c r="E171" s="22" t="s">
        <v>2753</v>
      </c>
      <c r="F171" s="22"/>
      <c r="G171" s="22" t="s">
        <v>2773</v>
      </c>
      <c r="H171" s="7"/>
      <c r="I171" s="35"/>
      <c r="J171" s="30">
        <f>IF(OR($F171="",$I171=""),0,IFERROR(INDEX(Nutrition!$D$2:$D$300,MATCH($F171,Nutrition!$A$2:$A$300,0))*$I171/100,0))</f>
        <v>0</v>
      </c>
      <c r="K171" s="30">
        <f>IF(OR($F171="",$I171=""),0,IFERROR(INDEX(Nutrition!$E$2:$E$300,MATCH($F171,Nutrition!$A$2:$A$300,0))*$I171/100,0))</f>
        <v>0</v>
      </c>
      <c r="L171" s="30">
        <f>IF(OR($F171="",$I171=""),0,IFERROR(INDEX(Nutrition!$F$2:$F$300,MATCH($F171,Nutrition!$A$2:$A$300,0))*$I171/100,0))</f>
        <v>0</v>
      </c>
      <c r="M171" s="30">
        <f>IF(OR($F171="",$I171=""),0,IFERROR(INDEX(Nutrition!$G$2:$G$300,MATCH($F171,Nutrition!$A$2:$A$300,0))*$I171/100,0))</f>
        <v>0</v>
      </c>
      <c r="N171" s="30">
        <f>IF(OR($F171="",$I171=""),0,IFERROR(INDEX(Nutrition!$H$2:$H$300,MATCH($F171,Nutrition!$A$2:$A$300,0))*$I171/100,0))</f>
        <v>0</v>
      </c>
      <c r="O171" s="30">
        <f>IF(OR($F171="",$I171=""),0,IFERROR(INDEX(Nutrition!$I$2:$I$300,MATCH($F171,Nutrition!$A$2:$A$300,0))*$I171/100,0))</f>
        <v>0</v>
      </c>
      <c r="P171" s="30">
        <f>IF(OR($F171="",$I171=""),0,IFERROR(INDEX(Nutrition!$J$2:$J$300,MATCH($F171,Nutrition!$A$2:$A$300,0))*$I171/100,0))</f>
        <v>0</v>
      </c>
      <c r="Q171" s="30">
        <f>IF(OR($F171="",$I171=""),0,IFERROR(INDEX(Nutrition!$K$2:$K$300,MATCH($F171,Nutrition!$A$2:$A$300,0))*$I171/100,0))</f>
        <v>0</v>
      </c>
      <c r="R171" s="30">
        <f>IF(OR($F171="",$I171=""),0,IFERROR(INDEX(Nutrition!$L$2:$L$300,MATCH($F171,Nutrition!$A$2:$A$300,0))*$I171/100,0))</f>
        <v>0</v>
      </c>
      <c r="S171" s="30">
        <f>IF(OR($F171="",$I171=""),0,IFERROR(INDEX(Nutrition!$M$2:$M$300,MATCH($F171,Nutrition!$A$2:$A$300,0))*$I171/100,0))</f>
        <v>0</v>
      </c>
    </row>
    <row r="172" spans="1:19" ht="15" customHeight="1" x14ac:dyDescent="0.25">
      <c r="A172" s="22" t="s">
        <v>1225</v>
      </c>
      <c r="B172" s="33" t="str">
        <f>IFERROR(INDEX(Recipes!$B$2:$B$500,MATCH(A172,Recipes!$A$2:$A$500,0)),"")</f>
        <v>Roast Sweet Potato &amp; Efo Salad</v>
      </c>
      <c r="C172" s="7" t="s">
        <v>610</v>
      </c>
      <c r="D172" s="34">
        <v>2</v>
      </c>
      <c r="E172" s="22" t="s">
        <v>2754</v>
      </c>
      <c r="F172" s="22" t="s">
        <v>609</v>
      </c>
      <c r="G172" s="22" t="s">
        <v>2755</v>
      </c>
      <c r="H172" s="7"/>
      <c r="I172" s="35">
        <v>260</v>
      </c>
      <c r="J172" s="30">
        <f>IF(OR($F172="",$I172=""),0,IFERROR(INDEX(Nutrition!$D$2:$D$300,MATCH($F172,Nutrition!$A$2:$A$300,0))*$I172/100,0))</f>
        <v>7.8</v>
      </c>
      <c r="K172" s="30">
        <f>IF(OR($F172="",$I172=""),0,IFERROR(INDEX(Nutrition!$E$2:$E$300,MATCH($F172,Nutrition!$A$2:$A$300,0))*$I172/100,0))</f>
        <v>6.24</v>
      </c>
      <c r="L172" s="30">
        <f>IF(OR($F172="",$I172=""),0,IFERROR(INDEX(Nutrition!$F$2:$F$300,MATCH($F172,Nutrition!$A$2:$A$300,0))*$I172/100,0))</f>
        <v>1843.4</v>
      </c>
      <c r="M172" s="30">
        <f>IF(OR($F172="",$I172=""),0,IFERROR(INDEX(Nutrition!$G$2:$G$300,MATCH($F172,Nutrition!$A$2:$A$300,0))*$I172/100,0))</f>
        <v>4.68</v>
      </c>
      <c r="N172" s="30">
        <f>IF(OR($F172="",$I172=""),0,IFERROR(INDEX(Nutrition!$H$2:$H$300,MATCH($F172,Nutrition!$A$2:$A$300,0))*$I172/100,0))</f>
        <v>28.6</v>
      </c>
      <c r="O172" s="30">
        <f>IF(OR($F172="",$I172=""),0,IFERROR(INDEX(Nutrition!$I$2:$I$300,MATCH($F172,Nutrition!$A$2:$A$300,0))*$I172/100,0))</f>
        <v>876.2</v>
      </c>
      <c r="P172" s="30">
        <f>IF(OR($F172="",$I172=""),0,IFERROR(INDEX(Nutrition!$J$2:$J$300,MATCH($F172,Nutrition!$A$2:$A$300,0))*$I172/100,0))</f>
        <v>0.67600000000000005</v>
      </c>
      <c r="Q172" s="30">
        <f>IF(OR($F172="",$I172=""),0,IFERROR(INDEX(Nutrition!$K$2:$K$300,MATCH($F172,Nutrition!$A$2:$A$300,0))*$I172/100,0))</f>
        <v>0.54339999999999999</v>
      </c>
      <c r="R172" s="30">
        <f>IF(OR($F172="",$I172=""),0,IFERROR(INDEX(Nutrition!$L$2:$L$300,MATCH($F172,Nutrition!$A$2:$A$300,0))*$I172/100,0))</f>
        <v>65</v>
      </c>
      <c r="S172" s="30">
        <f>IF(OR($F172="",$I172=""),0,IFERROR(INDEX(Nutrition!$M$2:$M$300,MATCH($F172,Nutrition!$A$2:$A$300,0))*$I172/100,0))</f>
        <v>1.5859999999999999</v>
      </c>
    </row>
    <row r="173" spans="1:19" ht="15" customHeight="1" x14ac:dyDescent="0.25">
      <c r="A173" s="22" t="s">
        <v>1225</v>
      </c>
      <c r="B173" s="33" t="str">
        <f>IFERROR(INDEX(Recipes!$B$2:$B$500,MATCH(A173,Recipes!$A$2:$A$500,0)),"")</f>
        <v>Roast Sweet Potato &amp; Efo Salad</v>
      </c>
      <c r="C173" s="7" t="s">
        <v>633</v>
      </c>
      <c r="D173" s="34">
        <v>2</v>
      </c>
      <c r="E173" s="22" t="s">
        <v>2790</v>
      </c>
      <c r="F173" s="22" t="s">
        <v>632</v>
      </c>
      <c r="G173" s="22" t="s">
        <v>2755</v>
      </c>
      <c r="H173" s="7" t="s">
        <v>2831</v>
      </c>
      <c r="I173" s="35">
        <v>56</v>
      </c>
      <c r="J173" s="30">
        <f>IF(OR($F173="",$I173=""),0,IFERROR(INDEX(Nutrition!$D$2:$D$300,MATCH($F173,Nutrition!$A$2:$A$300,0))*$I173/100,0))</f>
        <v>1.1200000000000001</v>
      </c>
      <c r="K173" s="30">
        <f>IF(OR($F173="",$I173=""),0,IFERROR(INDEX(Nutrition!$E$2:$E$300,MATCH($F173,Nutrition!$A$2:$A$300,0))*$I173/100,0))</f>
        <v>24.247999999999998</v>
      </c>
      <c r="L173" s="30">
        <f>IF(OR($F173="",$I173=""),0,IFERROR(INDEX(Nutrition!$F$2:$F$300,MATCH($F173,Nutrition!$A$2:$A$300,0))*$I173/100,0))</f>
        <v>81.760000000000005</v>
      </c>
      <c r="M173" s="30">
        <f>IF(OR($F173="",$I173=""),0,IFERROR(INDEX(Nutrition!$G$2:$G$300,MATCH($F173,Nutrition!$A$2:$A$300,0))*$I173/100,0))</f>
        <v>638.4</v>
      </c>
      <c r="N173" s="30">
        <f>IF(OR($F173="",$I173=""),0,IFERROR(INDEX(Nutrition!$H$2:$H$300,MATCH($F173,Nutrition!$A$2:$A$300,0))*$I173/100,0))</f>
        <v>47.6</v>
      </c>
      <c r="O173" s="30">
        <f>IF(OR($F173="",$I173=""),0,IFERROR(INDEX(Nutrition!$I$2:$I$300,MATCH($F173,Nutrition!$A$2:$A$300,0))*$I173/100,0))</f>
        <v>342.16</v>
      </c>
      <c r="P173" s="30">
        <f>IF(OR($F173="",$I173=""),0,IFERROR(INDEX(Nutrition!$J$2:$J$300,MATCH($F173,Nutrition!$A$2:$A$300,0))*$I173/100,0))</f>
        <v>0</v>
      </c>
      <c r="Q173" s="30">
        <f>IF(OR($F173="",$I173=""),0,IFERROR(INDEX(Nutrition!$K$2:$K$300,MATCH($F173,Nutrition!$A$2:$A$300,0))*$I173/100,0))</f>
        <v>0.10752</v>
      </c>
      <c r="R173" s="30">
        <f>IF(OR($F173="",$I173=""),0,IFERROR(INDEX(Nutrition!$L$2:$L$300,MATCH($F173,Nutrition!$A$2:$A$300,0))*$I173/100,0))</f>
        <v>30.8</v>
      </c>
      <c r="S173" s="30">
        <f>IF(OR($F173="",$I173=""),0,IFERROR(INDEX(Nutrition!$M$2:$M$300,MATCH($F173,Nutrition!$A$2:$A$300,0))*$I173/100,0))</f>
        <v>1.2991999999999999</v>
      </c>
    </row>
    <row r="174" spans="1:19" ht="15" customHeight="1" x14ac:dyDescent="0.25">
      <c r="A174" s="22" t="s">
        <v>1225</v>
      </c>
      <c r="B174" s="33" t="str">
        <f>IFERROR(INDEX(Recipes!$B$2:$B$500,MATCH(A174,Recipes!$A$2:$A$500,0)),"")</f>
        <v>Roast Sweet Potato &amp; Efo Salad</v>
      </c>
      <c r="C174" s="7" t="s">
        <v>482</v>
      </c>
      <c r="D174" s="34">
        <v>0.5</v>
      </c>
      <c r="E174" s="22" t="s">
        <v>2754</v>
      </c>
      <c r="F174" s="22" t="s">
        <v>481</v>
      </c>
      <c r="G174" s="22" t="s">
        <v>2755</v>
      </c>
      <c r="H174" s="7" t="s">
        <v>2784</v>
      </c>
      <c r="I174" s="35">
        <v>55</v>
      </c>
      <c r="J174" s="30">
        <f>IF(OR($F174="",$I174=""),0,IFERROR(INDEX(Nutrition!$D$2:$D$300,MATCH($F174,Nutrition!$A$2:$A$300,0))*$I174/100,0))</f>
        <v>0.93500000000000005</v>
      </c>
      <c r="K174" s="30">
        <f>IF(OR($F174="",$I174=""),0,IFERROR(INDEX(Nutrition!$E$2:$E$300,MATCH($F174,Nutrition!$A$2:$A$300,0))*$I174/100,0))</f>
        <v>4.07</v>
      </c>
      <c r="L174" s="30">
        <f>IF(OR($F174="",$I174=""),0,IFERROR(INDEX(Nutrition!$F$2:$F$300,MATCH($F174,Nutrition!$A$2:$A$300,0))*$I174/100,0))</f>
        <v>0</v>
      </c>
      <c r="M174" s="30">
        <f>IF(OR($F174="",$I174=""),0,IFERROR(INDEX(Nutrition!$G$2:$G$300,MATCH($F174,Nutrition!$A$2:$A$300,0))*$I174/100,0))</f>
        <v>0.22</v>
      </c>
      <c r="N174" s="30">
        <f>IF(OR($F174="",$I174=""),0,IFERROR(INDEX(Nutrition!$H$2:$H$300,MATCH($F174,Nutrition!$A$2:$A$300,0))*$I174/100,0))</f>
        <v>10.45</v>
      </c>
      <c r="O174" s="30">
        <f>IF(OR($F174="",$I174=""),0,IFERROR(INDEX(Nutrition!$I$2:$I$300,MATCH($F174,Nutrition!$A$2:$A$300,0))*$I174/100,0))</f>
        <v>80.3</v>
      </c>
      <c r="P174" s="30">
        <f>IF(OR($F174="",$I174=""),0,IFERROR(INDEX(Nutrition!$J$2:$J$300,MATCH($F174,Nutrition!$A$2:$A$300,0))*$I174/100,0))</f>
        <v>1.1000000000000001E-2</v>
      </c>
      <c r="Q174" s="30">
        <f>IF(OR($F174="",$I174=""),0,IFERROR(INDEX(Nutrition!$K$2:$K$300,MATCH($F174,Nutrition!$A$2:$A$300,0))*$I174/100,0))</f>
        <v>6.6000000000000003E-2</v>
      </c>
      <c r="R174" s="30">
        <f>IF(OR($F174="",$I174=""),0,IFERROR(INDEX(Nutrition!$L$2:$L$300,MATCH($F174,Nutrition!$A$2:$A$300,0))*$I174/100,0))</f>
        <v>5.5</v>
      </c>
      <c r="S174" s="30">
        <f>IF(OR($F174="",$I174=""),0,IFERROR(INDEX(Nutrition!$M$2:$M$300,MATCH($F174,Nutrition!$A$2:$A$300,0))*$I174/100,0))</f>
        <v>0.11549999999999999</v>
      </c>
    </row>
    <row r="175" spans="1:19" ht="15" customHeight="1" x14ac:dyDescent="0.25">
      <c r="A175" s="22" t="s">
        <v>1225</v>
      </c>
      <c r="B175" s="33" t="str">
        <f>IFERROR(INDEX(Recipes!$B$2:$B$500,MATCH(A175,Recipes!$A$2:$A$500,0)),"")</f>
        <v>Roast Sweet Potato &amp; Efo Salad</v>
      </c>
      <c r="C175" s="7" t="s">
        <v>428</v>
      </c>
      <c r="D175" s="34">
        <v>0.5</v>
      </c>
      <c r="E175" s="22" t="s">
        <v>2748</v>
      </c>
      <c r="F175" s="22" t="s">
        <v>427</v>
      </c>
      <c r="G175" s="22" t="s">
        <v>2755</v>
      </c>
      <c r="H175" s="7" t="s">
        <v>2800</v>
      </c>
      <c r="I175" s="35">
        <v>73</v>
      </c>
      <c r="J175" s="30">
        <f>IF(OR($F175="",$I175=""),0,IFERROR(INDEX(Nutrition!$D$2:$D$300,MATCH($F175,Nutrition!$A$2:$A$300,0))*$I175/100,0))</f>
        <v>6.2050000000000001</v>
      </c>
      <c r="K175" s="30">
        <f>IF(OR($F175="",$I175=""),0,IFERROR(INDEX(Nutrition!$E$2:$E$300,MATCH($F175,Nutrition!$A$2:$A$300,0))*$I175/100,0))</f>
        <v>0</v>
      </c>
      <c r="L175" s="30">
        <f>IF(OR($F175="",$I175=""),0,IFERROR(INDEX(Nutrition!$F$2:$F$300,MATCH($F175,Nutrition!$A$2:$A$300,0))*$I175/100,0))</f>
        <v>0</v>
      </c>
      <c r="M175" s="30">
        <f>IF(OR($F175="",$I175=""),0,IFERROR(INDEX(Nutrition!$G$2:$G$300,MATCH($F175,Nutrition!$A$2:$A$300,0))*$I175/100,0))</f>
        <v>0</v>
      </c>
      <c r="N175" s="30">
        <f>IF(OR($F175="",$I175=""),0,IFERROR(INDEX(Nutrition!$H$2:$H$300,MATCH($F175,Nutrition!$A$2:$A$300,0))*$I175/100,0))</f>
        <v>175.2</v>
      </c>
      <c r="O175" s="30">
        <f>IF(OR($F175="",$I175=""),0,IFERROR(INDEX(Nutrition!$I$2:$I$300,MATCH($F175,Nutrition!$A$2:$A$300,0))*$I175/100,0))</f>
        <v>514.65</v>
      </c>
      <c r="P175" s="30">
        <f>IF(OR($F175="",$I175=""),0,IFERROR(INDEX(Nutrition!$J$2:$J$300,MATCH($F175,Nutrition!$A$2:$A$300,0))*$I175/100,0))</f>
        <v>6.0809000000000006</v>
      </c>
      <c r="Q175" s="30">
        <f>IF(OR($F175="",$I175=""),0,IFERROR(INDEX(Nutrition!$K$2:$K$300,MATCH($F175,Nutrition!$A$2:$A$300,0))*$I175/100,0))</f>
        <v>0.25403999999999999</v>
      </c>
      <c r="R175" s="30">
        <f>IF(OR($F175="",$I175=""),0,IFERROR(INDEX(Nutrition!$L$2:$L$300,MATCH($F175,Nutrition!$A$2:$A$300,0))*$I175/100,0))</f>
        <v>122.64</v>
      </c>
      <c r="S175" s="30">
        <f>IF(OR($F175="",$I175=""),0,IFERROR(INDEX(Nutrition!$M$2:$M$300,MATCH($F175,Nutrition!$A$2:$A$300,0))*$I175/100,0))</f>
        <v>3.3434000000000004</v>
      </c>
    </row>
    <row r="176" spans="1:19" ht="15" customHeight="1" x14ac:dyDescent="0.25">
      <c r="A176" s="22" t="s">
        <v>1225</v>
      </c>
      <c r="B176" s="33" t="str">
        <f>IFERROR(INDEX(Recipes!$B$2:$B$500,MATCH(A176,Recipes!$A$2:$A$500,0)),"")</f>
        <v>Roast Sweet Potato &amp; Efo Salad</v>
      </c>
      <c r="C176" s="7" t="s">
        <v>213</v>
      </c>
      <c r="D176" s="34">
        <v>1</v>
      </c>
      <c r="E176" s="22" t="s">
        <v>2754</v>
      </c>
      <c r="F176" s="22" t="s">
        <v>212</v>
      </c>
      <c r="G176" s="22" t="s">
        <v>2755</v>
      </c>
      <c r="H176" s="7"/>
      <c r="I176" s="35">
        <v>67</v>
      </c>
      <c r="J176" s="30">
        <f>IF(OR($F176="",$I176=""),0,IFERROR(INDEX(Nutrition!$D$2:$D$300,MATCH($F176,Nutrition!$A$2:$A$300,0))*$I176/100,0))</f>
        <v>1.8759999999999999</v>
      </c>
      <c r="K176" s="30">
        <f>IF(OR($F176="",$I176=""),0,IFERROR(INDEX(Nutrition!$E$2:$E$300,MATCH($F176,Nutrition!$A$2:$A$300,0))*$I176/100,0))</f>
        <v>19.497</v>
      </c>
      <c r="L176" s="30">
        <f>IF(OR($F176="",$I176=""),0,IFERROR(INDEX(Nutrition!$F$2:$F$300,MATCH($F176,Nutrition!$A$2:$A$300,0))*$I176/100,0))</f>
        <v>1.34</v>
      </c>
      <c r="M176" s="30">
        <f>IF(OR($F176="",$I176=""),0,IFERROR(INDEX(Nutrition!$G$2:$G$300,MATCH($F176,Nutrition!$A$2:$A$300,0))*$I176/100,0))</f>
        <v>0.40199999999999997</v>
      </c>
      <c r="N176" s="30">
        <f>IF(OR($F176="",$I176=""),0,IFERROR(INDEX(Nutrition!$H$2:$H$300,MATCH($F176,Nutrition!$A$2:$A$300,0))*$I176/100,0))</f>
        <v>5.36</v>
      </c>
      <c r="O176" s="30">
        <f>IF(OR($F176="",$I176=""),0,IFERROR(INDEX(Nutrition!$I$2:$I$300,MATCH($F176,Nutrition!$A$2:$A$300,0))*$I176/100,0))</f>
        <v>68.34</v>
      </c>
      <c r="P176" s="30">
        <f>IF(OR($F176="",$I176=""),0,IFERROR(INDEX(Nutrition!$J$2:$J$300,MATCH($F176,Nutrition!$A$2:$A$300,0))*$I176/100,0))</f>
        <v>0.1474</v>
      </c>
      <c r="Q176" s="30">
        <f>IF(OR($F176="",$I176=""),0,IFERROR(INDEX(Nutrition!$K$2:$K$300,MATCH($F176,Nutrition!$A$2:$A$300,0))*$I176/100,0))</f>
        <v>2.8809999999999999E-2</v>
      </c>
      <c r="R176" s="30">
        <f>IF(OR($F176="",$I176=""),0,IFERROR(INDEX(Nutrition!$L$2:$L$300,MATCH($F176,Nutrition!$A$2:$A$300,0))*$I176/100,0))</f>
        <v>4.0199999999999996</v>
      </c>
      <c r="S176" s="30">
        <f>IF(OR($F176="",$I176=""),0,IFERROR(INDEX(Nutrition!$M$2:$M$300,MATCH($F176,Nutrition!$A$2:$A$300,0))*$I176/100,0))</f>
        <v>0.40199999999999997</v>
      </c>
    </row>
    <row r="177" spans="1:19" ht="15" customHeight="1" x14ac:dyDescent="0.25">
      <c r="A177" s="22" t="s">
        <v>1225</v>
      </c>
      <c r="B177" s="33" t="str">
        <f>IFERROR(INDEX(Recipes!$B$2:$B$500,MATCH(A177,Recipes!$A$2:$A$500,0)),"")</f>
        <v>Roast Sweet Potato &amp; Efo Salad</v>
      </c>
      <c r="C177" s="7" t="s">
        <v>2758</v>
      </c>
      <c r="D177" s="34">
        <v>1</v>
      </c>
      <c r="E177" s="22" t="s">
        <v>2753</v>
      </c>
      <c r="F177" s="22"/>
      <c r="G177" s="22" t="s">
        <v>2749</v>
      </c>
      <c r="H177" s="7"/>
      <c r="I177" s="35"/>
      <c r="J177" s="30">
        <f>IF(OR($F177="",$I177=""),0,IFERROR(INDEX(Nutrition!$D$2:$D$300,MATCH($F177,Nutrition!$A$2:$A$300,0))*$I177/100,0))</f>
        <v>0</v>
      </c>
      <c r="K177" s="30">
        <f>IF(OR($F177="",$I177=""),0,IFERROR(INDEX(Nutrition!$E$2:$E$300,MATCH($F177,Nutrition!$A$2:$A$300,0))*$I177/100,0))</f>
        <v>0</v>
      </c>
      <c r="L177" s="30">
        <f>IF(OR($F177="",$I177=""),0,IFERROR(INDEX(Nutrition!$F$2:$F$300,MATCH($F177,Nutrition!$A$2:$A$300,0))*$I177/100,0))</f>
        <v>0</v>
      </c>
      <c r="M177" s="30">
        <f>IF(OR($F177="",$I177=""),0,IFERROR(INDEX(Nutrition!$G$2:$G$300,MATCH($F177,Nutrition!$A$2:$A$300,0))*$I177/100,0))</f>
        <v>0</v>
      </c>
      <c r="N177" s="30">
        <f>IF(OR($F177="",$I177=""),0,IFERROR(INDEX(Nutrition!$H$2:$H$300,MATCH($F177,Nutrition!$A$2:$A$300,0))*$I177/100,0))</f>
        <v>0</v>
      </c>
      <c r="O177" s="30">
        <f>IF(OR($F177="",$I177=""),0,IFERROR(INDEX(Nutrition!$I$2:$I$300,MATCH($F177,Nutrition!$A$2:$A$300,0))*$I177/100,0))</f>
        <v>0</v>
      </c>
      <c r="P177" s="30">
        <f>IF(OR($F177="",$I177=""),0,IFERROR(INDEX(Nutrition!$J$2:$J$300,MATCH($F177,Nutrition!$A$2:$A$300,0))*$I177/100,0))</f>
        <v>0</v>
      </c>
      <c r="Q177" s="30">
        <f>IF(OR($F177="",$I177=""),0,IFERROR(INDEX(Nutrition!$K$2:$K$300,MATCH($F177,Nutrition!$A$2:$A$300,0))*$I177/100,0))</f>
        <v>0</v>
      </c>
      <c r="R177" s="30">
        <f>IF(OR($F177="",$I177=""),0,IFERROR(INDEX(Nutrition!$L$2:$L$300,MATCH($F177,Nutrition!$A$2:$A$300,0))*$I177/100,0))</f>
        <v>0</v>
      </c>
      <c r="S177" s="30">
        <f>IF(OR($F177="",$I177=""),0,IFERROR(INDEX(Nutrition!$M$2:$M$300,MATCH($F177,Nutrition!$A$2:$A$300,0))*$I177/100,0))</f>
        <v>0</v>
      </c>
    </row>
    <row r="178" spans="1:19" ht="15" customHeight="1" x14ac:dyDescent="0.25">
      <c r="A178" s="22" t="s">
        <v>1225</v>
      </c>
      <c r="B178" s="33" t="str">
        <f>IFERROR(INDEX(Recipes!$B$2:$B$500,MATCH(A178,Recipes!$A$2:$A$500,0)),"")</f>
        <v>Roast Sweet Potato &amp; Efo Salad</v>
      </c>
      <c r="C178" s="7" t="s">
        <v>2789</v>
      </c>
      <c r="D178" s="34">
        <v>1</v>
      </c>
      <c r="E178" s="22" t="s">
        <v>2759</v>
      </c>
      <c r="F178" s="22"/>
      <c r="G178" s="22" t="s">
        <v>2749</v>
      </c>
      <c r="H178" s="7"/>
      <c r="I178" s="35"/>
      <c r="J178" s="30">
        <f>IF(OR($F178="",$I178=""),0,IFERROR(INDEX(Nutrition!$D$2:$D$300,MATCH($F178,Nutrition!$A$2:$A$300,0))*$I178/100,0))</f>
        <v>0</v>
      </c>
      <c r="K178" s="30">
        <f>IF(OR($F178="",$I178=""),0,IFERROR(INDEX(Nutrition!$E$2:$E$300,MATCH($F178,Nutrition!$A$2:$A$300,0))*$I178/100,0))</f>
        <v>0</v>
      </c>
      <c r="L178" s="30">
        <f>IF(OR($F178="",$I178=""),0,IFERROR(INDEX(Nutrition!$F$2:$F$300,MATCH($F178,Nutrition!$A$2:$A$300,0))*$I178/100,0))</f>
        <v>0</v>
      </c>
      <c r="M178" s="30">
        <f>IF(OR($F178="",$I178=""),0,IFERROR(INDEX(Nutrition!$G$2:$G$300,MATCH($F178,Nutrition!$A$2:$A$300,0))*$I178/100,0))</f>
        <v>0</v>
      </c>
      <c r="N178" s="30">
        <f>IF(OR($F178="",$I178=""),0,IFERROR(INDEX(Nutrition!$H$2:$H$300,MATCH($F178,Nutrition!$A$2:$A$300,0))*$I178/100,0))</f>
        <v>0</v>
      </c>
      <c r="O178" s="30">
        <f>IF(OR($F178="",$I178=""),0,IFERROR(INDEX(Nutrition!$I$2:$I$300,MATCH($F178,Nutrition!$A$2:$A$300,0))*$I178/100,0))</f>
        <v>0</v>
      </c>
      <c r="P178" s="30">
        <f>IF(OR($F178="",$I178=""),0,IFERROR(INDEX(Nutrition!$J$2:$J$300,MATCH($F178,Nutrition!$A$2:$A$300,0))*$I178/100,0))</f>
        <v>0</v>
      </c>
      <c r="Q178" s="30">
        <f>IF(OR($F178="",$I178=""),0,IFERROR(INDEX(Nutrition!$K$2:$K$300,MATCH($F178,Nutrition!$A$2:$A$300,0))*$I178/100,0))</f>
        <v>0</v>
      </c>
      <c r="R178" s="30">
        <f>IF(OR($F178="",$I178=""),0,IFERROR(INDEX(Nutrition!$L$2:$L$300,MATCH($F178,Nutrition!$A$2:$A$300,0))*$I178/100,0))</f>
        <v>0</v>
      </c>
      <c r="S178" s="30">
        <f>IF(OR($F178="",$I178=""),0,IFERROR(INDEX(Nutrition!$M$2:$M$300,MATCH($F178,Nutrition!$A$2:$A$300,0))*$I178/100,0))</f>
        <v>0</v>
      </c>
    </row>
    <row r="179" spans="1:19" ht="15" customHeight="1" x14ac:dyDescent="0.25">
      <c r="A179" s="22" t="s">
        <v>1225</v>
      </c>
      <c r="B179" s="33" t="str">
        <f>IFERROR(INDEX(Recipes!$B$2:$B$500,MATCH(A179,Recipes!$A$2:$A$500,0)),"")</f>
        <v>Roast Sweet Potato &amp; Efo Salad</v>
      </c>
      <c r="C179" s="7" t="s">
        <v>2772</v>
      </c>
      <c r="D179" s="34">
        <v>2</v>
      </c>
      <c r="E179" s="22" t="s">
        <v>2753</v>
      </c>
      <c r="F179" s="22"/>
      <c r="G179" s="22" t="s">
        <v>2773</v>
      </c>
      <c r="H179" s="7"/>
      <c r="I179" s="35"/>
      <c r="J179" s="30">
        <f>IF(OR($F179="",$I179=""),0,IFERROR(INDEX(Nutrition!$D$2:$D$300,MATCH($F179,Nutrition!$A$2:$A$300,0))*$I179/100,0))</f>
        <v>0</v>
      </c>
      <c r="K179" s="30">
        <f>IF(OR($F179="",$I179=""),0,IFERROR(INDEX(Nutrition!$E$2:$E$300,MATCH($F179,Nutrition!$A$2:$A$300,0))*$I179/100,0))</f>
        <v>0</v>
      </c>
      <c r="L179" s="30">
        <f>IF(OR($F179="",$I179=""),0,IFERROR(INDEX(Nutrition!$F$2:$F$300,MATCH($F179,Nutrition!$A$2:$A$300,0))*$I179/100,0))</f>
        <v>0</v>
      </c>
      <c r="M179" s="30">
        <f>IF(OR($F179="",$I179=""),0,IFERROR(INDEX(Nutrition!$G$2:$G$300,MATCH($F179,Nutrition!$A$2:$A$300,0))*$I179/100,0))</f>
        <v>0</v>
      </c>
      <c r="N179" s="30">
        <f>IF(OR($F179="",$I179=""),0,IFERROR(INDEX(Nutrition!$H$2:$H$300,MATCH($F179,Nutrition!$A$2:$A$300,0))*$I179/100,0))</f>
        <v>0</v>
      </c>
      <c r="O179" s="30">
        <f>IF(OR($F179="",$I179=""),0,IFERROR(INDEX(Nutrition!$I$2:$I$300,MATCH($F179,Nutrition!$A$2:$A$300,0))*$I179/100,0))</f>
        <v>0</v>
      </c>
      <c r="P179" s="30">
        <f>IF(OR($F179="",$I179=""),0,IFERROR(INDEX(Nutrition!$J$2:$J$300,MATCH($F179,Nutrition!$A$2:$A$300,0))*$I179/100,0))</f>
        <v>0</v>
      </c>
      <c r="Q179" s="30">
        <f>IF(OR($F179="",$I179=""),0,IFERROR(INDEX(Nutrition!$K$2:$K$300,MATCH($F179,Nutrition!$A$2:$A$300,0))*$I179/100,0))</f>
        <v>0</v>
      </c>
      <c r="R179" s="30">
        <f>IF(OR($F179="",$I179=""),0,IFERROR(INDEX(Nutrition!$L$2:$L$300,MATCH($F179,Nutrition!$A$2:$A$300,0))*$I179/100,0))</f>
        <v>0</v>
      </c>
      <c r="S179" s="30">
        <f>IF(OR($F179="",$I179=""),0,IFERROR(INDEX(Nutrition!$M$2:$M$300,MATCH($F179,Nutrition!$A$2:$A$300,0))*$I179/100,0))</f>
        <v>0</v>
      </c>
    </row>
    <row r="180" spans="1:19" ht="15" customHeight="1" x14ac:dyDescent="0.25">
      <c r="A180" s="22" t="s">
        <v>1225</v>
      </c>
      <c r="B180" s="33" t="str">
        <f>IFERROR(INDEX(Recipes!$B$2:$B$500,MATCH(A180,Recipes!$A$2:$A$500,0)),"")</f>
        <v>Roast Sweet Potato &amp; Efo Salad</v>
      </c>
      <c r="C180" s="7" t="s">
        <v>2781</v>
      </c>
      <c r="D180" s="34">
        <v>1</v>
      </c>
      <c r="E180" s="22" t="s">
        <v>2782</v>
      </c>
      <c r="F180" s="22"/>
      <c r="G180" s="22" t="s">
        <v>2773</v>
      </c>
      <c r="H180" s="7"/>
      <c r="I180" s="35"/>
      <c r="J180" s="30">
        <f>IF(OR($F180="",$I180=""),0,IFERROR(INDEX(Nutrition!$D$2:$D$300,MATCH($F180,Nutrition!$A$2:$A$300,0))*$I180/100,0))</f>
        <v>0</v>
      </c>
      <c r="K180" s="30">
        <f>IF(OR($F180="",$I180=""),0,IFERROR(INDEX(Nutrition!$E$2:$E$300,MATCH($F180,Nutrition!$A$2:$A$300,0))*$I180/100,0))</f>
        <v>0</v>
      </c>
      <c r="L180" s="30">
        <f>IF(OR($F180="",$I180=""),0,IFERROR(INDEX(Nutrition!$F$2:$F$300,MATCH($F180,Nutrition!$A$2:$A$300,0))*$I180/100,0))</f>
        <v>0</v>
      </c>
      <c r="M180" s="30">
        <f>IF(OR($F180="",$I180=""),0,IFERROR(INDEX(Nutrition!$G$2:$G$300,MATCH($F180,Nutrition!$A$2:$A$300,0))*$I180/100,0))</f>
        <v>0</v>
      </c>
      <c r="N180" s="30">
        <f>IF(OR($F180="",$I180=""),0,IFERROR(INDEX(Nutrition!$H$2:$H$300,MATCH($F180,Nutrition!$A$2:$A$300,0))*$I180/100,0))</f>
        <v>0</v>
      </c>
      <c r="O180" s="30">
        <f>IF(OR($F180="",$I180=""),0,IFERROR(INDEX(Nutrition!$I$2:$I$300,MATCH($F180,Nutrition!$A$2:$A$300,0))*$I180/100,0))</f>
        <v>0</v>
      </c>
      <c r="P180" s="30">
        <f>IF(OR($F180="",$I180=""),0,IFERROR(INDEX(Nutrition!$J$2:$J$300,MATCH($F180,Nutrition!$A$2:$A$300,0))*$I180/100,0))</f>
        <v>0</v>
      </c>
      <c r="Q180" s="30">
        <f>IF(OR($F180="",$I180=""),0,IFERROR(INDEX(Nutrition!$K$2:$K$300,MATCH($F180,Nutrition!$A$2:$A$300,0))*$I180/100,0))</f>
        <v>0</v>
      </c>
      <c r="R180" s="30">
        <f>IF(OR($F180="",$I180=""),0,IFERROR(INDEX(Nutrition!$L$2:$L$300,MATCH($F180,Nutrition!$A$2:$A$300,0))*$I180/100,0))</f>
        <v>0</v>
      </c>
      <c r="S180" s="30">
        <f>IF(OR($F180="",$I180=""),0,IFERROR(INDEX(Nutrition!$M$2:$M$300,MATCH($F180,Nutrition!$A$2:$A$300,0))*$I180/100,0))</f>
        <v>0</v>
      </c>
    </row>
    <row r="181" spans="1:19" ht="15" customHeight="1" x14ac:dyDescent="0.25">
      <c r="A181" s="22" t="s">
        <v>1237</v>
      </c>
      <c r="B181" s="33" t="str">
        <f>IFERROR(INDEX(Recipes!$B$2:$B$500,MATCH(A181,Recipes!$A$2:$A$500,0)),"")</f>
        <v>Black-Eyed Bean 'Lagos Caviar'</v>
      </c>
      <c r="C181" s="7" t="s">
        <v>2832</v>
      </c>
      <c r="D181" s="34">
        <v>2</v>
      </c>
      <c r="E181" s="22" t="s">
        <v>2790</v>
      </c>
      <c r="F181" s="22"/>
      <c r="G181" s="22" t="s">
        <v>2749</v>
      </c>
      <c r="H181" s="7" t="s">
        <v>2833</v>
      </c>
      <c r="I181" s="35"/>
      <c r="J181" s="30">
        <f>IF(OR($F181="",$I181=""),0,IFERROR(INDEX(Nutrition!$D$2:$D$300,MATCH($F181,Nutrition!$A$2:$A$300,0))*$I181/100,0))</f>
        <v>0</v>
      </c>
      <c r="K181" s="30">
        <f>IF(OR($F181="",$I181=""),0,IFERROR(INDEX(Nutrition!$E$2:$E$300,MATCH($F181,Nutrition!$A$2:$A$300,0))*$I181/100,0))</f>
        <v>0</v>
      </c>
      <c r="L181" s="30">
        <f>IF(OR($F181="",$I181=""),0,IFERROR(INDEX(Nutrition!$F$2:$F$300,MATCH($F181,Nutrition!$A$2:$A$300,0))*$I181/100,0))</f>
        <v>0</v>
      </c>
      <c r="M181" s="30">
        <f>IF(OR($F181="",$I181=""),0,IFERROR(INDEX(Nutrition!$G$2:$G$300,MATCH($F181,Nutrition!$A$2:$A$300,0))*$I181/100,0))</f>
        <v>0</v>
      </c>
      <c r="N181" s="30">
        <f>IF(OR($F181="",$I181=""),0,IFERROR(INDEX(Nutrition!$H$2:$H$300,MATCH($F181,Nutrition!$A$2:$A$300,0))*$I181/100,0))</f>
        <v>0</v>
      </c>
      <c r="O181" s="30">
        <f>IF(OR($F181="",$I181=""),0,IFERROR(INDEX(Nutrition!$I$2:$I$300,MATCH($F181,Nutrition!$A$2:$A$300,0))*$I181/100,0))</f>
        <v>0</v>
      </c>
      <c r="P181" s="30">
        <f>IF(OR($F181="",$I181=""),0,IFERROR(INDEX(Nutrition!$J$2:$J$300,MATCH($F181,Nutrition!$A$2:$A$300,0))*$I181/100,0))</f>
        <v>0</v>
      </c>
      <c r="Q181" s="30">
        <f>IF(OR($F181="",$I181=""),0,IFERROR(INDEX(Nutrition!$K$2:$K$300,MATCH($F181,Nutrition!$A$2:$A$300,0))*$I181/100,0))</f>
        <v>0</v>
      </c>
      <c r="R181" s="30">
        <f>IF(OR($F181="",$I181=""),0,IFERROR(INDEX(Nutrition!$L$2:$L$300,MATCH($F181,Nutrition!$A$2:$A$300,0))*$I181/100,0))</f>
        <v>0</v>
      </c>
      <c r="S181" s="30">
        <f>IF(OR($F181="",$I181=""),0,IFERROR(INDEX(Nutrition!$M$2:$M$300,MATCH($F181,Nutrition!$A$2:$A$300,0))*$I181/100,0))</f>
        <v>0</v>
      </c>
    </row>
    <row r="182" spans="1:19" ht="15" customHeight="1" x14ac:dyDescent="0.25">
      <c r="A182" s="22" t="s">
        <v>1237</v>
      </c>
      <c r="B182" s="33" t="str">
        <f>IFERROR(INDEX(Recipes!$B$2:$B$500,MATCH(A182,Recipes!$A$2:$A$500,0)),"")</f>
        <v>Black-Eyed Bean 'Lagos Caviar'</v>
      </c>
      <c r="C182" s="7" t="s">
        <v>556</v>
      </c>
      <c r="D182" s="34">
        <v>1</v>
      </c>
      <c r="E182" s="22" t="s">
        <v>2834</v>
      </c>
      <c r="F182" s="22" t="s">
        <v>555</v>
      </c>
      <c r="G182" s="22" t="s">
        <v>2755</v>
      </c>
      <c r="H182" s="7"/>
      <c r="I182" s="35">
        <v>90</v>
      </c>
      <c r="J182" s="30">
        <f>IF(OR($F182="",$I182=""),0,IFERROR(INDEX(Nutrition!$D$2:$D$300,MATCH($F182,Nutrition!$A$2:$A$300,0))*$I182/100,0))</f>
        <v>2.4300000000000002</v>
      </c>
      <c r="K182" s="30">
        <f>IF(OR($F182="",$I182=""),0,IFERROR(INDEX(Nutrition!$E$2:$E$300,MATCH($F182,Nutrition!$A$2:$A$300,0))*$I182/100,0))</f>
        <v>6.12</v>
      </c>
      <c r="L182" s="30">
        <f>IF(OR($F182="",$I182=""),0,IFERROR(INDEX(Nutrition!$F$2:$F$300,MATCH($F182,Nutrition!$A$2:$A$300,0))*$I182/100,0))</f>
        <v>8.1</v>
      </c>
      <c r="M182" s="30">
        <f>IF(OR($F182="",$I182=""),0,IFERROR(INDEX(Nutrition!$G$2:$G$300,MATCH($F182,Nutrition!$A$2:$A$300,0))*$I182/100,0))</f>
        <v>0.27</v>
      </c>
      <c r="N182" s="30">
        <f>IF(OR($F182="",$I182=""),0,IFERROR(INDEX(Nutrition!$H$2:$H$300,MATCH($F182,Nutrition!$A$2:$A$300,0))*$I182/100,0))</f>
        <v>37.799999999999997</v>
      </c>
      <c r="O182" s="30">
        <f>IF(OR($F182="",$I182=""),0,IFERROR(INDEX(Nutrition!$I$2:$I$300,MATCH($F182,Nutrition!$A$2:$A$300,0))*$I182/100,0))</f>
        <v>243</v>
      </c>
      <c r="P182" s="30">
        <f>IF(OR($F182="",$I182=""),0,IFERROR(INDEX(Nutrition!$J$2:$J$300,MATCH($F182,Nutrition!$A$2:$A$300,0))*$I182/100,0))</f>
        <v>6.3E-2</v>
      </c>
      <c r="Q182" s="30">
        <f>IF(OR($F182="",$I182=""),0,IFERROR(INDEX(Nutrition!$K$2:$K$300,MATCH($F182,Nutrition!$A$2:$A$300,0))*$I182/100,0))</f>
        <v>8.3699999999999997E-2</v>
      </c>
      <c r="R182" s="30">
        <f>IF(OR($F182="",$I182=""),0,IFERROR(INDEX(Nutrition!$L$2:$L$300,MATCH($F182,Nutrition!$A$2:$A$300,0))*$I182/100,0))</f>
        <v>33.299999999999997</v>
      </c>
      <c r="S182" s="30">
        <f>IF(OR($F182="",$I182=""),0,IFERROR(INDEX(Nutrition!$M$2:$M$300,MATCH($F182,Nutrition!$A$2:$A$300,0))*$I182/100,0))</f>
        <v>0.46800000000000003</v>
      </c>
    </row>
    <row r="183" spans="1:19" ht="15" customHeight="1" x14ac:dyDescent="0.25">
      <c r="A183" s="22" t="s">
        <v>1237</v>
      </c>
      <c r="B183" s="33" t="str">
        <f>IFERROR(INDEX(Recipes!$B$2:$B$500,MATCH(A183,Recipes!$A$2:$A$500,0)),"")</f>
        <v>Black-Eyed Bean 'Lagos Caviar'</v>
      </c>
      <c r="C183" s="7" t="s">
        <v>462</v>
      </c>
      <c r="D183" s="34">
        <v>1</v>
      </c>
      <c r="E183" s="22" t="s">
        <v>2754</v>
      </c>
      <c r="F183" s="22" t="s">
        <v>461</v>
      </c>
      <c r="G183" s="22" t="s">
        <v>2755</v>
      </c>
      <c r="H183" s="7"/>
      <c r="I183" s="35">
        <v>119</v>
      </c>
      <c r="J183" s="30">
        <f>IF(OR($F183="",$I183=""),0,IFERROR(INDEX(Nutrition!$D$2:$D$300,MATCH($F183,Nutrition!$A$2:$A$300,0))*$I183/100,0))</f>
        <v>2.4990000000000001</v>
      </c>
      <c r="K183" s="30">
        <f>IF(OR($F183="",$I183=""),0,IFERROR(INDEX(Nutrition!$E$2:$E$300,MATCH($F183,Nutrition!$A$2:$A$300,0))*$I183/100,0))</f>
        <v>151.96300000000002</v>
      </c>
      <c r="L183" s="30">
        <f>IF(OR($F183="",$I183=""),0,IFERROR(INDEX(Nutrition!$F$2:$F$300,MATCH($F183,Nutrition!$A$2:$A$300,0))*$I183/100,0))</f>
        <v>186.83</v>
      </c>
      <c r="M183" s="30">
        <f>IF(OR($F183="",$I183=""),0,IFERROR(INDEX(Nutrition!$G$2:$G$300,MATCH($F183,Nutrition!$A$2:$A$300,0))*$I183/100,0))</f>
        <v>5.8310000000000004</v>
      </c>
      <c r="N183" s="30">
        <f>IF(OR($F183="",$I183=""),0,IFERROR(INDEX(Nutrition!$H$2:$H$300,MATCH($F183,Nutrition!$A$2:$A$300,0))*$I183/100,0))</f>
        <v>54.74</v>
      </c>
      <c r="O183" s="30">
        <f>IF(OR($F183="",$I183=""),0,IFERROR(INDEX(Nutrition!$I$2:$I$300,MATCH($F183,Nutrition!$A$2:$A$300,0))*$I183/100,0))</f>
        <v>251.09</v>
      </c>
      <c r="P183" s="30">
        <f>IF(OR($F183="",$I183=""),0,IFERROR(INDEX(Nutrition!$J$2:$J$300,MATCH($F183,Nutrition!$A$2:$A$300,0))*$I183/100,0))</f>
        <v>1.8802000000000001</v>
      </c>
      <c r="Q183" s="30">
        <f>IF(OR($F183="",$I183=""),0,IFERROR(INDEX(Nutrition!$K$2:$K$300,MATCH($F183,Nutrition!$A$2:$A$300,0))*$I183/100,0))</f>
        <v>0.34628999999999999</v>
      </c>
      <c r="R183" s="30">
        <f>IF(OR($F183="",$I183=""),0,IFERROR(INDEX(Nutrition!$L$2:$L$300,MATCH($F183,Nutrition!$A$2:$A$300,0))*$I183/100,0))</f>
        <v>14.28</v>
      </c>
      <c r="S183" s="30">
        <f>IF(OR($F183="",$I183=""),0,IFERROR(INDEX(Nutrition!$M$2:$M$300,MATCH($F183,Nutrition!$A$2:$A$300,0))*$I183/100,0))</f>
        <v>0.51170000000000004</v>
      </c>
    </row>
    <row r="184" spans="1:19" ht="15" customHeight="1" x14ac:dyDescent="0.25">
      <c r="A184" s="22" t="s">
        <v>1237</v>
      </c>
      <c r="B184" s="33" t="str">
        <f>IFERROR(INDEX(Recipes!$B$2:$B$500,MATCH(A184,Recipes!$A$2:$A$500,0)),"")</f>
        <v>Black-Eyed Bean 'Lagos Caviar'</v>
      </c>
      <c r="C184" s="7" t="s">
        <v>446</v>
      </c>
      <c r="D184" s="34">
        <v>2</v>
      </c>
      <c r="E184" s="22" t="s">
        <v>2754</v>
      </c>
      <c r="F184" s="22" t="s">
        <v>445</v>
      </c>
      <c r="G184" s="22" t="s">
        <v>2755</v>
      </c>
      <c r="H184" s="7"/>
      <c r="I184" s="35">
        <v>124</v>
      </c>
      <c r="J184" s="30">
        <f>IF(OR($F184="",$I184=""),0,IFERROR(INDEX(Nutrition!$D$2:$D$300,MATCH($F184,Nutrition!$A$2:$A$300,0))*$I184/100,0))</f>
        <v>1.4879999999999998</v>
      </c>
      <c r="K184" s="30">
        <f>IF(OR($F184="",$I184=""),0,IFERROR(INDEX(Nutrition!$E$2:$E$300,MATCH($F184,Nutrition!$A$2:$A$300,0))*$I184/100,0))</f>
        <v>16.988</v>
      </c>
      <c r="L184" s="30">
        <f>IF(OR($F184="",$I184=""),0,IFERROR(INDEX(Nutrition!$F$2:$F$300,MATCH($F184,Nutrition!$A$2:$A$300,0))*$I184/100,0))</f>
        <v>52.08</v>
      </c>
      <c r="M184" s="30">
        <f>IF(OR($F184="",$I184=""),0,IFERROR(INDEX(Nutrition!$G$2:$G$300,MATCH($F184,Nutrition!$A$2:$A$300,0))*$I184/100,0))</f>
        <v>9.7959999999999994</v>
      </c>
      <c r="N184" s="30">
        <f>IF(OR($F184="",$I184=""),0,IFERROR(INDEX(Nutrition!$H$2:$H$300,MATCH($F184,Nutrition!$A$2:$A$300,0))*$I184/100,0))</f>
        <v>18.600000000000001</v>
      </c>
      <c r="O184" s="30">
        <f>IF(OR($F184="",$I184=""),0,IFERROR(INDEX(Nutrition!$I$2:$I$300,MATCH($F184,Nutrition!$A$2:$A$300,0))*$I184/100,0))</f>
        <v>293.88</v>
      </c>
      <c r="P184" s="30">
        <f>IF(OR($F184="",$I184=""),0,IFERROR(INDEX(Nutrition!$J$2:$J$300,MATCH($F184,Nutrition!$A$2:$A$300,0))*$I184/100,0))</f>
        <v>0.66960000000000008</v>
      </c>
      <c r="Q184" s="30">
        <f>IF(OR($F184="",$I184=""),0,IFERROR(INDEX(Nutrition!$K$2:$K$300,MATCH($F184,Nutrition!$A$2:$A$300,0))*$I184/100,0))</f>
        <v>9.9199999999999997E-2</v>
      </c>
      <c r="R184" s="30">
        <f>IF(OR($F184="",$I184=""),0,IFERROR(INDEX(Nutrition!$L$2:$L$300,MATCH($F184,Nutrition!$A$2:$A$300,0))*$I184/100,0))</f>
        <v>13.64</v>
      </c>
      <c r="S184" s="30">
        <f>IF(OR($F184="",$I184=""),0,IFERROR(INDEX(Nutrition!$M$2:$M$300,MATCH($F184,Nutrition!$A$2:$A$300,0))*$I184/100,0))</f>
        <v>0.33480000000000004</v>
      </c>
    </row>
    <row r="185" spans="1:19" ht="15" customHeight="1" x14ac:dyDescent="0.25">
      <c r="A185" s="22" t="s">
        <v>1237</v>
      </c>
      <c r="B185" s="33" t="str">
        <f>IFERROR(INDEX(Recipes!$B$2:$B$500,MATCH(A185,Recipes!$A$2:$A$500,0)),"")</f>
        <v>Black-Eyed Bean 'Lagos Caviar'</v>
      </c>
      <c r="C185" s="7" t="s">
        <v>482</v>
      </c>
      <c r="D185" s="34">
        <v>0.5</v>
      </c>
      <c r="E185" s="22" t="s">
        <v>2754</v>
      </c>
      <c r="F185" s="22" t="s">
        <v>481</v>
      </c>
      <c r="G185" s="22" t="s">
        <v>2755</v>
      </c>
      <c r="H185" s="7" t="s">
        <v>2784</v>
      </c>
      <c r="I185" s="35">
        <v>55</v>
      </c>
      <c r="J185" s="30">
        <f>IF(OR($F185="",$I185=""),0,IFERROR(INDEX(Nutrition!$D$2:$D$300,MATCH($F185,Nutrition!$A$2:$A$300,0))*$I185/100,0))</f>
        <v>0.93500000000000005</v>
      </c>
      <c r="K185" s="30">
        <f>IF(OR($F185="",$I185=""),0,IFERROR(INDEX(Nutrition!$E$2:$E$300,MATCH($F185,Nutrition!$A$2:$A$300,0))*$I185/100,0))</f>
        <v>4.07</v>
      </c>
      <c r="L185" s="30">
        <f>IF(OR($F185="",$I185=""),0,IFERROR(INDEX(Nutrition!$F$2:$F$300,MATCH($F185,Nutrition!$A$2:$A$300,0))*$I185/100,0))</f>
        <v>0</v>
      </c>
      <c r="M185" s="30">
        <f>IF(OR($F185="",$I185=""),0,IFERROR(INDEX(Nutrition!$G$2:$G$300,MATCH($F185,Nutrition!$A$2:$A$300,0))*$I185/100,0))</f>
        <v>0.22</v>
      </c>
      <c r="N185" s="30">
        <f>IF(OR($F185="",$I185=""),0,IFERROR(INDEX(Nutrition!$H$2:$H$300,MATCH($F185,Nutrition!$A$2:$A$300,0))*$I185/100,0))</f>
        <v>10.45</v>
      </c>
      <c r="O185" s="30">
        <f>IF(OR($F185="",$I185=""),0,IFERROR(INDEX(Nutrition!$I$2:$I$300,MATCH($F185,Nutrition!$A$2:$A$300,0))*$I185/100,0))</f>
        <v>80.3</v>
      </c>
      <c r="P185" s="30">
        <f>IF(OR($F185="",$I185=""),0,IFERROR(INDEX(Nutrition!$J$2:$J$300,MATCH($F185,Nutrition!$A$2:$A$300,0))*$I185/100,0))</f>
        <v>1.1000000000000001E-2</v>
      </c>
      <c r="Q185" s="30">
        <f>IF(OR($F185="",$I185=""),0,IFERROR(INDEX(Nutrition!$K$2:$K$300,MATCH($F185,Nutrition!$A$2:$A$300,0))*$I185/100,0))</f>
        <v>6.6000000000000003E-2</v>
      </c>
      <c r="R185" s="30">
        <f>IF(OR($F185="",$I185=""),0,IFERROR(INDEX(Nutrition!$L$2:$L$300,MATCH($F185,Nutrition!$A$2:$A$300,0))*$I185/100,0))</f>
        <v>5.5</v>
      </c>
      <c r="S185" s="30">
        <f>IF(OR($F185="",$I185=""),0,IFERROR(INDEX(Nutrition!$M$2:$M$300,MATCH($F185,Nutrition!$A$2:$A$300,0))*$I185/100,0))</f>
        <v>0.11549999999999999</v>
      </c>
    </row>
    <row r="186" spans="1:19" ht="15" customHeight="1" x14ac:dyDescent="0.25">
      <c r="A186" s="22" t="s">
        <v>1237</v>
      </c>
      <c r="B186" s="33" t="str">
        <f>IFERROR(INDEX(Recipes!$B$2:$B$500,MATCH(A186,Recipes!$A$2:$A$500,0)),"")</f>
        <v>Black-Eyed Bean 'Lagos Caviar'</v>
      </c>
      <c r="C186" s="7" t="s">
        <v>473</v>
      </c>
      <c r="D186" s="34">
        <v>0.25</v>
      </c>
      <c r="E186" s="22" t="s">
        <v>2754</v>
      </c>
      <c r="F186" s="22" t="s">
        <v>472</v>
      </c>
      <c r="G186" s="22" t="s">
        <v>2755</v>
      </c>
      <c r="H186" s="7"/>
      <c r="I186" s="35">
        <v>2</v>
      </c>
      <c r="J186" s="30">
        <f>IF(OR($F186="",$I186=""),0,IFERROR(INDEX(Nutrition!$D$2:$D$300,MATCH($F186,Nutrition!$A$2:$A$300,0))*$I186/100,0))</f>
        <v>0.03</v>
      </c>
      <c r="K186" s="30">
        <f>IF(OR($F186="",$I186=""),0,IFERROR(INDEX(Nutrition!$E$2:$E$300,MATCH($F186,Nutrition!$A$2:$A$300,0))*$I186/100,0))</f>
        <v>2.8739999999999997</v>
      </c>
      <c r="L186" s="30">
        <f>IF(OR($F186="",$I186=""),0,IFERROR(INDEX(Nutrition!$F$2:$F$300,MATCH($F186,Nutrition!$A$2:$A$300,0))*$I186/100,0))</f>
        <v>0.96</v>
      </c>
      <c r="M186" s="30">
        <f>IF(OR($F186="",$I186=""),0,IFERROR(INDEX(Nutrition!$G$2:$G$300,MATCH($F186,Nutrition!$A$2:$A$300,0))*$I186/100,0))</f>
        <v>0.28000000000000003</v>
      </c>
      <c r="N186" s="30">
        <f>IF(OR($F186="",$I186=""),0,IFERROR(INDEX(Nutrition!$H$2:$H$300,MATCH($F186,Nutrition!$A$2:$A$300,0))*$I186/100,0))</f>
        <v>0.46</v>
      </c>
      <c r="O186" s="30">
        <f>IF(OR($F186="",$I186=""),0,IFERROR(INDEX(Nutrition!$I$2:$I$300,MATCH($F186,Nutrition!$A$2:$A$300,0))*$I186/100,0))</f>
        <v>6.44</v>
      </c>
      <c r="P186" s="30">
        <f>IF(OR($F186="",$I186=""),0,IFERROR(INDEX(Nutrition!$J$2:$J$300,MATCH($F186,Nutrition!$A$2:$A$300,0))*$I186/100,0))</f>
        <v>1.38E-2</v>
      </c>
      <c r="Q186" s="30">
        <f>IF(OR($F186="",$I186=""),0,IFERROR(INDEX(Nutrition!$K$2:$K$300,MATCH($F186,Nutrition!$A$2:$A$300,0))*$I186/100,0))</f>
        <v>1.0120000000000001E-2</v>
      </c>
      <c r="R186" s="30">
        <f>IF(OR($F186="",$I186=""),0,IFERROR(INDEX(Nutrition!$L$2:$L$300,MATCH($F186,Nutrition!$A$2:$A$300,0))*$I186/100,0))</f>
        <v>0.46</v>
      </c>
      <c r="S186" s="30">
        <f>IF(OR($F186="",$I186=""),0,IFERROR(INDEX(Nutrition!$M$2:$M$300,MATCH($F186,Nutrition!$A$2:$A$300,0))*$I186/100,0))</f>
        <v>2.06E-2</v>
      </c>
    </row>
    <row r="187" spans="1:19" ht="15" customHeight="1" x14ac:dyDescent="0.25">
      <c r="A187" s="22" t="s">
        <v>1237</v>
      </c>
      <c r="B187" s="33" t="str">
        <f>IFERROR(INDEX(Recipes!$B$2:$B$500,MATCH(A187,Recipes!$A$2:$A$500,0)),"")</f>
        <v>Black-Eyed Bean 'Lagos Caviar'</v>
      </c>
      <c r="C187" s="7" t="s">
        <v>668</v>
      </c>
      <c r="D187" s="34">
        <v>1</v>
      </c>
      <c r="E187" s="22" t="s">
        <v>2809</v>
      </c>
      <c r="F187" s="22" t="s">
        <v>667</v>
      </c>
      <c r="G187" s="22" t="s">
        <v>2755</v>
      </c>
      <c r="H187" s="7"/>
      <c r="I187" s="35">
        <v>30</v>
      </c>
      <c r="J187" s="30">
        <f>IF(OR($F187="",$I187=""),0,IFERROR(INDEX(Nutrition!$D$2:$D$300,MATCH($F187,Nutrition!$A$2:$A$300,0))*$I187/100,0))</f>
        <v>0.84</v>
      </c>
      <c r="K187" s="30">
        <f>IF(OR($F187="",$I187=""),0,IFERROR(INDEX(Nutrition!$E$2:$E$300,MATCH($F187,Nutrition!$A$2:$A$300,0))*$I187/100,0))</f>
        <v>8.1</v>
      </c>
      <c r="L187" s="30">
        <f>IF(OR($F187="",$I187=""),0,IFERROR(INDEX(Nutrition!$F$2:$F$300,MATCH($F187,Nutrition!$A$2:$A$300,0))*$I187/100,0))</f>
        <v>101.1</v>
      </c>
      <c r="M187" s="30">
        <f>IF(OR($F187="",$I187=""),0,IFERROR(INDEX(Nutrition!$G$2:$G$300,MATCH($F187,Nutrition!$A$2:$A$300,0))*$I187/100,0))</f>
        <v>93</v>
      </c>
      <c r="N187" s="30">
        <f>IF(OR($F187="",$I187=""),0,IFERROR(INDEX(Nutrition!$H$2:$H$300,MATCH($F187,Nutrition!$A$2:$A$300,0))*$I187/100,0))</f>
        <v>18.600000000000001</v>
      </c>
      <c r="O187" s="30">
        <f>IF(OR($F187="",$I187=""),0,IFERROR(INDEX(Nutrition!$I$2:$I$300,MATCH($F187,Nutrition!$A$2:$A$300,0))*$I187/100,0))</f>
        <v>156.30000000000001</v>
      </c>
      <c r="P187" s="30">
        <f>IF(OR($F187="",$I187=""),0,IFERROR(INDEX(Nutrition!$J$2:$J$300,MATCH($F187,Nutrition!$A$2:$A$300,0))*$I187/100,0))</f>
        <v>0.75</v>
      </c>
      <c r="Q187" s="30">
        <f>IF(OR($F187="",$I187=""),0,IFERROR(INDEX(Nutrition!$K$2:$K$300,MATCH($F187,Nutrition!$A$2:$A$300,0))*$I187/100,0))</f>
        <v>4.4699999999999997E-2</v>
      </c>
      <c r="R187" s="30">
        <f>IF(OR($F187="",$I187=""),0,IFERROR(INDEX(Nutrition!$L$2:$L$300,MATCH($F187,Nutrition!$A$2:$A$300,0))*$I187/100,0))</f>
        <v>7.8</v>
      </c>
      <c r="S187" s="30">
        <f>IF(OR($F187="",$I187=""),0,IFERROR(INDEX(Nutrition!$M$2:$M$300,MATCH($F187,Nutrition!$A$2:$A$300,0))*$I187/100,0))</f>
        <v>0.53100000000000003</v>
      </c>
    </row>
    <row r="188" spans="1:19" ht="15" customHeight="1" x14ac:dyDescent="0.25">
      <c r="A188" s="22" t="s">
        <v>1237</v>
      </c>
      <c r="B188" s="33" t="str">
        <f>IFERROR(INDEX(Recipes!$B$2:$B$500,MATCH(A188,Recipes!$A$2:$A$500,0)),"")</f>
        <v>Black-Eyed Bean 'Lagos Caviar'</v>
      </c>
      <c r="C188" s="7" t="s">
        <v>213</v>
      </c>
      <c r="D188" s="34">
        <v>2</v>
      </c>
      <c r="E188" s="22" t="s">
        <v>2754</v>
      </c>
      <c r="F188" s="22" t="s">
        <v>212</v>
      </c>
      <c r="G188" s="22" t="s">
        <v>2755</v>
      </c>
      <c r="H188" s="7"/>
      <c r="I188" s="35">
        <v>134</v>
      </c>
      <c r="J188" s="30">
        <f>IF(OR($F188="",$I188=""),0,IFERROR(INDEX(Nutrition!$D$2:$D$300,MATCH($F188,Nutrition!$A$2:$A$300,0))*$I188/100,0))</f>
        <v>3.7519999999999998</v>
      </c>
      <c r="K188" s="30">
        <f>IF(OR($F188="",$I188=""),0,IFERROR(INDEX(Nutrition!$E$2:$E$300,MATCH($F188,Nutrition!$A$2:$A$300,0))*$I188/100,0))</f>
        <v>38.994</v>
      </c>
      <c r="L188" s="30">
        <f>IF(OR($F188="",$I188=""),0,IFERROR(INDEX(Nutrition!$F$2:$F$300,MATCH($F188,Nutrition!$A$2:$A$300,0))*$I188/100,0))</f>
        <v>2.68</v>
      </c>
      <c r="M188" s="30">
        <f>IF(OR($F188="",$I188=""),0,IFERROR(INDEX(Nutrition!$G$2:$G$300,MATCH($F188,Nutrition!$A$2:$A$300,0))*$I188/100,0))</f>
        <v>0.80399999999999994</v>
      </c>
      <c r="N188" s="30">
        <f>IF(OR($F188="",$I188=""),0,IFERROR(INDEX(Nutrition!$H$2:$H$300,MATCH($F188,Nutrition!$A$2:$A$300,0))*$I188/100,0))</f>
        <v>10.72</v>
      </c>
      <c r="O188" s="30">
        <f>IF(OR($F188="",$I188=""),0,IFERROR(INDEX(Nutrition!$I$2:$I$300,MATCH($F188,Nutrition!$A$2:$A$300,0))*$I188/100,0))</f>
        <v>136.68</v>
      </c>
      <c r="P188" s="30">
        <f>IF(OR($F188="",$I188=""),0,IFERROR(INDEX(Nutrition!$J$2:$J$300,MATCH($F188,Nutrition!$A$2:$A$300,0))*$I188/100,0))</f>
        <v>0.29480000000000001</v>
      </c>
      <c r="Q188" s="30">
        <f>IF(OR($F188="",$I188=""),0,IFERROR(INDEX(Nutrition!$K$2:$K$300,MATCH($F188,Nutrition!$A$2:$A$300,0))*$I188/100,0))</f>
        <v>5.7619999999999998E-2</v>
      </c>
      <c r="R188" s="30">
        <f>IF(OR($F188="",$I188=""),0,IFERROR(INDEX(Nutrition!$L$2:$L$300,MATCH($F188,Nutrition!$A$2:$A$300,0))*$I188/100,0))</f>
        <v>8.0399999999999991</v>
      </c>
      <c r="S188" s="30">
        <f>IF(OR($F188="",$I188=""),0,IFERROR(INDEX(Nutrition!$M$2:$M$300,MATCH($F188,Nutrition!$A$2:$A$300,0))*$I188/100,0))</f>
        <v>0.80399999999999994</v>
      </c>
    </row>
    <row r="189" spans="1:19" ht="15" customHeight="1" x14ac:dyDescent="0.25">
      <c r="A189" s="22" t="s">
        <v>1237</v>
      </c>
      <c r="B189" s="33" t="str">
        <f>IFERROR(INDEX(Recipes!$B$2:$B$500,MATCH(A189,Recipes!$A$2:$A$500,0)),"")</f>
        <v>Black-Eyed Bean 'Lagos Caviar'</v>
      </c>
      <c r="C189" s="7" t="s">
        <v>2805</v>
      </c>
      <c r="D189" s="34">
        <v>2</v>
      </c>
      <c r="E189" s="22" t="s">
        <v>2753</v>
      </c>
      <c r="F189" s="22"/>
      <c r="G189" s="22" t="s">
        <v>2773</v>
      </c>
      <c r="H189" s="7"/>
      <c r="I189" s="35"/>
      <c r="J189" s="30">
        <f>IF(OR($F189="",$I189=""),0,IFERROR(INDEX(Nutrition!$D$2:$D$300,MATCH($F189,Nutrition!$A$2:$A$300,0))*$I189/100,0))</f>
        <v>0</v>
      </c>
      <c r="K189" s="30">
        <f>IF(OR($F189="",$I189=""),0,IFERROR(INDEX(Nutrition!$E$2:$E$300,MATCH($F189,Nutrition!$A$2:$A$300,0))*$I189/100,0))</f>
        <v>0</v>
      </c>
      <c r="L189" s="30">
        <f>IF(OR($F189="",$I189=""),0,IFERROR(INDEX(Nutrition!$F$2:$F$300,MATCH($F189,Nutrition!$A$2:$A$300,0))*$I189/100,0))</f>
        <v>0</v>
      </c>
      <c r="M189" s="30">
        <f>IF(OR($F189="",$I189=""),0,IFERROR(INDEX(Nutrition!$G$2:$G$300,MATCH($F189,Nutrition!$A$2:$A$300,0))*$I189/100,0))</f>
        <v>0</v>
      </c>
      <c r="N189" s="30">
        <f>IF(OR($F189="",$I189=""),0,IFERROR(INDEX(Nutrition!$H$2:$H$300,MATCH($F189,Nutrition!$A$2:$A$300,0))*$I189/100,0))</f>
        <v>0</v>
      </c>
      <c r="O189" s="30">
        <f>IF(OR($F189="",$I189=""),0,IFERROR(INDEX(Nutrition!$I$2:$I$300,MATCH($F189,Nutrition!$A$2:$A$300,0))*$I189/100,0))</f>
        <v>0</v>
      </c>
      <c r="P189" s="30">
        <f>IF(OR($F189="",$I189=""),0,IFERROR(INDEX(Nutrition!$J$2:$J$300,MATCH($F189,Nutrition!$A$2:$A$300,0))*$I189/100,0))</f>
        <v>0</v>
      </c>
      <c r="Q189" s="30">
        <f>IF(OR($F189="",$I189=""),0,IFERROR(INDEX(Nutrition!$K$2:$K$300,MATCH($F189,Nutrition!$A$2:$A$300,0))*$I189/100,0))</f>
        <v>0</v>
      </c>
      <c r="R189" s="30">
        <f>IF(OR($F189="",$I189=""),0,IFERROR(INDEX(Nutrition!$L$2:$L$300,MATCH($F189,Nutrition!$A$2:$A$300,0))*$I189/100,0))</f>
        <v>0</v>
      </c>
      <c r="S189" s="30">
        <f>IF(OR($F189="",$I189=""),0,IFERROR(INDEX(Nutrition!$M$2:$M$300,MATCH($F189,Nutrition!$A$2:$A$300,0))*$I189/100,0))</f>
        <v>0</v>
      </c>
    </row>
    <row r="190" spans="1:19" ht="15" customHeight="1" x14ac:dyDescent="0.25">
      <c r="A190" s="22" t="s">
        <v>1250</v>
      </c>
      <c r="B190" s="33" t="str">
        <f>IFERROR(INDEX(Recipes!$B$2:$B$500,MATCH(A190,Recipes!$A$2:$A$500,0)),"")</f>
        <v>Lagos Nicoise</v>
      </c>
      <c r="C190" s="7" t="s">
        <v>617</v>
      </c>
      <c r="D190" s="34">
        <v>300</v>
      </c>
      <c r="E190" s="22" t="s">
        <v>2813</v>
      </c>
      <c r="F190" s="22" t="s">
        <v>616</v>
      </c>
      <c r="G190" s="22" t="s">
        <v>2755</v>
      </c>
      <c r="H190" s="7"/>
      <c r="I190" s="35">
        <v>300</v>
      </c>
      <c r="J190" s="30">
        <f>IF(OR($F190="",$I190=""),0,IFERROR(INDEX(Nutrition!$D$2:$D$300,MATCH($F190,Nutrition!$A$2:$A$300,0))*$I190/100,0))</f>
        <v>6.3</v>
      </c>
      <c r="K190" s="30">
        <f>IF(OR($F190="",$I190=""),0,IFERROR(INDEX(Nutrition!$E$2:$E$300,MATCH($F190,Nutrition!$A$2:$A$300,0))*$I190/100,0))</f>
        <v>59.1</v>
      </c>
      <c r="L190" s="30">
        <f>IF(OR($F190="",$I190=""),0,IFERROR(INDEX(Nutrition!$F$2:$F$300,MATCH($F190,Nutrition!$A$2:$A$300,0))*$I190/100,0))</f>
        <v>0</v>
      </c>
      <c r="M190" s="30">
        <f>IF(OR($F190="",$I190=""),0,IFERROR(INDEX(Nutrition!$G$2:$G$300,MATCH($F190,Nutrition!$A$2:$A$300,0))*$I190/100,0))</f>
        <v>6</v>
      </c>
      <c r="N190" s="30">
        <f>IF(OR($F190="",$I190=""),0,IFERROR(INDEX(Nutrition!$H$2:$H$300,MATCH($F190,Nutrition!$A$2:$A$300,0))*$I190/100,0))</f>
        <v>45</v>
      </c>
      <c r="O190" s="30">
        <f>IF(OR($F190="",$I190=""),0,IFERROR(INDEX(Nutrition!$I$2:$I$300,MATCH($F190,Nutrition!$A$2:$A$300,0))*$I190/100,0))</f>
        <v>1275</v>
      </c>
      <c r="P190" s="30">
        <f>IF(OR($F190="",$I190=""),0,IFERROR(INDEX(Nutrition!$J$2:$J$300,MATCH($F190,Nutrition!$A$2:$A$300,0))*$I190/100,0))</f>
        <v>0.03</v>
      </c>
      <c r="Q190" s="30">
        <f>IF(OR($F190="",$I190=""),0,IFERROR(INDEX(Nutrition!$K$2:$K$300,MATCH($F190,Nutrition!$A$2:$A$300,0))*$I190/100,0))</f>
        <v>0.89399999999999991</v>
      </c>
      <c r="R190" s="30">
        <f>IF(OR($F190="",$I190=""),0,IFERROR(INDEX(Nutrition!$L$2:$L$300,MATCH($F190,Nutrition!$A$2:$A$300,0))*$I190/100,0))</f>
        <v>69</v>
      </c>
      <c r="S190" s="30">
        <f>IF(OR($F190="",$I190=""),0,IFERROR(INDEX(Nutrition!$M$2:$M$300,MATCH($F190,Nutrition!$A$2:$A$300,0))*$I190/100,0))</f>
        <v>2.4300000000000002</v>
      </c>
    </row>
    <row r="191" spans="1:19" ht="15" customHeight="1" x14ac:dyDescent="0.25">
      <c r="A191" s="22" t="s">
        <v>1250</v>
      </c>
      <c r="B191" s="33" t="str">
        <f>IFERROR(INDEX(Recipes!$B$2:$B$500,MATCH(A191,Recipes!$A$2:$A$500,0)),"")</f>
        <v>Lagos Nicoise</v>
      </c>
      <c r="C191" s="7" t="s">
        <v>554</v>
      </c>
      <c r="D191" s="34">
        <v>150</v>
      </c>
      <c r="E191" s="22" t="s">
        <v>2813</v>
      </c>
      <c r="F191" s="22" t="s">
        <v>553</v>
      </c>
      <c r="G191" s="22" t="s">
        <v>2755</v>
      </c>
      <c r="H191" s="7"/>
      <c r="I191" s="35">
        <v>150</v>
      </c>
      <c r="J191" s="30">
        <f>IF(OR($F191="",$I191=""),0,IFERROR(INDEX(Nutrition!$D$2:$D$300,MATCH($F191,Nutrition!$A$2:$A$300,0))*$I191/100,0))</f>
        <v>4.05</v>
      </c>
      <c r="K191" s="30">
        <f>IF(OR($F191="",$I191=""),0,IFERROR(INDEX(Nutrition!$E$2:$E$300,MATCH($F191,Nutrition!$A$2:$A$300,0))*$I191/100,0))</f>
        <v>18.3</v>
      </c>
      <c r="L191" s="30">
        <f>IF(OR($F191="",$I191=""),0,IFERROR(INDEX(Nutrition!$F$2:$F$300,MATCH($F191,Nutrition!$A$2:$A$300,0))*$I191/100,0))</f>
        <v>52.5</v>
      </c>
      <c r="M191" s="30">
        <f>IF(OR($F191="",$I191=""),0,IFERROR(INDEX(Nutrition!$G$2:$G$300,MATCH($F191,Nutrition!$A$2:$A$300,0))*$I191/100,0))</f>
        <v>64.5</v>
      </c>
      <c r="N191" s="30">
        <f>IF(OR($F191="",$I191=""),0,IFERROR(INDEX(Nutrition!$H$2:$H$300,MATCH($F191,Nutrition!$A$2:$A$300,0))*$I191/100,0))</f>
        <v>49.5</v>
      </c>
      <c r="O191" s="30">
        <f>IF(OR($F191="",$I191=""),0,IFERROR(INDEX(Nutrition!$I$2:$I$300,MATCH($F191,Nutrition!$A$2:$A$300,0))*$I191/100,0))</f>
        <v>316.5</v>
      </c>
      <c r="P191" s="30">
        <f>IF(OR($F191="",$I191=""),0,IFERROR(INDEX(Nutrition!$J$2:$J$300,MATCH($F191,Nutrition!$A$2:$A$300,0))*$I191/100,0))</f>
        <v>0.61499999999999988</v>
      </c>
      <c r="Q191" s="30">
        <f>IF(OR($F191="",$I191=""),0,IFERROR(INDEX(Nutrition!$K$2:$K$300,MATCH($F191,Nutrition!$A$2:$A$300,0))*$I191/100,0))</f>
        <v>0.21149999999999999</v>
      </c>
      <c r="R191" s="30">
        <f>IF(OR($F191="",$I191=""),0,IFERROR(INDEX(Nutrition!$L$2:$L$300,MATCH($F191,Nutrition!$A$2:$A$300,0))*$I191/100,0))</f>
        <v>37.5</v>
      </c>
      <c r="S191" s="30">
        <f>IF(OR($F191="",$I191=""),0,IFERROR(INDEX(Nutrition!$M$2:$M$300,MATCH($F191,Nutrition!$A$2:$A$300,0))*$I191/100,0))</f>
        <v>1.5449999999999999</v>
      </c>
    </row>
    <row r="192" spans="1:19" ht="15" customHeight="1" x14ac:dyDescent="0.25">
      <c r="A192" s="22" t="s">
        <v>1250</v>
      </c>
      <c r="B192" s="33" t="str">
        <f>IFERROR(INDEX(Recipes!$B$2:$B$500,MATCH(A192,Recipes!$A$2:$A$500,0)),"")</f>
        <v>Lagos Nicoise</v>
      </c>
      <c r="C192" s="7" t="s">
        <v>446</v>
      </c>
      <c r="D192" s="34">
        <v>2</v>
      </c>
      <c r="E192" s="22" t="s">
        <v>2754</v>
      </c>
      <c r="F192" s="22" t="s">
        <v>445</v>
      </c>
      <c r="G192" s="22" t="s">
        <v>2755</v>
      </c>
      <c r="H192" s="7"/>
      <c r="I192" s="35">
        <v>124</v>
      </c>
      <c r="J192" s="30">
        <f>IF(OR($F192="",$I192=""),0,IFERROR(INDEX(Nutrition!$D$2:$D$300,MATCH($F192,Nutrition!$A$2:$A$300,0))*$I192/100,0))</f>
        <v>1.4879999999999998</v>
      </c>
      <c r="K192" s="30">
        <f>IF(OR($F192="",$I192=""),0,IFERROR(INDEX(Nutrition!$E$2:$E$300,MATCH($F192,Nutrition!$A$2:$A$300,0))*$I192/100,0))</f>
        <v>16.988</v>
      </c>
      <c r="L192" s="30">
        <f>IF(OR($F192="",$I192=""),0,IFERROR(INDEX(Nutrition!$F$2:$F$300,MATCH($F192,Nutrition!$A$2:$A$300,0))*$I192/100,0))</f>
        <v>52.08</v>
      </c>
      <c r="M192" s="30">
        <f>IF(OR($F192="",$I192=""),0,IFERROR(INDEX(Nutrition!$G$2:$G$300,MATCH($F192,Nutrition!$A$2:$A$300,0))*$I192/100,0))</f>
        <v>9.7959999999999994</v>
      </c>
      <c r="N192" s="30">
        <f>IF(OR($F192="",$I192=""),0,IFERROR(INDEX(Nutrition!$H$2:$H$300,MATCH($F192,Nutrition!$A$2:$A$300,0))*$I192/100,0))</f>
        <v>18.600000000000001</v>
      </c>
      <c r="O192" s="30">
        <f>IF(OR($F192="",$I192=""),0,IFERROR(INDEX(Nutrition!$I$2:$I$300,MATCH($F192,Nutrition!$A$2:$A$300,0))*$I192/100,0))</f>
        <v>293.88</v>
      </c>
      <c r="P192" s="30">
        <f>IF(OR($F192="",$I192=""),0,IFERROR(INDEX(Nutrition!$J$2:$J$300,MATCH($F192,Nutrition!$A$2:$A$300,0))*$I192/100,0))</f>
        <v>0.66960000000000008</v>
      </c>
      <c r="Q192" s="30">
        <f>IF(OR($F192="",$I192=""),0,IFERROR(INDEX(Nutrition!$K$2:$K$300,MATCH($F192,Nutrition!$A$2:$A$300,0))*$I192/100,0))</f>
        <v>9.9199999999999997E-2</v>
      </c>
      <c r="R192" s="30">
        <f>IF(OR($F192="",$I192=""),0,IFERROR(INDEX(Nutrition!$L$2:$L$300,MATCH($F192,Nutrition!$A$2:$A$300,0))*$I192/100,0))</f>
        <v>13.64</v>
      </c>
      <c r="S192" s="30">
        <f>IF(OR($F192="",$I192=""),0,IFERROR(INDEX(Nutrition!$M$2:$M$300,MATCH($F192,Nutrition!$A$2:$A$300,0))*$I192/100,0))</f>
        <v>0.33480000000000004</v>
      </c>
    </row>
    <row r="193" spans="1:19" ht="15" customHeight="1" x14ac:dyDescent="0.25">
      <c r="A193" s="22" t="s">
        <v>1250</v>
      </c>
      <c r="B193" s="33" t="str">
        <f>IFERROR(INDEX(Recipes!$B$2:$B$500,MATCH(A193,Recipes!$A$2:$A$500,0)),"")</f>
        <v>Lagos Nicoise</v>
      </c>
      <c r="C193" s="7" t="s">
        <v>546</v>
      </c>
      <c r="D193" s="34">
        <v>1</v>
      </c>
      <c r="E193" s="22" t="s">
        <v>2808</v>
      </c>
      <c r="F193" s="22" t="s">
        <v>545</v>
      </c>
      <c r="G193" s="22" t="s">
        <v>2755</v>
      </c>
      <c r="H193" s="7"/>
      <c r="I193" s="35">
        <v>626</v>
      </c>
      <c r="J193" s="30">
        <f>IF(OR($F193="",$I193=""),0,IFERROR(INDEX(Nutrition!$D$2:$D$300,MATCH($F193,Nutrition!$A$2:$A$300,0))*$I193/100,0))</f>
        <v>13.146000000000001</v>
      </c>
      <c r="K193" s="30">
        <f>IF(OR($F193="",$I193=""),0,IFERROR(INDEX(Nutrition!$E$2:$E$300,MATCH($F193,Nutrition!$A$2:$A$300,0))*$I193/100,0))</f>
        <v>25.04</v>
      </c>
      <c r="L193" s="30">
        <f>IF(OR($F193="",$I193=""),0,IFERROR(INDEX(Nutrition!$F$2:$F$300,MATCH($F193,Nutrition!$A$2:$A$300,0))*$I193/100,0))</f>
        <v>2729.36</v>
      </c>
      <c r="M193" s="30">
        <f>IF(OR($F193="",$I193=""),0,IFERROR(INDEX(Nutrition!$G$2:$G$300,MATCH($F193,Nutrition!$A$2:$A$300,0))*$I193/100,0))</f>
        <v>641.65</v>
      </c>
      <c r="N193" s="30">
        <f>IF(OR($F193="",$I193=""),0,IFERROR(INDEX(Nutrition!$H$2:$H$300,MATCH($F193,Nutrition!$A$2:$A$300,0))*$I193/100,0))</f>
        <v>851.36</v>
      </c>
      <c r="O193" s="30">
        <f>IF(OR($F193="",$I193=""),0,IFERROR(INDEX(Nutrition!$I$2:$I$300,MATCH($F193,Nutrition!$A$2:$A$300,0))*$I193/100,0))</f>
        <v>1546.22</v>
      </c>
      <c r="P193" s="30">
        <f>IF(OR($F193="",$I193=""),0,IFERROR(INDEX(Nutrition!$J$2:$J$300,MATCH($F193,Nutrition!$A$2:$A$300,0))*$I193/100,0))</f>
        <v>0.81380000000000008</v>
      </c>
      <c r="Q193" s="30">
        <f>IF(OR($F193="",$I193=""),0,IFERROR(INDEX(Nutrition!$K$2:$K$300,MATCH($F193,Nutrition!$A$2:$A$300,0))*$I193/100,0))</f>
        <v>0.46323999999999999</v>
      </c>
      <c r="R193" s="30">
        <f>IF(OR($F193="",$I193=""),0,IFERROR(INDEX(Nutrition!$L$2:$L$300,MATCH($F193,Nutrition!$A$2:$A$300,0))*$I193/100,0))</f>
        <v>87.64</v>
      </c>
      <c r="S193" s="30">
        <f>IF(OR($F193="",$I193=""),0,IFERROR(INDEX(Nutrition!$M$2:$M$300,MATCH($F193,Nutrition!$A$2:$A$300,0))*$I193/100,0))</f>
        <v>6.0722000000000005</v>
      </c>
    </row>
    <row r="194" spans="1:19" ht="15" customHeight="1" x14ac:dyDescent="0.25">
      <c r="A194" s="22" t="s">
        <v>1250</v>
      </c>
      <c r="B194" s="33" t="str">
        <f>IFERROR(INDEX(Recipes!$B$2:$B$500,MATCH(A194,Recipes!$A$2:$A$500,0)),"")</f>
        <v>Lagos Nicoise</v>
      </c>
      <c r="C194" s="7" t="s">
        <v>482</v>
      </c>
      <c r="D194" s="34">
        <v>0.25</v>
      </c>
      <c r="E194" s="22" t="s">
        <v>2754</v>
      </c>
      <c r="F194" s="22" t="s">
        <v>481</v>
      </c>
      <c r="G194" s="22" t="s">
        <v>2755</v>
      </c>
      <c r="H194" s="7" t="s">
        <v>2784</v>
      </c>
      <c r="I194" s="35">
        <v>28</v>
      </c>
      <c r="J194" s="30">
        <f>IF(OR($F194="",$I194=""),0,IFERROR(INDEX(Nutrition!$D$2:$D$300,MATCH($F194,Nutrition!$A$2:$A$300,0))*$I194/100,0))</f>
        <v>0.47600000000000003</v>
      </c>
      <c r="K194" s="30">
        <f>IF(OR($F194="",$I194=""),0,IFERROR(INDEX(Nutrition!$E$2:$E$300,MATCH($F194,Nutrition!$A$2:$A$300,0))*$I194/100,0))</f>
        <v>2.0720000000000001</v>
      </c>
      <c r="L194" s="30">
        <f>IF(OR($F194="",$I194=""),0,IFERROR(INDEX(Nutrition!$F$2:$F$300,MATCH($F194,Nutrition!$A$2:$A$300,0))*$I194/100,0))</f>
        <v>0</v>
      </c>
      <c r="M194" s="30">
        <f>IF(OR($F194="",$I194=""),0,IFERROR(INDEX(Nutrition!$G$2:$G$300,MATCH($F194,Nutrition!$A$2:$A$300,0))*$I194/100,0))</f>
        <v>0.11200000000000002</v>
      </c>
      <c r="N194" s="30">
        <f>IF(OR($F194="",$I194=""),0,IFERROR(INDEX(Nutrition!$H$2:$H$300,MATCH($F194,Nutrition!$A$2:$A$300,0))*$I194/100,0))</f>
        <v>5.32</v>
      </c>
      <c r="O194" s="30">
        <f>IF(OR($F194="",$I194=""),0,IFERROR(INDEX(Nutrition!$I$2:$I$300,MATCH($F194,Nutrition!$A$2:$A$300,0))*$I194/100,0))</f>
        <v>40.880000000000003</v>
      </c>
      <c r="P194" s="30">
        <f>IF(OR($F194="",$I194=""),0,IFERROR(INDEX(Nutrition!$J$2:$J$300,MATCH($F194,Nutrition!$A$2:$A$300,0))*$I194/100,0))</f>
        <v>5.6000000000000008E-3</v>
      </c>
      <c r="Q194" s="30">
        <f>IF(OR($F194="",$I194=""),0,IFERROR(INDEX(Nutrition!$K$2:$K$300,MATCH($F194,Nutrition!$A$2:$A$300,0))*$I194/100,0))</f>
        <v>3.3599999999999998E-2</v>
      </c>
      <c r="R194" s="30">
        <f>IF(OR($F194="",$I194=""),0,IFERROR(INDEX(Nutrition!$L$2:$L$300,MATCH($F194,Nutrition!$A$2:$A$300,0))*$I194/100,0))</f>
        <v>2.8</v>
      </c>
      <c r="S194" s="30">
        <f>IF(OR($F194="",$I194=""),0,IFERROR(INDEX(Nutrition!$M$2:$M$300,MATCH($F194,Nutrition!$A$2:$A$300,0))*$I194/100,0))</f>
        <v>5.8799999999999998E-2</v>
      </c>
    </row>
    <row r="195" spans="1:19" ht="15" customHeight="1" x14ac:dyDescent="0.25">
      <c r="A195" s="22" t="s">
        <v>1250</v>
      </c>
      <c r="B195" s="33" t="str">
        <f>IFERROR(INDEX(Recipes!$B$2:$B$500,MATCH(A195,Recipes!$A$2:$A$500,0)),"")</f>
        <v>Lagos Nicoise</v>
      </c>
      <c r="C195" s="7" t="s">
        <v>206</v>
      </c>
      <c r="D195" s="34">
        <v>1</v>
      </c>
      <c r="E195" s="22" t="s">
        <v>2754</v>
      </c>
      <c r="F195" s="22" t="s">
        <v>205</v>
      </c>
      <c r="G195" s="22" t="s">
        <v>2755</v>
      </c>
      <c r="H195" s="7"/>
      <c r="I195" s="35">
        <v>58</v>
      </c>
      <c r="J195" s="30">
        <f>IF(OR($F195="",$I195=""),0,IFERROR(INDEX(Nutrition!$D$2:$D$300,MATCH($F195,Nutrition!$A$2:$A$300,0))*$I195/100,0))</f>
        <v>1.6239999999999997</v>
      </c>
      <c r="K195" s="30">
        <f>IF(OR($F195="",$I195=""),0,IFERROR(INDEX(Nutrition!$E$2:$E$300,MATCH($F195,Nutrition!$A$2:$A$300,0))*$I195/100,0))</f>
        <v>30.74</v>
      </c>
      <c r="L195" s="30">
        <f>IF(OR($F195="",$I195=""),0,IFERROR(INDEX(Nutrition!$F$2:$F$300,MATCH($F195,Nutrition!$A$2:$A$300,0))*$I195/100,0))</f>
        <v>0.57999999999999996</v>
      </c>
      <c r="M195" s="30">
        <f>IF(OR($F195="",$I195=""),0,IFERROR(INDEX(Nutrition!$G$2:$G$300,MATCH($F195,Nutrition!$A$2:$A$300,0))*$I195/100,0))</f>
        <v>0</v>
      </c>
      <c r="N195" s="30">
        <f>IF(OR($F195="",$I195=""),0,IFERROR(INDEX(Nutrition!$H$2:$H$300,MATCH($F195,Nutrition!$A$2:$A$300,0))*$I195/100,0))</f>
        <v>6.38</v>
      </c>
      <c r="O195" s="30">
        <f>IF(OR($F195="",$I195=""),0,IFERROR(INDEX(Nutrition!$I$2:$I$300,MATCH($F195,Nutrition!$A$2:$A$300,0))*$I195/100,0))</f>
        <v>80.040000000000006</v>
      </c>
      <c r="P195" s="30">
        <f>IF(OR($F195="",$I195=""),0,IFERROR(INDEX(Nutrition!$J$2:$J$300,MATCH($F195,Nutrition!$A$2:$A$300,0))*$I195/100,0))</f>
        <v>8.6999999999999994E-2</v>
      </c>
      <c r="Q195" s="30">
        <f>IF(OR($F195="",$I195=""),0,IFERROR(INDEX(Nutrition!$K$2:$K$300,MATCH($F195,Nutrition!$A$2:$A$300,0))*$I195/100,0))</f>
        <v>4.6399999999999997E-2</v>
      </c>
      <c r="R195" s="30">
        <f>IF(OR($F195="",$I195=""),0,IFERROR(INDEX(Nutrition!$L$2:$L$300,MATCH($F195,Nutrition!$A$2:$A$300,0))*$I195/100,0))</f>
        <v>4.6399999999999997</v>
      </c>
      <c r="S195" s="30">
        <f>IF(OR($F195="",$I195=""),0,IFERROR(INDEX(Nutrition!$M$2:$M$300,MATCH($F195,Nutrition!$A$2:$A$300,0))*$I195/100,0))</f>
        <v>0.34799999999999998</v>
      </c>
    </row>
    <row r="196" spans="1:19" ht="15" customHeight="1" x14ac:dyDescent="0.25">
      <c r="A196" s="22" t="s">
        <v>1250</v>
      </c>
      <c r="B196" s="33" t="str">
        <f>IFERROR(INDEX(Recipes!$B$2:$B$500,MATCH(A196,Recipes!$A$2:$A$500,0)),"")</f>
        <v>Lagos Nicoise</v>
      </c>
      <c r="C196" s="7" t="s">
        <v>2767</v>
      </c>
      <c r="D196" s="34">
        <v>2</v>
      </c>
      <c r="E196" s="22" t="s">
        <v>2754</v>
      </c>
      <c r="F196" s="22"/>
      <c r="G196" s="22" t="s">
        <v>2768</v>
      </c>
      <c r="H196" s="7"/>
      <c r="I196" s="35"/>
      <c r="J196" s="30">
        <f>IF(OR($F196="",$I196=""),0,IFERROR(INDEX(Nutrition!$D$2:$D$300,MATCH($F196,Nutrition!$A$2:$A$300,0))*$I196/100,0))</f>
        <v>0</v>
      </c>
      <c r="K196" s="30">
        <f>IF(OR($F196="",$I196=""),0,IFERROR(INDEX(Nutrition!$E$2:$E$300,MATCH($F196,Nutrition!$A$2:$A$300,0))*$I196/100,0))</f>
        <v>0</v>
      </c>
      <c r="L196" s="30">
        <f>IF(OR($F196="",$I196=""),0,IFERROR(INDEX(Nutrition!$F$2:$F$300,MATCH($F196,Nutrition!$A$2:$A$300,0))*$I196/100,0))</f>
        <v>0</v>
      </c>
      <c r="M196" s="30">
        <f>IF(OR($F196="",$I196=""),0,IFERROR(INDEX(Nutrition!$G$2:$G$300,MATCH($F196,Nutrition!$A$2:$A$300,0))*$I196/100,0))</f>
        <v>0</v>
      </c>
      <c r="N196" s="30">
        <f>IF(OR($F196="",$I196=""),0,IFERROR(INDEX(Nutrition!$H$2:$H$300,MATCH($F196,Nutrition!$A$2:$A$300,0))*$I196/100,0))</f>
        <v>0</v>
      </c>
      <c r="O196" s="30">
        <f>IF(OR($F196="",$I196=""),0,IFERROR(INDEX(Nutrition!$I$2:$I$300,MATCH($F196,Nutrition!$A$2:$A$300,0))*$I196/100,0))</f>
        <v>0</v>
      </c>
      <c r="P196" s="30">
        <f>IF(OR($F196="",$I196=""),0,IFERROR(INDEX(Nutrition!$J$2:$J$300,MATCH($F196,Nutrition!$A$2:$A$300,0))*$I196/100,0))</f>
        <v>0</v>
      </c>
      <c r="Q196" s="30">
        <f>IF(OR($F196="",$I196=""),0,IFERROR(INDEX(Nutrition!$K$2:$K$300,MATCH($F196,Nutrition!$A$2:$A$300,0))*$I196/100,0))</f>
        <v>0</v>
      </c>
      <c r="R196" s="30">
        <f>IF(OR($F196="",$I196=""),0,IFERROR(INDEX(Nutrition!$L$2:$L$300,MATCH($F196,Nutrition!$A$2:$A$300,0))*$I196/100,0))</f>
        <v>0</v>
      </c>
      <c r="S196" s="30">
        <f>IF(OR($F196="",$I196=""),0,IFERROR(INDEX(Nutrition!$M$2:$M$300,MATCH($F196,Nutrition!$A$2:$A$300,0))*$I196/100,0))</f>
        <v>0</v>
      </c>
    </row>
    <row r="197" spans="1:19" ht="15" customHeight="1" x14ac:dyDescent="0.25">
      <c r="A197" s="22" t="s">
        <v>1250</v>
      </c>
      <c r="B197" s="33" t="str">
        <f>IFERROR(INDEX(Recipes!$B$2:$B$500,MATCH(A197,Recipes!$A$2:$A$500,0)),"")</f>
        <v>Lagos Nicoise</v>
      </c>
      <c r="C197" s="7" t="s">
        <v>2835</v>
      </c>
      <c r="D197" s="34">
        <v>1</v>
      </c>
      <c r="E197" s="22" t="s">
        <v>2836</v>
      </c>
      <c r="F197" s="22"/>
      <c r="G197" s="22" t="s">
        <v>2768</v>
      </c>
      <c r="H197" s="7"/>
      <c r="I197" s="35"/>
      <c r="J197" s="30">
        <f>IF(OR($F197="",$I197=""),0,IFERROR(INDEX(Nutrition!$D$2:$D$300,MATCH($F197,Nutrition!$A$2:$A$300,0))*$I197/100,0))</f>
        <v>0</v>
      </c>
      <c r="K197" s="30">
        <f>IF(OR($F197="",$I197=""),0,IFERROR(INDEX(Nutrition!$E$2:$E$300,MATCH($F197,Nutrition!$A$2:$A$300,0))*$I197/100,0))</f>
        <v>0</v>
      </c>
      <c r="L197" s="30">
        <f>IF(OR($F197="",$I197=""),0,IFERROR(INDEX(Nutrition!$F$2:$F$300,MATCH($F197,Nutrition!$A$2:$A$300,0))*$I197/100,0))</f>
        <v>0</v>
      </c>
      <c r="M197" s="30">
        <f>IF(OR($F197="",$I197=""),0,IFERROR(INDEX(Nutrition!$G$2:$G$300,MATCH($F197,Nutrition!$A$2:$A$300,0))*$I197/100,0))</f>
        <v>0</v>
      </c>
      <c r="N197" s="30">
        <f>IF(OR($F197="",$I197=""),0,IFERROR(INDEX(Nutrition!$H$2:$H$300,MATCH($F197,Nutrition!$A$2:$A$300,0))*$I197/100,0))</f>
        <v>0</v>
      </c>
      <c r="O197" s="30">
        <f>IF(OR($F197="",$I197=""),0,IFERROR(INDEX(Nutrition!$I$2:$I$300,MATCH($F197,Nutrition!$A$2:$A$300,0))*$I197/100,0))</f>
        <v>0</v>
      </c>
      <c r="P197" s="30">
        <f>IF(OR($F197="",$I197=""),0,IFERROR(INDEX(Nutrition!$J$2:$J$300,MATCH($F197,Nutrition!$A$2:$A$300,0))*$I197/100,0))</f>
        <v>0</v>
      </c>
      <c r="Q197" s="30">
        <f>IF(OR($F197="",$I197=""),0,IFERROR(INDEX(Nutrition!$K$2:$K$300,MATCH($F197,Nutrition!$A$2:$A$300,0))*$I197/100,0))</f>
        <v>0</v>
      </c>
      <c r="R197" s="30">
        <f>IF(OR($F197="",$I197=""),0,IFERROR(INDEX(Nutrition!$L$2:$L$300,MATCH($F197,Nutrition!$A$2:$A$300,0))*$I197/100,0))</f>
        <v>0</v>
      </c>
      <c r="S197" s="30">
        <f>IF(OR($F197="",$I197=""),0,IFERROR(INDEX(Nutrition!$M$2:$M$300,MATCH($F197,Nutrition!$A$2:$A$300,0))*$I197/100,0))</f>
        <v>0</v>
      </c>
    </row>
    <row r="198" spans="1:19" ht="15" customHeight="1" x14ac:dyDescent="0.25">
      <c r="A198" s="22" t="s">
        <v>1250</v>
      </c>
      <c r="B198" s="33" t="str">
        <f>IFERROR(INDEX(Recipes!$B$2:$B$500,MATCH(A198,Recipes!$A$2:$A$500,0)),"")</f>
        <v>Lagos Nicoise</v>
      </c>
      <c r="C198" s="7" t="s">
        <v>2826</v>
      </c>
      <c r="D198" s="34">
        <v>8</v>
      </c>
      <c r="E198" s="22" t="s">
        <v>2754</v>
      </c>
      <c r="F198" s="22"/>
      <c r="G198" s="22" t="s">
        <v>2749</v>
      </c>
      <c r="H198" s="7"/>
      <c r="I198" s="35"/>
      <c r="J198" s="30">
        <f>IF(OR($F198="",$I198=""),0,IFERROR(INDEX(Nutrition!$D$2:$D$300,MATCH($F198,Nutrition!$A$2:$A$300,0))*$I198/100,0))</f>
        <v>0</v>
      </c>
      <c r="K198" s="30">
        <f>IF(OR($F198="",$I198=""),0,IFERROR(INDEX(Nutrition!$E$2:$E$300,MATCH($F198,Nutrition!$A$2:$A$300,0))*$I198/100,0))</f>
        <v>0</v>
      </c>
      <c r="L198" s="30">
        <f>IF(OR($F198="",$I198=""),0,IFERROR(INDEX(Nutrition!$F$2:$F$300,MATCH($F198,Nutrition!$A$2:$A$300,0))*$I198/100,0))</f>
        <v>0</v>
      </c>
      <c r="M198" s="30">
        <f>IF(OR($F198="",$I198=""),0,IFERROR(INDEX(Nutrition!$G$2:$G$300,MATCH($F198,Nutrition!$A$2:$A$300,0))*$I198/100,0))</f>
        <v>0</v>
      </c>
      <c r="N198" s="30">
        <f>IF(OR($F198="",$I198=""),0,IFERROR(INDEX(Nutrition!$H$2:$H$300,MATCH($F198,Nutrition!$A$2:$A$300,0))*$I198/100,0))</f>
        <v>0</v>
      </c>
      <c r="O198" s="30">
        <f>IF(OR($F198="",$I198=""),0,IFERROR(INDEX(Nutrition!$I$2:$I$300,MATCH($F198,Nutrition!$A$2:$A$300,0))*$I198/100,0))</f>
        <v>0</v>
      </c>
      <c r="P198" s="30">
        <f>IF(OR($F198="",$I198=""),0,IFERROR(INDEX(Nutrition!$J$2:$J$300,MATCH($F198,Nutrition!$A$2:$A$300,0))*$I198/100,0))</f>
        <v>0</v>
      </c>
      <c r="Q198" s="30">
        <f>IF(OR($F198="",$I198=""),0,IFERROR(INDEX(Nutrition!$K$2:$K$300,MATCH($F198,Nutrition!$A$2:$A$300,0))*$I198/100,0))</f>
        <v>0</v>
      </c>
      <c r="R198" s="30">
        <f>IF(OR($F198="",$I198=""),0,IFERROR(INDEX(Nutrition!$L$2:$L$300,MATCH($F198,Nutrition!$A$2:$A$300,0))*$I198/100,0))</f>
        <v>0</v>
      </c>
      <c r="S198" s="30">
        <f>IF(OR($F198="",$I198=""),0,IFERROR(INDEX(Nutrition!$M$2:$M$300,MATCH($F198,Nutrition!$A$2:$A$300,0))*$I198/100,0))</f>
        <v>0</v>
      </c>
    </row>
    <row r="199" spans="1:19" ht="15" customHeight="1" x14ac:dyDescent="0.25">
      <c r="A199" s="22" t="s">
        <v>1250</v>
      </c>
      <c r="B199" s="33" t="str">
        <f>IFERROR(INDEX(Recipes!$B$2:$B$500,MATCH(A199,Recipes!$A$2:$A$500,0)),"")</f>
        <v>Lagos Nicoise</v>
      </c>
      <c r="C199" s="7" t="s">
        <v>2818</v>
      </c>
      <c r="D199" s="34">
        <v>1</v>
      </c>
      <c r="E199" s="22" t="s">
        <v>2759</v>
      </c>
      <c r="F199" s="22"/>
      <c r="G199" s="22" t="s">
        <v>2749</v>
      </c>
      <c r="H199" s="7"/>
      <c r="I199" s="35"/>
      <c r="J199" s="30">
        <f>IF(OR($F199="",$I199=""),0,IFERROR(INDEX(Nutrition!$D$2:$D$300,MATCH($F199,Nutrition!$A$2:$A$300,0))*$I199/100,0))</f>
        <v>0</v>
      </c>
      <c r="K199" s="30">
        <f>IF(OR($F199="",$I199=""),0,IFERROR(INDEX(Nutrition!$E$2:$E$300,MATCH($F199,Nutrition!$A$2:$A$300,0))*$I199/100,0))</f>
        <v>0</v>
      </c>
      <c r="L199" s="30">
        <f>IF(OR($F199="",$I199=""),0,IFERROR(INDEX(Nutrition!$F$2:$F$300,MATCH($F199,Nutrition!$A$2:$A$300,0))*$I199/100,0))</f>
        <v>0</v>
      </c>
      <c r="M199" s="30">
        <f>IF(OR($F199="",$I199=""),0,IFERROR(INDEX(Nutrition!$G$2:$G$300,MATCH($F199,Nutrition!$A$2:$A$300,0))*$I199/100,0))</f>
        <v>0</v>
      </c>
      <c r="N199" s="30">
        <f>IF(OR($F199="",$I199=""),0,IFERROR(INDEX(Nutrition!$H$2:$H$300,MATCH($F199,Nutrition!$A$2:$A$300,0))*$I199/100,0))</f>
        <v>0</v>
      </c>
      <c r="O199" s="30">
        <f>IF(OR($F199="",$I199=""),0,IFERROR(INDEX(Nutrition!$I$2:$I$300,MATCH($F199,Nutrition!$A$2:$A$300,0))*$I199/100,0))</f>
        <v>0</v>
      </c>
      <c r="P199" s="30">
        <f>IF(OR($F199="",$I199=""),0,IFERROR(INDEX(Nutrition!$J$2:$J$300,MATCH($F199,Nutrition!$A$2:$A$300,0))*$I199/100,0))</f>
        <v>0</v>
      </c>
      <c r="Q199" s="30">
        <f>IF(OR($F199="",$I199=""),0,IFERROR(INDEX(Nutrition!$K$2:$K$300,MATCH($F199,Nutrition!$A$2:$A$300,0))*$I199/100,0))</f>
        <v>0</v>
      </c>
      <c r="R199" s="30">
        <f>IF(OR($F199="",$I199=""),0,IFERROR(INDEX(Nutrition!$L$2:$L$300,MATCH($F199,Nutrition!$A$2:$A$300,0))*$I199/100,0))</f>
        <v>0</v>
      </c>
      <c r="S199" s="30">
        <f>IF(OR($F199="",$I199=""),0,IFERROR(INDEX(Nutrition!$M$2:$M$300,MATCH($F199,Nutrition!$A$2:$A$300,0))*$I199/100,0))</f>
        <v>0</v>
      </c>
    </row>
    <row r="200" spans="1:19" ht="15" customHeight="1" x14ac:dyDescent="0.25">
      <c r="A200" s="22" t="s">
        <v>1250</v>
      </c>
      <c r="B200" s="33" t="str">
        <f>IFERROR(INDEX(Recipes!$B$2:$B$500,MATCH(A200,Recipes!$A$2:$A$500,0)),"")</f>
        <v>Lagos Nicoise</v>
      </c>
      <c r="C200" s="7" t="s">
        <v>2805</v>
      </c>
      <c r="D200" s="34">
        <v>2</v>
      </c>
      <c r="E200" s="22" t="s">
        <v>2753</v>
      </c>
      <c r="F200" s="22"/>
      <c r="G200" s="22" t="s">
        <v>2773</v>
      </c>
      <c r="H200" s="7"/>
      <c r="I200" s="35"/>
      <c r="J200" s="30">
        <f>IF(OR($F200="",$I200=""),0,IFERROR(INDEX(Nutrition!$D$2:$D$300,MATCH($F200,Nutrition!$A$2:$A$300,0))*$I200/100,0))</f>
        <v>0</v>
      </c>
      <c r="K200" s="30">
        <f>IF(OR($F200="",$I200=""),0,IFERROR(INDEX(Nutrition!$E$2:$E$300,MATCH($F200,Nutrition!$A$2:$A$300,0))*$I200/100,0))</f>
        <v>0</v>
      </c>
      <c r="L200" s="30">
        <f>IF(OR($F200="",$I200=""),0,IFERROR(INDEX(Nutrition!$F$2:$F$300,MATCH($F200,Nutrition!$A$2:$A$300,0))*$I200/100,0))</f>
        <v>0</v>
      </c>
      <c r="M200" s="30">
        <f>IF(OR($F200="",$I200=""),0,IFERROR(INDEX(Nutrition!$G$2:$G$300,MATCH($F200,Nutrition!$A$2:$A$300,0))*$I200/100,0))</f>
        <v>0</v>
      </c>
      <c r="N200" s="30">
        <f>IF(OR($F200="",$I200=""),0,IFERROR(INDEX(Nutrition!$H$2:$H$300,MATCH($F200,Nutrition!$A$2:$A$300,0))*$I200/100,0))</f>
        <v>0</v>
      </c>
      <c r="O200" s="30">
        <f>IF(OR($F200="",$I200=""),0,IFERROR(INDEX(Nutrition!$I$2:$I$300,MATCH($F200,Nutrition!$A$2:$A$300,0))*$I200/100,0))</f>
        <v>0</v>
      </c>
      <c r="P200" s="30">
        <f>IF(OR($F200="",$I200=""),0,IFERROR(INDEX(Nutrition!$J$2:$J$300,MATCH($F200,Nutrition!$A$2:$A$300,0))*$I200/100,0))</f>
        <v>0</v>
      </c>
      <c r="Q200" s="30">
        <f>IF(OR($F200="",$I200=""),0,IFERROR(INDEX(Nutrition!$K$2:$K$300,MATCH($F200,Nutrition!$A$2:$A$300,0))*$I200/100,0))</f>
        <v>0</v>
      </c>
      <c r="R200" s="30">
        <f>IF(OR($F200="",$I200=""),0,IFERROR(INDEX(Nutrition!$L$2:$L$300,MATCH($F200,Nutrition!$A$2:$A$300,0))*$I200/100,0))</f>
        <v>0</v>
      </c>
      <c r="S200" s="30">
        <f>IF(OR($F200="",$I200=""),0,IFERROR(INDEX(Nutrition!$M$2:$M$300,MATCH($F200,Nutrition!$A$2:$A$300,0))*$I200/100,0))</f>
        <v>0</v>
      </c>
    </row>
    <row r="201" spans="1:19" ht="15" customHeight="1" x14ac:dyDescent="0.25">
      <c r="A201" s="22" t="s">
        <v>1261</v>
      </c>
      <c r="B201" s="33" t="str">
        <f>IFERROR(INDEX(Recipes!$B$2:$B$500,MATCH(A201,Recipes!$A$2:$A$500,0)),"")</f>
        <v>Green Pawpaw Salad</v>
      </c>
      <c r="C201" s="7" t="s">
        <v>160</v>
      </c>
      <c r="D201" s="34">
        <v>1</v>
      </c>
      <c r="E201" s="22" t="s">
        <v>2754</v>
      </c>
      <c r="F201" s="22" t="s">
        <v>159</v>
      </c>
      <c r="G201" s="22" t="s">
        <v>2755</v>
      </c>
      <c r="H201" s="7" t="s">
        <v>2837</v>
      </c>
      <c r="I201" s="35">
        <v>500</v>
      </c>
      <c r="J201" s="30">
        <f>IF(OR($F201="",$I201=""),0,IFERROR(INDEX(Nutrition!$D$2:$D$300,MATCH($F201,Nutrition!$A$2:$A$300,0))*$I201/100,0))</f>
        <v>8.5</v>
      </c>
      <c r="K201" s="30">
        <f>IF(OR($F201="",$I201=""),0,IFERROR(INDEX(Nutrition!$E$2:$E$300,MATCH($F201,Nutrition!$A$2:$A$300,0))*$I201/100,0))</f>
        <v>304.5</v>
      </c>
      <c r="L201" s="30">
        <f>IF(OR($F201="",$I201=""),0,IFERROR(INDEX(Nutrition!$F$2:$F$300,MATCH($F201,Nutrition!$A$2:$A$300,0))*$I201/100,0))</f>
        <v>235</v>
      </c>
      <c r="M201" s="30">
        <f>IF(OR($F201="",$I201=""),0,IFERROR(INDEX(Nutrition!$G$2:$G$300,MATCH($F201,Nutrition!$A$2:$A$300,0))*$I201/100,0))</f>
        <v>13</v>
      </c>
      <c r="N201" s="30">
        <f>IF(OR($F201="",$I201=""),0,IFERROR(INDEX(Nutrition!$H$2:$H$300,MATCH($F201,Nutrition!$A$2:$A$300,0))*$I201/100,0))</f>
        <v>185</v>
      </c>
      <c r="O201" s="30">
        <f>IF(OR($F201="",$I201=""),0,IFERROR(INDEX(Nutrition!$I$2:$I$300,MATCH($F201,Nutrition!$A$2:$A$300,0))*$I201/100,0))</f>
        <v>910</v>
      </c>
      <c r="P201" s="30">
        <f>IF(OR($F201="",$I201=""),0,IFERROR(INDEX(Nutrition!$J$2:$J$300,MATCH($F201,Nutrition!$A$2:$A$300,0))*$I201/100,0))</f>
        <v>1.5</v>
      </c>
      <c r="Q201" s="30">
        <f>IF(OR($F201="",$I201=""),0,IFERROR(INDEX(Nutrition!$K$2:$K$300,MATCH($F201,Nutrition!$A$2:$A$300,0))*$I201/100,0))</f>
        <v>0.19</v>
      </c>
      <c r="R201" s="30">
        <f>IF(OR($F201="",$I201=""),0,IFERROR(INDEX(Nutrition!$L$2:$L$300,MATCH($F201,Nutrition!$A$2:$A$300,0))*$I201/100,0))</f>
        <v>105</v>
      </c>
      <c r="S201" s="30">
        <f>IF(OR($F201="",$I201=""),0,IFERROR(INDEX(Nutrition!$M$2:$M$300,MATCH($F201,Nutrition!$A$2:$A$300,0))*$I201/100,0))</f>
        <v>1.25</v>
      </c>
    </row>
    <row r="202" spans="1:19" ht="15" customHeight="1" x14ac:dyDescent="0.25">
      <c r="A202" s="22" t="s">
        <v>1261</v>
      </c>
      <c r="B202" s="33" t="str">
        <f>IFERROR(INDEX(Recipes!$B$2:$B$500,MATCH(A202,Recipes!$A$2:$A$500,0)),"")</f>
        <v>Green Pawpaw Salad</v>
      </c>
      <c r="C202" s="7" t="s">
        <v>529</v>
      </c>
      <c r="D202" s="34">
        <v>1</v>
      </c>
      <c r="E202" s="22" t="s">
        <v>2754</v>
      </c>
      <c r="F202" s="22" t="s">
        <v>528</v>
      </c>
      <c r="G202" s="22" t="s">
        <v>2755</v>
      </c>
      <c r="H202" s="7"/>
      <c r="I202" s="35">
        <v>61</v>
      </c>
      <c r="J202" s="30">
        <f>IF(OR($F202="",$I202=""),0,IFERROR(INDEX(Nutrition!$D$2:$D$300,MATCH($F202,Nutrition!$A$2:$A$300,0))*$I202/100,0))</f>
        <v>1.7079999999999997</v>
      </c>
      <c r="K202" s="30">
        <f>IF(OR($F202="",$I202=""),0,IFERROR(INDEX(Nutrition!$E$2:$E$300,MATCH($F202,Nutrition!$A$2:$A$300,0))*$I202/100,0))</f>
        <v>3.5990000000000002</v>
      </c>
      <c r="L202" s="30">
        <f>IF(OR($F202="",$I202=""),0,IFERROR(INDEX(Nutrition!$F$2:$F$300,MATCH($F202,Nutrition!$A$2:$A$300,0))*$I202/100,0))</f>
        <v>509.35</v>
      </c>
      <c r="M202" s="30">
        <f>IF(OR($F202="",$I202=""),0,IFERROR(INDEX(Nutrition!$G$2:$G$300,MATCH($F202,Nutrition!$A$2:$A$300,0))*$I202/100,0))</f>
        <v>8.0519999999999996</v>
      </c>
      <c r="N202" s="30">
        <f>IF(OR($F202="",$I202=""),0,IFERROR(INDEX(Nutrition!$H$2:$H$300,MATCH($F202,Nutrition!$A$2:$A$300,0))*$I202/100,0))</f>
        <v>11.59</v>
      </c>
      <c r="O202" s="30">
        <f>IF(OR($F202="",$I202=""),0,IFERROR(INDEX(Nutrition!$I$2:$I$300,MATCH($F202,Nutrition!$A$2:$A$300,0))*$I202/100,0))</f>
        <v>195.2</v>
      </c>
      <c r="P202" s="30">
        <f>IF(OR($F202="",$I202=""),0,IFERROR(INDEX(Nutrition!$J$2:$J$300,MATCH($F202,Nutrition!$A$2:$A$300,0))*$I202/100,0))</f>
        <v>0.40260000000000007</v>
      </c>
      <c r="Q202" s="30">
        <f>IF(OR($F202="",$I202=""),0,IFERROR(INDEX(Nutrition!$K$2:$K$300,MATCH($F202,Nutrition!$A$2:$A$300,0))*$I202/100,0))</f>
        <v>8.4180000000000005E-2</v>
      </c>
      <c r="R202" s="30">
        <f>IF(OR($F202="",$I202=""),0,IFERROR(INDEX(Nutrition!$L$2:$L$300,MATCH($F202,Nutrition!$A$2:$A$300,0))*$I202/100,0))</f>
        <v>7.32</v>
      </c>
      <c r="S202" s="30">
        <f>IF(OR($F202="",$I202=""),0,IFERROR(INDEX(Nutrition!$M$2:$M$300,MATCH($F202,Nutrition!$A$2:$A$300,0))*$I202/100,0))</f>
        <v>0.183</v>
      </c>
    </row>
    <row r="203" spans="1:19" ht="15" customHeight="1" x14ac:dyDescent="0.25">
      <c r="A203" s="22" t="s">
        <v>1261</v>
      </c>
      <c r="B203" s="33" t="str">
        <f>IFERROR(INDEX(Recipes!$B$2:$B$500,MATCH(A203,Recipes!$A$2:$A$500,0)),"")</f>
        <v>Green Pawpaw Salad</v>
      </c>
      <c r="C203" s="7" t="s">
        <v>446</v>
      </c>
      <c r="D203" s="34">
        <v>2</v>
      </c>
      <c r="E203" s="22" t="s">
        <v>2754</v>
      </c>
      <c r="F203" s="22" t="s">
        <v>445</v>
      </c>
      <c r="G203" s="22" t="s">
        <v>2755</v>
      </c>
      <c r="H203" s="7"/>
      <c r="I203" s="35">
        <v>124</v>
      </c>
      <c r="J203" s="30">
        <f>IF(OR($F203="",$I203=""),0,IFERROR(INDEX(Nutrition!$D$2:$D$300,MATCH($F203,Nutrition!$A$2:$A$300,0))*$I203/100,0))</f>
        <v>1.4879999999999998</v>
      </c>
      <c r="K203" s="30">
        <f>IF(OR($F203="",$I203=""),0,IFERROR(INDEX(Nutrition!$E$2:$E$300,MATCH($F203,Nutrition!$A$2:$A$300,0))*$I203/100,0))</f>
        <v>16.988</v>
      </c>
      <c r="L203" s="30">
        <f>IF(OR($F203="",$I203=""),0,IFERROR(INDEX(Nutrition!$F$2:$F$300,MATCH($F203,Nutrition!$A$2:$A$300,0))*$I203/100,0))</f>
        <v>52.08</v>
      </c>
      <c r="M203" s="30">
        <f>IF(OR($F203="",$I203=""),0,IFERROR(INDEX(Nutrition!$G$2:$G$300,MATCH($F203,Nutrition!$A$2:$A$300,0))*$I203/100,0))</f>
        <v>9.7959999999999994</v>
      </c>
      <c r="N203" s="30">
        <f>IF(OR($F203="",$I203=""),0,IFERROR(INDEX(Nutrition!$H$2:$H$300,MATCH($F203,Nutrition!$A$2:$A$300,0))*$I203/100,0))</f>
        <v>18.600000000000001</v>
      </c>
      <c r="O203" s="30">
        <f>IF(OR($F203="",$I203=""),0,IFERROR(INDEX(Nutrition!$I$2:$I$300,MATCH($F203,Nutrition!$A$2:$A$300,0))*$I203/100,0))</f>
        <v>293.88</v>
      </c>
      <c r="P203" s="30">
        <f>IF(OR($F203="",$I203=""),0,IFERROR(INDEX(Nutrition!$J$2:$J$300,MATCH($F203,Nutrition!$A$2:$A$300,0))*$I203/100,0))</f>
        <v>0.66960000000000008</v>
      </c>
      <c r="Q203" s="30">
        <f>IF(OR($F203="",$I203=""),0,IFERROR(INDEX(Nutrition!$K$2:$K$300,MATCH($F203,Nutrition!$A$2:$A$300,0))*$I203/100,0))</f>
        <v>9.9199999999999997E-2</v>
      </c>
      <c r="R203" s="30">
        <f>IF(OR($F203="",$I203=""),0,IFERROR(INDEX(Nutrition!$L$2:$L$300,MATCH($F203,Nutrition!$A$2:$A$300,0))*$I203/100,0))</f>
        <v>13.64</v>
      </c>
      <c r="S203" s="30">
        <f>IF(OR($F203="",$I203=""),0,IFERROR(INDEX(Nutrition!$M$2:$M$300,MATCH($F203,Nutrition!$A$2:$A$300,0))*$I203/100,0))</f>
        <v>0.33480000000000004</v>
      </c>
    </row>
    <row r="204" spans="1:19" ht="15" customHeight="1" x14ac:dyDescent="0.25">
      <c r="A204" s="22" t="s">
        <v>1261</v>
      </c>
      <c r="B204" s="33" t="str">
        <f>IFERROR(INDEX(Recipes!$B$2:$B$500,MATCH(A204,Recipes!$A$2:$A$500,0)),"")</f>
        <v>Green Pawpaw Salad</v>
      </c>
      <c r="C204" s="7" t="s">
        <v>500</v>
      </c>
      <c r="D204" s="34">
        <v>2</v>
      </c>
      <c r="E204" s="22" t="s">
        <v>2776</v>
      </c>
      <c r="F204" s="22" t="s">
        <v>499</v>
      </c>
      <c r="G204" s="22" t="s">
        <v>2755</v>
      </c>
      <c r="H204" s="7"/>
      <c r="I204" s="35">
        <v>6</v>
      </c>
      <c r="J204" s="30">
        <f>IF(OR($F204="",$I204=""),0,IFERROR(INDEX(Nutrition!$D$2:$D$300,MATCH($F204,Nutrition!$A$2:$A$300,0))*$I204/100,0))</f>
        <v>0.126</v>
      </c>
      <c r="K204" s="30">
        <f>IF(OR($F204="",$I204=""),0,IFERROR(INDEX(Nutrition!$E$2:$E$300,MATCH($F204,Nutrition!$A$2:$A$300,0))*$I204/100,0))</f>
        <v>1.8719999999999999</v>
      </c>
      <c r="L204" s="30">
        <f>IF(OR($F204="",$I204=""),0,IFERROR(INDEX(Nutrition!$F$2:$F$300,MATCH($F204,Nutrition!$A$2:$A$300,0))*$I204/100,0))</f>
        <v>0</v>
      </c>
      <c r="M204" s="30">
        <f>IF(OR($F204="",$I204=""),0,IFERROR(INDEX(Nutrition!$G$2:$G$300,MATCH($F204,Nutrition!$A$2:$A$300,0))*$I204/100,0))</f>
        <v>0.10199999999999999</v>
      </c>
      <c r="N204" s="30">
        <f>IF(OR($F204="",$I204=""),0,IFERROR(INDEX(Nutrition!$H$2:$H$300,MATCH($F204,Nutrition!$A$2:$A$300,0))*$I204/100,0))</f>
        <v>0.18</v>
      </c>
      <c r="O204" s="30">
        <f>IF(OR($F204="",$I204=""),0,IFERROR(INDEX(Nutrition!$I$2:$I$300,MATCH($F204,Nutrition!$A$2:$A$300,0))*$I204/100,0))</f>
        <v>24.06</v>
      </c>
      <c r="P204" s="30">
        <f>IF(OR($F204="",$I204=""),0,IFERROR(INDEX(Nutrition!$J$2:$J$300,MATCH($F204,Nutrition!$A$2:$A$300,0))*$I204/100,0))</f>
        <v>4.7999999999999996E-3</v>
      </c>
      <c r="Q204" s="30">
        <f>IF(OR($F204="",$I204=""),0,IFERROR(INDEX(Nutrition!$K$2:$K$300,MATCH($F204,Nutrition!$A$2:$A$300,0))*$I204/100,0))</f>
        <v>7.4099999999999999E-2</v>
      </c>
      <c r="R204" s="30">
        <f>IF(OR($F204="",$I204=""),0,IFERROR(INDEX(Nutrition!$L$2:$L$300,MATCH($F204,Nutrition!$A$2:$A$300,0))*$I204/100,0))</f>
        <v>1.5</v>
      </c>
      <c r="S204" s="30">
        <f>IF(OR($F204="",$I204=""),0,IFERROR(INDEX(Nutrition!$M$2:$M$300,MATCH($F204,Nutrition!$A$2:$A$300,0))*$I204/100,0))</f>
        <v>0.10199999999999999</v>
      </c>
    </row>
    <row r="205" spans="1:19" ht="15" customHeight="1" x14ac:dyDescent="0.25">
      <c r="A205" s="22" t="s">
        <v>1261</v>
      </c>
      <c r="B205" s="33" t="str">
        <f>IFERROR(INDEX(Recipes!$B$2:$B$500,MATCH(A205,Recipes!$A$2:$A$500,0)),"")</f>
        <v>Green Pawpaw Salad</v>
      </c>
      <c r="C205" s="7" t="s">
        <v>473</v>
      </c>
      <c r="D205" s="34">
        <v>0.5</v>
      </c>
      <c r="E205" s="22" t="s">
        <v>2754</v>
      </c>
      <c r="F205" s="22" t="s">
        <v>472</v>
      </c>
      <c r="G205" s="22" t="s">
        <v>2755</v>
      </c>
      <c r="H205" s="7"/>
      <c r="I205" s="35">
        <v>5</v>
      </c>
      <c r="J205" s="30">
        <f>IF(OR($F205="",$I205=""),0,IFERROR(INDEX(Nutrition!$D$2:$D$300,MATCH($F205,Nutrition!$A$2:$A$300,0))*$I205/100,0))</f>
        <v>7.4999999999999997E-2</v>
      </c>
      <c r="K205" s="30">
        <f>IF(OR($F205="",$I205=""),0,IFERROR(INDEX(Nutrition!$E$2:$E$300,MATCH($F205,Nutrition!$A$2:$A$300,0))*$I205/100,0))</f>
        <v>7.1849999999999996</v>
      </c>
      <c r="L205" s="30">
        <f>IF(OR($F205="",$I205=""),0,IFERROR(INDEX(Nutrition!$F$2:$F$300,MATCH($F205,Nutrition!$A$2:$A$300,0))*$I205/100,0))</f>
        <v>2.4</v>
      </c>
      <c r="M205" s="30">
        <f>IF(OR($F205="",$I205=""),0,IFERROR(INDEX(Nutrition!$G$2:$G$300,MATCH($F205,Nutrition!$A$2:$A$300,0))*$I205/100,0))</f>
        <v>0.7</v>
      </c>
      <c r="N205" s="30">
        <f>IF(OR($F205="",$I205=""),0,IFERROR(INDEX(Nutrition!$H$2:$H$300,MATCH($F205,Nutrition!$A$2:$A$300,0))*$I205/100,0))</f>
        <v>1.1499999999999999</v>
      </c>
      <c r="O205" s="30">
        <f>IF(OR($F205="",$I205=""),0,IFERROR(INDEX(Nutrition!$I$2:$I$300,MATCH($F205,Nutrition!$A$2:$A$300,0))*$I205/100,0))</f>
        <v>16.100000000000001</v>
      </c>
      <c r="P205" s="30">
        <f>IF(OR($F205="",$I205=""),0,IFERROR(INDEX(Nutrition!$J$2:$J$300,MATCH($F205,Nutrition!$A$2:$A$300,0))*$I205/100,0))</f>
        <v>3.4499999999999996E-2</v>
      </c>
      <c r="Q205" s="30">
        <f>IF(OR($F205="",$I205=""),0,IFERROR(INDEX(Nutrition!$K$2:$K$300,MATCH($F205,Nutrition!$A$2:$A$300,0))*$I205/100,0))</f>
        <v>2.5300000000000003E-2</v>
      </c>
      <c r="R205" s="30">
        <f>IF(OR($F205="",$I205=""),0,IFERROR(INDEX(Nutrition!$L$2:$L$300,MATCH($F205,Nutrition!$A$2:$A$300,0))*$I205/100,0))</f>
        <v>1.1499999999999999</v>
      </c>
      <c r="S205" s="30">
        <f>IF(OR($F205="",$I205=""),0,IFERROR(INDEX(Nutrition!$M$2:$M$300,MATCH($F205,Nutrition!$A$2:$A$300,0))*$I205/100,0))</f>
        <v>5.1500000000000004E-2</v>
      </c>
    </row>
    <row r="206" spans="1:19" ht="15" customHeight="1" x14ac:dyDescent="0.25">
      <c r="A206" s="22" t="s">
        <v>1261</v>
      </c>
      <c r="B206" s="33" t="str">
        <f>IFERROR(INDEX(Recipes!$B$2:$B$500,MATCH(A206,Recipes!$A$2:$A$500,0)),"")</f>
        <v>Green Pawpaw Salad</v>
      </c>
      <c r="C206" s="7" t="s">
        <v>213</v>
      </c>
      <c r="D206" s="34">
        <v>2</v>
      </c>
      <c r="E206" s="22" t="s">
        <v>2754</v>
      </c>
      <c r="F206" s="22" t="s">
        <v>212</v>
      </c>
      <c r="G206" s="22" t="s">
        <v>2755</v>
      </c>
      <c r="H206" s="7"/>
      <c r="I206" s="35">
        <v>134</v>
      </c>
      <c r="J206" s="30">
        <f>IF(OR($F206="",$I206=""),0,IFERROR(INDEX(Nutrition!$D$2:$D$300,MATCH($F206,Nutrition!$A$2:$A$300,0))*$I206/100,0))</f>
        <v>3.7519999999999998</v>
      </c>
      <c r="K206" s="30">
        <f>IF(OR($F206="",$I206=""),0,IFERROR(INDEX(Nutrition!$E$2:$E$300,MATCH($F206,Nutrition!$A$2:$A$300,0))*$I206/100,0))</f>
        <v>38.994</v>
      </c>
      <c r="L206" s="30">
        <f>IF(OR($F206="",$I206=""),0,IFERROR(INDEX(Nutrition!$F$2:$F$300,MATCH($F206,Nutrition!$A$2:$A$300,0))*$I206/100,0))</f>
        <v>2.68</v>
      </c>
      <c r="M206" s="30">
        <f>IF(OR($F206="",$I206=""),0,IFERROR(INDEX(Nutrition!$G$2:$G$300,MATCH($F206,Nutrition!$A$2:$A$300,0))*$I206/100,0))</f>
        <v>0.80399999999999994</v>
      </c>
      <c r="N206" s="30">
        <f>IF(OR($F206="",$I206=""),0,IFERROR(INDEX(Nutrition!$H$2:$H$300,MATCH($F206,Nutrition!$A$2:$A$300,0))*$I206/100,0))</f>
        <v>10.72</v>
      </c>
      <c r="O206" s="30">
        <f>IF(OR($F206="",$I206=""),0,IFERROR(INDEX(Nutrition!$I$2:$I$300,MATCH($F206,Nutrition!$A$2:$A$300,0))*$I206/100,0))</f>
        <v>136.68</v>
      </c>
      <c r="P206" s="30">
        <f>IF(OR($F206="",$I206=""),0,IFERROR(INDEX(Nutrition!$J$2:$J$300,MATCH($F206,Nutrition!$A$2:$A$300,0))*$I206/100,0))</f>
        <v>0.29480000000000001</v>
      </c>
      <c r="Q206" s="30">
        <f>IF(OR($F206="",$I206=""),0,IFERROR(INDEX(Nutrition!$K$2:$K$300,MATCH($F206,Nutrition!$A$2:$A$300,0))*$I206/100,0))</f>
        <v>5.7619999999999998E-2</v>
      </c>
      <c r="R206" s="30">
        <f>IF(OR($F206="",$I206=""),0,IFERROR(INDEX(Nutrition!$L$2:$L$300,MATCH($F206,Nutrition!$A$2:$A$300,0))*$I206/100,0))</f>
        <v>8.0399999999999991</v>
      </c>
      <c r="S206" s="30">
        <f>IF(OR($F206="",$I206=""),0,IFERROR(INDEX(Nutrition!$M$2:$M$300,MATCH($F206,Nutrition!$A$2:$A$300,0))*$I206/100,0))</f>
        <v>0.80399999999999994</v>
      </c>
    </row>
    <row r="207" spans="1:19" ht="15" customHeight="1" x14ac:dyDescent="0.25">
      <c r="A207" s="22" t="s">
        <v>1261</v>
      </c>
      <c r="B207" s="33" t="str">
        <f>IFERROR(INDEX(Recipes!$B$2:$B$500,MATCH(A207,Recipes!$A$2:$A$500,0)),"")</f>
        <v>Green Pawpaw Salad</v>
      </c>
      <c r="C207" s="7" t="s">
        <v>428</v>
      </c>
      <c r="D207" s="34">
        <v>2</v>
      </c>
      <c r="E207" s="22" t="s">
        <v>2753</v>
      </c>
      <c r="F207" s="22" t="s">
        <v>427</v>
      </c>
      <c r="G207" s="22" t="s">
        <v>2755</v>
      </c>
      <c r="H207" s="7" t="s">
        <v>2800</v>
      </c>
      <c r="I207" s="35">
        <v>30</v>
      </c>
      <c r="J207" s="30">
        <f>IF(OR($F207="",$I207=""),0,IFERROR(INDEX(Nutrition!$D$2:$D$300,MATCH($F207,Nutrition!$A$2:$A$300,0))*$I207/100,0))</f>
        <v>2.5499999999999998</v>
      </c>
      <c r="K207" s="30">
        <f>IF(OR($F207="",$I207=""),0,IFERROR(INDEX(Nutrition!$E$2:$E$300,MATCH($F207,Nutrition!$A$2:$A$300,0))*$I207/100,0))</f>
        <v>0</v>
      </c>
      <c r="L207" s="30">
        <f>IF(OR($F207="",$I207=""),0,IFERROR(INDEX(Nutrition!$F$2:$F$300,MATCH($F207,Nutrition!$A$2:$A$300,0))*$I207/100,0))</f>
        <v>0</v>
      </c>
      <c r="M207" s="30">
        <f>IF(OR($F207="",$I207=""),0,IFERROR(INDEX(Nutrition!$G$2:$G$300,MATCH($F207,Nutrition!$A$2:$A$300,0))*$I207/100,0))</f>
        <v>0</v>
      </c>
      <c r="N207" s="30">
        <f>IF(OR($F207="",$I207=""),0,IFERROR(INDEX(Nutrition!$H$2:$H$300,MATCH($F207,Nutrition!$A$2:$A$300,0))*$I207/100,0))</f>
        <v>72</v>
      </c>
      <c r="O207" s="30">
        <f>IF(OR($F207="",$I207=""),0,IFERROR(INDEX(Nutrition!$I$2:$I$300,MATCH($F207,Nutrition!$A$2:$A$300,0))*$I207/100,0))</f>
        <v>211.5</v>
      </c>
      <c r="P207" s="30">
        <f>IF(OR($F207="",$I207=""),0,IFERROR(INDEX(Nutrition!$J$2:$J$300,MATCH($F207,Nutrition!$A$2:$A$300,0))*$I207/100,0))</f>
        <v>2.4990000000000001</v>
      </c>
      <c r="Q207" s="30">
        <f>IF(OR($F207="",$I207=""),0,IFERROR(INDEX(Nutrition!$K$2:$K$300,MATCH($F207,Nutrition!$A$2:$A$300,0))*$I207/100,0))</f>
        <v>0.10439999999999999</v>
      </c>
      <c r="R207" s="30">
        <f>IF(OR($F207="",$I207=""),0,IFERROR(INDEX(Nutrition!$L$2:$L$300,MATCH($F207,Nutrition!$A$2:$A$300,0))*$I207/100,0))</f>
        <v>50.4</v>
      </c>
      <c r="S207" s="30">
        <f>IF(OR($F207="",$I207=""),0,IFERROR(INDEX(Nutrition!$M$2:$M$300,MATCH($F207,Nutrition!$A$2:$A$300,0))*$I207/100,0))</f>
        <v>1.3740000000000001</v>
      </c>
    </row>
    <row r="208" spans="1:19" ht="15" customHeight="1" x14ac:dyDescent="0.25">
      <c r="A208" s="22" t="s">
        <v>1261</v>
      </c>
      <c r="B208" s="33" t="str">
        <f>IFERROR(INDEX(Recipes!$B$2:$B$500,MATCH(A208,Recipes!$A$2:$A$500,0)),"")</f>
        <v>Green Pawpaw Salad</v>
      </c>
      <c r="C208" s="7" t="s">
        <v>554</v>
      </c>
      <c r="D208" s="34">
        <v>1</v>
      </c>
      <c r="E208" s="22" t="s">
        <v>2809</v>
      </c>
      <c r="F208" s="22" t="s">
        <v>553</v>
      </c>
      <c r="G208" s="22" t="s">
        <v>2755</v>
      </c>
      <c r="H208" s="7" t="s">
        <v>2760</v>
      </c>
      <c r="I208" s="35">
        <v>30</v>
      </c>
      <c r="J208" s="30">
        <f>IF(OR($F208="",$I208=""),0,IFERROR(INDEX(Nutrition!$D$2:$D$300,MATCH($F208,Nutrition!$A$2:$A$300,0))*$I208/100,0))</f>
        <v>0.81</v>
      </c>
      <c r="K208" s="30">
        <f>IF(OR($F208="",$I208=""),0,IFERROR(INDEX(Nutrition!$E$2:$E$300,MATCH($F208,Nutrition!$A$2:$A$300,0))*$I208/100,0))</f>
        <v>3.66</v>
      </c>
      <c r="L208" s="30">
        <f>IF(OR($F208="",$I208=""),0,IFERROR(INDEX(Nutrition!$F$2:$F$300,MATCH($F208,Nutrition!$A$2:$A$300,0))*$I208/100,0))</f>
        <v>10.5</v>
      </c>
      <c r="M208" s="30">
        <f>IF(OR($F208="",$I208=""),0,IFERROR(INDEX(Nutrition!$G$2:$G$300,MATCH($F208,Nutrition!$A$2:$A$300,0))*$I208/100,0))</f>
        <v>12.9</v>
      </c>
      <c r="N208" s="30">
        <f>IF(OR($F208="",$I208=""),0,IFERROR(INDEX(Nutrition!$H$2:$H$300,MATCH($F208,Nutrition!$A$2:$A$300,0))*$I208/100,0))</f>
        <v>9.9</v>
      </c>
      <c r="O208" s="30">
        <f>IF(OR($F208="",$I208=""),0,IFERROR(INDEX(Nutrition!$I$2:$I$300,MATCH($F208,Nutrition!$A$2:$A$300,0))*$I208/100,0))</f>
        <v>63.3</v>
      </c>
      <c r="P208" s="30">
        <f>IF(OR($F208="",$I208=""),0,IFERROR(INDEX(Nutrition!$J$2:$J$300,MATCH($F208,Nutrition!$A$2:$A$300,0))*$I208/100,0))</f>
        <v>0.12299999999999998</v>
      </c>
      <c r="Q208" s="30">
        <f>IF(OR($F208="",$I208=""),0,IFERROR(INDEX(Nutrition!$K$2:$K$300,MATCH($F208,Nutrition!$A$2:$A$300,0))*$I208/100,0))</f>
        <v>4.2299999999999997E-2</v>
      </c>
      <c r="R208" s="30">
        <f>IF(OR($F208="",$I208=""),0,IFERROR(INDEX(Nutrition!$L$2:$L$300,MATCH($F208,Nutrition!$A$2:$A$300,0))*$I208/100,0))</f>
        <v>7.5</v>
      </c>
      <c r="S208" s="30">
        <f>IF(OR($F208="",$I208=""),0,IFERROR(INDEX(Nutrition!$M$2:$M$300,MATCH($F208,Nutrition!$A$2:$A$300,0))*$I208/100,0))</f>
        <v>0.309</v>
      </c>
    </row>
    <row r="209" spans="1:19" ht="15" customHeight="1" x14ac:dyDescent="0.25">
      <c r="A209" s="22" t="s">
        <v>1261</v>
      </c>
      <c r="B209" s="33" t="str">
        <f>IFERROR(INDEX(Recipes!$B$2:$B$500,MATCH(A209,Recipes!$A$2:$A$500,0)),"")</f>
        <v>Green Pawpaw Salad</v>
      </c>
      <c r="C209" s="7" t="s">
        <v>2838</v>
      </c>
      <c r="D209" s="34">
        <v>1</v>
      </c>
      <c r="E209" s="22" t="s">
        <v>2753</v>
      </c>
      <c r="F209" s="22"/>
      <c r="G209" s="22" t="s">
        <v>2749</v>
      </c>
      <c r="H209" s="7"/>
      <c r="I209" s="35"/>
      <c r="J209" s="30">
        <f>IF(OR($F209="",$I209=""),0,IFERROR(INDEX(Nutrition!$D$2:$D$300,MATCH($F209,Nutrition!$A$2:$A$300,0))*$I209/100,0))</f>
        <v>0</v>
      </c>
      <c r="K209" s="30">
        <f>IF(OR($F209="",$I209=""),0,IFERROR(INDEX(Nutrition!$E$2:$E$300,MATCH($F209,Nutrition!$A$2:$A$300,0))*$I209/100,0))</f>
        <v>0</v>
      </c>
      <c r="L209" s="30">
        <f>IF(OR($F209="",$I209=""),0,IFERROR(INDEX(Nutrition!$F$2:$F$300,MATCH($F209,Nutrition!$A$2:$A$300,0))*$I209/100,0))</f>
        <v>0</v>
      </c>
      <c r="M209" s="30">
        <f>IF(OR($F209="",$I209=""),0,IFERROR(INDEX(Nutrition!$G$2:$G$300,MATCH($F209,Nutrition!$A$2:$A$300,0))*$I209/100,0))</f>
        <v>0</v>
      </c>
      <c r="N209" s="30">
        <f>IF(OR($F209="",$I209=""),0,IFERROR(INDEX(Nutrition!$H$2:$H$300,MATCH($F209,Nutrition!$A$2:$A$300,0))*$I209/100,0))</f>
        <v>0</v>
      </c>
      <c r="O209" s="30">
        <f>IF(OR($F209="",$I209=""),0,IFERROR(INDEX(Nutrition!$I$2:$I$300,MATCH($F209,Nutrition!$A$2:$A$300,0))*$I209/100,0))</f>
        <v>0</v>
      </c>
      <c r="P209" s="30">
        <f>IF(OR($F209="",$I209=""),0,IFERROR(INDEX(Nutrition!$J$2:$J$300,MATCH($F209,Nutrition!$A$2:$A$300,0))*$I209/100,0))</f>
        <v>0</v>
      </c>
      <c r="Q209" s="30">
        <f>IF(OR($F209="",$I209=""),0,IFERROR(INDEX(Nutrition!$K$2:$K$300,MATCH($F209,Nutrition!$A$2:$A$300,0))*$I209/100,0))</f>
        <v>0</v>
      </c>
      <c r="R209" s="30">
        <f>IF(OR($F209="",$I209=""),0,IFERROR(INDEX(Nutrition!$L$2:$L$300,MATCH($F209,Nutrition!$A$2:$A$300,0))*$I209/100,0))</f>
        <v>0</v>
      </c>
      <c r="S209" s="30">
        <f>IF(OR($F209="",$I209=""),0,IFERROR(INDEX(Nutrition!$M$2:$M$300,MATCH($F209,Nutrition!$A$2:$A$300,0))*$I209/100,0))</f>
        <v>0</v>
      </c>
    </row>
    <row r="210" spans="1:19" ht="15" customHeight="1" x14ac:dyDescent="0.25">
      <c r="A210" s="22" t="s">
        <v>1261</v>
      </c>
      <c r="B210" s="33" t="str">
        <f>IFERROR(INDEX(Recipes!$B$2:$B$500,MATCH(A210,Recipes!$A$2:$A$500,0)),"")</f>
        <v>Green Pawpaw Salad</v>
      </c>
      <c r="C210" s="7" t="s">
        <v>2758</v>
      </c>
      <c r="D210" s="34">
        <v>1</v>
      </c>
      <c r="E210" s="22" t="s">
        <v>2759</v>
      </c>
      <c r="F210" s="22"/>
      <c r="G210" s="22" t="s">
        <v>2749</v>
      </c>
      <c r="H210" s="7"/>
      <c r="I210" s="35"/>
      <c r="J210" s="30">
        <f>IF(OR($F210="",$I210=""),0,IFERROR(INDEX(Nutrition!$D$2:$D$300,MATCH($F210,Nutrition!$A$2:$A$300,0))*$I210/100,0))</f>
        <v>0</v>
      </c>
      <c r="K210" s="30">
        <f>IF(OR($F210="",$I210=""),0,IFERROR(INDEX(Nutrition!$E$2:$E$300,MATCH($F210,Nutrition!$A$2:$A$300,0))*$I210/100,0))</f>
        <v>0</v>
      </c>
      <c r="L210" s="30">
        <f>IF(OR($F210="",$I210=""),0,IFERROR(INDEX(Nutrition!$F$2:$F$300,MATCH($F210,Nutrition!$A$2:$A$300,0))*$I210/100,0))</f>
        <v>0</v>
      </c>
      <c r="M210" s="30">
        <f>IF(OR($F210="",$I210=""),0,IFERROR(INDEX(Nutrition!$G$2:$G$300,MATCH($F210,Nutrition!$A$2:$A$300,0))*$I210/100,0))</f>
        <v>0</v>
      </c>
      <c r="N210" s="30">
        <f>IF(OR($F210="",$I210=""),0,IFERROR(INDEX(Nutrition!$H$2:$H$300,MATCH($F210,Nutrition!$A$2:$A$300,0))*$I210/100,0))</f>
        <v>0</v>
      </c>
      <c r="O210" s="30">
        <f>IF(OR($F210="",$I210=""),0,IFERROR(INDEX(Nutrition!$I$2:$I$300,MATCH($F210,Nutrition!$A$2:$A$300,0))*$I210/100,0))</f>
        <v>0</v>
      </c>
      <c r="P210" s="30">
        <f>IF(OR($F210="",$I210=""),0,IFERROR(INDEX(Nutrition!$J$2:$J$300,MATCH($F210,Nutrition!$A$2:$A$300,0))*$I210/100,0))</f>
        <v>0</v>
      </c>
      <c r="Q210" s="30">
        <f>IF(OR($F210="",$I210=""),0,IFERROR(INDEX(Nutrition!$K$2:$K$300,MATCH($F210,Nutrition!$A$2:$A$300,0))*$I210/100,0))</f>
        <v>0</v>
      </c>
      <c r="R210" s="30">
        <f>IF(OR($F210="",$I210=""),0,IFERROR(INDEX(Nutrition!$L$2:$L$300,MATCH($F210,Nutrition!$A$2:$A$300,0))*$I210/100,0))</f>
        <v>0</v>
      </c>
      <c r="S210" s="30">
        <f>IF(OR($F210="",$I210=""),0,IFERROR(INDEX(Nutrition!$M$2:$M$300,MATCH($F210,Nutrition!$A$2:$A$300,0))*$I210/100,0))</f>
        <v>0</v>
      </c>
    </row>
    <row r="211" spans="1:19" ht="15" customHeight="1" x14ac:dyDescent="0.25">
      <c r="A211" s="22" t="s">
        <v>1273</v>
      </c>
      <c r="B211" s="33" t="str">
        <f>IFERROR(INDEX(Recipes!$B$2:$B$500,MATCH(A211,Recipes!$A$2:$A$500,0)),"")</f>
        <v>Moroccan Carrot &amp; Orange Salad</v>
      </c>
      <c r="C211" s="7" t="s">
        <v>529</v>
      </c>
      <c r="D211" s="34">
        <v>4</v>
      </c>
      <c r="E211" s="22" t="s">
        <v>2754</v>
      </c>
      <c r="F211" s="22" t="s">
        <v>528</v>
      </c>
      <c r="G211" s="22" t="s">
        <v>2755</v>
      </c>
      <c r="H211" s="7"/>
      <c r="I211" s="35">
        <v>244</v>
      </c>
      <c r="J211" s="30">
        <f>IF(OR($F211="",$I211=""),0,IFERROR(INDEX(Nutrition!$D$2:$D$300,MATCH($F211,Nutrition!$A$2:$A$300,0))*$I211/100,0))</f>
        <v>6.831999999999999</v>
      </c>
      <c r="K211" s="30">
        <f>IF(OR($F211="",$I211=""),0,IFERROR(INDEX(Nutrition!$E$2:$E$300,MATCH($F211,Nutrition!$A$2:$A$300,0))*$I211/100,0))</f>
        <v>14.396000000000001</v>
      </c>
      <c r="L211" s="30">
        <f>IF(OR($F211="",$I211=""),0,IFERROR(INDEX(Nutrition!$F$2:$F$300,MATCH($F211,Nutrition!$A$2:$A$300,0))*$I211/100,0))</f>
        <v>2037.4</v>
      </c>
      <c r="M211" s="30">
        <f>IF(OR($F211="",$I211=""),0,IFERROR(INDEX(Nutrition!$G$2:$G$300,MATCH($F211,Nutrition!$A$2:$A$300,0))*$I211/100,0))</f>
        <v>32.207999999999998</v>
      </c>
      <c r="N211" s="30">
        <f>IF(OR($F211="",$I211=""),0,IFERROR(INDEX(Nutrition!$H$2:$H$300,MATCH($F211,Nutrition!$A$2:$A$300,0))*$I211/100,0))</f>
        <v>46.36</v>
      </c>
      <c r="O211" s="30">
        <f>IF(OR($F211="",$I211=""),0,IFERROR(INDEX(Nutrition!$I$2:$I$300,MATCH($F211,Nutrition!$A$2:$A$300,0))*$I211/100,0))</f>
        <v>780.8</v>
      </c>
      <c r="P211" s="30">
        <f>IF(OR($F211="",$I211=""),0,IFERROR(INDEX(Nutrition!$J$2:$J$300,MATCH($F211,Nutrition!$A$2:$A$300,0))*$I211/100,0))</f>
        <v>1.6104000000000003</v>
      </c>
      <c r="Q211" s="30">
        <f>IF(OR($F211="",$I211=""),0,IFERROR(INDEX(Nutrition!$K$2:$K$300,MATCH($F211,Nutrition!$A$2:$A$300,0))*$I211/100,0))</f>
        <v>0.33672000000000002</v>
      </c>
      <c r="R211" s="30">
        <f>IF(OR($F211="",$I211=""),0,IFERROR(INDEX(Nutrition!$L$2:$L$300,MATCH($F211,Nutrition!$A$2:$A$300,0))*$I211/100,0))</f>
        <v>29.28</v>
      </c>
      <c r="S211" s="30">
        <f>IF(OR($F211="",$I211=""),0,IFERROR(INDEX(Nutrition!$M$2:$M$300,MATCH($F211,Nutrition!$A$2:$A$300,0))*$I211/100,0))</f>
        <v>0.73199999999999998</v>
      </c>
    </row>
    <row r="212" spans="1:19" ht="15" customHeight="1" x14ac:dyDescent="0.25">
      <c r="A212" s="22" t="s">
        <v>1273</v>
      </c>
      <c r="B212" s="33" t="str">
        <f>IFERROR(INDEX(Recipes!$B$2:$B$500,MATCH(A212,Recipes!$A$2:$A$500,0)),"")</f>
        <v>Moroccan Carrot &amp; Orange Salad</v>
      </c>
      <c r="C212" s="7" t="s">
        <v>183</v>
      </c>
      <c r="D212" s="34">
        <v>1</v>
      </c>
      <c r="E212" s="22" t="s">
        <v>2754</v>
      </c>
      <c r="F212" s="22" t="s">
        <v>182</v>
      </c>
      <c r="G212" s="22" t="s">
        <v>2755</v>
      </c>
      <c r="H212" s="7"/>
      <c r="I212" s="35">
        <v>131</v>
      </c>
      <c r="J212" s="30">
        <f>IF(OR($F212="",$I212=""),0,IFERROR(INDEX(Nutrition!$D$2:$D$300,MATCH($F212,Nutrition!$A$2:$A$300,0))*$I212/100,0))</f>
        <v>3.1439999999999997</v>
      </c>
      <c r="K212" s="30">
        <f>IF(OR($F212="",$I212=""),0,IFERROR(INDEX(Nutrition!$E$2:$E$300,MATCH($F212,Nutrition!$A$2:$A$300,0))*$I212/100,0))</f>
        <v>69.692000000000007</v>
      </c>
      <c r="L212" s="30">
        <f>IF(OR($F212="",$I212=""),0,IFERROR(INDEX(Nutrition!$F$2:$F$300,MATCH($F212,Nutrition!$A$2:$A$300,0))*$I212/100,0))</f>
        <v>14.41</v>
      </c>
      <c r="M212" s="30">
        <f>IF(OR($F212="",$I212=""),0,IFERROR(INDEX(Nutrition!$G$2:$G$300,MATCH($F212,Nutrition!$A$2:$A$300,0))*$I212/100,0))</f>
        <v>0</v>
      </c>
      <c r="N212" s="30">
        <f>IF(OR($F212="",$I212=""),0,IFERROR(INDEX(Nutrition!$H$2:$H$300,MATCH($F212,Nutrition!$A$2:$A$300,0))*$I212/100,0))</f>
        <v>39.299999999999997</v>
      </c>
      <c r="O212" s="30">
        <f>IF(OR($F212="",$I212=""),0,IFERROR(INDEX(Nutrition!$I$2:$I$300,MATCH($F212,Nutrition!$A$2:$A$300,0))*$I212/100,0))</f>
        <v>237.11</v>
      </c>
      <c r="P212" s="30">
        <f>IF(OR($F212="",$I212=""),0,IFERROR(INDEX(Nutrition!$J$2:$J$300,MATCH($F212,Nutrition!$A$2:$A$300,0))*$I212/100,0))</f>
        <v>0.23579999999999998</v>
      </c>
      <c r="Q212" s="30">
        <f>IF(OR($F212="",$I212=""),0,IFERROR(INDEX(Nutrition!$K$2:$K$300,MATCH($F212,Nutrition!$A$2:$A$300,0))*$I212/100,0))</f>
        <v>7.8599999999999989E-2</v>
      </c>
      <c r="R212" s="30">
        <f>IF(OR($F212="",$I212=""),0,IFERROR(INDEX(Nutrition!$L$2:$L$300,MATCH($F212,Nutrition!$A$2:$A$300,0))*$I212/100,0))</f>
        <v>13.1</v>
      </c>
      <c r="S212" s="30">
        <f>IF(OR($F212="",$I212=""),0,IFERROR(INDEX(Nutrition!$M$2:$M$300,MATCH($F212,Nutrition!$A$2:$A$300,0))*$I212/100,0))</f>
        <v>0.13100000000000001</v>
      </c>
    </row>
    <row r="213" spans="1:19" ht="15" customHeight="1" x14ac:dyDescent="0.25">
      <c r="A213" s="22" t="s">
        <v>1273</v>
      </c>
      <c r="B213" s="33" t="str">
        <f>IFERROR(INDEX(Recipes!$B$2:$B$500,MATCH(A213,Recipes!$A$2:$A$500,0)),"")</f>
        <v>Moroccan Carrot &amp; Orange Salad</v>
      </c>
      <c r="C213" s="7" t="s">
        <v>663</v>
      </c>
      <c r="D213" s="34">
        <v>1</v>
      </c>
      <c r="E213" s="22" t="s">
        <v>2811</v>
      </c>
      <c r="F213" s="22" t="s">
        <v>662</v>
      </c>
      <c r="G213" s="22" t="s">
        <v>2755</v>
      </c>
      <c r="H213" s="7"/>
      <c r="I213" s="35">
        <v>25</v>
      </c>
      <c r="J213" s="30">
        <f>IF(OR($F213="",$I213=""),0,IFERROR(INDEX(Nutrition!$D$2:$D$300,MATCH($F213,Nutrition!$A$2:$A$300,0))*$I213/100,0))</f>
        <v>1.7</v>
      </c>
      <c r="K213" s="30">
        <f>IF(OR($F213="",$I213=""),0,IFERROR(INDEX(Nutrition!$E$2:$E$300,MATCH($F213,Nutrition!$A$2:$A$300,0))*$I213/100,0))</f>
        <v>3.3250000000000002</v>
      </c>
      <c r="L213" s="30">
        <f>IF(OR($F213="",$I213=""),0,IFERROR(INDEX(Nutrition!$F$2:$F$300,MATCH($F213,Nutrition!$A$2:$A$300,0))*$I213/100,0))</f>
        <v>50.75</v>
      </c>
      <c r="M213" s="30">
        <f>IF(OR($F213="",$I213=""),0,IFERROR(INDEX(Nutrition!$G$2:$G$300,MATCH($F213,Nutrition!$A$2:$A$300,0))*$I213/100,0))</f>
        <v>0</v>
      </c>
      <c r="N213" s="30">
        <f>IF(OR($F213="",$I213=""),0,IFERROR(INDEX(Nutrition!$H$2:$H$300,MATCH($F213,Nutrition!$A$2:$A$300,0))*$I213/100,0))</f>
        <v>26.25</v>
      </c>
      <c r="O213" s="30">
        <f>IF(OR($F213="",$I213=""),0,IFERROR(INDEX(Nutrition!$I$2:$I$300,MATCH($F213,Nutrition!$A$2:$A$300,0))*$I213/100,0))</f>
        <v>114.5</v>
      </c>
      <c r="P213" s="30">
        <f>IF(OR($F213="",$I213=""),0,IFERROR(INDEX(Nutrition!$J$2:$J$300,MATCH($F213,Nutrition!$A$2:$A$300,0))*$I213/100,0))</f>
        <v>0</v>
      </c>
      <c r="Q213" s="30">
        <f>IF(OR($F213="",$I213=""),0,IFERROR(INDEX(Nutrition!$K$2:$K$300,MATCH($F213,Nutrition!$A$2:$A$300,0))*$I213/100,0))</f>
        <v>3.95E-2</v>
      </c>
      <c r="R213" s="30">
        <f>IF(OR($F213="",$I213=""),0,IFERROR(INDEX(Nutrition!$L$2:$L$300,MATCH($F213,Nutrition!$A$2:$A$300,0))*$I213/100,0))</f>
        <v>15.75</v>
      </c>
      <c r="S213" s="30">
        <f>IF(OR($F213="",$I213=""),0,IFERROR(INDEX(Nutrition!$M$2:$M$300,MATCH($F213,Nutrition!$A$2:$A$300,0))*$I213/100,0))</f>
        <v>2.9674999999999998</v>
      </c>
    </row>
    <row r="214" spans="1:19" ht="15" customHeight="1" x14ac:dyDescent="0.25">
      <c r="A214" s="22" t="s">
        <v>1273</v>
      </c>
      <c r="B214" s="33" t="str">
        <f>IFERROR(INDEX(Recipes!$B$2:$B$500,MATCH(A214,Recipes!$A$2:$A$500,0)),"")</f>
        <v>Moroccan Carrot &amp; Orange Salad</v>
      </c>
      <c r="C214" s="7" t="s">
        <v>206</v>
      </c>
      <c r="D214" s="34">
        <v>0.5</v>
      </c>
      <c r="E214" s="22" t="s">
        <v>2754</v>
      </c>
      <c r="F214" s="22" t="s">
        <v>205</v>
      </c>
      <c r="G214" s="22" t="s">
        <v>2755</v>
      </c>
      <c r="H214" s="7"/>
      <c r="I214" s="35">
        <v>29</v>
      </c>
      <c r="J214" s="30">
        <f>IF(OR($F214="",$I214=""),0,IFERROR(INDEX(Nutrition!$D$2:$D$300,MATCH($F214,Nutrition!$A$2:$A$300,0))*$I214/100,0))</f>
        <v>0.81199999999999983</v>
      </c>
      <c r="K214" s="30">
        <f>IF(OR($F214="",$I214=""),0,IFERROR(INDEX(Nutrition!$E$2:$E$300,MATCH($F214,Nutrition!$A$2:$A$300,0))*$I214/100,0))</f>
        <v>15.37</v>
      </c>
      <c r="L214" s="30">
        <f>IF(OR($F214="",$I214=""),0,IFERROR(INDEX(Nutrition!$F$2:$F$300,MATCH($F214,Nutrition!$A$2:$A$300,0))*$I214/100,0))</f>
        <v>0.28999999999999998</v>
      </c>
      <c r="M214" s="30">
        <f>IF(OR($F214="",$I214=""),0,IFERROR(INDEX(Nutrition!$G$2:$G$300,MATCH($F214,Nutrition!$A$2:$A$300,0))*$I214/100,0))</f>
        <v>0</v>
      </c>
      <c r="N214" s="30">
        <f>IF(OR($F214="",$I214=""),0,IFERROR(INDEX(Nutrition!$H$2:$H$300,MATCH($F214,Nutrition!$A$2:$A$300,0))*$I214/100,0))</f>
        <v>3.19</v>
      </c>
      <c r="O214" s="30">
        <f>IF(OR($F214="",$I214=""),0,IFERROR(INDEX(Nutrition!$I$2:$I$300,MATCH($F214,Nutrition!$A$2:$A$300,0))*$I214/100,0))</f>
        <v>40.020000000000003</v>
      </c>
      <c r="P214" s="30">
        <f>IF(OR($F214="",$I214=""),0,IFERROR(INDEX(Nutrition!$J$2:$J$300,MATCH($F214,Nutrition!$A$2:$A$300,0))*$I214/100,0))</f>
        <v>4.3499999999999997E-2</v>
      </c>
      <c r="Q214" s="30">
        <f>IF(OR($F214="",$I214=""),0,IFERROR(INDEX(Nutrition!$K$2:$K$300,MATCH($F214,Nutrition!$A$2:$A$300,0))*$I214/100,0))</f>
        <v>2.3199999999999998E-2</v>
      </c>
      <c r="R214" s="30">
        <f>IF(OR($F214="",$I214=""),0,IFERROR(INDEX(Nutrition!$L$2:$L$300,MATCH($F214,Nutrition!$A$2:$A$300,0))*$I214/100,0))</f>
        <v>2.3199999999999998</v>
      </c>
      <c r="S214" s="30">
        <f>IF(OR($F214="",$I214=""),0,IFERROR(INDEX(Nutrition!$M$2:$M$300,MATCH($F214,Nutrition!$A$2:$A$300,0))*$I214/100,0))</f>
        <v>0.17399999999999999</v>
      </c>
    </row>
    <row r="215" spans="1:19" ht="15" customHeight="1" x14ac:dyDescent="0.25">
      <c r="A215" s="22" t="s">
        <v>1273</v>
      </c>
      <c r="B215" s="33" t="str">
        <f>IFERROR(INDEX(Recipes!$B$2:$B$500,MATCH(A215,Recipes!$A$2:$A$500,0)),"")</f>
        <v>Moroccan Carrot &amp; Orange Salad</v>
      </c>
      <c r="C215" s="7" t="s">
        <v>2839</v>
      </c>
      <c r="D215" s="34">
        <v>1</v>
      </c>
      <c r="E215" s="22" t="s">
        <v>2759</v>
      </c>
      <c r="F215" s="22"/>
      <c r="G215" s="22" t="s">
        <v>2749</v>
      </c>
      <c r="H215" s="7"/>
      <c r="I215" s="35"/>
      <c r="J215" s="30">
        <f>IF(OR($F215="",$I215=""),0,IFERROR(INDEX(Nutrition!$D$2:$D$300,MATCH($F215,Nutrition!$A$2:$A$300,0))*$I215/100,0))</f>
        <v>0</v>
      </c>
      <c r="K215" s="30">
        <f>IF(OR($F215="",$I215=""),0,IFERROR(INDEX(Nutrition!$E$2:$E$300,MATCH($F215,Nutrition!$A$2:$A$300,0))*$I215/100,0))</f>
        <v>0</v>
      </c>
      <c r="L215" s="30">
        <f>IF(OR($F215="",$I215=""),0,IFERROR(INDEX(Nutrition!$F$2:$F$300,MATCH($F215,Nutrition!$A$2:$A$300,0))*$I215/100,0))</f>
        <v>0</v>
      </c>
      <c r="M215" s="30">
        <f>IF(OR($F215="",$I215=""),0,IFERROR(INDEX(Nutrition!$G$2:$G$300,MATCH($F215,Nutrition!$A$2:$A$300,0))*$I215/100,0))</f>
        <v>0</v>
      </c>
      <c r="N215" s="30">
        <f>IF(OR($F215="",$I215=""),0,IFERROR(INDEX(Nutrition!$H$2:$H$300,MATCH($F215,Nutrition!$A$2:$A$300,0))*$I215/100,0))</f>
        <v>0</v>
      </c>
      <c r="O215" s="30">
        <f>IF(OR($F215="",$I215=""),0,IFERROR(INDEX(Nutrition!$I$2:$I$300,MATCH($F215,Nutrition!$A$2:$A$300,0))*$I215/100,0))</f>
        <v>0</v>
      </c>
      <c r="P215" s="30">
        <f>IF(OR($F215="",$I215=""),0,IFERROR(INDEX(Nutrition!$J$2:$J$300,MATCH($F215,Nutrition!$A$2:$A$300,0))*$I215/100,0))</f>
        <v>0</v>
      </c>
      <c r="Q215" s="30">
        <f>IF(OR($F215="",$I215=""),0,IFERROR(INDEX(Nutrition!$K$2:$K$300,MATCH($F215,Nutrition!$A$2:$A$300,0))*$I215/100,0))</f>
        <v>0</v>
      </c>
      <c r="R215" s="30">
        <f>IF(OR($F215="",$I215=""),0,IFERROR(INDEX(Nutrition!$L$2:$L$300,MATCH($F215,Nutrition!$A$2:$A$300,0))*$I215/100,0))</f>
        <v>0</v>
      </c>
      <c r="S215" s="30">
        <f>IF(OR($F215="",$I215=""),0,IFERROR(INDEX(Nutrition!$M$2:$M$300,MATCH($F215,Nutrition!$A$2:$A$300,0))*$I215/100,0))</f>
        <v>0</v>
      </c>
    </row>
    <row r="216" spans="1:19" ht="15" customHeight="1" x14ac:dyDescent="0.25">
      <c r="A216" s="22" t="s">
        <v>1273</v>
      </c>
      <c r="B216" s="33" t="str">
        <f>IFERROR(INDEX(Recipes!$B$2:$B$500,MATCH(A216,Recipes!$A$2:$A$500,0)),"")</f>
        <v>Moroccan Carrot &amp; Orange Salad</v>
      </c>
      <c r="C216" s="7" t="s">
        <v>2770</v>
      </c>
      <c r="D216" s="34">
        <v>0.5</v>
      </c>
      <c r="E216" s="22" t="s">
        <v>2759</v>
      </c>
      <c r="F216" s="22"/>
      <c r="G216" s="22" t="s">
        <v>2749</v>
      </c>
      <c r="H216" s="7"/>
      <c r="I216" s="35"/>
      <c r="J216" s="30">
        <f>IF(OR($F216="",$I216=""),0,IFERROR(INDEX(Nutrition!$D$2:$D$300,MATCH($F216,Nutrition!$A$2:$A$300,0))*$I216/100,0))</f>
        <v>0</v>
      </c>
      <c r="K216" s="30">
        <f>IF(OR($F216="",$I216=""),0,IFERROR(INDEX(Nutrition!$E$2:$E$300,MATCH($F216,Nutrition!$A$2:$A$300,0))*$I216/100,0))</f>
        <v>0</v>
      </c>
      <c r="L216" s="30">
        <f>IF(OR($F216="",$I216=""),0,IFERROR(INDEX(Nutrition!$F$2:$F$300,MATCH($F216,Nutrition!$A$2:$A$300,0))*$I216/100,0))</f>
        <v>0</v>
      </c>
      <c r="M216" s="30">
        <f>IF(OR($F216="",$I216=""),0,IFERROR(INDEX(Nutrition!$G$2:$G$300,MATCH($F216,Nutrition!$A$2:$A$300,0))*$I216/100,0))</f>
        <v>0</v>
      </c>
      <c r="N216" s="30">
        <f>IF(OR($F216="",$I216=""),0,IFERROR(INDEX(Nutrition!$H$2:$H$300,MATCH($F216,Nutrition!$A$2:$A$300,0))*$I216/100,0))</f>
        <v>0</v>
      </c>
      <c r="O216" s="30">
        <f>IF(OR($F216="",$I216=""),0,IFERROR(INDEX(Nutrition!$I$2:$I$300,MATCH($F216,Nutrition!$A$2:$A$300,0))*$I216/100,0))</f>
        <v>0</v>
      </c>
      <c r="P216" s="30">
        <f>IF(OR($F216="",$I216=""),0,IFERROR(INDEX(Nutrition!$J$2:$J$300,MATCH($F216,Nutrition!$A$2:$A$300,0))*$I216/100,0))</f>
        <v>0</v>
      </c>
      <c r="Q216" s="30">
        <f>IF(OR($F216="",$I216=""),0,IFERROR(INDEX(Nutrition!$K$2:$K$300,MATCH($F216,Nutrition!$A$2:$A$300,0))*$I216/100,0))</f>
        <v>0</v>
      </c>
      <c r="R216" s="30">
        <f>IF(OR($F216="",$I216=""),0,IFERROR(INDEX(Nutrition!$L$2:$L$300,MATCH($F216,Nutrition!$A$2:$A$300,0))*$I216/100,0))</f>
        <v>0</v>
      </c>
      <c r="S216" s="30">
        <f>IF(OR($F216="",$I216=""),0,IFERROR(INDEX(Nutrition!$M$2:$M$300,MATCH($F216,Nutrition!$A$2:$A$300,0))*$I216/100,0))</f>
        <v>0</v>
      </c>
    </row>
    <row r="217" spans="1:19" ht="15" customHeight="1" x14ac:dyDescent="0.25">
      <c r="A217" s="22" t="s">
        <v>1273</v>
      </c>
      <c r="B217" s="33" t="str">
        <f>IFERROR(INDEX(Recipes!$B$2:$B$500,MATCH(A217,Recipes!$A$2:$A$500,0)),"")</f>
        <v>Moroccan Carrot &amp; Orange Salad</v>
      </c>
      <c r="C217" s="7" t="s">
        <v>2805</v>
      </c>
      <c r="D217" s="34">
        <v>1</v>
      </c>
      <c r="E217" s="22" t="s">
        <v>2753</v>
      </c>
      <c r="F217" s="22"/>
      <c r="G217" s="22" t="s">
        <v>2773</v>
      </c>
      <c r="H217" s="7"/>
      <c r="I217" s="35"/>
      <c r="J217" s="30">
        <f>IF(OR($F217="",$I217=""),0,IFERROR(INDEX(Nutrition!$D$2:$D$300,MATCH($F217,Nutrition!$A$2:$A$300,0))*$I217/100,0))</f>
        <v>0</v>
      </c>
      <c r="K217" s="30">
        <f>IF(OR($F217="",$I217=""),0,IFERROR(INDEX(Nutrition!$E$2:$E$300,MATCH($F217,Nutrition!$A$2:$A$300,0))*$I217/100,0))</f>
        <v>0</v>
      </c>
      <c r="L217" s="30">
        <f>IF(OR($F217="",$I217=""),0,IFERROR(INDEX(Nutrition!$F$2:$F$300,MATCH($F217,Nutrition!$A$2:$A$300,0))*$I217/100,0))</f>
        <v>0</v>
      </c>
      <c r="M217" s="30">
        <f>IF(OR($F217="",$I217=""),0,IFERROR(INDEX(Nutrition!$G$2:$G$300,MATCH($F217,Nutrition!$A$2:$A$300,0))*$I217/100,0))</f>
        <v>0</v>
      </c>
      <c r="N217" s="30">
        <f>IF(OR($F217="",$I217=""),0,IFERROR(INDEX(Nutrition!$H$2:$H$300,MATCH($F217,Nutrition!$A$2:$A$300,0))*$I217/100,0))</f>
        <v>0</v>
      </c>
      <c r="O217" s="30">
        <f>IF(OR($F217="",$I217=""),0,IFERROR(INDEX(Nutrition!$I$2:$I$300,MATCH($F217,Nutrition!$A$2:$A$300,0))*$I217/100,0))</f>
        <v>0</v>
      </c>
      <c r="P217" s="30">
        <f>IF(OR($F217="",$I217=""),0,IFERROR(INDEX(Nutrition!$J$2:$J$300,MATCH($F217,Nutrition!$A$2:$A$300,0))*$I217/100,0))</f>
        <v>0</v>
      </c>
      <c r="Q217" s="30">
        <f>IF(OR($F217="",$I217=""),0,IFERROR(INDEX(Nutrition!$K$2:$K$300,MATCH($F217,Nutrition!$A$2:$A$300,0))*$I217/100,0))</f>
        <v>0</v>
      </c>
      <c r="R217" s="30">
        <f>IF(OR($F217="",$I217=""),0,IFERROR(INDEX(Nutrition!$L$2:$L$300,MATCH($F217,Nutrition!$A$2:$A$300,0))*$I217/100,0))</f>
        <v>0</v>
      </c>
      <c r="S217" s="30">
        <f>IF(OR($F217="",$I217=""),0,IFERROR(INDEX(Nutrition!$M$2:$M$300,MATCH($F217,Nutrition!$A$2:$A$300,0))*$I217/100,0))</f>
        <v>0</v>
      </c>
    </row>
    <row r="218" spans="1:19" ht="15" customHeight="1" x14ac:dyDescent="0.25">
      <c r="A218" s="22" t="s">
        <v>1273</v>
      </c>
      <c r="B218" s="33" t="str">
        <f>IFERROR(INDEX(Recipes!$B$2:$B$500,MATCH(A218,Recipes!$A$2:$A$500,0)),"")</f>
        <v>Moroccan Carrot &amp; Orange Salad</v>
      </c>
      <c r="C218" s="7" t="s">
        <v>2781</v>
      </c>
      <c r="D218" s="34">
        <v>1</v>
      </c>
      <c r="E218" s="22" t="s">
        <v>2782</v>
      </c>
      <c r="F218" s="22"/>
      <c r="G218" s="22" t="s">
        <v>2773</v>
      </c>
      <c r="H218" s="7"/>
      <c r="I218" s="35"/>
      <c r="J218" s="30">
        <f>IF(OR($F218="",$I218=""),0,IFERROR(INDEX(Nutrition!$D$2:$D$300,MATCH($F218,Nutrition!$A$2:$A$300,0))*$I218/100,0))</f>
        <v>0</v>
      </c>
      <c r="K218" s="30">
        <f>IF(OR($F218="",$I218=""),0,IFERROR(INDEX(Nutrition!$E$2:$E$300,MATCH($F218,Nutrition!$A$2:$A$300,0))*$I218/100,0))</f>
        <v>0</v>
      </c>
      <c r="L218" s="30">
        <f>IF(OR($F218="",$I218=""),0,IFERROR(INDEX(Nutrition!$F$2:$F$300,MATCH($F218,Nutrition!$A$2:$A$300,0))*$I218/100,0))</f>
        <v>0</v>
      </c>
      <c r="M218" s="30">
        <f>IF(OR($F218="",$I218=""),0,IFERROR(INDEX(Nutrition!$G$2:$G$300,MATCH($F218,Nutrition!$A$2:$A$300,0))*$I218/100,0))</f>
        <v>0</v>
      </c>
      <c r="N218" s="30">
        <f>IF(OR($F218="",$I218=""),0,IFERROR(INDEX(Nutrition!$H$2:$H$300,MATCH($F218,Nutrition!$A$2:$A$300,0))*$I218/100,0))</f>
        <v>0</v>
      </c>
      <c r="O218" s="30">
        <f>IF(OR($F218="",$I218=""),0,IFERROR(INDEX(Nutrition!$I$2:$I$300,MATCH($F218,Nutrition!$A$2:$A$300,0))*$I218/100,0))</f>
        <v>0</v>
      </c>
      <c r="P218" s="30">
        <f>IF(OR($F218="",$I218=""),0,IFERROR(INDEX(Nutrition!$J$2:$J$300,MATCH($F218,Nutrition!$A$2:$A$300,0))*$I218/100,0))</f>
        <v>0</v>
      </c>
      <c r="Q218" s="30">
        <f>IF(OR($F218="",$I218=""),0,IFERROR(INDEX(Nutrition!$K$2:$K$300,MATCH($F218,Nutrition!$A$2:$A$300,0))*$I218/100,0))</f>
        <v>0</v>
      </c>
      <c r="R218" s="30">
        <f>IF(OR($F218="",$I218=""),0,IFERROR(INDEX(Nutrition!$L$2:$L$300,MATCH($F218,Nutrition!$A$2:$A$300,0))*$I218/100,0))</f>
        <v>0</v>
      </c>
      <c r="S218" s="30">
        <f>IF(OR($F218="",$I218=""),0,IFERROR(INDEX(Nutrition!$M$2:$M$300,MATCH($F218,Nutrition!$A$2:$A$300,0))*$I218/100,0))</f>
        <v>0</v>
      </c>
    </row>
    <row r="219" spans="1:19" ht="15" customHeight="1" x14ac:dyDescent="0.25">
      <c r="A219" s="22" t="s">
        <v>1285</v>
      </c>
      <c r="B219" s="33" t="str">
        <f>IFERROR(INDEX(Recipes!$B$2:$B$500,MATCH(A219,Recipes!$A$2:$A$500,0)),"")</f>
        <v>Beetroot, Orange &amp; Avocado Salad</v>
      </c>
      <c r="C219" s="7" t="s">
        <v>588</v>
      </c>
      <c r="D219" s="34">
        <v>2</v>
      </c>
      <c r="E219" s="22" t="s">
        <v>2754</v>
      </c>
      <c r="F219" s="22" t="s">
        <v>587</v>
      </c>
      <c r="G219" s="22" t="s">
        <v>2755</v>
      </c>
      <c r="H219" s="7"/>
      <c r="I219" s="35">
        <v>164</v>
      </c>
      <c r="J219" s="30">
        <f>IF(OR($F219="",$I219=""),0,IFERROR(INDEX(Nutrition!$D$2:$D$300,MATCH($F219,Nutrition!$A$2:$A$300,0))*$I219/100,0))</f>
        <v>4.5919999999999996</v>
      </c>
      <c r="K219" s="30">
        <f>IF(OR($F219="",$I219=""),0,IFERROR(INDEX(Nutrition!$E$2:$E$300,MATCH($F219,Nutrition!$A$2:$A$300,0))*$I219/100,0))</f>
        <v>8.0359999999999996</v>
      </c>
      <c r="L219" s="30">
        <f>IF(OR($F219="",$I219=""),0,IFERROR(INDEX(Nutrition!$F$2:$F$300,MATCH($F219,Nutrition!$A$2:$A$300,0))*$I219/100,0))</f>
        <v>3.28</v>
      </c>
      <c r="M219" s="30">
        <f>IF(OR($F219="",$I219=""),0,IFERROR(INDEX(Nutrition!$G$2:$G$300,MATCH($F219,Nutrition!$A$2:$A$300,0))*$I219/100,0))</f>
        <v>0.32800000000000007</v>
      </c>
      <c r="N219" s="30">
        <f>IF(OR($F219="",$I219=""),0,IFERROR(INDEX(Nutrition!$H$2:$H$300,MATCH($F219,Nutrition!$A$2:$A$300,0))*$I219/100,0))</f>
        <v>178.76</v>
      </c>
      <c r="O219" s="30">
        <f>IF(OR($F219="",$I219=""),0,IFERROR(INDEX(Nutrition!$I$2:$I$300,MATCH($F219,Nutrition!$A$2:$A$300,0))*$I219/100,0))</f>
        <v>533</v>
      </c>
      <c r="P219" s="30">
        <f>IF(OR($F219="",$I219=""),0,IFERROR(INDEX(Nutrition!$J$2:$J$300,MATCH($F219,Nutrition!$A$2:$A$300,0))*$I219/100,0))</f>
        <v>6.5600000000000006E-2</v>
      </c>
      <c r="Q219" s="30">
        <f>IF(OR($F219="",$I219=""),0,IFERROR(INDEX(Nutrition!$K$2:$K$300,MATCH($F219,Nutrition!$A$2:$A$300,0))*$I219/100,0))</f>
        <v>0.10988000000000002</v>
      </c>
      <c r="R219" s="30">
        <f>IF(OR($F219="",$I219=""),0,IFERROR(INDEX(Nutrition!$L$2:$L$300,MATCH($F219,Nutrition!$A$2:$A$300,0))*$I219/100,0))</f>
        <v>37.72</v>
      </c>
      <c r="S219" s="30">
        <f>IF(OR($F219="",$I219=""),0,IFERROR(INDEX(Nutrition!$M$2:$M$300,MATCH($F219,Nutrition!$A$2:$A$300,0))*$I219/100,0))</f>
        <v>1.3120000000000003</v>
      </c>
    </row>
    <row r="220" spans="1:19" ht="15" customHeight="1" x14ac:dyDescent="0.25">
      <c r="A220" s="22" t="s">
        <v>1285</v>
      </c>
      <c r="B220" s="33" t="str">
        <f>IFERROR(INDEX(Recipes!$B$2:$B$500,MATCH(A220,Recipes!$A$2:$A$500,0)),"")</f>
        <v>Beetroot, Orange &amp; Avocado Salad</v>
      </c>
      <c r="C220" s="7" t="s">
        <v>183</v>
      </c>
      <c r="D220" s="34">
        <v>1</v>
      </c>
      <c r="E220" s="22" t="s">
        <v>2754</v>
      </c>
      <c r="F220" s="22" t="s">
        <v>182</v>
      </c>
      <c r="G220" s="22" t="s">
        <v>2755</v>
      </c>
      <c r="H220" s="7"/>
      <c r="I220" s="35">
        <v>131</v>
      </c>
      <c r="J220" s="30">
        <f>IF(OR($F220="",$I220=""),0,IFERROR(INDEX(Nutrition!$D$2:$D$300,MATCH($F220,Nutrition!$A$2:$A$300,0))*$I220/100,0))</f>
        <v>3.1439999999999997</v>
      </c>
      <c r="K220" s="30">
        <f>IF(OR($F220="",$I220=""),0,IFERROR(INDEX(Nutrition!$E$2:$E$300,MATCH($F220,Nutrition!$A$2:$A$300,0))*$I220/100,0))</f>
        <v>69.692000000000007</v>
      </c>
      <c r="L220" s="30">
        <f>IF(OR($F220="",$I220=""),0,IFERROR(INDEX(Nutrition!$F$2:$F$300,MATCH($F220,Nutrition!$A$2:$A$300,0))*$I220/100,0))</f>
        <v>14.41</v>
      </c>
      <c r="M220" s="30">
        <f>IF(OR($F220="",$I220=""),0,IFERROR(INDEX(Nutrition!$G$2:$G$300,MATCH($F220,Nutrition!$A$2:$A$300,0))*$I220/100,0))</f>
        <v>0</v>
      </c>
      <c r="N220" s="30">
        <f>IF(OR($F220="",$I220=""),0,IFERROR(INDEX(Nutrition!$H$2:$H$300,MATCH($F220,Nutrition!$A$2:$A$300,0))*$I220/100,0))</f>
        <v>39.299999999999997</v>
      </c>
      <c r="O220" s="30">
        <f>IF(OR($F220="",$I220=""),0,IFERROR(INDEX(Nutrition!$I$2:$I$300,MATCH($F220,Nutrition!$A$2:$A$300,0))*$I220/100,0))</f>
        <v>237.11</v>
      </c>
      <c r="P220" s="30">
        <f>IF(OR($F220="",$I220=""),0,IFERROR(INDEX(Nutrition!$J$2:$J$300,MATCH($F220,Nutrition!$A$2:$A$300,0))*$I220/100,0))</f>
        <v>0.23579999999999998</v>
      </c>
      <c r="Q220" s="30">
        <f>IF(OR($F220="",$I220=""),0,IFERROR(INDEX(Nutrition!$K$2:$K$300,MATCH($F220,Nutrition!$A$2:$A$300,0))*$I220/100,0))</f>
        <v>7.8599999999999989E-2</v>
      </c>
      <c r="R220" s="30">
        <f>IF(OR($F220="",$I220=""),0,IFERROR(INDEX(Nutrition!$L$2:$L$300,MATCH($F220,Nutrition!$A$2:$A$300,0))*$I220/100,0))</f>
        <v>13.1</v>
      </c>
      <c r="S220" s="30">
        <f>IF(OR($F220="",$I220=""),0,IFERROR(INDEX(Nutrition!$M$2:$M$300,MATCH($F220,Nutrition!$A$2:$A$300,0))*$I220/100,0))</f>
        <v>0.13100000000000001</v>
      </c>
    </row>
    <row r="221" spans="1:19" ht="15" customHeight="1" x14ac:dyDescent="0.25">
      <c r="A221" s="22" t="s">
        <v>1285</v>
      </c>
      <c r="B221" s="33" t="str">
        <f>IFERROR(INDEX(Recipes!$B$2:$B$500,MATCH(A221,Recipes!$A$2:$A$500,0)),"")</f>
        <v>Beetroot, Orange &amp; Avocado Salad</v>
      </c>
      <c r="C221" s="7" t="s">
        <v>227</v>
      </c>
      <c r="D221" s="34">
        <v>1</v>
      </c>
      <c r="E221" s="22" t="s">
        <v>2754</v>
      </c>
      <c r="F221" s="22" t="s">
        <v>226</v>
      </c>
      <c r="G221" s="22" t="s">
        <v>2755</v>
      </c>
      <c r="H221" s="7"/>
      <c r="I221" s="35">
        <v>201</v>
      </c>
      <c r="J221" s="30">
        <f>IF(OR($F221="",$I221=""),0,IFERROR(INDEX(Nutrition!$D$2:$D$300,MATCH($F221,Nutrition!$A$2:$A$300,0))*$I221/100,0))</f>
        <v>13.467000000000001</v>
      </c>
      <c r="K221" s="30">
        <f>IF(OR($F221="",$I221=""),0,IFERROR(INDEX(Nutrition!$E$2:$E$300,MATCH($F221,Nutrition!$A$2:$A$300,0))*$I221/100,0))</f>
        <v>20.100000000000001</v>
      </c>
      <c r="L221" s="30">
        <f>IF(OR($F221="",$I221=""),0,IFERROR(INDEX(Nutrition!$F$2:$F$300,MATCH($F221,Nutrition!$A$2:$A$300,0))*$I221/100,0))</f>
        <v>14.07</v>
      </c>
      <c r="M221" s="30">
        <f>IF(OR($F221="",$I221=""),0,IFERROR(INDEX(Nutrition!$G$2:$G$300,MATCH($F221,Nutrition!$A$2:$A$300,0))*$I221/100,0))</f>
        <v>42.21</v>
      </c>
      <c r="N221" s="30">
        <f>IF(OR($F221="",$I221=""),0,IFERROR(INDEX(Nutrition!$H$2:$H$300,MATCH($F221,Nutrition!$A$2:$A$300,0))*$I221/100,0))</f>
        <v>162.81</v>
      </c>
      <c r="O221" s="30">
        <f>IF(OR($F221="",$I221=""),0,IFERROR(INDEX(Nutrition!$I$2:$I$300,MATCH($F221,Nutrition!$A$2:$A$300,0))*$I221/100,0))</f>
        <v>974.85</v>
      </c>
      <c r="P221" s="30">
        <f>IF(OR($F221="",$I221=""),0,IFERROR(INDEX(Nutrition!$J$2:$J$300,MATCH($F221,Nutrition!$A$2:$A$300,0))*$I221/100,0))</f>
        <v>4.1607000000000003</v>
      </c>
      <c r="Q221" s="30">
        <f>IF(OR($F221="",$I221=""),0,IFERROR(INDEX(Nutrition!$K$2:$K$300,MATCH($F221,Nutrition!$A$2:$A$300,0))*$I221/100,0))</f>
        <v>0.51657000000000008</v>
      </c>
      <c r="R221" s="30">
        <f>IF(OR($F221="",$I221=""),0,IFERROR(INDEX(Nutrition!$L$2:$L$300,MATCH($F221,Nutrition!$A$2:$A$300,0))*$I221/100,0))</f>
        <v>58.29</v>
      </c>
      <c r="S221" s="30">
        <f>IF(OR($F221="",$I221=""),0,IFERROR(INDEX(Nutrition!$M$2:$M$300,MATCH($F221,Nutrition!$A$2:$A$300,0))*$I221/100,0))</f>
        <v>1.1055000000000001</v>
      </c>
    </row>
    <row r="222" spans="1:19" ht="15" customHeight="1" x14ac:dyDescent="0.25">
      <c r="A222" s="22" t="s">
        <v>1285</v>
      </c>
      <c r="B222" s="33" t="str">
        <f>IFERROR(INDEX(Recipes!$B$2:$B$500,MATCH(A222,Recipes!$A$2:$A$500,0)),"")</f>
        <v>Beetroot, Orange &amp; Avocado Salad</v>
      </c>
      <c r="C222" s="7" t="s">
        <v>546</v>
      </c>
      <c r="D222" s="34">
        <v>1</v>
      </c>
      <c r="E222" s="22" t="s">
        <v>2748</v>
      </c>
      <c r="F222" s="22" t="s">
        <v>545</v>
      </c>
      <c r="G222" s="22" t="s">
        <v>2755</v>
      </c>
      <c r="H222" s="7" t="s">
        <v>2840</v>
      </c>
      <c r="I222" s="35">
        <v>47</v>
      </c>
      <c r="J222" s="30">
        <f>IF(OR($F222="",$I222=""),0,IFERROR(INDEX(Nutrition!$D$2:$D$300,MATCH($F222,Nutrition!$A$2:$A$300,0))*$I222/100,0))</f>
        <v>0.98699999999999999</v>
      </c>
      <c r="K222" s="30">
        <f>IF(OR($F222="",$I222=""),0,IFERROR(INDEX(Nutrition!$E$2:$E$300,MATCH($F222,Nutrition!$A$2:$A$300,0))*$I222/100,0))</f>
        <v>1.88</v>
      </c>
      <c r="L222" s="30">
        <f>IF(OR($F222="",$I222=""),0,IFERROR(INDEX(Nutrition!$F$2:$F$300,MATCH($F222,Nutrition!$A$2:$A$300,0))*$I222/100,0))</f>
        <v>204.92</v>
      </c>
      <c r="M222" s="30">
        <f>IF(OR($F222="",$I222=""),0,IFERROR(INDEX(Nutrition!$G$2:$G$300,MATCH($F222,Nutrition!$A$2:$A$300,0))*$I222/100,0))</f>
        <v>48.174999999999997</v>
      </c>
      <c r="N222" s="30">
        <f>IF(OR($F222="",$I222=""),0,IFERROR(INDEX(Nutrition!$H$2:$H$300,MATCH($F222,Nutrition!$A$2:$A$300,0))*$I222/100,0))</f>
        <v>63.92</v>
      </c>
      <c r="O222" s="30">
        <f>IF(OR($F222="",$I222=""),0,IFERROR(INDEX(Nutrition!$I$2:$I$300,MATCH($F222,Nutrition!$A$2:$A$300,0))*$I222/100,0))</f>
        <v>116.09</v>
      </c>
      <c r="P222" s="30">
        <f>IF(OR($F222="",$I222=""),0,IFERROR(INDEX(Nutrition!$J$2:$J$300,MATCH($F222,Nutrition!$A$2:$A$300,0))*$I222/100,0))</f>
        <v>6.1100000000000002E-2</v>
      </c>
      <c r="Q222" s="30">
        <f>IF(OR($F222="",$I222=""),0,IFERROR(INDEX(Nutrition!$K$2:$K$300,MATCH($F222,Nutrition!$A$2:$A$300,0))*$I222/100,0))</f>
        <v>3.4779999999999998E-2</v>
      </c>
      <c r="R222" s="30">
        <f>IF(OR($F222="",$I222=""),0,IFERROR(INDEX(Nutrition!$L$2:$L$300,MATCH($F222,Nutrition!$A$2:$A$300,0))*$I222/100,0))</f>
        <v>6.58</v>
      </c>
      <c r="S222" s="30">
        <f>IF(OR($F222="",$I222=""),0,IFERROR(INDEX(Nutrition!$M$2:$M$300,MATCH($F222,Nutrition!$A$2:$A$300,0))*$I222/100,0))</f>
        <v>0.45589999999999997</v>
      </c>
    </row>
    <row r="223" spans="1:19" ht="15" customHeight="1" x14ac:dyDescent="0.25">
      <c r="A223" s="22" t="s">
        <v>1285</v>
      </c>
      <c r="B223" s="33" t="str">
        <f>IFERROR(INDEX(Recipes!$B$2:$B$500,MATCH(A223,Recipes!$A$2:$A$500,0)),"")</f>
        <v>Beetroot, Orange &amp; Avocado Salad</v>
      </c>
      <c r="C223" s="7" t="s">
        <v>482</v>
      </c>
      <c r="D223" s="34">
        <v>0.25</v>
      </c>
      <c r="E223" s="22" t="s">
        <v>2754</v>
      </c>
      <c r="F223" s="22" t="s">
        <v>481</v>
      </c>
      <c r="G223" s="22" t="s">
        <v>2755</v>
      </c>
      <c r="H223" s="7" t="s">
        <v>2784</v>
      </c>
      <c r="I223" s="35">
        <v>28</v>
      </c>
      <c r="J223" s="30">
        <f>IF(OR($F223="",$I223=""),0,IFERROR(INDEX(Nutrition!$D$2:$D$300,MATCH($F223,Nutrition!$A$2:$A$300,0))*$I223/100,0))</f>
        <v>0.47600000000000003</v>
      </c>
      <c r="K223" s="30">
        <f>IF(OR($F223="",$I223=""),0,IFERROR(INDEX(Nutrition!$E$2:$E$300,MATCH($F223,Nutrition!$A$2:$A$300,0))*$I223/100,0))</f>
        <v>2.0720000000000001</v>
      </c>
      <c r="L223" s="30">
        <f>IF(OR($F223="",$I223=""),0,IFERROR(INDEX(Nutrition!$F$2:$F$300,MATCH($F223,Nutrition!$A$2:$A$300,0))*$I223/100,0))</f>
        <v>0</v>
      </c>
      <c r="M223" s="30">
        <f>IF(OR($F223="",$I223=""),0,IFERROR(INDEX(Nutrition!$G$2:$G$300,MATCH($F223,Nutrition!$A$2:$A$300,0))*$I223/100,0))</f>
        <v>0.11200000000000002</v>
      </c>
      <c r="N223" s="30">
        <f>IF(OR($F223="",$I223=""),0,IFERROR(INDEX(Nutrition!$H$2:$H$300,MATCH($F223,Nutrition!$A$2:$A$300,0))*$I223/100,0))</f>
        <v>5.32</v>
      </c>
      <c r="O223" s="30">
        <f>IF(OR($F223="",$I223=""),0,IFERROR(INDEX(Nutrition!$I$2:$I$300,MATCH($F223,Nutrition!$A$2:$A$300,0))*$I223/100,0))</f>
        <v>40.880000000000003</v>
      </c>
      <c r="P223" s="30">
        <f>IF(OR($F223="",$I223=""),0,IFERROR(INDEX(Nutrition!$J$2:$J$300,MATCH($F223,Nutrition!$A$2:$A$300,0))*$I223/100,0))</f>
        <v>5.6000000000000008E-3</v>
      </c>
      <c r="Q223" s="30">
        <f>IF(OR($F223="",$I223=""),0,IFERROR(INDEX(Nutrition!$K$2:$K$300,MATCH($F223,Nutrition!$A$2:$A$300,0))*$I223/100,0))</f>
        <v>3.3599999999999998E-2</v>
      </c>
      <c r="R223" s="30">
        <f>IF(OR($F223="",$I223=""),0,IFERROR(INDEX(Nutrition!$L$2:$L$300,MATCH($F223,Nutrition!$A$2:$A$300,0))*$I223/100,0))</f>
        <v>2.8</v>
      </c>
      <c r="S223" s="30">
        <f>IF(OR($F223="",$I223=""),0,IFERROR(INDEX(Nutrition!$M$2:$M$300,MATCH($F223,Nutrition!$A$2:$A$300,0))*$I223/100,0))</f>
        <v>5.8799999999999998E-2</v>
      </c>
    </row>
    <row r="224" spans="1:19" ht="15" customHeight="1" x14ac:dyDescent="0.25">
      <c r="A224" s="22" t="s">
        <v>1285</v>
      </c>
      <c r="B224" s="33" t="str">
        <f>IFERROR(INDEX(Recipes!$B$2:$B$500,MATCH(A224,Recipes!$A$2:$A$500,0)),"")</f>
        <v>Beetroot, Orange &amp; Avocado Salad</v>
      </c>
      <c r="C224" s="7" t="s">
        <v>428</v>
      </c>
      <c r="D224" s="34">
        <v>2</v>
      </c>
      <c r="E224" s="22" t="s">
        <v>2753</v>
      </c>
      <c r="F224" s="22" t="s">
        <v>427</v>
      </c>
      <c r="G224" s="22" t="s">
        <v>2755</v>
      </c>
      <c r="H224" s="7" t="s">
        <v>2800</v>
      </c>
      <c r="I224" s="35">
        <v>30</v>
      </c>
      <c r="J224" s="30">
        <f>IF(OR($F224="",$I224=""),0,IFERROR(INDEX(Nutrition!$D$2:$D$300,MATCH($F224,Nutrition!$A$2:$A$300,0))*$I224/100,0))</f>
        <v>2.5499999999999998</v>
      </c>
      <c r="K224" s="30">
        <f>IF(OR($F224="",$I224=""),0,IFERROR(INDEX(Nutrition!$E$2:$E$300,MATCH($F224,Nutrition!$A$2:$A$300,0))*$I224/100,0))</f>
        <v>0</v>
      </c>
      <c r="L224" s="30">
        <f>IF(OR($F224="",$I224=""),0,IFERROR(INDEX(Nutrition!$F$2:$F$300,MATCH($F224,Nutrition!$A$2:$A$300,0))*$I224/100,0))</f>
        <v>0</v>
      </c>
      <c r="M224" s="30">
        <f>IF(OR($F224="",$I224=""),0,IFERROR(INDEX(Nutrition!$G$2:$G$300,MATCH($F224,Nutrition!$A$2:$A$300,0))*$I224/100,0))</f>
        <v>0</v>
      </c>
      <c r="N224" s="30">
        <f>IF(OR($F224="",$I224=""),0,IFERROR(INDEX(Nutrition!$H$2:$H$300,MATCH($F224,Nutrition!$A$2:$A$300,0))*$I224/100,0))</f>
        <v>72</v>
      </c>
      <c r="O224" s="30">
        <f>IF(OR($F224="",$I224=""),0,IFERROR(INDEX(Nutrition!$I$2:$I$300,MATCH($F224,Nutrition!$A$2:$A$300,0))*$I224/100,0))</f>
        <v>211.5</v>
      </c>
      <c r="P224" s="30">
        <f>IF(OR($F224="",$I224=""),0,IFERROR(INDEX(Nutrition!$J$2:$J$300,MATCH($F224,Nutrition!$A$2:$A$300,0))*$I224/100,0))</f>
        <v>2.4990000000000001</v>
      </c>
      <c r="Q224" s="30">
        <f>IF(OR($F224="",$I224=""),0,IFERROR(INDEX(Nutrition!$K$2:$K$300,MATCH($F224,Nutrition!$A$2:$A$300,0))*$I224/100,0))</f>
        <v>0.10439999999999999</v>
      </c>
      <c r="R224" s="30">
        <f>IF(OR($F224="",$I224=""),0,IFERROR(INDEX(Nutrition!$L$2:$L$300,MATCH($F224,Nutrition!$A$2:$A$300,0))*$I224/100,0))</f>
        <v>50.4</v>
      </c>
      <c r="S224" s="30">
        <f>IF(OR($F224="",$I224=""),0,IFERROR(INDEX(Nutrition!$M$2:$M$300,MATCH($F224,Nutrition!$A$2:$A$300,0))*$I224/100,0))</f>
        <v>1.3740000000000001</v>
      </c>
    </row>
    <row r="225" spans="1:19" ht="15" customHeight="1" x14ac:dyDescent="0.25">
      <c r="A225" s="22" t="s">
        <v>1285</v>
      </c>
      <c r="B225" s="33" t="str">
        <f>IFERROR(INDEX(Recipes!$B$2:$B$500,MATCH(A225,Recipes!$A$2:$A$500,0)),"")</f>
        <v>Beetroot, Orange &amp; Avocado Salad</v>
      </c>
      <c r="C225" s="7" t="s">
        <v>206</v>
      </c>
      <c r="D225" s="34">
        <v>0.5</v>
      </c>
      <c r="E225" s="22" t="s">
        <v>2754</v>
      </c>
      <c r="F225" s="22" t="s">
        <v>205</v>
      </c>
      <c r="G225" s="22" t="s">
        <v>2755</v>
      </c>
      <c r="H225" s="7"/>
      <c r="I225" s="35">
        <v>29</v>
      </c>
      <c r="J225" s="30">
        <f>IF(OR($F225="",$I225=""),0,IFERROR(INDEX(Nutrition!$D$2:$D$300,MATCH($F225,Nutrition!$A$2:$A$300,0))*$I225/100,0))</f>
        <v>0.81199999999999983</v>
      </c>
      <c r="K225" s="30">
        <f>IF(OR($F225="",$I225=""),0,IFERROR(INDEX(Nutrition!$E$2:$E$300,MATCH($F225,Nutrition!$A$2:$A$300,0))*$I225/100,0))</f>
        <v>15.37</v>
      </c>
      <c r="L225" s="30">
        <f>IF(OR($F225="",$I225=""),0,IFERROR(INDEX(Nutrition!$F$2:$F$300,MATCH($F225,Nutrition!$A$2:$A$300,0))*$I225/100,0))</f>
        <v>0.28999999999999998</v>
      </c>
      <c r="M225" s="30">
        <f>IF(OR($F225="",$I225=""),0,IFERROR(INDEX(Nutrition!$G$2:$G$300,MATCH($F225,Nutrition!$A$2:$A$300,0))*$I225/100,0))</f>
        <v>0</v>
      </c>
      <c r="N225" s="30">
        <f>IF(OR($F225="",$I225=""),0,IFERROR(INDEX(Nutrition!$H$2:$H$300,MATCH($F225,Nutrition!$A$2:$A$300,0))*$I225/100,0))</f>
        <v>3.19</v>
      </c>
      <c r="O225" s="30">
        <f>IF(OR($F225="",$I225=""),0,IFERROR(INDEX(Nutrition!$I$2:$I$300,MATCH($F225,Nutrition!$A$2:$A$300,0))*$I225/100,0))</f>
        <v>40.020000000000003</v>
      </c>
      <c r="P225" s="30">
        <f>IF(OR($F225="",$I225=""),0,IFERROR(INDEX(Nutrition!$J$2:$J$300,MATCH($F225,Nutrition!$A$2:$A$300,0))*$I225/100,0))</f>
        <v>4.3499999999999997E-2</v>
      </c>
      <c r="Q225" s="30">
        <f>IF(OR($F225="",$I225=""),0,IFERROR(INDEX(Nutrition!$K$2:$K$300,MATCH($F225,Nutrition!$A$2:$A$300,0))*$I225/100,0))</f>
        <v>2.3199999999999998E-2</v>
      </c>
      <c r="R225" s="30">
        <f>IF(OR($F225="",$I225=""),0,IFERROR(INDEX(Nutrition!$L$2:$L$300,MATCH($F225,Nutrition!$A$2:$A$300,0))*$I225/100,0))</f>
        <v>2.3199999999999998</v>
      </c>
      <c r="S225" s="30">
        <f>IF(OR($F225="",$I225=""),0,IFERROR(INDEX(Nutrition!$M$2:$M$300,MATCH($F225,Nutrition!$A$2:$A$300,0))*$I225/100,0))</f>
        <v>0.17399999999999999</v>
      </c>
    </row>
    <row r="226" spans="1:19" ht="15" customHeight="1" x14ac:dyDescent="0.25">
      <c r="A226" s="22" t="s">
        <v>1285</v>
      </c>
      <c r="B226" s="33" t="str">
        <f>IFERROR(INDEX(Recipes!$B$2:$B$500,MATCH(A226,Recipes!$A$2:$A$500,0)),"")</f>
        <v>Beetroot, Orange &amp; Avocado Salad</v>
      </c>
      <c r="C226" s="7" t="s">
        <v>2758</v>
      </c>
      <c r="D226" s="34">
        <v>1</v>
      </c>
      <c r="E226" s="22" t="s">
        <v>2753</v>
      </c>
      <c r="F226" s="22"/>
      <c r="G226" s="22" t="s">
        <v>2749</v>
      </c>
      <c r="H226" s="7"/>
      <c r="I226" s="35"/>
      <c r="J226" s="30">
        <f>IF(OR($F226="",$I226=""),0,IFERROR(INDEX(Nutrition!$D$2:$D$300,MATCH($F226,Nutrition!$A$2:$A$300,0))*$I226/100,0))</f>
        <v>0</v>
      </c>
      <c r="K226" s="30">
        <f>IF(OR($F226="",$I226=""),0,IFERROR(INDEX(Nutrition!$E$2:$E$300,MATCH($F226,Nutrition!$A$2:$A$300,0))*$I226/100,0))</f>
        <v>0</v>
      </c>
      <c r="L226" s="30">
        <f>IF(OR($F226="",$I226=""),0,IFERROR(INDEX(Nutrition!$F$2:$F$300,MATCH($F226,Nutrition!$A$2:$A$300,0))*$I226/100,0))</f>
        <v>0</v>
      </c>
      <c r="M226" s="30">
        <f>IF(OR($F226="",$I226=""),0,IFERROR(INDEX(Nutrition!$G$2:$G$300,MATCH($F226,Nutrition!$A$2:$A$300,0))*$I226/100,0))</f>
        <v>0</v>
      </c>
      <c r="N226" s="30">
        <f>IF(OR($F226="",$I226=""),0,IFERROR(INDEX(Nutrition!$H$2:$H$300,MATCH($F226,Nutrition!$A$2:$A$300,0))*$I226/100,0))</f>
        <v>0</v>
      </c>
      <c r="O226" s="30">
        <f>IF(OR($F226="",$I226=""),0,IFERROR(INDEX(Nutrition!$I$2:$I$300,MATCH($F226,Nutrition!$A$2:$A$300,0))*$I226/100,0))</f>
        <v>0</v>
      </c>
      <c r="P226" s="30">
        <f>IF(OR($F226="",$I226=""),0,IFERROR(INDEX(Nutrition!$J$2:$J$300,MATCH($F226,Nutrition!$A$2:$A$300,0))*$I226/100,0))</f>
        <v>0</v>
      </c>
      <c r="Q226" s="30">
        <f>IF(OR($F226="",$I226=""),0,IFERROR(INDEX(Nutrition!$K$2:$K$300,MATCH($F226,Nutrition!$A$2:$A$300,0))*$I226/100,0))</f>
        <v>0</v>
      </c>
      <c r="R226" s="30">
        <f>IF(OR($F226="",$I226=""),0,IFERROR(INDEX(Nutrition!$L$2:$L$300,MATCH($F226,Nutrition!$A$2:$A$300,0))*$I226/100,0))</f>
        <v>0</v>
      </c>
      <c r="S226" s="30">
        <f>IF(OR($F226="",$I226=""),0,IFERROR(INDEX(Nutrition!$M$2:$M$300,MATCH($F226,Nutrition!$A$2:$A$300,0))*$I226/100,0))</f>
        <v>0</v>
      </c>
    </row>
    <row r="227" spans="1:19" ht="15" customHeight="1" x14ac:dyDescent="0.25">
      <c r="A227" s="22" t="s">
        <v>1285</v>
      </c>
      <c r="B227" s="33" t="str">
        <f>IFERROR(INDEX(Recipes!$B$2:$B$500,MATCH(A227,Recipes!$A$2:$A$500,0)),"")</f>
        <v>Beetroot, Orange &amp; Avocado Salad</v>
      </c>
      <c r="C227" s="7" t="s">
        <v>2805</v>
      </c>
      <c r="D227" s="34">
        <v>1</v>
      </c>
      <c r="E227" s="22" t="s">
        <v>2753</v>
      </c>
      <c r="F227" s="22"/>
      <c r="G227" s="22" t="s">
        <v>2773</v>
      </c>
      <c r="H227" s="7"/>
      <c r="I227" s="35"/>
      <c r="J227" s="30">
        <f>IF(OR($F227="",$I227=""),0,IFERROR(INDEX(Nutrition!$D$2:$D$300,MATCH($F227,Nutrition!$A$2:$A$300,0))*$I227/100,0))</f>
        <v>0</v>
      </c>
      <c r="K227" s="30">
        <f>IF(OR($F227="",$I227=""),0,IFERROR(INDEX(Nutrition!$E$2:$E$300,MATCH($F227,Nutrition!$A$2:$A$300,0))*$I227/100,0))</f>
        <v>0</v>
      </c>
      <c r="L227" s="30">
        <f>IF(OR($F227="",$I227=""),0,IFERROR(INDEX(Nutrition!$F$2:$F$300,MATCH($F227,Nutrition!$A$2:$A$300,0))*$I227/100,0))</f>
        <v>0</v>
      </c>
      <c r="M227" s="30">
        <f>IF(OR($F227="",$I227=""),0,IFERROR(INDEX(Nutrition!$G$2:$G$300,MATCH($F227,Nutrition!$A$2:$A$300,0))*$I227/100,0))</f>
        <v>0</v>
      </c>
      <c r="N227" s="30">
        <f>IF(OR($F227="",$I227=""),0,IFERROR(INDEX(Nutrition!$H$2:$H$300,MATCH($F227,Nutrition!$A$2:$A$300,0))*$I227/100,0))</f>
        <v>0</v>
      </c>
      <c r="O227" s="30">
        <f>IF(OR($F227="",$I227=""),0,IFERROR(INDEX(Nutrition!$I$2:$I$300,MATCH($F227,Nutrition!$A$2:$A$300,0))*$I227/100,0))</f>
        <v>0</v>
      </c>
      <c r="P227" s="30">
        <f>IF(OR($F227="",$I227=""),0,IFERROR(INDEX(Nutrition!$J$2:$J$300,MATCH($F227,Nutrition!$A$2:$A$300,0))*$I227/100,0))</f>
        <v>0</v>
      </c>
      <c r="Q227" s="30">
        <f>IF(OR($F227="",$I227=""),0,IFERROR(INDEX(Nutrition!$K$2:$K$300,MATCH($F227,Nutrition!$A$2:$A$300,0))*$I227/100,0))</f>
        <v>0</v>
      </c>
      <c r="R227" s="30">
        <f>IF(OR($F227="",$I227=""),0,IFERROR(INDEX(Nutrition!$L$2:$L$300,MATCH($F227,Nutrition!$A$2:$A$300,0))*$I227/100,0))</f>
        <v>0</v>
      </c>
      <c r="S227" s="30">
        <f>IF(OR($F227="",$I227=""),0,IFERROR(INDEX(Nutrition!$M$2:$M$300,MATCH($F227,Nutrition!$A$2:$A$300,0))*$I227/100,0))</f>
        <v>0</v>
      </c>
    </row>
    <row r="228" spans="1:19" ht="15" customHeight="1" x14ac:dyDescent="0.25">
      <c r="A228" s="22" t="s">
        <v>1295</v>
      </c>
      <c r="B228" s="33" t="str">
        <f>IFERROR(INDEX(Recipes!$B$2:$B$500,MATCH(A228,Recipes!$A$2:$A$500,0)),"")</f>
        <v>Kachumbari</v>
      </c>
      <c r="C228" s="7" t="s">
        <v>446</v>
      </c>
      <c r="D228" s="34">
        <v>4</v>
      </c>
      <c r="E228" s="22" t="s">
        <v>2754</v>
      </c>
      <c r="F228" s="22" t="s">
        <v>445</v>
      </c>
      <c r="G228" s="22" t="s">
        <v>2755</v>
      </c>
      <c r="H228" s="7"/>
      <c r="I228" s="35">
        <v>248</v>
      </c>
      <c r="J228" s="30">
        <f>IF(OR($F228="",$I228=""),0,IFERROR(INDEX(Nutrition!$D$2:$D$300,MATCH($F228,Nutrition!$A$2:$A$300,0))*$I228/100,0))</f>
        <v>2.9759999999999995</v>
      </c>
      <c r="K228" s="30">
        <f>IF(OR($F228="",$I228=""),0,IFERROR(INDEX(Nutrition!$E$2:$E$300,MATCH($F228,Nutrition!$A$2:$A$300,0))*$I228/100,0))</f>
        <v>33.975999999999999</v>
      </c>
      <c r="L228" s="30">
        <f>IF(OR($F228="",$I228=""),0,IFERROR(INDEX(Nutrition!$F$2:$F$300,MATCH($F228,Nutrition!$A$2:$A$300,0))*$I228/100,0))</f>
        <v>104.16</v>
      </c>
      <c r="M228" s="30">
        <f>IF(OR($F228="",$I228=""),0,IFERROR(INDEX(Nutrition!$G$2:$G$300,MATCH($F228,Nutrition!$A$2:$A$300,0))*$I228/100,0))</f>
        <v>19.591999999999999</v>
      </c>
      <c r="N228" s="30">
        <f>IF(OR($F228="",$I228=""),0,IFERROR(INDEX(Nutrition!$H$2:$H$300,MATCH($F228,Nutrition!$A$2:$A$300,0))*$I228/100,0))</f>
        <v>37.200000000000003</v>
      </c>
      <c r="O228" s="30">
        <f>IF(OR($F228="",$I228=""),0,IFERROR(INDEX(Nutrition!$I$2:$I$300,MATCH($F228,Nutrition!$A$2:$A$300,0))*$I228/100,0))</f>
        <v>587.76</v>
      </c>
      <c r="P228" s="30">
        <f>IF(OR($F228="",$I228=""),0,IFERROR(INDEX(Nutrition!$J$2:$J$300,MATCH($F228,Nutrition!$A$2:$A$300,0))*$I228/100,0))</f>
        <v>1.3392000000000002</v>
      </c>
      <c r="Q228" s="30">
        <f>IF(OR($F228="",$I228=""),0,IFERROR(INDEX(Nutrition!$K$2:$K$300,MATCH($F228,Nutrition!$A$2:$A$300,0))*$I228/100,0))</f>
        <v>0.19839999999999999</v>
      </c>
      <c r="R228" s="30">
        <f>IF(OR($F228="",$I228=""),0,IFERROR(INDEX(Nutrition!$L$2:$L$300,MATCH($F228,Nutrition!$A$2:$A$300,0))*$I228/100,0))</f>
        <v>27.28</v>
      </c>
      <c r="S228" s="30">
        <f>IF(OR($F228="",$I228=""),0,IFERROR(INDEX(Nutrition!$M$2:$M$300,MATCH($F228,Nutrition!$A$2:$A$300,0))*$I228/100,0))</f>
        <v>0.66960000000000008</v>
      </c>
    </row>
    <row r="229" spans="1:19" ht="15" customHeight="1" x14ac:dyDescent="0.25">
      <c r="A229" s="22" t="s">
        <v>1295</v>
      </c>
      <c r="B229" s="33" t="str">
        <f>IFERROR(INDEX(Recipes!$B$2:$B$500,MATCH(A229,Recipes!$A$2:$A$500,0)),"")</f>
        <v>Kachumbari</v>
      </c>
      <c r="C229" s="7" t="s">
        <v>482</v>
      </c>
      <c r="D229" s="34">
        <v>1</v>
      </c>
      <c r="E229" s="22" t="s">
        <v>2754</v>
      </c>
      <c r="F229" s="22" t="s">
        <v>481</v>
      </c>
      <c r="G229" s="22" t="s">
        <v>2755</v>
      </c>
      <c r="H229" s="7" t="s">
        <v>2784</v>
      </c>
      <c r="I229" s="35">
        <v>110</v>
      </c>
      <c r="J229" s="30">
        <f>IF(OR($F229="",$I229=""),0,IFERROR(INDEX(Nutrition!$D$2:$D$300,MATCH($F229,Nutrition!$A$2:$A$300,0))*$I229/100,0))</f>
        <v>1.87</v>
      </c>
      <c r="K229" s="30">
        <f>IF(OR($F229="",$I229=""),0,IFERROR(INDEX(Nutrition!$E$2:$E$300,MATCH($F229,Nutrition!$A$2:$A$300,0))*$I229/100,0))</f>
        <v>8.14</v>
      </c>
      <c r="L229" s="30">
        <f>IF(OR($F229="",$I229=""),0,IFERROR(INDEX(Nutrition!$F$2:$F$300,MATCH($F229,Nutrition!$A$2:$A$300,0))*$I229/100,0))</f>
        <v>0</v>
      </c>
      <c r="M229" s="30">
        <f>IF(OR($F229="",$I229=""),0,IFERROR(INDEX(Nutrition!$G$2:$G$300,MATCH($F229,Nutrition!$A$2:$A$300,0))*$I229/100,0))</f>
        <v>0.44</v>
      </c>
      <c r="N229" s="30">
        <f>IF(OR($F229="",$I229=""),0,IFERROR(INDEX(Nutrition!$H$2:$H$300,MATCH($F229,Nutrition!$A$2:$A$300,0))*$I229/100,0))</f>
        <v>20.9</v>
      </c>
      <c r="O229" s="30">
        <f>IF(OR($F229="",$I229=""),0,IFERROR(INDEX(Nutrition!$I$2:$I$300,MATCH($F229,Nutrition!$A$2:$A$300,0))*$I229/100,0))</f>
        <v>160.6</v>
      </c>
      <c r="P229" s="30">
        <f>IF(OR($F229="",$I229=""),0,IFERROR(INDEX(Nutrition!$J$2:$J$300,MATCH($F229,Nutrition!$A$2:$A$300,0))*$I229/100,0))</f>
        <v>2.2000000000000002E-2</v>
      </c>
      <c r="Q229" s="30">
        <f>IF(OR($F229="",$I229=""),0,IFERROR(INDEX(Nutrition!$K$2:$K$300,MATCH($F229,Nutrition!$A$2:$A$300,0))*$I229/100,0))</f>
        <v>0.13200000000000001</v>
      </c>
      <c r="R229" s="30">
        <f>IF(OR($F229="",$I229=""),0,IFERROR(INDEX(Nutrition!$L$2:$L$300,MATCH($F229,Nutrition!$A$2:$A$300,0))*$I229/100,0))</f>
        <v>11</v>
      </c>
      <c r="S229" s="30">
        <f>IF(OR($F229="",$I229=""),0,IFERROR(INDEX(Nutrition!$M$2:$M$300,MATCH($F229,Nutrition!$A$2:$A$300,0))*$I229/100,0))</f>
        <v>0.23099999999999998</v>
      </c>
    </row>
    <row r="230" spans="1:19" ht="15" customHeight="1" x14ac:dyDescent="0.25">
      <c r="A230" s="22" t="s">
        <v>1295</v>
      </c>
      <c r="B230" s="33" t="str">
        <f>IFERROR(INDEX(Recipes!$B$2:$B$500,MATCH(A230,Recipes!$A$2:$A$500,0)),"")</f>
        <v>Kachumbari</v>
      </c>
      <c r="C230" s="7" t="s">
        <v>523</v>
      </c>
      <c r="D230" s="34">
        <v>1</v>
      </c>
      <c r="E230" s="22" t="s">
        <v>2754</v>
      </c>
      <c r="F230" s="22" t="s">
        <v>522</v>
      </c>
      <c r="G230" s="22" t="s">
        <v>2755</v>
      </c>
      <c r="H230" s="7"/>
      <c r="I230" s="35">
        <v>301</v>
      </c>
      <c r="J230" s="30">
        <f>IF(OR($F230="",$I230=""),0,IFERROR(INDEX(Nutrition!$D$2:$D$300,MATCH($F230,Nutrition!$A$2:$A$300,0))*$I230/100,0))</f>
        <v>1.5049999999999999</v>
      </c>
      <c r="K230" s="30">
        <f>IF(OR($F230="",$I230=""),0,IFERROR(INDEX(Nutrition!$E$2:$E$300,MATCH($F230,Nutrition!$A$2:$A$300,0))*$I230/100,0))</f>
        <v>8.427999999999999</v>
      </c>
      <c r="L230" s="30">
        <f>IF(OR($F230="",$I230=""),0,IFERROR(INDEX(Nutrition!$F$2:$F$300,MATCH($F230,Nutrition!$A$2:$A$300,0))*$I230/100,0))</f>
        <v>15.05</v>
      </c>
      <c r="M230" s="30">
        <f>IF(OR($F230="",$I230=""),0,IFERROR(INDEX(Nutrition!$G$2:$G$300,MATCH($F230,Nutrition!$A$2:$A$300,0))*$I230/100,0))</f>
        <v>49.363999999999997</v>
      </c>
      <c r="N230" s="30">
        <f>IF(OR($F230="",$I230=""),0,IFERROR(INDEX(Nutrition!$H$2:$H$300,MATCH($F230,Nutrition!$A$2:$A$300,0))*$I230/100,0))</f>
        <v>21.07</v>
      </c>
      <c r="O230" s="30">
        <f>IF(OR($F230="",$I230=""),0,IFERROR(INDEX(Nutrition!$I$2:$I$300,MATCH($F230,Nutrition!$A$2:$A$300,0))*$I230/100,0))</f>
        <v>442.47</v>
      </c>
      <c r="P230" s="30">
        <f>IF(OR($F230="",$I230=""),0,IFERROR(INDEX(Nutrition!$J$2:$J$300,MATCH($F230,Nutrition!$A$2:$A$300,0))*$I230/100,0))</f>
        <v>9.0299999999999991E-2</v>
      </c>
      <c r="Q230" s="30">
        <f>IF(OR($F230="",$I230=""),0,IFERROR(INDEX(Nutrition!$K$2:$K$300,MATCH($F230,Nutrition!$A$2:$A$300,0))*$I230/100,0))</f>
        <v>0.12040000000000001</v>
      </c>
      <c r="R230" s="30">
        <f>IF(OR($F230="",$I230=""),0,IFERROR(INDEX(Nutrition!$L$2:$L$300,MATCH($F230,Nutrition!$A$2:$A$300,0))*$I230/100,0))</f>
        <v>39.130000000000003</v>
      </c>
      <c r="S230" s="30">
        <f>IF(OR($F230="",$I230=""),0,IFERROR(INDEX(Nutrition!$M$2:$M$300,MATCH($F230,Nutrition!$A$2:$A$300,0))*$I230/100,0))</f>
        <v>0.84279999999999999</v>
      </c>
    </row>
    <row r="231" spans="1:19" ht="15" customHeight="1" x14ac:dyDescent="0.25">
      <c r="A231" s="22" t="s">
        <v>1295</v>
      </c>
      <c r="B231" s="33" t="str">
        <f>IFERROR(INDEX(Recipes!$B$2:$B$500,MATCH(A231,Recipes!$A$2:$A$500,0)),"")</f>
        <v>Kachumbari</v>
      </c>
      <c r="C231" s="7" t="s">
        <v>473</v>
      </c>
      <c r="D231" s="34">
        <v>0.25</v>
      </c>
      <c r="E231" s="22" t="s">
        <v>2754</v>
      </c>
      <c r="F231" s="22" t="s">
        <v>472</v>
      </c>
      <c r="G231" s="22" t="s">
        <v>2755</v>
      </c>
      <c r="H231" s="7"/>
      <c r="I231" s="35">
        <v>2</v>
      </c>
      <c r="J231" s="30">
        <f>IF(OR($F231="",$I231=""),0,IFERROR(INDEX(Nutrition!$D$2:$D$300,MATCH($F231,Nutrition!$A$2:$A$300,0))*$I231/100,0))</f>
        <v>0.03</v>
      </c>
      <c r="K231" s="30">
        <f>IF(OR($F231="",$I231=""),0,IFERROR(INDEX(Nutrition!$E$2:$E$300,MATCH($F231,Nutrition!$A$2:$A$300,0))*$I231/100,0))</f>
        <v>2.8739999999999997</v>
      </c>
      <c r="L231" s="30">
        <f>IF(OR($F231="",$I231=""),0,IFERROR(INDEX(Nutrition!$F$2:$F$300,MATCH($F231,Nutrition!$A$2:$A$300,0))*$I231/100,0))</f>
        <v>0.96</v>
      </c>
      <c r="M231" s="30">
        <f>IF(OR($F231="",$I231=""),0,IFERROR(INDEX(Nutrition!$G$2:$G$300,MATCH($F231,Nutrition!$A$2:$A$300,0))*$I231/100,0))</f>
        <v>0.28000000000000003</v>
      </c>
      <c r="N231" s="30">
        <f>IF(OR($F231="",$I231=""),0,IFERROR(INDEX(Nutrition!$H$2:$H$300,MATCH($F231,Nutrition!$A$2:$A$300,0))*$I231/100,0))</f>
        <v>0.46</v>
      </c>
      <c r="O231" s="30">
        <f>IF(OR($F231="",$I231=""),0,IFERROR(INDEX(Nutrition!$I$2:$I$300,MATCH($F231,Nutrition!$A$2:$A$300,0))*$I231/100,0))</f>
        <v>6.44</v>
      </c>
      <c r="P231" s="30">
        <f>IF(OR($F231="",$I231=""),0,IFERROR(INDEX(Nutrition!$J$2:$J$300,MATCH($F231,Nutrition!$A$2:$A$300,0))*$I231/100,0))</f>
        <v>1.38E-2</v>
      </c>
      <c r="Q231" s="30">
        <f>IF(OR($F231="",$I231=""),0,IFERROR(INDEX(Nutrition!$K$2:$K$300,MATCH($F231,Nutrition!$A$2:$A$300,0))*$I231/100,0))</f>
        <v>1.0120000000000001E-2</v>
      </c>
      <c r="R231" s="30">
        <f>IF(OR($F231="",$I231=""),0,IFERROR(INDEX(Nutrition!$L$2:$L$300,MATCH($F231,Nutrition!$A$2:$A$300,0))*$I231/100,0))</f>
        <v>0.46</v>
      </c>
      <c r="S231" s="30">
        <f>IF(OR($F231="",$I231=""),0,IFERROR(INDEX(Nutrition!$M$2:$M$300,MATCH($F231,Nutrition!$A$2:$A$300,0))*$I231/100,0))</f>
        <v>2.06E-2</v>
      </c>
    </row>
    <row r="232" spans="1:19" ht="15" customHeight="1" x14ac:dyDescent="0.25">
      <c r="A232" s="22" t="s">
        <v>1295</v>
      </c>
      <c r="B232" s="33" t="str">
        <f>IFERROR(INDEX(Recipes!$B$2:$B$500,MATCH(A232,Recipes!$A$2:$A$500,0)),"")</f>
        <v>Kachumbari</v>
      </c>
      <c r="C232" s="7" t="s">
        <v>668</v>
      </c>
      <c r="D232" s="34">
        <v>1</v>
      </c>
      <c r="E232" s="22" t="s">
        <v>2809</v>
      </c>
      <c r="F232" s="22" t="s">
        <v>667</v>
      </c>
      <c r="G232" s="22" t="s">
        <v>2755</v>
      </c>
      <c r="H232" s="7"/>
      <c r="I232" s="35">
        <v>30</v>
      </c>
      <c r="J232" s="30">
        <f>IF(OR($F232="",$I232=""),0,IFERROR(INDEX(Nutrition!$D$2:$D$300,MATCH($F232,Nutrition!$A$2:$A$300,0))*$I232/100,0))</f>
        <v>0.84</v>
      </c>
      <c r="K232" s="30">
        <f>IF(OR($F232="",$I232=""),0,IFERROR(INDEX(Nutrition!$E$2:$E$300,MATCH($F232,Nutrition!$A$2:$A$300,0))*$I232/100,0))</f>
        <v>8.1</v>
      </c>
      <c r="L232" s="30">
        <f>IF(OR($F232="",$I232=""),0,IFERROR(INDEX(Nutrition!$F$2:$F$300,MATCH($F232,Nutrition!$A$2:$A$300,0))*$I232/100,0))</f>
        <v>101.1</v>
      </c>
      <c r="M232" s="30">
        <f>IF(OR($F232="",$I232=""),0,IFERROR(INDEX(Nutrition!$G$2:$G$300,MATCH($F232,Nutrition!$A$2:$A$300,0))*$I232/100,0))</f>
        <v>93</v>
      </c>
      <c r="N232" s="30">
        <f>IF(OR($F232="",$I232=""),0,IFERROR(INDEX(Nutrition!$H$2:$H$300,MATCH($F232,Nutrition!$A$2:$A$300,0))*$I232/100,0))</f>
        <v>18.600000000000001</v>
      </c>
      <c r="O232" s="30">
        <f>IF(OR($F232="",$I232=""),0,IFERROR(INDEX(Nutrition!$I$2:$I$300,MATCH($F232,Nutrition!$A$2:$A$300,0))*$I232/100,0))</f>
        <v>156.30000000000001</v>
      </c>
      <c r="P232" s="30">
        <f>IF(OR($F232="",$I232=""),0,IFERROR(INDEX(Nutrition!$J$2:$J$300,MATCH($F232,Nutrition!$A$2:$A$300,0))*$I232/100,0))</f>
        <v>0.75</v>
      </c>
      <c r="Q232" s="30">
        <f>IF(OR($F232="",$I232=""),0,IFERROR(INDEX(Nutrition!$K$2:$K$300,MATCH($F232,Nutrition!$A$2:$A$300,0))*$I232/100,0))</f>
        <v>4.4699999999999997E-2</v>
      </c>
      <c r="R232" s="30">
        <f>IF(OR($F232="",$I232=""),0,IFERROR(INDEX(Nutrition!$L$2:$L$300,MATCH($F232,Nutrition!$A$2:$A$300,0))*$I232/100,0))</f>
        <v>7.8</v>
      </c>
      <c r="S232" s="30">
        <f>IF(OR($F232="",$I232=""),0,IFERROR(INDEX(Nutrition!$M$2:$M$300,MATCH($F232,Nutrition!$A$2:$A$300,0))*$I232/100,0))</f>
        <v>0.53100000000000003</v>
      </c>
    </row>
    <row r="233" spans="1:19" ht="15" customHeight="1" x14ac:dyDescent="0.25">
      <c r="A233" s="22" t="s">
        <v>1295</v>
      </c>
      <c r="B233" s="33" t="str">
        <f>IFERROR(INDEX(Recipes!$B$2:$B$500,MATCH(A233,Recipes!$A$2:$A$500,0)),"")</f>
        <v>Kachumbari</v>
      </c>
      <c r="C233" s="7" t="s">
        <v>213</v>
      </c>
      <c r="D233" s="34">
        <v>2</v>
      </c>
      <c r="E233" s="22" t="s">
        <v>2754</v>
      </c>
      <c r="F233" s="22" t="s">
        <v>212</v>
      </c>
      <c r="G233" s="22" t="s">
        <v>2755</v>
      </c>
      <c r="H233" s="7"/>
      <c r="I233" s="35">
        <v>134</v>
      </c>
      <c r="J233" s="30">
        <f>IF(OR($F233="",$I233=""),0,IFERROR(INDEX(Nutrition!$D$2:$D$300,MATCH($F233,Nutrition!$A$2:$A$300,0))*$I233/100,0))</f>
        <v>3.7519999999999998</v>
      </c>
      <c r="K233" s="30">
        <f>IF(OR($F233="",$I233=""),0,IFERROR(INDEX(Nutrition!$E$2:$E$300,MATCH($F233,Nutrition!$A$2:$A$300,0))*$I233/100,0))</f>
        <v>38.994</v>
      </c>
      <c r="L233" s="30">
        <f>IF(OR($F233="",$I233=""),0,IFERROR(INDEX(Nutrition!$F$2:$F$300,MATCH($F233,Nutrition!$A$2:$A$300,0))*$I233/100,0))</f>
        <v>2.68</v>
      </c>
      <c r="M233" s="30">
        <f>IF(OR($F233="",$I233=""),0,IFERROR(INDEX(Nutrition!$G$2:$G$300,MATCH($F233,Nutrition!$A$2:$A$300,0))*$I233/100,0))</f>
        <v>0.80399999999999994</v>
      </c>
      <c r="N233" s="30">
        <f>IF(OR($F233="",$I233=""),0,IFERROR(INDEX(Nutrition!$H$2:$H$300,MATCH($F233,Nutrition!$A$2:$A$300,0))*$I233/100,0))</f>
        <v>10.72</v>
      </c>
      <c r="O233" s="30">
        <f>IF(OR($F233="",$I233=""),0,IFERROR(INDEX(Nutrition!$I$2:$I$300,MATCH($F233,Nutrition!$A$2:$A$300,0))*$I233/100,0))</f>
        <v>136.68</v>
      </c>
      <c r="P233" s="30">
        <f>IF(OR($F233="",$I233=""),0,IFERROR(INDEX(Nutrition!$J$2:$J$300,MATCH($F233,Nutrition!$A$2:$A$300,0))*$I233/100,0))</f>
        <v>0.29480000000000001</v>
      </c>
      <c r="Q233" s="30">
        <f>IF(OR($F233="",$I233=""),0,IFERROR(INDEX(Nutrition!$K$2:$K$300,MATCH($F233,Nutrition!$A$2:$A$300,0))*$I233/100,0))</f>
        <v>5.7619999999999998E-2</v>
      </c>
      <c r="R233" s="30">
        <f>IF(OR($F233="",$I233=""),0,IFERROR(INDEX(Nutrition!$L$2:$L$300,MATCH($F233,Nutrition!$A$2:$A$300,0))*$I233/100,0))</f>
        <v>8.0399999999999991</v>
      </c>
      <c r="S233" s="30">
        <f>IF(OR($F233="",$I233=""),0,IFERROR(INDEX(Nutrition!$M$2:$M$300,MATCH($F233,Nutrition!$A$2:$A$300,0))*$I233/100,0))</f>
        <v>0.80399999999999994</v>
      </c>
    </row>
    <row r="234" spans="1:19" ht="15" customHeight="1" x14ac:dyDescent="0.25">
      <c r="A234" s="22" t="s">
        <v>1295</v>
      </c>
      <c r="B234" s="33" t="str">
        <f>IFERROR(INDEX(Recipes!$B$2:$B$500,MATCH(A234,Recipes!$A$2:$A$500,0)),"")</f>
        <v>Kachumbari</v>
      </c>
      <c r="C234" s="7" t="s">
        <v>2781</v>
      </c>
      <c r="D234" s="34">
        <v>1</v>
      </c>
      <c r="E234" s="22" t="s">
        <v>2782</v>
      </c>
      <c r="F234" s="22"/>
      <c r="G234" s="22" t="s">
        <v>2773</v>
      </c>
      <c r="H234" s="7"/>
      <c r="I234" s="35"/>
      <c r="J234" s="30">
        <f>IF(OR($F234="",$I234=""),0,IFERROR(INDEX(Nutrition!$D$2:$D$300,MATCH($F234,Nutrition!$A$2:$A$300,0))*$I234/100,0))</f>
        <v>0</v>
      </c>
      <c r="K234" s="30">
        <f>IF(OR($F234="",$I234=""),0,IFERROR(INDEX(Nutrition!$E$2:$E$300,MATCH($F234,Nutrition!$A$2:$A$300,0))*$I234/100,0))</f>
        <v>0</v>
      </c>
      <c r="L234" s="30">
        <f>IF(OR($F234="",$I234=""),0,IFERROR(INDEX(Nutrition!$F$2:$F$300,MATCH($F234,Nutrition!$A$2:$A$300,0))*$I234/100,0))</f>
        <v>0</v>
      </c>
      <c r="M234" s="30">
        <f>IF(OR($F234="",$I234=""),0,IFERROR(INDEX(Nutrition!$G$2:$G$300,MATCH($F234,Nutrition!$A$2:$A$300,0))*$I234/100,0))</f>
        <v>0</v>
      </c>
      <c r="N234" s="30">
        <f>IF(OR($F234="",$I234=""),0,IFERROR(INDEX(Nutrition!$H$2:$H$300,MATCH($F234,Nutrition!$A$2:$A$300,0))*$I234/100,0))</f>
        <v>0</v>
      </c>
      <c r="O234" s="30">
        <f>IF(OR($F234="",$I234=""),0,IFERROR(INDEX(Nutrition!$I$2:$I$300,MATCH($F234,Nutrition!$A$2:$A$300,0))*$I234/100,0))</f>
        <v>0</v>
      </c>
      <c r="P234" s="30">
        <f>IF(OR($F234="",$I234=""),0,IFERROR(INDEX(Nutrition!$J$2:$J$300,MATCH($F234,Nutrition!$A$2:$A$300,0))*$I234/100,0))</f>
        <v>0</v>
      </c>
      <c r="Q234" s="30">
        <f>IF(OR($F234="",$I234=""),0,IFERROR(INDEX(Nutrition!$K$2:$K$300,MATCH($F234,Nutrition!$A$2:$A$300,0))*$I234/100,0))</f>
        <v>0</v>
      </c>
      <c r="R234" s="30">
        <f>IF(OR($F234="",$I234=""),0,IFERROR(INDEX(Nutrition!$L$2:$L$300,MATCH($F234,Nutrition!$A$2:$A$300,0))*$I234/100,0))</f>
        <v>0</v>
      </c>
      <c r="S234" s="30">
        <f>IF(OR($F234="",$I234=""),0,IFERROR(INDEX(Nutrition!$M$2:$M$300,MATCH($F234,Nutrition!$A$2:$A$300,0))*$I234/100,0))</f>
        <v>0</v>
      </c>
    </row>
    <row r="235" spans="1:19" ht="15" customHeight="1" x14ac:dyDescent="0.25">
      <c r="A235" s="22" t="s">
        <v>1306</v>
      </c>
      <c r="B235" s="33" t="str">
        <f>IFERROR(INDEX(Recipes!$B$2:$B$500,MATCH(A235,Recipes!$A$2:$A$500,0)),"")</f>
        <v>Crunchy Apple, Pear &amp; Grape Salad</v>
      </c>
      <c r="C235" s="7" t="s">
        <v>379</v>
      </c>
      <c r="D235" s="34">
        <v>2</v>
      </c>
      <c r="E235" s="22" t="s">
        <v>2754</v>
      </c>
      <c r="F235" s="22" t="s">
        <v>378</v>
      </c>
      <c r="G235" s="22" t="s">
        <v>2755</v>
      </c>
      <c r="H235" s="7"/>
      <c r="I235" s="35">
        <v>364</v>
      </c>
      <c r="J235" s="30">
        <f>IF(OR($F235="",$I235=""),0,IFERROR(INDEX(Nutrition!$D$2:$D$300,MATCH($F235,Nutrition!$A$2:$A$300,0))*$I235/100,0))</f>
        <v>8.7360000000000007</v>
      </c>
      <c r="K235" s="30">
        <f>IF(OR($F235="",$I235=""),0,IFERROR(INDEX(Nutrition!$E$2:$E$300,MATCH($F235,Nutrition!$A$2:$A$300,0))*$I235/100,0))</f>
        <v>16.744</v>
      </c>
      <c r="L235" s="30">
        <f>IF(OR($F235="",$I235=""),0,IFERROR(INDEX(Nutrition!$F$2:$F$300,MATCH($F235,Nutrition!$A$2:$A$300,0))*$I235/100,0))</f>
        <v>10.92</v>
      </c>
      <c r="M235" s="30">
        <f>IF(OR($F235="",$I235=""),0,IFERROR(INDEX(Nutrition!$G$2:$G$300,MATCH($F235,Nutrition!$A$2:$A$300,0))*$I235/100,0))</f>
        <v>8.0080000000000009</v>
      </c>
      <c r="N235" s="30">
        <f>IF(OR($F235="",$I235=""),0,IFERROR(INDEX(Nutrition!$H$2:$H$300,MATCH($F235,Nutrition!$A$2:$A$300,0))*$I235/100,0))</f>
        <v>10.92</v>
      </c>
      <c r="O235" s="30">
        <f>IF(OR($F235="",$I235=""),0,IFERROR(INDEX(Nutrition!$I$2:$I$300,MATCH($F235,Nutrition!$A$2:$A$300,0))*$I235/100,0))</f>
        <v>389.48</v>
      </c>
      <c r="P235" s="30">
        <f>IF(OR($F235="",$I235=""),0,IFERROR(INDEX(Nutrition!$J$2:$J$300,MATCH($F235,Nutrition!$A$2:$A$300,0))*$I235/100,0))</f>
        <v>0.6552</v>
      </c>
      <c r="Q235" s="30">
        <f>IF(OR($F235="",$I235=""),0,IFERROR(INDEX(Nutrition!$K$2:$K$300,MATCH($F235,Nutrition!$A$2:$A$300,0))*$I235/100,0))</f>
        <v>0.14924000000000001</v>
      </c>
      <c r="R235" s="30">
        <f>IF(OR($F235="",$I235=""),0,IFERROR(INDEX(Nutrition!$L$2:$L$300,MATCH($F235,Nutrition!$A$2:$A$300,0))*$I235/100,0))</f>
        <v>18.2</v>
      </c>
      <c r="S235" s="30">
        <f>IF(OR($F235="",$I235=""),0,IFERROR(INDEX(Nutrition!$M$2:$M$300,MATCH($F235,Nutrition!$A$2:$A$300,0))*$I235/100,0))</f>
        <v>0.43680000000000002</v>
      </c>
    </row>
    <row r="236" spans="1:19" ht="15" customHeight="1" x14ac:dyDescent="0.25">
      <c r="A236" s="22" t="s">
        <v>1306</v>
      </c>
      <c r="B236" s="33" t="str">
        <f>IFERROR(INDEX(Recipes!$B$2:$B$500,MATCH(A236,Recipes!$A$2:$A$500,0)),"")</f>
        <v>Crunchy Apple, Pear &amp; Grape Salad</v>
      </c>
      <c r="C236" s="7" t="s">
        <v>389</v>
      </c>
      <c r="D236" s="34">
        <v>1</v>
      </c>
      <c r="E236" s="22" t="s">
        <v>2754</v>
      </c>
      <c r="F236" s="22" t="s">
        <v>388</v>
      </c>
      <c r="G236" s="22" t="s">
        <v>2755</v>
      </c>
      <c r="H236" s="7"/>
      <c r="I236" s="35">
        <v>178</v>
      </c>
      <c r="J236" s="30">
        <f>IF(OR($F236="",$I236=""),0,IFERROR(INDEX(Nutrition!$D$2:$D$300,MATCH($F236,Nutrition!$A$2:$A$300,0))*$I236/100,0))</f>
        <v>5.5180000000000007</v>
      </c>
      <c r="K236" s="30">
        <f>IF(OR($F236="",$I236=""),0,IFERROR(INDEX(Nutrition!$E$2:$E$300,MATCH($F236,Nutrition!$A$2:$A$300,0))*$I236/100,0))</f>
        <v>7.6539999999999999</v>
      </c>
      <c r="L236" s="30">
        <f>IF(OR($F236="",$I236=""),0,IFERROR(INDEX(Nutrition!$F$2:$F$300,MATCH($F236,Nutrition!$A$2:$A$300,0))*$I236/100,0))</f>
        <v>1.78</v>
      </c>
      <c r="M236" s="30">
        <f>IF(OR($F236="",$I236=""),0,IFERROR(INDEX(Nutrition!$G$2:$G$300,MATCH($F236,Nutrition!$A$2:$A$300,0))*$I236/100,0))</f>
        <v>7.8320000000000007</v>
      </c>
      <c r="N236" s="30">
        <f>IF(OR($F236="",$I236=""),0,IFERROR(INDEX(Nutrition!$H$2:$H$300,MATCH($F236,Nutrition!$A$2:$A$300,0))*$I236/100,0))</f>
        <v>12.46</v>
      </c>
      <c r="O236" s="30">
        <f>IF(OR($F236="",$I236=""),0,IFERROR(INDEX(Nutrition!$I$2:$I$300,MATCH($F236,Nutrition!$A$2:$A$300,0))*$I236/100,0))</f>
        <v>206.48</v>
      </c>
      <c r="P236" s="30">
        <f>IF(OR($F236="",$I236=""),0,IFERROR(INDEX(Nutrition!$J$2:$J$300,MATCH($F236,Nutrition!$A$2:$A$300,0))*$I236/100,0))</f>
        <v>0.21359999999999998</v>
      </c>
      <c r="Q236" s="30">
        <f>IF(OR($F236="",$I236=""),0,IFERROR(INDEX(Nutrition!$K$2:$K$300,MATCH($F236,Nutrition!$A$2:$A$300,0))*$I236/100,0))</f>
        <v>5.1619999999999999E-2</v>
      </c>
      <c r="R236" s="30">
        <f>IF(OR($F236="",$I236=""),0,IFERROR(INDEX(Nutrition!$L$2:$L$300,MATCH($F236,Nutrition!$A$2:$A$300,0))*$I236/100,0))</f>
        <v>12.46</v>
      </c>
      <c r="S236" s="30">
        <f>IF(OR($F236="",$I236=""),0,IFERROR(INDEX(Nutrition!$M$2:$M$300,MATCH($F236,Nutrition!$A$2:$A$300,0))*$I236/100,0))</f>
        <v>0.32040000000000002</v>
      </c>
    </row>
    <row r="237" spans="1:19" ht="15" customHeight="1" x14ac:dyDescent="0.25">
      <c r="A237" s="22" t="s">
        <v>1306</v>
      </c>
      <c r="B237" s="33" t="str">
        <f>IFERROR(INDEX(Recipes!$B$2:$B$500,MATCH(A237,Recipes!$A$2:$A$500,0)),"")</f>
        <v>Crunchy Apple, Pear &amp; Grape Salad</v>
      </c>
      <c r="C237" s="7" t="s">
        <v>393</v>
      </c>
      <c r="D237" s="34">
        <v>1</v>
      </c>
      <c r="E237" s="22" t="s">
        <v>2748</v>
      </c>
      <c r="F237" s="22" t="s">
        <v>392</v>
      </c>
      <c r="G237" s="22" t="s">
        <v>2755</v>
      </c>
      <c r="H237" s="7"/>
      <c r="I237" s="35">
        <v>151</v>
      </c>
      <c r="J237" s="30">
        <f>IF(OR($F237="",$I237=""),0,IFERROR(INDEX(Nutrition!$D$2:$D$300,MATCH($F237,Nutrition!$A$2:$A$300,0))*$I237/100,0))</f>
        <v>1.359</v>
      </c>
      <c r="K237" s="30">
        <f>IF(OR($F237="",$I237=""),0,IFERROR(INDEX(Nutrition!$E$2:$E$300,MATCH($F237,Nutrition!$A$2:$A$300,0))*$I237/100,0))</f>
        <v>4.8320000000000007</v>
      </c>
      <c r="L237" s="30">
        <f>IF(OR($F237="",$I237=""),0,IFERROR(INDEX(Nutrition!$F$2:$F$300,MATCH($F237,Nutrition!$A$2:$A$300,0))*$I237/100,0))</f>
        <v>4.53</v>
      </c>
      <c r="M237" s="30">
        <f>IF(OR($F237="",$I237=""),0,IFERROR(INDEX(Nutrition!$G$2:$G$300,MATCH($F237,Nutrition!$A$2:$A$300,0))*$I237/100,0))</f>
        <v>22.045999999999999</v>
      </c>
      <c r="N237" s="30">
        <f>IF(OR($F237="",$I237=""),0,IFERROR(INDEX(Nutrition!$H$2:$H$300,MATCH($F237,Nutrition!$A$2:$A$300,0))*$I237/100,0))</f>
        <v>3.02</v>
      </c>
      <c r="O237" s="30">
        <f>IF(OR($F237="",$I237=""),0,IFERROR(INDEX(Nutrition!$I$2:$I$300,MATCH($F237,Nutrition!$A$2:$A$300,0))*$I237/100,0))</f>
        <v>288.41000000000003</v>
      </c>
      <c r="P237" s="30">
        <f>IF(OR($F237="",$I237=""),0,IFERROR(INDEX(Nutrition!$J$2:$J$300,MATCH($F237,Nutrition!$A$2:$A$300,0))*$I237/100,0))</f>
        <v>0.28689999999999999</v>
      </c>
      <c r="Q237" s="30">
        <f>IF(OR($F237="",$I237=""),0,IFERROR(INDEX(Nutrition!$K$2:$K$300,MATCH($F237,Nutrition!$A$2:$A$300,0))*$I237/100,0))</f>
        <v>0.12985999999999998</v>
      </c>
      <c r="R237" s="30">
        <f>IF(OR($F237="",$I237=""),0,IFERROR(INDEX(Nutrition!$L$2:$L$300,MATCH($F237,Nutrition!$A$2:$A$300,0))*$I237/100,0))</f>
        <v>10.57</v>
      </c>
      <c r="S237" s="30">
        <f>IF(OR($F237="",$I237=""),0,IFERROR(INDEX(Nutrition!$M$2:$M$300,MATCH($F237,Nutrition!$A$2:$A$300,0))*$I237/100,0))</f>
        <v>0.54359999999999997</v>
      </c>
    </row>
    <row r="238" spans="1:19" ht="15" customHeight="1" x14ac:dyDescent="0.25">
      <c r="A238" s="22" t="s">
        <v>1306</v>
      </c>
      <c r="B238" s="33" t="str">
        <f>IFERROR(INDEX(Recipes!$B$2:$B$500,MATCH(A238,Recipes!$A$2:$A$500,0)),"")</f>
        <v>Crunchy Apple, Pear &amp; Grape Salad</v>
      </c>
      <c r="C238" s="7" t="s">
        <v>546</v>
      </c>
      <c r="D238" s="34">
        <v>2</v>
      </c>
      <c r="E238" s="22" t="s">
        <v>2790</v>
      </c>
      <c r="F238" s="22" t="s">
        <v>545</v>
      </c>
      <c r="G238" s="22" t="s">
        <v>2755</v>
      </c>
      <c r="H238" s="7"/>
      <c r="I238" s="35">
        <v>94</v>
      </c>
      <c r="J238" s="30">
        <f>IF(OR($F238="",$I238=""),0,IFERROR(INDEX(Nutrition!$D$2:$D$300,MATCH($F238,Nutrition!$A$2:$A$300,0))*$I238/100,0))</f>
        <v>1.974</v>
      </c>
      <c r="K238" s="30">
        <f>IF(OR($F238="",$I238=""),0,IFERROR(INDEX(Nutrition!$E$2:$E$300,MATCH($F238,Nutrition!$A$2:$A$300,0))*$I238/100,0))</f>
        <v>3.76</v>
      </c>
      <c r="L238" s="30">
        <f>IF(OR($F238="",$I238=""),0,IFERROR(INDEX(Nutrition!$F$2:$F$300,MATCH($F238,Nutrition!$A$2:$A$300,0))*$I238/100,0))</f>
        <v>409.84</v>
      </c>
      <c r="M238" s="30">
        <f>IF(OR($F238="",$I238=""),0,IFERROR(INDEX(Nutrition!$G$2:$G$300,MATCH($F238,Nutrition!$A$2:$A$300,0))*$I238/100,0))</f>
        <v>96.35</v>
      </c>
      <c r="N238" s="30">
        <f>IF(OR($F238="",$I238=""),0,IFERROR(INDEX(Nutrition!$H$2:$H$300,MATCH($F238,Nutrition!$A$2:$A$300,0))*$I238/100,0))</f>
        <v>127.84</v>
      </c>
      <c r="O238" s="30">
        <f>IF(OR($F238="",$I238=""),0,IFERROR(INDEX(Nutrition!$I$2:$I$300,MATCH($F238,Nutrition!$A$2:$A$300,0))*$I238/100,0))</f>
        <v>232.18</v>
      </c>
      <c r="P238" s="30">
        <f>IF(OR($F238="",$I238=""),0,IFERROR(INDEX(Nutrition!$J$2:$J$300,MATCH($F238,Nutrition!$A$2:$A$300,0))*$I238/100,0))</f>
        <v>0.1222</v>
      </c>
      <c r="Q238" s="30">
        <f>IF(OR($F238="",$I238=""),0,IFERROR(INDEX(Nutrition!$K$2:$K$300,MATCH($F238,Nutrition!$A$2:$A$300,0))*$I238/100,0))</f>
        <v>6.9559999999999997E-2</v>
      </c>
      <c r="R238" s="30">
        <f>IF(OR($F238="",$I238=""),0,IFERROR(INDEX(Nutrition!$L$2:$L$300,MATCH($F238,Nutrition!$A$2:$A$300,0))*$I238/100,0))</f>
        <v>13.16</v>
      </c>
      <c r="S238" s="30">
        <f>IF(OR($F238="",$I238=""),0,IFERROR(INDEX(Nutrition!$M$2:$M$300,MATCH($F238,Nutrition!$A$2:$A$300,0))*$I238/100,0))</f>
        <v>0.91179999999999994</v>
      </c>
    </row>
    <row r="239" spans="1:19" ht="15" customHeight="1" x14ac:dyDescent="0.25">
      <c r="A239" s="22" t="s">
        <v>1306</v>
      </c>
      <c r="B239" s="33" t="str">
        <f>IFERROR(INDEX(Recipes!$B$2:$B$500,MATCH(A239,Recipes!$A$2:$A$500,0)),"")</f>
        <v>Crunchy Apple, Pear &amp; Grape Salad</v>
      </c>
      <c r="C239" s="7" t="s">
        <v>428</v>
      </c>
      <c r="D239" s="34">
        <v>0.33</v>
      </c>
      <c r="E239" s="22" t="s">
        <v>2748</v>
      </c>
      <c r="F239" s="22" t="s">
        <v>427</v>
      </c>
      <c r="G239" s="22" t="s">
        <v>2755</v>
      </c>
      <c r="H239" s="7" t="s">
        <v>2800</v>
      </c>
      <c r="I239" s="35">
        <v>48</v>
      </c>
      <c r="J239" s="30">
        <f>IF(OR($F239="",$I239=""),0,IFERROR(INDEX(Nutrition!$D$2:$D$300,MATCH($F239,Nutrition!$A$2:$A$300,0))*$I239/100,0))</f>
        <v>4.08</v>
      </c>
      <c r="K239" s="30">
        <f>IF(OR($F239="",$I239=""),0,IFERROR(INDEX(Nutrition!$E$2:$E$300,MATCH($F239,Nutrition!$A$2:$A$300,0))*$I239/100,0))</f>
        <v>0</v>
      </c>
      <c r="L239" s="30">
        <f>IF(OR($F239="",$I239=""),0,IFERROR(INDEX(Nutrition!$F$2:$F$300,MATCH($F239,Nutrition!$A$2:$A$300,0))*$I239/100,0))</f>
        <v>0</v>
      </c>
      <c r="M239" s="30">
        <f>IF(OR($F239="",$I239=""),0,IFERROR(INDEX(Nutrition!$G$2:$G$300,MATCH($F239,Nutrition!$A$2:$A$300,0))*$I239/100,0))</f>
        <v>0</v>
      </c>
      <c r="N239" s="30">
        <f>IF(OR($F239="",$I239=""),0,IFERROR(INDEX(Nutrition!$H$2:$H$300,MATCH($F239,Nutrition!$A$2:$A$300,0))*$I239/100,0))</f>
        <v>115.2</v>
      </c>
      <c r="O239" s="30">
        <f>IF(OR($F239="",$I239=""),0,IFERROR(INDEX(Nutrition!$I$2:$I$300,MATCH($F239,Nutrition!$A$2:$A$300,0))*$I239/100,0))</f>
        <v>338.4</v>
      </c>
      <c r="P239" s="30">
        <f>IF(OR($F239="",$I239=""),0,IFERROR(INDEX(Nutrition!$J$2:$J$300,MATCH($F239,Nutrition!$A$2:$A$300,0))*$I239/100,0))</f>
        <v>3.9984000000000002</v>
      </c>
      <c r="Q239" s="30">
        <f>IF(OR($F239="",$I239=""),0,IFERROR(INDEX(Nutrition!$K$2:$K$300,MATCH($F239,Nutrition!$A$2:$A$300,0))*$I239/100,0))</f>
        <v>0.16703999999999999</v>
      </c>
      <c r="R239" s="30">
        <f>IF(OR($F239="",$I239=""),0,IFERROR(INDEX(Nutrition!$L$2:$L$300,MATCH($F239,Nutrition!$A$2:$A$300,0))*$I239/100,0))</f>
        <v>80.64</v>
      </c>
      <c r="S239" s="30">
        <f>IF(OR($F239="",$I239=""),0,IFERROR(INDEX(Nutrition!$M$2:$M$300,MATCH($F239,Nutrition!$A$2:$A$300,0))*$I239/100,0))</f>
        <v>2.1983999999999999</v>
      </c>
    </row>
    <row r="240" spans="1:19" ht="15" customHeight="1" x14ac:dyDescent="0.25">
      <c r="A240" s="22" t="s">
        <v>1306</v>
      </c>
      <c r="B240" s="33" t="str">
        <f>IFERROR(INDEX(Recipes!$B$2:$B$500,MATCH(A240,Recipes!$A$2:$A$500,0)),"")</f>
        <v>Crunchy Apple, Pear &amp; Grape Salad</v>
      </c>
      <c r="C240" s="7" t="s">
        <v>206</v>
      </c>
      <c r="D240" s="34">
        <v>0.5</v>
      </c>
      <c r="E240" s="22" t="s">
        <v>2754</v>
      </c>
      <c r="F240" s="22" t="s">
        <v>205</v>
      </c>
      <c r="G240" s="22" t="s">
        <v>2755</v>
      </c>
      <c r="H240" s="7"/>
      <c r="I240" s="35">
        <v>29</v>
      </c>
      <c r="J240" s="30">
        <f>IF(OR($F240="",$I240=""),0,IFERROR(INDEX(Nutrition!$D$2:$D$300,MATCH($F240,Nutrition!$A$2:$A$300,0))*$I240/100,0))</f>
        <v>0.81199999999999983</v>
      </c>
      <c r="K240" s="30">
        <f>IF(OR($F240="",$I240=""),0,IFERROR(INDEX(Nutrition!$E$2:$E$300,MATCH($F240,Nutrition!$A$2:$A$300,0))*$I240/100,0))</f>
        <v>15.37</v>
      </c>
      <c r="L240" s="30">
        <f>IF(OR($F240="",$I240=""),0,IFERROR(INDEX(Nutrition!$F$2:$F$300,MATCH($F240,Nutrition!$A$2:$A$300,0))*$I240/100,0))</f>
        <v>0.28999999999999998</v>
      </c>
      <c r="M240" s="30">
        <f>IF(OR($F240="",$I240=""),0,IFERROR(INDEX(Nutrition!$G$2:$G$300,MATCH($F240,Nutrition!$A$2:$A$300,0))*$I240/100,0))</f>
        <v>0</v>
      </c>
      <c r="N240" s="30">
        <f>IF(OR($F240="",$I240=""),0,IFERROR(INDEX(Nutrition!$H$2:$H$300,MATCH($F240,Nutrition!$A$2:$A$300,0))*$I240/100,0))</f>
        <v>3.19</v>
      </c>
      <c r="O240" s="30">
        <f>IF(OR($F240="",$I240=""),0,IFERROR(INDEX(Nutrition!$I$2:$I$300,MATCH($F240,Nutrition!$A$2:$A$300,0))*$I240/100,0))</f>
        <v>40.020000000000003</v>
      </c>
      <c r="P240" s="30">
        <f>IF(OR($F240="",$I240=""),0,IFERROR(INDEX(Nutrition!$J$2:$J$300,MATCH($F240,Nutrition!$A$2:$A$300,0))*$I240/100,0))</f>
        <v>4.3499999999999997E-2</v>
      </c>
      <c r="Q240" s="30">
        <f>IF(OR($F240="",$I240=""),0,IFERROR(INDEX(Nutrition!$K$2:$K$300,MATCH($F240,Nutrition!$A$2:$A$300,0))*$I240/100,0))</f>
        <v>2.3199999999999998E-2</v>
      </c>
      <c r="R240" s="30">
        <f>IF(OR($F240="",$I240=""),0,IFERROR(INDEX(Nutrition!$L$2:$L$300,MATCH($F240,Nutrition!$A$2:$A$300,0))*$I240/100,0))</f>
        <v>2.3199999999999998</v>
      </c>
      <c r="S240" s="30">
        <f>IF(OR($F240="",$I240=""),0,IFERROR(INDEX(Nutrition!$M$2:$M$300,MATCH($F240,Nutrition!$A$2:$A$300,0))*$I240/100,0))</f>
        <v>0.17399999999999999</v>
      </c>
    </row>
    <row r="241" spans="1:19" ht="15" customHeight="1" x14ac:dyDescent="0.25">
      <c r="A241" s="22" t="s">
        <v>1306</v>
      </c>
      <c r="B241" s="33" t="str">
        <f>IFERROR(INDEX(Recipes!$B$2:$B$500,MATCH(A241,Recipes!$A$2:$A$500,0)),"")</f>
        <v>Crunchy Apple, Pear &amp; Grape Salad</v>
      </c>
      <c r="C241" s="7" t="s">
        <v>2762</v>
      </c>
      <c r="D241" s="34">
        <v>0.5</v>
      </c>
      <c r="E241" s="22" t="s">
        <v>2748</v>
      </c>
      <c r="F241" s="22"/>
      <c r="G241" s="22" t="s">
        <v>2749</v>
      </c>
      <c r="H241" s="7"/>
      <c r="I241" s="35"/>
      <c r="J241" s="30">
        <f>IF(OR($F241="",$I241=""),0,IFERROR(INDEX(Nutrition!$D$2:$D$300,MATCH($F241,Nutrition!$A$2:$A$300,0))*$I241/100,0))</f>
        <v>0</v>
      </c>
      <c r="K241" s="30">
        <f>IF(OR($F241="",$I241=""),0,IFERROR(INDEX(Nutrition!$E$2:$E$300,MATCH($F241,Nutrition!$A$2:$A$300,0))*$I241/100,0))</f>
        <v>0</v>
      </c>
      <c r="L241" s="30">
        <f>IF(OR($F241="",$I241=""),0,IFERROR(INDEX(Nutrition!$F$2:$F$300,MATCH($F241,Nutrition!$A$2:$A$300,0))*$I241/100,0))</f>
        <v>0</v>
      </c>
      <c r="M241" s="30">
        <f>IF(OR($F241="",$I241=""),0,IFERROR(INDEX(Nutrition!$G$2:$G$300,MATCH($F241,Nutrition!$A$2:$A$300,0))*$I241/100,0))</f>
        <v>0</v>
      </c>
      <c r="N241" s="30">
        <f>IF(OR($F241="",$I241=""),0,IFERROR(INDEX(Nutrition!$H$2:$H$300,MATCH($F241,Nutrition!$A$2:$A$300,0))*$I241/100,0))</f>
        <v>0</v>
      </c>
      <c r="O241" s="30">
        <f>IF(OR($F241="",$I241=""),0,IFERROR(INDEX(Nutrition!$I$2:$I$300,MATCH($F241,Nutrition!$A$2:$A$300,0))*$I241/100,0))</f>
        <v>0</v>
      </c>
      <c r="P241" s="30">
        <f>IF(OR($F241="",$I241=""),0,IFERROR(INDEX(Nutrition!$J$2:$J$300,MATCH($F241,Nutrition!$A$2:$A$300,0))*$I241/100,0))</f>
        <v>0</v>
      </c>
      <c r="Q241" s="30">
        <f>IF(OR($F241="",$I241=""),0,IFERROR(INDEX(Nutrition!$K$2:$K$300,MATCH($F241,Nutrition!$A$2:$A$300,0))*$I241/100,0))</f>
        <v>0</v>
      </c>
      <c r="R241" s="30">
        <f>IF(OR($F241="",$I241=""),0,IFERROR(INDEX(Nutrition!$L$2:$L$300,MATCH($F241,Nutrition!$A$2:$A$300,0))*$I241/100,0))</f>
        <v>0</v>
      </c>
      <c r="S241" s="30">
        <f>IF(OR($F241="",$I241=""),0,IFERROR(INDEX(Nutrition!$M$2:$M$300,MATCH($F241,Nutrition!$A$2:$A$300,0))*$I241/100,0))</f>
        <v>0</v>
      </c>
    </row>
    <row r="242" spans="1:19" ht="15" customHeight="1" x14ac:dyDescent="0.25">
      <c r="A242" s="22" t="s">
        <v>1306</v>
      </c>
      <c r="B242" s="33" t="str">
        <f>IFERROR(INDEX(Recipes!$B$2:$B$500,MATCH(A242,Recipes!$A$2:$A$500,0)),"")</f>
        <v>Crunchy Apple, Pear &amp; Grape Salad</v>
      </c>
      <c r="C242" s="7" t="s">
        <v>2758</v>
      </c>
      <c r="D242" s="34">
        <v>1</v>
      </c>
      <c r="E242" s="22" t="s">
        <v>2759</v>
      </c>
      <c r="F242" s="22"/>
      <c r="G242" s="22" t="s">
        <v>2749</v>
      </c>
      <c r="H242" s="7"/>
      <c r="I242" s="35"/>
      <c r="J242" s="30">
        <f>IF(OR($F242="",$I242=""),0,IFERROR(INDEX(Nutrition!$D$2:$D$300,MATCH($F242,Nutrition!$A$2:$A$300,0))*$I242/100,0))</f>
        <v>0</v>
      </c>
      <c r="K242" s="30">
        <f>IF(OR($F242="",$I242=""),0,IFERROR(INDEX(Nutrition!$E$2:$E$300,MATCH($F242,Nutrition!$A$2:$A$300,0))*$I242/100,0))</f>
        <v>0</v>
      </c>
      <c r="L242" s="30">
        <f>IF(OR($F242="",$I242=""),0,IFERROR(INDEX(Nutrition!$F$2:$F$300,MATCH($F242,Nutrition!$A$2:$A$300,0))*$I242/100,0))</f>
        <v>0</v>
      </c>
      <c r="M242" s="30">
        <f>IF(OR($F242="",$I242=""),0,IFERROR(INDEX(Nutrition!$G$2:$G$300,MATCH($F242,Nutrition!$A$2:$A$300,0))*$I242/100,0))</f>
        <v>0</v>
      </c>
      <c r="N242" s="30">
        <f>IF(OR($F242="",$I242=""),0,IFERROR(INDEX(Nutrition!$H$2:$H$300,MATCH($F242,Nutrition!$A$2:$A$300,0))*$I242/100,0))</f>
        <v>0</v>
      </c>
      <c r="O242" s="30">
        <f>IF(OR($F242="",$I242=""),0,IFERROR(INDEX(Nutrition!$I$2:$I$300,MATCH($F242,Nutrition!$A$2:$A$300,0))*$I242/100,0))</f>
        <v>0</v>
      </c>
      <c r="P242" s="30">
        <f>IF(OR($F242="",$I242=""),0,IFERROR(INDEX(Nutrition!$J$2:$J$300,MATCH($F242,Nutrition!$A$2:$A$300,0))*$I242/100,0))</f>
        <v>0</v>
      </c>
      <c r="Q242" s="30">
        <f>IF(OR($F242="",$I242=""),0,IFERROR(INDEX(Nutrition!$K$2:$K$300,MATCH($F242,Nutrition!$A$2:$A$300,0))*$I242/100,0))</f>
        <v>0</v>
      </c>
      <c r="R242" s="30">
        <f>IF(OR($F242="",$I242=""),0,IFERROR(INDEX(Nutrition!$L$2:$L$300,MATCH($F242,Nutrition!$A$2:$A$300,0))*$I242/100,0))</f>
        <v>0</v>
      </c>
      <c r="S242" s="30">
        <f>IF(OR($F242="",$I242=""),0,IFERROR(INDEX(Nutrition!$M$2:$M$300,MATCH($F242,Nutrition!$A$2:$A$300,0))*$I242/100,0))</f>
        <v>0</v>
      </c>
    </row>
    <row r="243" spans="1:19" ht="15" customHeight="1" x14ac:dyDescent="0.25">
      <c r="A243" s="22" t="s">
        <v>1319</v>
      </c>
      <c r="B243" s="33" t="str">
        <f>IFERROR(INDEX(Recipes!$B$2:$B$500,MATCH(A243,Recipes!$A$2:$A$500,0)),"")</f>
        <v>Sweet Potato Wedges with Yaji Yoghurt</v>
      </c>
      <c r="C243" s="7" t="s">
        <v>610</v>
      </c>
      <c r="D243" s="34">
        <v>3</v>
      </c>
      <c r="E243" s="22" t="s">
        <v>2754</v>
      </c>
      <c r="F243" s="22" t="s">
        <v>609</v>
      </c>
      <c r="G243" s="22" t="s">
        <v>2755</v>
      </c>
      <c r="H243" s="7"/>
      <c r="I243" s="35">
        <v>390</v>
      </c>
      <c r="J243" s="30">
        <f>IF(OR($F243="",$I243=""),0,IFERROR(INDEX(Nutrition!$D$2:$D$300,MATCH($F243,Nutrition!$A$2:$A$300,0))*$I243/100,0))</f>
        <v>11.7</v>
      </c>
      <c r="K243" s="30">
        <f>IF(OR($F243="",$I243=""),0,IFERROR(INDEX(Nutrition!$E$2:$E$300,MATCH($F243,Nutrition!$A$2:$A$300,0))*$I243/100,0))</f>
        <v>9.36</v>
      </c>
      <c r="L243" s="30">
        <f>IF(OR($F243="",$I243=""),0,IFERROR(INDEX(Nutrition!$F$2:$F$300,MATCH($F243,Nutrition!$A$2:$A$300,0))*$I243/100,0))</f>
        <v>2765.1</v>
      </c>
      <c r="M243" s="30">
        <f>IF(OR($F243="",$I243=""),0,IFERROR(INDEX(Nutrition!$G$2:$G$300,MATCH($F243,Nutrition!$A$2:$A$300,0))*$I243/100,0))</f>
        <v>7.02</v>
      </c>
      <c r="N243" s="30">
        <f>IF(OR($F243="",$I243=""),0,IFERROR(INDEX(Nutrition!$H$2:$H$300,MATCH($F243,Nutrition!$A$2:$A$300,0))*$I243/100,0))</f>
        <v>42.9</v>
      </c>
      <c r="O243" s="30">
        <f>IF(OR($F243="",$I243=""),0,IFERROR(INDEX(Nutrition!$I$2:$I$300,MATCH($F243,Nutrition!$A$2:$A$300,0))*$I243/100,0))</f>
        <v>1314.3</v>
      </c>
      <c r="P243" s="30">
        <f>IF(OR($F243="",$I243=""),0,IFERROR(INDEX(Nutrition!$J$2:$J$300,MATCH($F243,Nutrition!$A$2:$A$300,0))*$I243/100,0))</f>
        <v>1.014</v>
      </c>
      <c r="Q243" s="30">
        <f>IF(OR($F243="",$I243=""),0,IFERROR(INDEX(Nutrition!$K$2:$K$300,MATCH($F243,Nutrition!$A$2:$A$300,0))*$I243/100,0))</f>
        <v>0.81509999999999994</v>
      </c>
      <c r="R243" s="30">
        <f>IF(OR($F243="",$I243=""),0,IFERROR(INDEX(Nutrition!$L$2:$L$300,MATCH($F243,Nutrition!$A$2:$A$300,0))*$I243/100,0))</f>
        <v>97.5</v>
      </c>
      <c r="S243" s="30">
        <f>IF(OR($F243="",$I243=""),0,IFERROR(INDEX(Nutrition!$M$2:$M$300,MATCH($F243,Nutrition!$A$2:$A$300,0))*$I243/100,0))</f>
        <v>2.379</v>
      </c>
    </row>
    <row r="244" spans="1:19" ht="15" customHeight="1" x14ac:dyDescent="0.25">
      <c r="A244" s="22" t="s">
        <v>1319</v>
      </c>
      <c r="B244" s="33" t="str">
        <f>IFERROR(INDEX(Recipes!$B$2:$B$500,MATCH(A244,Recipes!$A$2:$A$500,0)),"")</f>
        <v>Sweet Potato Wedges with Yaji Yoghurt</v>
      </c>
      <c r="C244" s="7" t="s">
        <v>213</v>
      </c>
      <c r="D244" s="34">
        <v>0.5</v>
      </c>
      <c r="E244" s="22" t="s">
        <v>2754</v>
      </c>
      <c r="F244" s="22" t="s">
        <v>212</v>
      </c>
      <c r="G244" s="22" t="s">
        <v>2755</v>
      </c>
      <c r="H244" s="7"/>
      <c r="I244" s="35">
        <v>34</v>
      </c>
      <c r="J244" s="30">
        <f>IF(OR($F244="",$I244=""),0,IFERROR(INDEX(Nutrition!$D$2:$D$300,MATCH($F244,Nutrition!$A$2:$A$300,0))*$I244/100,0))</f>
        <v>0.95199999999999985</v>
      </c>
      <c r="K244" s="30">
        <f>IF(OR($F244="",$I244=""),0,IFERROR(INDEX(Nutrition!$E$2:$E$300,MATCH($F244,Nutrition!$A$2:$A$300,0))*$I244/100,0))</f>
        <v>9.8940000000000001</v>
      </c>
      <c r="L244" s="30">
        <f>IF(OR($F244="",$I244=""),0,IFERROR(INDEX(Nutrition!$F$2:$F$300,MATCH($F244,Nutrition!$A$2:$A$300,0))*$I244/100,0))</f>
        <v>0.68</v>
      </c>
      <c r="M244" s="30">
        <f>IF(OR($F244="",$I244=""),0,IFERROR(INDEX(Nutrition!$G$2:$G$300,MATCH($F244,Nutrition!$A$2:$A$300,0))*$I244/100,0))</f>
        <v>0.20399999999999999</v>
      </c>
      <c r="N244" s="30">
        <f>IF(OR($F244="",$I244=""),0,IFERROR(INDEX(Nutrition!$H$2:$H$300,MATCH($F244,Nutrition!$A$2:$A$300,0))*$I244/100,0))</f>
        <v>2.72</v>
      </c>
      <c r="O244" s="30">
        <f>IF(OR($F244="",$I244=""),0,IFERROR(INDEX(Nutrition!$I$2:$I$300,MATCH($F244,Nutrition!$A$2:$A$300,0))*$I244/100,0))</f>
        <v>34.68</v>
      </c>
      <c r="P244" s="30">
        <f>IF(OR($F244="",$I244=""),0,IFERROR(INDEX(Nutrition!$J$2:$J$300,MATCH($F244,Nutrition!$A$2:$A$300,0))*$I244/100,0))</f>
        <v>7.4800000000000005E-2</v>
      </c>
      <c r="Q244" s="30">
        <f>IF(OR($F244="",$I244=""),0,IFERROR(INDEX(Nutrition!$K$2:$K$300,MATCH($F244,Nutrition!$A$2:$A$300,0))*$I244/100,0))</f>
        <v>1.4619999999999999E-2</v>
      </c>
      <c r="R244" s="30">
        <f>IF(OR($F244="",$I244=""),0,IFERROR(INDEX(Nutrition!$L$2:$L$300,MATCH($F244,Nutrition!$A$2:$A$300,0))*$I244/100,0))</f>
        <v>2.04</v>
      </c>
      <c r="S244" s="30">
        <f>IF(OR($F244="",$I244=""),0,IFERROR(INDEX(Nutrition!$M$2:$M$300,MATCH($F244,Nutrition!$A$2:$A$300,0))*$I244/100,0))</f>
        <v>0.20399999999999999</v>
      </c>
    </row>
    <row r="245" spans="1:19" ht="15" customHeight="1" x14ac:dyDescent="0.25">
      <c r="A245" s="22" t="s">
        <v>1319</v>
      </c>
      <c r="B245" s="33" t="str">
        <f>IFERROR(INDEX(Recipes!$B$2:$B$500,MATCH(A245,Recipes!$A$2:$A$500,0)),"")</f>
        <v>Sweet Potato Wedges with Yaji Yoghurt</v>
      </c>
      <c r="C245" s="7" t="s">
        <v>500</v>
      </c>
      <c r="D245" s="34">
        <v>1</v>
      </c>
      <c r="E245" s="22" t="s">
        <v>2816</v>
      </c>
      <c r="F245" s="22" t="s">
        <v>499</v>
      </c>
      <c r="G245" s="22" t="s">
        <v>2755</v>
      </c>
      <c r="H245" s="7"/>
      <c r="I245" s="35">
        <v>3</v>
      </c>
      <c r="J245" s="30">
        <f>IF(OR($F245="",$I245=""),0,IFERROR(INDEX(Nutrition!$D$2:$D$300,MATCH($F245,Nutrition!$A$2:$A$300,0))*$I245/100,0))</f>
        <v>6.3E-2</v>
      </c>
      <c r="K245" s="30">
        <f>IF(OR($F245="",$I245=""),0,IFERROR(INDEX(Nutrition!$E$2:$E$300,MATCH($F245,Nutrition!$A$2:$A$300,0))*$I245/100,0))</f>
        <v>0.93599999999999994</v>
      </c>
      <c r="L245" s="30">
        <f>IF(OR($F245="",$I245=""),0,IFERROR(INDEX(Nutrition!$F$2:$F$300,MATCH($F245,Nutrition!$A$2:$A$300,0))*$I245/100,0))</f>
        <v>0</v>
      </c>
      <c r="M245" s="30">
        <f>IF(OR($F245="",$I245=""),0,IFERROR(INDEX(Nutrition!$G$2:$G$300,MATCH($F245,Nutrition!$A$2:$A$300,0))*$I245/100,0))</f>
        <v>5.0999999999999997E-2</v>
      </c>
      <c r="N245" s="30">
        <f>IF(OR($F245="",$I245=""),0,IFERROR(INDEX(Nutrition!$H$2:$H$300,MATCH($F245,Nutrition!$A$2:$A$300,0))*$I245/100,0))</f>
        <v>0.09</v>
      </c>
      <c r="O245" s="30">
        <f>IF(OR($F245="",$I245=""),0,IFERROR(INDEX(Nutrition!$I$2:$I$300,MATCH($F245,Nutrition!$A$2:$A$300,0))*$I245/100,0))</f>
        <v>12.03</v>
      </c>
      <c r="P245" s="30">
        <f>IF(OR($F245="",$I245=""),0,IFERROR(INDEX(Nutrition!$J$2:$J$300,MATCH($F245,Nutrition!$A$2:$A$300,0))*$I245/100,0))</f>
        <v>2.3999999999999998E-3</v>
      </c>
      <c r="Q245" s="30">
        <f>IF(OR($F245="",$I245=""),0,IFERROR(INDEX(Nutrition!$K$2:$K$300,MATCH($F245,Nutrition!$A$2:$A$300,0))*$I245/100,0))</f>
        <v>3.705E-2</v>
      </c>
      <c r="R245" s="30">
        <f>IF(OR($F245="",$I245=""),0,IFERROR(INDEX(Nutrition!$L$2:$L$300,MATCH($F245,Nutrition!$A$2:$A$300,0))*$I245/100,0))</f>
        <v>0.75</v>
      </c>
      <c r="S245" s="30">
        <f>IF(OR($F245="",$I245=""),0,IFERROR(INDEX(Nutrition!$M$2:$M$300,MATCH($F245,Nutrition!$A$2:$A$300,0))*$I245/100,0))</f>
        <v>5.0999999999999997E-2</v>
      </c>
    </row>
    <row r="246" spans="1:19" ht="15" customHeight="1" x14ac:dyDescent="0.25">
      <c r="A246" s="22" t="s">
        <v>1319</v>
      </c>
      <c r="B246" s="33" t="str">
        <f>IFERROR(INDEX(Recipes!$B$2:$B$500,MATCH(A246,Recipes!$A$2:$A$500,0)),"")</f>
        <v>Sweet Potato Wedges with Yaji Yoghurt</v>
      </c>
      <c r="C246" s="7" t="s">
        <v>2789</v>
      </c>
      <c r="D246" s="34">
        <v>1</v>
      </c>
      <c r="E246" s="22" t="s">
        <v>2759</v>
      </c>
      <c r="F246" s="22"/>
      <c r="G246" s="22" t="s">
        <v>2749</v>
      </c>
      <c r="H246" s="7"/>
      <c r="I246" s="35"/>
      <c r="J246" s="30">
        <f>IF(OR($F246="",$I246=""),0,IFERROR(INDEX(Nutrition!$D$2:$D$300,MATCH($F246,Nutrition!$A$2:$A$300,0))*$I246/100,0))</f>
        <v>0</v>
      </c>
      <c r="K246" s="30">
        <f>IF(OR($F246="",$I246=""),0,IFERROR(INDEX(Nutrition!$E$2:$E$300,MATCH($F246,Nutrition!$A$2:$A$300,0))*$I246/100,0))</f>
        <v>0</v>
      </c>
      <c r="L246" s="30">
        <f>IF(OR($F246="",$I246=""),0,IFERROR(INDEX(Nutrition!$F$2:$F$300,MATCH($F246,Nutrition!$A$2:$A$300,0))*$I246/100,0))</f>
        <v>0</v>
      </c>
      <c r="M246" s="30">
        <f>IF(OR($F246="",$I246=""),0,IFERROR(INDEX(Nutrition!$G$2:$G$300,MATCH($F246,Nutrition!$A$2:$A$300,0))*$I246/100,0))</f>
        <v>0</v>
      </c>
      <c r="N246" s="30">
        <f>IF(OR($F246="",$I246=""),0,IFERROR(INDEX(Nutrition!$H$2:$H$300,MATCH($F246,Nutrition!$A$2:$A$300,0))*$I246/100,0))</f>
        <v>0</v>
      </c>
      <c r="O246" s="30">
        <f>IF(OR($F246="",$I246=""),0,IFERROR(INDEX(Nutrition!$I$2:$I$300,MATCH($F246,Nutrition!$A$2:$A$300,0))*$I246/100,0))</f>
        <v>0</v>
      </c>
      <c r="P246" s="30">
        <f>IF(OR($F246="",$I246=""),0,IFERROR(INDEX(Nutrition!$J$2:$J$300,MATCH($F246,Nutrition!$A$2:$A$300,0))*$I246/100,0))</f>
        <v>0</v>
      </c>
      <c r="Q246" s="30">
        <f>IF(OR($F246="",$I246=""),0,IFERROR(INDEX(Nutrition!$K$2:$K$300,MATCH($F246,Nutrition!$A$2:$A$300,0))*$I246/100,0))</f>
        <v>0</v>
      </c>
      <c r="R246" s="30">
        <f>IF(OR($F246="",$I246=""),0,IFERROR(INDEX(Nutrition!$L$2:$L$300,MATCH($F246,Nutrition!$A$2:$A$300,0))*$I246/100,0))</f>
        <v>0</v>
      </c>
      <c r="S246" s="30">
        <f>IF(OR($F246="",$I246=""),0,IFERROR(INDEX(Nutrition!$M$2:$M$300,MATCH($F246,Nutrition!$A$2:$A$300,0))*$I246/100,0))</f>
        <v>0</v>
      </c>
    </row>
    <row r="247" spans="1:19" ht="15" customHeight="1" x14ac:dyDescent="0.25">
      <c r="A247" s="22" t="s">
        <v>1319</v>
      </c>
      <c r="B247" s="33" t="str">
        <f>IFERROR(INDEX(Recipes!$B$2:$B$500,MATCH(A247,Recipes!$A$2:$A$500,0)),"")</f>
        <v>Sweet Potato Wedges with Yaji Yoghurt</v>
      </c>
      <c r="C247" s="7" t="s">
        <v>2751</v>
      </c>
      <c r="D247" s="34">
        <v>0.5</v>
      </c>
      <c r="E247" s="22" t="s">
        <v>2748</v>
      </c>
      <c r="F247" s="22"/>
      <c r="G247" s="22" t="s">
        <v>2749</v>
      </c>
      <c r="H247" s="7"/>
      <c r="I247" s="35"/>
      <c r="J247" s="30">
        <f>IF(OR($F247="",$I247=""),0,IFERROR(INDEX(Nutrition!$D$2:$D$300,MATCH($F247,Nutrition!$A$2:$A$300,0))*$I247/100,0))</f>
        <v>0</v>
      </c>
      <c r="K247" s="30">
        <f>IF(OR($F247="",$I247=""),0,IFERROR(INDEX(Nutrition!$E$2:$E$300,MATCH($F247,Nutrition!$A$2:$A$300,0))*$I247/100,0))</f>
        <v>0</v>
      </c>
      <c r="L247" s="30">
        <f>IF(OR($F247="",$I247=""),0,IFERROR(INDEX(Nutrition!$F$2:$F$300,MATCH($F247,Nutrition!$A$2:$A$300,0))*$I247/100,0))</f>
        <v>0</v>
      </c>
      <c r="M247" s="30">
        <f>IF(OR($F247="",$I247=""),0,IFERROR(INDEX(Nutrition!$G$2:$G$300,MATCH($F247,Nutrition!$A$2:$A$300,0))*$I247/100,0))</f>
        <v>0</v>
      </c>
      <c r="N247" s="30">
        <f>IF(OR($F247="",$I247=""),0,IFERROR(INDEX(Nutrition!$H$2:$H$300,MATCH($F247,Nutrition!$A$2:$A$300,0))*$I247/100,0))</f>
        <v>0</v>
      </c>
      <c r="O247" s="30">
        <f>IF(OR($F247="",$I247=""),0,IFERROR(INDEX(Nutrition!$I$2:$I$300,MATCH($F247,Nutrition!$A$2:$A$300,0))*$I247/100,0))</f>
        <v>0</v>
      </c>
      <c r="P247" s="30">
        <f>IF(OR($F247="",$I247=""),0,IFERROR(INDEX(Nutrition!$J$2:$J$300,MATCH($F247,Nutrition!$A$2:$A$300,0))*$I247/100,0))</f>
        <v>0</v>
      </c>
      <c r="Q247" s="30">
        <f>IF(OR($F247="",$I247=""),0,IFERROR(INDEX(Nutrition!$K$2:$K$300,MATCH($F247,Nutrition!$A$2:$A$300,0))*$I247/100,0))</f>
        <v>0</v>
      </c>
      <c r="R247" s="30">
        <f>IF(OR($F247="",$I247=""),0,IFERROR(INDEX(Nutrition!$L$2:$L$300,MATCH($F247,Nutrition!$A$2:$A$300,0))*$I247/100,0))</f>
        <v>0</v>
      </c>
      <c r="S247" s="30">
        <f>IF(OR($F247="",$I247=""),0,IFERROR(INDEX(Nutrition!$M$2:$M$300,MATCH($F247,Nutrition!$A$2:$A$300,0))*$I247/100,0))</f>
        <v>0</v>
      </c>
    </row>
    <row r="248" spans="1:19" ht="15" customHeight="1" x14ac:dyDescent="0.25">
      <c r="A248" s="22" t="s">
        <v>1319</v>
      </c>
      <c r="B248" s="33" t="str">
        <f>IFERROR(INDEX(Recipes!$B$2:$B$500,MATCH(A248,Recipes!$A$2:$A$500,0)),"")</f>
        <v>Sweet Potato Wedges with Yaji Yoghurt</v>
      </c>
      <c r="C248" s="7" t="s">
        <v>2798</v>
      </c>
      <c r="D248" s="34">
        <v>1</v>
      </c>
      <c r="E248" s="22" t="s">
        <v>2759</v>
      </c>
      <c r="F248" s="22"/>
      <c r="G248" s="22" t="s">
        <v>2749</v>
      </c>
      <c r="H248" s="7"/>
      <c r="I248" s="35"/>
      <c r="J248" s="30">
        <f>IF(OR($F248="",$I248=""),0,IFERROR(INDEX(Nutrition!$D$2:$D$300,MATCH($F248,Nutrition!$A$2:$A$300,0))*$I248/100,0))</f>
        <v>0</v>
      </c>
      <c r="K248" s="30">
        <f>IF(OR($F248="",$I248=""),0,IFERROR(INDEX(Nutrition!$E$2:$E$300,MATCH($F248,Nutrition!$A$2:$A$300,0))*$I248/100,0))</f>
        <v>0</v>
      </c>
      <c r="L248" s="30">
        <f>IF(OR($F248="",$I248=""),0,IFERROR(INDEX(Nutrition!$F$2:$F$300,MATCH($F248,Nutrition!$A$2:$A$300,0))*$I248/100,0))</f>
        <v>0</v>
      </c>
      <c r="M248" s="30">
        <f>IF(OR($F248="",$I248=""),0,IFERROR(INDEX(Nutrition!$G$2:$G$300,MATCH($F248,Nutrition!$A$2:$A$300,0))*$I248/100,0))</f>
        <v>0</v>
      </c>
      <c r="N248" s="30">
        <f>IF(OR($F248="",$I248=""),0,IFERROR(INDEX(Nutrition!$H$2:$H$300,MATCH($F248,Nutrition!$A$2:$A$300,0))*$I248/100,0))</f>
        <v>0</v>
      </c>
      <c r="O248" s="30">
        <f>IF(OR($F248="",$I248=""),0,IFERROR(INDEX(Nutrition!$I$2:$I$300,MATCH($F248,Nutrition!$A$2:$A$300,0))*$I248/100,0))</f>
        <v>0</v>
      </c>
      <c r="P248" s="30">
        <f>IF(OR($F248="",$I248=""),0,IFERROR(INDEX(Nutrition!$J$2:$J$300,MATCH($F248,Nutrition!$A$2:$A$300,0))*$I248/100,0))</f>
        <v>0</v>
      </c>
      <c r="Q248" s="30">
        <f>IF(OR($F248="",$I248=""),0,IFERROR(INDEX(Nutrition!$K$2:$K$300,MATCH($F248,Nutrition!$A$2:$A$300,0))*$I248/100,0))</f>
        <v>0</v>
      </c>
      <c r="R248" s="30">
        <f>IF(OR($F248="",$I248=""),0,IFERROR(INDEX(Nutrition!$L$2:$L$300,MATCH($F248,Nutrition!$A$2:$A$300,0))*$I248/100,0))</f>
        <v>0</v>
      </c>
      <c r="S248" s="30">
        <f>IF(OR($F248="",$I248=""),0,IFERROR(INDEX(Nutrition!$M$2:$M$300,MATCH($F248,Nutrition!$A$2:$A$300,0))*$I248/100,0))</f>
        <v>0</v>
      </c>
    </row>
    <row r="249" spans="1:19" ht="15" customHeight="1" x14ac:dyDescent="0.25">
      <c r="A249" s="22" t="s">
        <v>1319</v>
      </c>
      <c r="B249" s="33" t="str">
        <f>IFERROR(INDEX(Recipes!$B$2:$B$500,MATCH(A249,Recipes!$A$2:$A$500,0)),"")</f>
        <v>Sweet Potato Wedges with Yaji Yoghurt</v>
      </c>
      <c r="C249" s="7" t="s">
        <v>2772</v>
      </c>
      <c r="D249" s="34">
        <v>2</v>
      </c>
      <c r="E249" s="22" t="s">
        <v>2753</v>
      </c>
      <c r="F249" s="22"/>
      <c r="G249" s="22" t="s">
        <v>2773</v>
      </c>
      <c r="H249" s="7"/>
      <c r="I249" s="35"/>
      <c r="J249" s="30">
        <f>IF(OR($F249="",$I249=""),0,IFERROR(INDEX(Nutrition!$D$2:$D$300,MATCH($F249,Nutrition!$A$2:$A$300,0))*$I249/100,0))</f>
        <v>0</v>
      </c>
      <c r="K249" s="30">
        <f>IF(OR($F249="",$I249=""),0,IFERROR(INDEX(Nutrition!$E$2:$E$300,MATCH($F249,Nutrition!$A$2:$A$300,0))*$I249/100,0))</f>
        <v>0</v>
      </c>
      <c r="L249" s="30">
        <f>IF(OR($F249="",$I249=""),0,IFERROR(INDEX(Nutrition!$F$2:$F$300,MATCH($F249,Nutrition!$A$2:$A$300,0))*$I249/100,0))</f>
        <v>0</v>
      </c>
      <c r="M249" s="30">
        <f>IF(OR($F249="",$I249=""),0,IFERROR(INDEX(Nutrition!$G$2:$G$300,MATCH($F249,Nutrition!$A$2:$A$300,0))*$I249/100,0))</f>
        <v>0</v>
      </c>
      <c r="N249" s="30">
        <f>IF(OR($F249="",$I249=""),0,IFERROR(INDEX(Nutrition!$H$2:$H$300,MATCH($F249,Nutrition!$A$2:$A$300,0))*$I249/100,0))</f>
        <v>0</v>
      </c>
      <c r="O249" s="30">
        <f>IF(OR($F249="",$I249=""),0,IFERROR(INDEX(Nutrition!$I$2:$I$300,MATCH($F249,Nutrition!$A$2:$A$300,0))*$I249/100,0))</f>
        <v>0</v>
      </c>
      <c r="P249" s="30">
        <f>IF(OR($F249="",$I249=""),0,IFERROR(INDEX(Nutrition!$J$2:$J$300,MATCH($F249,Nutrition!$A$2:$A$300,0))*$I249/100,0))</f>
        <v>0</v>
      </c>
      <c r="Q249" s="30">
        <f>IF(OR($F249="",$I249=""),0,IFERROR(INDEX(Nutrition!$K$2:$K$300,MATCH($F249,Nutrition!$A$2:$A$300,0))*$I249/100,0))</f>
        <v>0</v>
      </c>
      <c r="R249" s="30">
        <f>IF(OR($F249="",$I249=""),0,IFERROR(INDEX(Nutrition!$L$2:$L$300,MATCH($F249,Nutrition!$A$2:$A$300,0))*$I249/100,0))</f>
        <v>0</v>
      </c>
      <c r="S249" s="30">
        <f>IF(OR($F249="",$I249=""),0,IFERROR(INDEX(Nutrition!$M$2:$M$300,MATCH($F249,Nutrition!$A$2:$A$300,0))*$I249/100,0))</f>
        <v>0</v>
      </c>
    </row>
    <row r="250" spans="1:19" ht="15" customHeight="1" x14ac:dyDescent="0.25">
      <c r="A250" s="22" t="s">
        <v>1331</v>
      </c>
      <c r="B250" s="33" t="str">
        <f>IFERROR(INDEX(Recipes!$B$2:$B$500,MATCH(A250,Recipes!$A$2:$A$500,0)),"")</f>
        <v>Okra &amp; Corn Succotash</v>
      </c>
      <c r="C250" s="7" t="s">
        <v>572</v>
      </c>
      <c r="D250" s="34">
        <v>200</v>
      </c>
      <c r="E250" s="22" t="s">
        <v>2813</v>
      </c>
      <c r="F250" s="22" t="s">
        <v>571</v>
      </c>
      <c r="G250" s="22" t="s">
        <v>2755</v>
      </c>
      <c r="H250" s="7"/>
      <c r="I250" s="35">
        <v>200</v>
      </c>
      <c r="J250" s="30">
        <f>IF(OR($F250="",$I250=""),0,IFERROR(INDEX(Nutrition!$D$2:$D$300,MATCH($F250,Nutrition!$A$2:$A$300,0))*$I250/100,0))</f>
        <v>6.4</v>
      </c>
      <c r="K250" s="30">
        <f>IF(OR($F250="",$I250=""),0,IFERROR(INDEX(Nutrition!$E$2:$E$300,MATCH($F250,Nutrition!$A$2:$A$300,0))*$I250/100,0))</f>
        <v>46</v>
      </c>
      <c r="L250" s="30">
        <f>IF(OR($F250="",$I250=""),0,IFERROR(INDEX(Nutrition!$F$2:$F$300,MATCH($F250,Nutrition!$A$2:$A$300,0))*$I250/100,0))</f>
        <v>72</v>
      </c>
      <c r="M250" s="30">
        <f>IF(OR($F250="",$I250=""),0,IFERROR(INDEX(Nutrition!$G$2:$G$300,MATCH($F250,Nutrition!$A$2:$A$300,0))*$I250/100,0))</f>
        <v>62.6</v>
      </c>
      <c r="N250" s="30">
        <f>IF(OR($F250="",$I250=""),0,IFERROR(INDEX(Nutrition!$H$2:$H$300,MATCH($F250,Nutrition!$A$2:$A$300,0))*$I250/100,0))</f>
        <v>120</v>
      </c>
      <c r="O250" s="30">
        <f>IF(OR($F250="",$I250=""),0,IFERROR(INDEX(Nutrition!$I$2:$I$300,MATCH($F250,Nutrition!$A$2:$A$300,0))*$I250/100,0))</f>
        <v>598</v>
      </c>
      <c r="P250" s="30">
        <f>IF(OR($F250="",$I250=""),0,IFERROR(INDEX(Nutrition!$J$2:$J$300,MATCH($F250,Nutrition!$A$2:$A$300,0))*$I250/100,0))</f>
        <v>0.54</v>
      </c>
      <c r="Q250" s="30">
        <f>IF(OR($F250="",$I250=""),0,IFERROR(INDEX(Nutrition!$K$2:$K$300,MATCH($F250,Nutrition!$A$2:$A$300,0))*$I250/100,0))</f>
        <v>0.43</v>
      </c>
      <c r="R250" s="30">
        <f>IF(OR($F250="",$I250=""),0,IFERROR(INDEX(Nutrition!$L$2:$L$300,MATCH($F250,Nutrition!$A$2:$A$300,0))*$I250/100,0))</f>
        <v>114</v>
      </c>
      <c r="S250" s="30">
        <f>IF(OR($F250="",$I250=""),0,IFERROR(INDEX(Nutrition!$M$2:$M$300,MATCH($F250,Nutrition!$A$2:$A$300,0))*$I250/100,0))</f>
        <v>1.24</v>
      </c>
    </row>
    <row r="251" spans="1:19" ht="15" customHeight="1" x14ac:dyDescent="0.25">
      <c r="A251" s="22" t="s">
        <v>1331</v>
      </c>
      <c r="B251" s="33" t="str">
        <f>IFERROR(INDEX(Recipes!$B$2:$B$500,MATCH(A251,Recipes!$A$2:$A$500,0)),"")</f>
        <v>Okra &amp; Corn Succotash</v>
      </c>
      <c r="C251" s="7" t="s">
        <v>556</v>
      </c>
      <c r="D251" s="34">
        <v>2</v>
      </c>
      <c r="E251" s="22" t="s">
        <v>2841</v>
      </c>
      <c r="F251" s="22" t="s">
        <v>555</v>
      </c>
      <c r="G251" s="22" t="s">
        <v>2755</v>
      </c>
      <c r="H251" s="7"/>
      <c r="I251" s="35">
        <v>180</v>
      </c>
      <c r="J251" s="30">
        <f>IF(OR($F251="",$I251=""),0,IFERROR(INDEX(Nutrition!$D$2:$D$300,MATCH($F251,Nutrition!$A$2:$A$300,0))*$I251/100,0))</f>
        <v>4.8600000000000003</v>
      </c>
      <c r="K251" s="30">
        <f>IF(OR($F251="",$I251=""),0,IFERROR(INDEX(Nutrition!$E$2:$E$300,MATCH($F251,Nutrition!$A$2:$A$300,0))*$I251/100,0))</f>
        <v>12.24</v>
      </c>
      <c r="L251" s="30">
        <f>IF(OR($F251="",$I251=""),0,IFERROR(INDEX(Nutrition!$F$2:$F$300,MATCH($F251,Nutrition!$A$2:$A$300,0))*$I251/100,0))</f>
        <v>16.2</v>
      </c>
      <c r="M251" s="30">
        <f>IF(OR($F251="",$I251=""),0,IFERROR(INDEX(Nutrition!$G$2:$G$300,MATCH($F251,Nutrition!$A$2:$A$300,0))*$I251/100,0))</f>
        <v>0.54</v>
      </c>
      <c r="N251" s="30">
        <f>IF(OR($F251="",$I251=""),0,IFERROR(INDEX(Nutrition!$H$2:$H$300,MATCH($F251,Nutrition!$A$2:$A$300,0))*$I251/100,0))</f>
        <v>75.599999999999994</v>
      </c>
      <c r="O251" s="30">
        <f>IF(OR($F251="",$I251=""),0,IFERROR(INDEX(Nutrition!$I$2:$I$300,MATCH($F251,Nutrition!$A$2:$A$300,0))*$I251/100,0))</f>
        <v>486</v>
      </c>
      <c r="P251" s="30">
        <f>IF(OR($F251="",$I251=""),0,IFERROR(INDEX(Nutrition!$J$2:$J$300,MATCH($F251,Nutrition!$A$2:$A$300,0))*$I251/100,0))</f>
        <v>0.126</v>
      </c>
      <c r="Q251" s="30">
        <f>IF(OR($F251="",$I251=""),0,IFERROR(INDEX(Nutrition!$K$2:$K$300,MATCH($F251,Nutrition!$A$2:$A$300,0))*$I251/100,0))</f>
        <v>0.16739999999999999</v>
      </c>
      <c r="R251" s="30">
        <f>IF(OR($F251="",$I251=""),0,IFERROR(INDEX(Nutrition!$L$2:$L$300,MATCH($F251,Nutrition!$A$2:$A$300,0))*$I251/100,0))</f>
        <v>66.599999999999994</v>
      </c>
      <c r="S251" s="30">
        <f>IF(OR($F251="",$I251=""),0,IFERROR(INDEX(Nutrition!$M$2:$M$300,MATCH($F251,Nutrition!$A$2:$A$300,0))*$I251/100,0))</f>
        <v>0.93600000000000005</v>
      </c>
    </row>
    <row r="252" spans="1:19" ht="15" customHeight="1" x14ac:dyDescent="0.25">
      <c r="A252" s="22" t="s">
        <v>1331</v>
      </c>
      <c r="B252" s="33" t="str">
        <f>IFERROR(INDEX(Recipes!$B$2:$B$500,MATCH(A252,Recipes!$A$2:$A$500,0)),"")</f>
        <v>Okra &amp; Corn Succotash</v>
      </c>
      <c r="C252" s="7" t="s">
        <v>446</v>
      </c>
      <c r="D252" s="34">
        <v>2</v>
      </c>
      <c r="E252" s="22" t="s">
        <v>2754</v>
      </c>
      <c r="F252" s="22" t="s">
        <v>445</v>
      </c>
      <c r="G252" s="22" t="s">
        <v>2755</v>
      </c>
      <c r="H252" s="7"/>
      <c r="I252" s="35">
        <v>124</v>
      </c>
      <c r="J252" s="30">
        <f>IF(OR($F252="",$I252=""),0,IFERROR(INDEX(Nutrition!$D$2:$D$300,MATCH($F252,Nutrition!$A$2:$A$300,0))*$I252/100,0))</f>
        <v>1.4879999999999998</v>
      </c>
      <c r="K252" s="30">
        <f>IF(OR($F252="",$I252=""),0,IFERROR(INDEX(Nutrition!$E$2:$E$300,MATCH($F252,Nutrition!$A$2:$A$300,0))*$I252/100,0))</f>
        <v>16.988</v>
      </c>
      <c r="L252" s="30">
        <f>IF(OR($F252="",$I252=""),0,IFERROR(INDEX(Nutrition!$F$2:$F$300,MATCH($F252,Nutrition!$A$2:$A$300,0))*$I252/100,0))</f>
        <v>52.08</v>
      </c>
      <c r="M252" s="30">
        <f>IF(OR($F252="",$I252=""),0,IFERROR(INDEX(Nutrition!$G$2:$G$300,MATCH($F252,Nutrition!$A$2:$A$300,0))*$I252/100,0))</f>
        <v>9.7959999999999994</v>
      </c>
      <c r="N252" s="30">
        <f>IF(OR($F252="",$I252=""),0,IFERROR(INDEX(Nutrition!$H$2:$H$300,MATCH($F252,Nutrition!$A$2:$A$300,0))*$I252/100,0))</f>
        <v>18.600000000000001</v>
      </c>
      <c r="O252" s="30">
        <f>IF(OR($F252="",$I252=""),0,IFERROR(INDEX(Nutrition!$I$2:$I$300,MATCH($F252,Nutrition!$A$2:$A$300,0))*$I252/100,0))</f>
        <v>293.88</v>
      </c>
      <c r="P252" s="30">
        <f>IF(OR($F252="",$I252=""),0,IFERROR(INDEX(Nutrition!$J$2:$J$300,MATCH($F252,Nutrition!$A$2:$A$300,0))*$I252/100,0))</f>
        <v>0.66960000000000008</v>
      </c>
      <c r="Q252" s="30">
        <f>IF(OR($F252="",$I252=""),0,IFERROR(INDEX(Nutrition!$K$2:$K$300,MATCH($F252,Nutrition!$A$2:$A$300,0))*$I252/100,0))</f>
        <v>9.9199999999999997E-2</v>
      </c>
      <c r="R252" s="30">
        <f>IF(OR($F252="",$I252=""),0,IFERROR(INDEX(Nutrition!$L$2:$L$300,MATCH($F252,Nutrition!$A$2:$A$300,0))*$I252/100,0))</f>
        <v>13.64</v>
      </c>
      <c r="S252" s="30">
        <f>IF(OR($F252="",$I252=""),0,IFERROR(INDEX(Nutrition!$M$2:$M$300,MATCH($F252,Nutrition!$A$2:$A$300,0))*$I252/100,0))</f>
        <v>0.33480000000000004</v>
      </c>
    </row>
    <row r="253" spans="1:19" ht="15" customHeight="1" x14ac:dyDescent="0.25">
      <c r="A253" s="22" t="s">
        <v>1331</v>
      </c>
      <c r="B253" s="33" t="str">
        <f>IFERROR(INDEX(Recipes!$B$2:$B$500,MATCH(A253,Recipes!$A$2:$A$500,0)),"")</f>
        <v>Okra &amp; Corn Succotash</v>
      </c>
      <c r="C253" s="7" t="s">
        <v>482</v>
      </c>
      <c r="D253" s="34">
        <v>1</v>
      </c>
      <c r="E253" s="22" t="s">
        <v>2754</v>
      </c>
      <c r="F253" s="22" t="s">
        <v>481</v>
      </c>
      <c r="G253" s="22" t="s">
        <v>2755</v>
      </c>
      <c r="H253" s="7"/>
      <c r="I253" s="35">
        <v>110</v>
      </c>
      <c r="J253" s="30">
        <f>IF(OR($F253="",$I253=""),0,IFERROR(INDEX(Nutrition!$D$2:$D$300,MATCH($F253,Nutrition!$A$2:$A$300,0))*$I253/100,0))</f>
        <v>1.87</v>
      </c>
      <c r="K253" s="30">
        <f>IF(OR($F253="",$I253=""),0,IFERROR(INDEX(Nutrition!$E$2:$E$300,MATCH($F253,Nutrition!$A$2:$A$300,0))*$I253/100,0))</f>
        <v>8.14</v>
      </c>
      <c r="L253" s="30">
        <f>IF(OR($F253="",$I253=""),0,IFERROR(INDEX(Nutrition!$F$2:$F$300,MATCH($F253,Nutrition!$A$2:$A$300,0))*$I253/100,0))</f>
        <v>0</v>
      </c>
      <c r="M253" s="30">
        <f>IF(OR($F253="",$I253=""),0,IFERROR(INDEX(Nutrition!$G$2:$G$300,MATCH($F253,Nutrition!$A$2:$A$300,0))*$I253/100,0))</f>
        <v>0.44</v>
      </c>
      <c r="N253" s="30">
        <f>IF(OR($F253="",$I253=""),0,IFERROR(INDEX(Nutrition!$H$2:$H$300,MATCH($F253,Nutrition!$A$2:$A$300,0))*$I253/100,0))</f>
        <v>20.9</v>
      </c>
      <c r="O253" s="30">
        <f>IF(OR($F253="",$I253=""),0,IFERROR(INDEX(Nutrition!$I$2:$I$300,MATCH($F253,Nutrition!$A$2:$A$300,0))*$I253/100,0))</f>
        <v>160.6</v>
      </c>
      <c r="P253" s="30">
        <f>IF(OR($F253="",$I253=""),0,IFERROR(INDEX(Nutrition!$J$2:$J$300,MATCH($F253,Nutrition!$A$2:$A$300,0))*$I253/100,0))</f>
        <v>2.2000000000000002E-2</v>
      </c>
      <c r="Q253" s="30">
        <f>IF(OR($F253="",$I253=""),0,IFERROR(INDEX(Nutrition!$K$2:$K$300,MATCH($F253,Nutrition!$A$2:$A$300,0))*$I253/100,0))</f>
        <v>0.13200000000000001</v>
      </c>
      <c r="R253" s="30">
        <f>IF(OR($F253="",$I253=""),0,IFERROR(INDEX(Nutrition!$L$2:$L$300,MATCH($F253,Nutrition!$A$2:$A$300,0))*$I253/100,0))</f>
        <v>11</v>
      </c>
      <c r="S253" s="30">
        <f>IF(OR($F253="",$I253=""),0,IFERROR(INDEX(Nutrition!$M$2:$M$300,MATCH($F253,Nutrition!$A$2:$A$300,0))*$I253/100,0))</f>
        <v>0.23099999999999998</v>
      </c>
    </row>
    <row r="254" spans="1:19" ht="15" customHeight="1" x14ac:dyDescent="0.25">
      <c r="A254" s="22" t="s">
        <v>1331</v>
      </c>
      <c r="B254" s="33" t="str">
        <f>IFERROR(INDEX(Recipes!$B$2:$B$500,MATCH(A254,Recipes!$A$2:$A$500,0)),"")</f>
        <v>Okra &amp; Corn Succotash</v>
      </c>
      <c r="C254" s="7" t="s">
        <v>462</v>
      </c>
      <c r="D254" s="34">
        <v>1</v>
      </c>
      <c r="E254" s="22" t="s">
        <v>2754</v>
      </c>
      <c r="F254" s="22" t="s">
        <v>461</v>
      </c>
      <c r="G254" s="22" t="s">
        <v>2755</v>
      </c>
      <c r="H254" s="7"/>
      <c r="I254" s="35">
        <v>119</v>
      </c>
      <c r="J254" s="30">
        <f>IF(OR($F254="",$I254=""),0,IFERROR(INDEX(Nutrition!$D$2:$D$300,MATCH($F254,Nutrition!$A$2:$A$300,0))*$I254/100,0))</f>
        <v>2.4990000000000001</v>
      </c>
      <c r="K254" s="30">
        <f>IF(OR($F254="",$I254=""),0,IFERROR(INDEX(Nutrition!$E$2:$E$300,MATCH($F254,Nutrition!$A$2:$A$300,0))*$I254/100,0))</f>
        <v>151.96300000000002</v>
      </c>
      <c r="L254" s="30">
        <f>IF(OR($F254="",$I254=""),0,IFERROR(INDEX(Nutrition!$F$2:$F$300,MATCH($F254,Nutrition!$A$2:$A$300,0))*$I254/100,0))</f>
        <v>186.83</v>
      </c>
      <c r="M254" s="30">
        <f>IF(OR($F254="",$I254=""),0,IFERROR(INDEX(Nutrition!$G$2:$G$300,MATCH($F254,Nutrition!$A$2:$A$300,0))*$I254/100,0))</f>
        <v>5.8310000000000004</v>
      </c>
      <c r="N254" s="30">
        <f>IF(OR($F254="",$I254=""),0,IFERROR(INDEX(Nutrition!$H$2:$H$300,MATCH($F254,Nutrition!$A$2:$A$300,0))*$I254/100,0))</f>
        <v>54.74</v>
      </c>
      <c r="O254" s="30">
        <f>IF(OR($F254="",$I254=""),0,IFERROR(INDEX(Nutrition!$I$2:$I$300,MATCH($F254,Nutrition!$A$2:$A$300,0))*$I254/100,0))</f>
        <v>251.09</v>
      </c>
      <c r="P254" s="30">
        <f>IF(OR($F254="",$I254=""),0,IFERROR(INDEX(Nutrition!$J$2:$J$300,MATCH($F254,Nutrition!$A$2:$A$300,0))*$I254/100,0))</f>
        <v>1.8802000000000001</v>
      </c>
      <c r="Q254" s="30">
        <f>IF(OR($F254="",$I254=""),0,IFERROR(INDEX(Nutrition!$K$2:$K$300,MATCH($F254,Nutrition!$A$2:$A$300,0))*$I254/100,0))</f>
        <v>0.34628999999999999</v>
      </c>
      <c r="R254" s="30">
        <f>IF(OR($F254="",$I254=""),0,IFERROR(INDEX(Nutrition!$L$2:$L$300,MATCH($F254,Nutrition!$A$2:$A$300,0))*$I254/100,0))</f>
        <v>14.28</v>
      </c>
      <c r="S254" s="30">
        <f>IF(OR($F254="",$I254=""),0,IFERROR(INDEX(Nutrition!$M$2:$M$300,MATCH($F254,Nutrition!$A$2:$A$300,0))*$I254/100,0))</f>
        <v>0.51170000000000004</v>
      </c>
    </row>
    <row r="255" spans="1:19" ht="15" customHeight="1" x14ac:dyDescent="0.25">
      <c r="A255" s="22" t="s">
        <v>1331</v>
      </c>
      <c r="B255" s="33" t="str">
        <f>IFERROR(INDEX(Recipes!$B$2:$B$500,MATCH(A255,Recipes!$A$2:$A$500,0)),"")</f>
        <v>Okra &amp; Corn Succotash</v>
      </c>
      <c r="C255" s="7" t="s">
        <v>500</v>
      </c>
      <c r="D255" s="34">
        <v>2</v>
      </c>
      <c r="E255" s="22" t="s">
        <v>2776</v>
      </c>
      <c r="F255" s="22" t="s">
        <v>499</v>
      </c>
      <c r="G255" s="22" t="s">
        <v>2755</v>
      </c>
      <c r="H255" s="7"/>
      <c r="I255" s="35">
        <v>6</v>
      </c>
      <c r="J255" s="30">
        <f>IF(OR($F255="",$I255=""),0,IFERROR(INDEX(Nutrition!$D$2:$D$300,MATCH($F255,Nutrition!$A$2:$A$300,0))*$I255/100,0))</f>
        <v>0.126</v>
      </c>
      <c r="K255" s="30">
        <f>IF(OR($F255="",$I255=""),0,IFERROR(INDEX(Nutrition!$E$2:$E$300,MATCH($F255,Nutrition!$A$2:$A$300,0))*$I255/100,0))</f>
        <v>1.8719999999999999</v>
      </c>
      <c r="L255" s="30">
        <f>IF(OR($F255="",$I255=""),0,IFERROR(INDEX(Nutrition!$F$2:$F$300,MATCH($F255,Nutrition!$A$2:$A$300,0))*$I255/100,0))</f>
        <v>0</v>
      </c>
      <c r="M255" s="30">
        <f>IF(OR($F255="",$I255=""),0,IFERROR(INDEX(Nutrition!$G$2:$G$300,MATCH($F255,Nutrition!$A$2:$A$300,0))*$I255/100,0))</f>
        <v>0.10199999999999999</v>
      </c>
      <c r="N255" s="30">
        <f>IF(OR($F255="",$I255=""),0,IFERROR(INDEX(Nutrition!$H$2:$H$300,MATCH($F255,Nutrition!$A$2:$A$300,0))*$I255/100,0))</f>
        <v>0.18</v>
      </c>
      <c r="O255" s="30">
        <f>IF(OR($F255="",$I255=""),0,IFERROR(INDEX(Nutrition!$I$2:$I$300,MATCH($F255,Nutrition!$A$2:$A$300,0))*$I255/100,0))</f>
        <v>24.06</v>
      </c>
      <c r="P255" s="30">
        <f>IF(OR($F255="",$I255=""),0,IFERROR(INDEX(Nutrition!$J$2:$J$300,MATCH($F255,Nutrition!$A$2:$A$300,0))*$I255/100,0))</f>
        <v>4.7999999999999996E-3</v>
      </c>
      <c r="Q255" s="30">
        <f>IF(OR($F255="",$I255=""),0,IFERROR(INDEX(Nutrition!$K$2:$K$300,MATCH($F255,Nutrition!$A$2:$A$300,0))*$I255/100,0))</f>
        <v>7.4099999999999999E-2</v>
      </c>
      <c r="R255" s="30">
        <f>IF(OR($F255="",$I255=""),0,IFERROR(INDEX(Nutrition!$L$2:$L$300,MATCH($F255,Nutrition!$A$2:$A$300,0))*$I255/100,0))</f>
        <v>1.5</v>
      </c>
      <c r="S255" s="30">
        <f>IF(OR($F255="",$I255=""),0,IFERROR(INDEX(Nutrition!$M$2:$M$300,MATCH($F255,Nutrition!$A$2:$A$300,0))*$I255/100,0))</f>
        <v>0.10199999999999999</v>
      </c>
    </row>
    <row r="256" spans="1:19" ht="15" customHeight="1" x14ac:dyDescent="0.25">
      <c r="A256" s="22" t="s">
        <v>1331</v>
      </c>
      <c r="B256" s="33" t="str">
        <f>IFERROR(INDEX(Recipes!$B$2:$B$500,MATCH(A256,Recipes!$A$2:$A$500,0)),"")</f>
        <v>Okra &amp; Corn Succotash</v>
      </c>
      <c r="C256" s="7" t="s">
        <v>473</v>
      </c>
      <c r="D256" s="34">
        <v>0.25</v>
      </c>
      <c r="E256" s="22" t="s">
        <v>2754</v>
      </c>
      <c r="F256" s="22" t="s">
        <v>472</v>
      </c>
      <c r="G256" s="22" t="s">
        <v>2755</v>
      </c>
      <c r="H256" s="7"/>
      <c r="I256" s="35">
        <v>2</v>
      </c>
      <c r="J256" s="30">
        <f>IF(OR($F256="",$I256=""),0,IFERROR(INDEX(Nutrition!$D$2:$D$300,MATCH($F256,Nutrition!$A$2:$A$300,0))*$I256/100,0))</f>
        <v>0.03</v>
      </c>
      <c r="K256" s="30">
        <f>IF(OR($F256="",$I256=""),0,IFERROR(INDEX(Nutrition!$E$2:$E$300,MATCH($F256,Nutrition!$A$2:$A$300,0))*$I256/100,0))</f>
        <v>2.8739999999999997</v>
      </c>
      <c r="L256" s="30">
        <f>IF(OR($F256="",$I256=""),0,IFERROR(INDEX(Nutrition!$F$2:$F$300,MATCH($F256,Nutrition!$A$2:$A$300,0))*$I256/100,0))</f>
        <v>0.96</v>
      </c>
      <c r="M256" s="30">
        <f>IF(OR($F256="",$I256=""),0,IFERROR(INDEX(Nutrition!$G$2:$G$300,MATCH($F256,Nutrition!$A$2:$A$300,0))*$I256/100,0))</f>
        <v>0.28000000000000003</v>
      </c>
      <c r="N256" s="30">
        <f>IF(OR($F256="",$I256=""),0,IFERROR(INDEX(Nutrition!$H$2:$H$300,MATCH($F256,Nutrition!$A$2:$A$300,0))*$I256/100,0))</f>
        <v>0.46</v>
      </c>
      <c r="O256" s="30">
        <f>IF(OR($F256="",$I256=""),0,IFERROR(INDEX(Nutrition!$I$2:$I$300,MATCH($F256,Nutrition!$A$2:$A$300,0))*$I256/100,0))</f>
        <v>6.44</v>
      </c>
      <c r="P256" s="30">
        <f>IF(OR($F256="",$I256=""),0,IFERROR(INDEX(Nutrition!$J$2:$J$300,MATCH($F256,Nutrition!$A$2:$A$300,0))*$I256/100,0))</f>
        <v>1.38E-2</v>
      </c>
      <c r="Q256" s="30">
        <f>IF(OR($F256="",$I256=""),0,IFERROR(INDEX(Nutrition!$K$2:$K$300,MATCH($F256,Nutrition!$A$2:$A$300,0))*$I256/100,0))</f>
        <v>1.0120000000000001E-2</v>
      </c>
      <c r="R256" s="30">
        <f>IF(OR($F256="",$I256=""),0,IFERROR(INDEX(Nutrition!$L$2:$L$300,MATCH($F256,Nutrition!$A$2:$A$300,0))*$I256/100,0))</f>
        <v>0.46</v>
      </c>
      <c r="S256" s="30">
        <f>IF(OR($F256="",$I256=""),0,IFERROR(INDEX(Nutrition!$M$2:$M$300,MATCH($F256,Nutrition!$A$2:$A$300,0))*$I256/100,0))</f>
        <v>2.06E-2</v>
      </c>
    </row>
    <row r="257" spans="1:19" ht="15" customHeight="1" x14ac:dyDescent="0.25">
      <c r="A257" s="22" t="s">
        <v>1331</v>
      </c>
      <c r="B257" s="33" t="str">
        <f>IFERROR(INDEX(Recipes!$B$2:$B$500,MATCH(A257,Recipes!$A$2:$A$500,0)),"")</f>
        <v>Okra &amp; Corn Succotash</v>
      </c>
      <c r="C257" s="7" t="s">
        <v>2842</v>
      </c>
      <c r="D257" s="34">
        <v>1</v>
      </c>
      <c r="E257" s="22" t="s">
        <v>2753</v>
      </c>
      <c r="F257" s="22"/>
      <c r="G257" s="22" t="s">
        <v>2749</v>
      </c>
      <c r="H257" s="7"/>
      <c r="I257" s="35"/>
      <c r="J257" s="30">
        <f>IF(OR($F257="",$I257=""),0,IFERROR(INDEX(Nutrition!$D$2:$D$300,MATCH($F257,Nutrition!$A$2:$A$300,0))*$I257/100,0))</f>
        <v>0</v>
      </c>
      <c r="K257" s="30">
        <f>IF(OR($F257="",$I257=""),0,IFERROR(INDEX(Nutrition!$E$2:$E$300,MATCH($F257,Nutrition!$A$2:$A$300,0))*$I257/100,0))</f>
        <v>0</v>
      </c>
      <c r="L257" s="30">
        <f>IF(OR($F257="",$I257=""),0,IFERROR(INDEX(Nutrition!$F$2:$F$300,MATCH($F257,Nutrition!$A$2:$A$300,0))*$I257/100,0))</f>
        <v>0</v>
      </c>
      <c r="M257" s="30">
        <f>IF(OR($F257="",$I257=""),0,IFERROR(INDEX(Nutrition!$G$2:$G$300,MATCH($F257,Nutrition!$A$2:$A$300,0))*$I257/100,0))</f>
        <v>0</v>
      </c>
      <c r="N257" s="30">
        <f>IF(OR($F257="",$I257=""),0,IFERROR(INDEX(Nutrition!$H$2:$H$300,MATCH($F257,Nutrition!$A$2:$A$300,0))*$I257/100,0))</f>
        <v>0</v>
      </c>
      <c r="O257" s="30">
        <f>IF(OR($F257="",$I257=""),0,IFERROR(INDEX(Nutrition!$I$2:$I$300,MATCH($F257,Nutrition!$A$2:$A$300,0))*$I257/100,0))</f>
        <v>0</v>
      </c>
      <c r="P257" s="30">
        <f>IF(OR($F257="",$I257=""),0,IFERROR(INDEX(Nutrition!$J$2:$J$300,MATCH($F257,Nutrition!$A$2:$A$300,0))*$I257/100,0))</f>
        <v>0</v>
      </c>
      <c r="Q257" s="30">
        <f>IF(OR($F257="",$I257=""),0,IFERROR(INDEX(Nutrition!$K$2:$K$300,MATCH($F257,Nutrition!$A$2:$A$300,0))*$I257/100,0))</f>
        <v>0</v>
      </c>
      <c r="R257" s="30">
        <f>IF(OR($F257="",$I257=""),0,IFERROR(INDEX(Nutrition!$L$2:$L$300,MATCH($F257,Nutrition!$A$2:$A$300,0))*$I257/100,0))</f>
        <v>0</v>
      </c>
      <c r="S257" s="30">
        <f>IF(OR($F257="",$I257=""),0,IFERROR(INDEX(Nutrition!$M$2:$M$300,MATCH($F257,Nutrition!$A$2:$A$300,0))*$I257/100,0))</f>
        <v>0</v>
      </c>
    </row>
    <row r="258" spans="1:19" ht="15" customHeight="1" x14ac:dyDescent="0.25">
      <c r="A258" s="22" t="s">
        <v>1331</v>
      </c>
      <c r="B258" s="33" t="str">
        <f>IFERROR(INDEX(Recipes!$B$2:$B$500,MATCH(A258,Recipes!$A$2:$A$500,0)),"")</f>
        <v>Okra &amp; Corn Succotash</v>
      </c>
      <c r="C258" s="7" t="s">
        <v>2772</v>
      </c>
      <c r="D258" s="34">
        <v>1</v>
      </c>
      <c r="E258" s="22" t="s">
        <v>2753</v>
      </c>
      <c r="F258" s="22"/>
      <c r="G258" s="22" t="s">
        <v>2773</v>
      </c>
      <c r="H258" s="7"/>
      <c r="I258" s="35"/>
      <c r="J258" s="30">
        <f>IF(OR($F258="",$I258=""),0,IFERROR(INDEX(Nutrition!$D$2:$D$300,MATCH($F258,Nutrition!$A$2:$A$300,0))*$I258/100,0))</f>
        <v>0</v>
      </c>
      <c r="K258" s="30">
        <f>IF(OR($F258="",$I258=""),0,IFERROR(INDEX(Nutrition!$E$2:$E$300,MATCH($F258,Nutrition!$A$2:$A$300,0))*$I258/100,0))</f>
        <v>0</v>
      </c>
      <c r="L258" s="30">
        <f>IF(OR($F258="",$I258=""),0,IFERROR(INDEX(Nutrition!$F$2:$F$300,MATCH($F258,Nutrition!$A$2:$A$300,0))*$I258/100,0))</f>
        <v>0</v>
      </c>
      <c r="M258" s="30">
        <f>IF(OR($F258="",$I258=""),0,IFERROR(INDEX(Nutrition!$G$2:$G$300,MATCH($F258,Nutrition!$A$2:$A$300,0))*$I258/100,0))</f>
        <v>0</v>
      </c>
      <c r="N258" s="30">
        <f>IF(OR($F258="",$I258=""),0,IFERROR(INDEX(Nutrition!$H$2:$H$300,MATCH($F258,Nutrition!$A$2:$A$300,0))*$I258/100,0))</f>
        <v>0</v>
      </c>
      <c r="O258" s="30">
        <f>IF(OR($F258="",$I258=""),0,IFERROR(INDEX(Nutrition!$I$2:$I$300,MATCH($F258,Nutrition!$A$2:$A$300,0))*$I258/100,0))</f>
        <v>0</v>
      </c>
      <c r="P258" s="30">
        <f>IF(OR($F258="",$I258=""),0,IFERROR(INDEX(Nutrition!$J$2:$J$300,MATCH($F258,Nutrition!$A$2:$A$300,0))*$I258/100,0))</f>
        <v>0</v>
      </c>
      <c r="Q258" s="30">
        <f>IF(OR($F258="",$I258=""),0,IFERROR(INDEX(Nutrition!$K$2:$K$300,MATCH($F258,Nutrition!$A$2:$A$300,0))*$I258/100,0))</f>
        <v>0</v>
      </c>
      <c r="R258" s="30">
        <f>IF(OR($F258="",$I258=""),0,IFERROR(INDEX(Nutrition!$L$2:$L$300,MATCH($F258,Nutrition!$A$2:$A$300,0))*$I258/100,0))</f>
        <v>0</v>
      </c>
      <c r="S258" s="30">
        <f>IF(OR($F258="",$I258=""),0,IFERROR(INDEX(Nutrition!$M$2:$M$300,MATCH($F258,Nutrition!$A$2:$A$300,0))*$I258/100,0))</f>
        <v>0</v>
      </c>
    </row>
    <row r="259" spans="1:19" ht="15" customHeight="1" x14ac:dyDescent="0.25">
      <c r="A259" s="22" t="s">
        <v>1342</v>
      </c>
      <c r="B259" s="33" t="str">
        <f>IFERROR(INDEX(Recipes!$B$2:$B$500,MATCH(A259,Recipes!$A$2:$A$500,0)),"")</f>
        <v>Chicken Suya Power Bowl</v>
      </c>
      <c r="C259" s="7" t="s">
        <v>2806</v>
      </c>
      <c r="D259" s="34">
        <v>2</v>
      </c>
      <c r="E259" s="22" t="s">
        <v>2754</v>
      </c>
      <c r="F259" s="22"/>
      <c r="G259" s="22" t="s">
        <v>2768</v>
      </c>
      <c r="H259" s="7"/>
      <c r="I259" s="35"/>
      <c r="J259" s="30">
        <f>IF(OR($F259="",$I259=""),0,IFERROR(INDEX(Nutrition!$D$2:$D$300,MATCH($F259,Nutrition!$A$2:$A$300,0))*$I259/100,0))</f>
        <v>0</v>
      </c>
      <c r="K259" s="30">
        <f>IF(OR($F259="",$I259=""),0,IFERROR(INDEX(Nutrition!$E$2:$E$300,MATCH($F259,Nutrition!$A$2:$A$300,0))*$I259/100,0))</f>
        <v>0</v>
      </c>
      <c r="L259" s="30">
        <f>IF(OR($F259="",$I259=""),0,IFERROR(INDEX(Nutrition!$F$2:$F$300,MATCH($F259,Nutrition!$A$2:$A$300,0))*$I259/100,0))</f>
        <v>0</v>
      </c>
      <c r="M259" s="30">
        <f>IF(OR($F259="",$I259=""),0,IFERROR(INDEX(Nutrition!$G$2:$G$300,MATCH($F259,Nutrition!$A$2:$A$300,0))*$I259/100,0))</f>
        <v>0</v>
      </c>
      <c r="N259" s="30">
        <f>IF(OR($F259="",$I259=""),0,IFERROR(INDEX(Nutrition!$H$2:$H$300,MATCH($F259,Nutrition!$A$2:$A$300,0))*$I259/100,0))</f>
        <v>0</v>
      </c>
      <c r="O259" s="30">
        <f>IF(OR($F259="",$I259=""),0,IFERROR(INDEX(Nutrition!$I$2:$I$300,MATCH($F259,Nutrition!$A$2:$A$300,0))*$I259/100,0))</f>
        <v>0</v>
      </c>
      <c r="P259" s="30">
        <f>IF(OR($F259="",$I259=""),0,IFERROR(INDEX(Nutrition!$J$2:$J$300,MATCH($F259,Nutrition!$A$2:$A$300,0))*$I259/100,0))</f>
        <v>0</v>
      </c>
      <c r="Q259" s="30">
        <f>IF(OR($F259="",$I259=""),0,IFERROR(INDEX(Nutrition!$K$2:$K$300,MATCH($F259,Nutrition!$A$2:$A$300,0))*$I259/100,0))</f>
        <v>0</v>
      </c>
      <c r="R259" s="30">
        <f>IF(OR($F259="",$I259=""),0,IFERROR(INDEX(Nutrition!$L$2:$L$300,MATCH($F259,Nutrition!$A$2:$A$300,0))*$I259/100,0))</f>
        <v>0</v>
      </c>
      <c r="S259" s="30">
        <f>IF(OR($F259="",$I259=""),0,IFERROR(INDEX(Nutrition!$M$2:$M$300,MATCH($F259,Nutrition!$A$2:$A$300,0))*$I259/100,0))</f>
        <v>0</v>
      </c>
    </row>
    <row r="260" spans="1:19" ht="15" customHeight="1" x14ac:dyDescent="0.25">
      <c r="A260" s="22" t="s">
        <v>1342</v>
      </c>
      <c r="B260" s="33" t="str">
        <f>IFERROR(INDEX(Recipes!$B$2:$B$500,MATCH(A260,Recipes!$A$2:$A$500,0)),"")</f>
        <v>Chicken Suya Power Bowl</v>
      </c>
      <c r="C260" s="7" t="s">
        <v>2843</v>
      </c>
      <c r="D260" s="34">
        <v>1</v>
      </c>
      <c r="E260" s="22" t="s">
        <v>2748</v>
      </c>
      <c r="F260" s="22"/>
      <c r="G260" s="22" t="s">
        <v>2749</v>
      </c>
      <c r="H260" s="7" t="s">
        <v>2844</v>
      </c>
      <c r="I260" s="35"/>
      <c r="J260" s="30">
        <f>IF(OR($F260="",$I260=""),0,IFERROR(INDEX(Nutrition!$D$2:$D$300,MATCH($F260,Nutrition!$A$2:$A$300,0))*$I260/100,0))</f>
        <v>0</v>
      </c>
      <c r="K260" s="30">
        <f>IF(OR($F260="",$I260=""),0,IFERROR(INDEX(Nutrition!$E$2:$E$300,MATCH($F260,Nutrition!$A$2:$A$300,0))*$I260/100,0))</f>
        <v>0</v>
      </c>
      <c r="L260" s="30">
        <f>IF(OR($F260="",$I260=""),0,IFERROR(INDEX(Nutrition!$F$2:$F$300,MATCH($F260,Nutrition!$A$2:$A$300,0))*$I260/100,0))</f>
        <v>0</v>
      </c>
      <c r="M260" s="30">
        <f>IF(OR($F260="",$I260=""),0,IFERROR(INDEX(Nutrition!$G$2:$G$300,MATCH($F260,Nutrition!$A$2:$A$300,0))*$I260/100,0))</f>
        <v>0</v>
      </c>
      <c r="N260" s="30">
        <f>IF(OR($F260="",$I260=""),0,IFERROR(INDEX(Nutrition!$H$2:$H$300,MATCH($F260,Nutrition!$A$2:$A$300,0))*$I260/100,0))</f>
        <v>0</v>
      </c>
      <c r="O260" s="30">
        <f>IF(OR($F260="",$I260=""),0,IFERROR(INDEX(Nutrition!$I$2:$I$300,MATCH($F260,Nutrition!$A$2:$A$300,0))*$I260/100,0))</f>
        <v>0</v>
      </c>
      <c r="P260" s="30">
        <f>IF(OR($F260="",$I260=""),0,IFERROR(INDEX(Nutrition!$J$2:$J$300,MATCH($F260,Nutrition!$A$2:$A$300,0))*$I260/100,0))</f>
        <v>0</v>
      </c>
      <c r="Q260" s="30">
        <f>IF(OR($F260="",$I260=""),0,IFERROR(INDEX(Nutrition!$K$2:$K$300,MATCH($F260,Nutrition!$A$2:$A$300,0))*$I260/100,0))</f>
        <v>0</v>
      </c>
      <c r="R260" s="30">
        <f>IF(OR($F260="",$I260=""),0,IFERROR(INDEX(Nutrition!$L$2:$L$300,MATCH($F260,Nutrition!$A$2:$A$300,0))*$I260/100,0))</f>
        <v>0</v>
      </c>
      <c r="S260" s="30">
        <f>IF(OR($F260="",$I260=""),0,IFERROR(INDEX(Nutrition!$M$2:$M$300,MATCH($F260,Nutrition!$A$2:$A$300,0))*$I260/100,0))</f>
        <v>0</v>
      </c>
    </row>
    <row r="261" spans="1:19" ht="15" customHeight="1" x14ac:dyDescent="0.25">
      <c r="A261" s="22" t="s">
        <v>1342</v>
      </c>
      <c r="B261" s="33" t="str">
        <f>IFERROR(INDEX(Recipes!$B$2:$B$500,MATCH(A261,Recipes!$A$2:$A$500,0)),"")</f>
        <v>Chicken Suya Power Bowl</v>
      </c>
      <c r="C261" s="7" t="s">
        <v>537</v>
      </c>
      <c r="D261" s="34">
        <v>0.25</v>
      </c>
      <c r="E261" s="22" t="s">
        <v>2808</v>
      </c>
      <c r="F261" s="22" t="s">
        <v>536</v>
      </c>
      <c r="G261" s="22" t="s">
        <v>2755</v>
      </c>
      <c r="H261" s="7"/>
      <c r="I261" s="35">
        <v>227</v>
      </c>
      <c r="J261" s="30">
        <f>IF(OR($F261="",$I261=""),0,IFERROR(INDEX(Nutrition!$D$2:$D$300,MATCH($F261,Nutrition!$A$2:$A$300,0))*$I261/100,0))</f>
        <v>5.6749999999999998</v>
      </c>
      <c r="K261" s="30">
        <f>IF(OR($F261="",$I261=""),0,IFERROR(INDEX(Nutrition!$E$2:$E$300,MATCH($F261,Nutrition!$A$2:$A$300,0))*$I261/100,0))</f>
        <v>83.082000000000008</v>
      </c>
      <c r="L261" s="30">
        <f>IF(OR($F261="",$I261=""),0,IFERROR(INDEX(Nutrition!$F$2:$F$300,MATCH($F261,Nutrition!$A$2:$A$300,0))*$I261/100,0))</f>
        <v>11.35</v>
      </c>
      <c r="M261" s="30">
        <f>IF(OR($F261="",$I261=""),0,IFERROR(INDEX(Nutrition!$G$2:$G$300,MATCH($F261,Nutrition!$A$2:$A$300,0))*$I261/100,0))</f>
        <v>172.52</v>
      </c>
      <c r="N261" s="30">
        <f>IF(OR($F261="",$I261=""),0,IFERROR(INDEX(Nutrition!$H$2:$H$300,MATCH($F261,Nutrition!$A$2:$A$300,0))*$I261/100,0))</f>
        <v>97.61</v>
      </c>
      <c r="O261" s="30">
        <f>IF(OR($F261="",$I261=""),0,IFERROR(INDEX(Nutrition!$I$2:$I$300,MATCH($F261,Nutrition!$A$2:$A$300,0))*$I261/100,0))</f>
        <v>385.9</v>
      </c>
      <c r="P261" s="30">
        <f>IF(OR($F261="",$I261=""),0,IFERROR(INDEX(Nutrition!$J$2:$J$300,MATCH($F261,Nutrition!$A$2:$A$300,0))*$I261/100,0))</f>
        <v>0.34049999999999997</v>
      </c>
      <c r="Q261" s="30">
        <f>IF(OR($F261="",$I261=""),0,IFERROR(INDEX(Nutrition!$K$2:$K$300,MATCH($F261,Nutrition!$A$2:$A$300,0))*$I261/100,0))</f>
        <v>0.28148000000000001</v>
      </c>
      <c r="R261" s="30">
        <f>IF(OR($F261="",$I261=""),0,IFERROR(INDEX(Nutrition!$L$2:$L$300,MATCH($F261,Nutrition!$A$2:$A$300,0))*$I261/100,0))</f>
        <v>27.24</v>
      </c>
      <c r="S261" s="30">
        <f>IF(OR($F261="",$I261=""),0,IFERROR(INDEX(Nutrition!$M$2:$M$300,MATCH($F261,Nutrition!$A$2:$A$300,0))*$I261/100,0))</f>
        <v>1.0669</v>
      </c>
    </row>
    <row r="262" spans="1:19" ht="15" customHeight="1" x14ac:dyDescent="0.25">
      <c r="A262" s="22" t="s">
        <v>1342</v>
      </c>
      <c r="B262" s="33" t="str">
        <f>IFERROR(INDEX(Recipes!$B$2:$B$500,MATCH(A262,Recipes!$A$2:$A$500,0)),"")</f>
        <v>Chicken Suya Power Bowl</v>
      </c>
      <c r="C262" s="7" t="s">
        <v>446</v>
      </c>
      <c r="D262" s="34">
        <v>2</v>
      </c>
      <c r="E262" s="22" t="s">
        <v>2754</v>
      </c>
      <c r="F262" s="22" t="s">
        <v>445</v>
      </c>
      <c r="G262" s="22" t="s">
        <v>2755</v>
      </c>
      <c r="H262" s="7"/>
      <c r="I262" s="35">
        <v>124</v>
      </c>
      <c r="J262" s="30">
        <f>IF(OR($F262="",$I262=""),0,IFERROR(INDEX(Nutrition!$D$2:$D$300,MATCH($F262,Nutrition!$A$2:$A$300,0))*$I262/100,0))</f>
        <v>1.4879999999999998</v>
      </c>
      <c r="K262" s="30">
        <f>IF(OR($F262="",$I262=""),0,IFERROR(INDEX(Nutrition!$E$2:$E$300,MATCH($F262,Nutrition!$A$2:$A$300,0))*$I262/100,0))</f>
        <v>16.988</v>
      </c>
      <c r="L262" s="30">
        <f>IF(OR($F262="",$I262=""),0,IFERROR(INDEX(Nutrition!$F$2:$F$300,MATCH($F262,Nutrition!$A$2:$A$300,0))*$I262/100,0))</f>
        <v>52.08</v>
      </c>
      <c r="M262" s="30">
        <f>IF(OR($F262="",$I262=""),0,IFERROR(INDEX(Nutrition!$G$2:$G$300,MATCH($F262,Nutrition!$A$2:$A$300,0))*$I262/100,0))</f>
        <v>9.7959999999999994</v>
      </c>
      <c r="N262" s="30">
        <f>IF(OR($F262="",$I262=""),0,IFERROR(INDEX(Nutrition!$H$2:$H$300,MATCH($F262,Nutrition!$A$2:$A$300,0))*$I262/100,0))</f>
        <v>18.600000000000001</v>
      </c>
      <c r="O262" s="30">
        <f>IF(OR($F262="",$I262=""),0,IFERROR(INDEX(Nutrition!$I$2:$I$300,MATCH($F262,Nutrition!$A$2:$A$300,0))*$I262/100,0))</f>
        <v>293.88</v>
      </c>
      <c r="P262" s="30">
        <f>IF(OR($F262="",$I262=""),0,IFERROR(INDEX(Nutrition!$J$2:$J$300,MATCH($F262,Nutrition!$A$2:$A$300,0))*$I262/100,0))</f>
        <v>0.66960000000000008</v>
      </c>
      <c r="Q262" s="30">
        <f>IF(OR($F262="",$I262=""),0,IFERROR(INDEX(Nutrition!$K$2:$K$300,MATCH($F262,Nutrition!$A$2:$A$300,0))*$I262/100,0))</f>
        <v>9.9199999999999997E-2</v>
      </c>
      <c r="R262" s="30">
        <f>IF(OR($F262="",$I262=""),0,IFERROR(INDEX(Nutrition!$L$2:$L$300,MATCH($F262,Nutrition!$A$2:$A$300,0))*$I262/100,0))</f>
        <v>13.64</v>
      </c>
      <c r="S262" s="30">
        <f>IF(OR($F262="",$I262=""),0,IFERROR(INDEX(Nutrition!$M$2:$M$300,MATCH($F262,Nutrition!$A$2:$A$300,0))*$I262/100,0))</f>
        <v>0.33480000000000004</v>
      </c>
    </row>
    <row r="263" spans="1:19" ht="15" customHeight="1" x14ac:dyDescent="0.25">
      <c r="A263" s="22" t="s">
        <v>1342</v>
      </c>
      <c r="B263" s="33" t="str">
        <f>IFERROR(INDEX(Recipes!$B$2:$B$500,MATCH(A263,Recipes!$A$2:$A$500,0)),"")</f>
        <v>Chicken Suya Power Bowl</v>
      </c>
      <c r="C263" s="7" t="s">
        <v>482</v>
      </c>
      <c r="D263" s="34">
        <v>1</v>
      </c>
      <c r="E263" s="22" t="s">
        <v>2754</v>
      </c>
      <c r="F263" s="22" t="s">
        <v>481</v>
      </c>
      <c r="G263" s="22" t="s">
        <v>2755</v>
      </c>
      <c r="H263" s="7" t="s">
        <v>2784</v>
      </c>
      <c r="I263" s="35">
        <v>110</v>
      </c>
      <c r="J263" s="30">
        <f>IF(OR($F263="",$I263=""),0,IFERROR(INDEX(Nutrition!$D$2:$D$300,MATCH($F263,Nutrition!$A$2:$A$300,0))*$I263/100,0))</f>
        <v>1.87</v>
      </c>
      <c r="K263" s="30">
        <f>IF(OR($F263="",$I263=""),0,IFERROR(INDEX(Nutrition!$E$2:$E$300,MATCH($F263,Nutrition!$A$2:$A$300,0))*$I263/100,0))</f>
        <v>8.14</v>
      </c>
      <c r="L263" s="30">
        <f>IF(OR($F263="",$I263=""),0,IFERROR(INDEX(Nutrition!$F$2:$F$300,MATCH($F263,Nutrition!$A$2:$A$300,0))*$I263/100,0))</f>
        <v>0</v>
      </c>
      <c r="M263" s="30">
        <f>IF(OR($F263="",$I263=""),0,IFERROR(INDEX(Nutrition!$G$2:$G$300,MATCH($F263,Nutrition!$A$2:$A$300,0))*$I263/100,0))</f>
        <v>0.44</v>
      </c>
      <c r="N263" s="30">
        <f>IF(OR($F263="",$I263=""),0,IFERROR(INDEX(Nutrition!$H$2:$H$300,MATCH($F263,Nutrition!$A$2:$A$300,0))*$I263/100,0))</f>
        <v>20.9</v>
      </c>
      <c r="O263" s="30">
        <f>IF(OR($F263="",$I263=""),0,IFERROR(INDEX(Nutrition!$I$2:$I$300,MATCH($F263,Nutrition!$A$2:$A$300,0))*$I263/100,0))</f>
        <v>160.6</v>
      </c>
      <c r="P263" s="30">
        <f>IF(OR($F263="",$I263=""),0,IFERROR(INDEX(Nutrition!$J$2:$J$300,MATCH($F263,Nutrition!$A$2:$A$300,0))*$I263/100,0))</f>
        <v>2.2000000000000002E-2</v>
      </c>
      <c r="Q263" s="30">
        <f>IF(OR($F263="",$I263=""),0,IFERROR(INDEX(Nutrition!$K$2:$K$300,MATCH($F263,Nutrition!$A$2:$A$300,0))*$I263/100,0))</f>
        <v>0.13200000000000001</v>
      </c>
      <c r="R263" s="30">
        <f>IF(OR($F263="",$I263=""),0,IFERROR(INDEX(Nutrition!$L$2:$L$300,MATCH($F263,Nutrition!$A$2:$A$300,0))*$I263/100,0))</f>
        <v>11</v>
      </c>
      <c r="S263" s="30">
        <f>IF(OR($F263="",$I263=""),0,IFERROR(INDEX(Nutrition!$M$2:$M$300,MATCH($F263,Nutrition!$A$2:$A$300,0))*$I263/100,0))</f>
        <v>0.23099999999999998</v>
      </c>
    </row>
    <row r="264" spans="1:19" ht="15" customHeight="1" x14ac:dyDescent="0.25">
      <c r="A264" s="22" t="s">
        <v>1342</v>
      </c>
      <c r="B264" s="33" t="str">
        <f>IFERROR(INDEX(Recipes!$B$2:$B$500,MATCH(A264,Recipes!$A$2:$A$500,0)),"")</f>
        <v>Chicken Suya Power Bowl</v>
      </c>
      <c r="C264" s="7" t="s">
        <v>523</v>
      </c>
      <c r="D264" s="34">
        <v>1</v>
      </c>
      <c r="E264" s="22" t="s">
        <v>2754</v>
      </c>
      <c r="F264" s="22" t="s">
        <v>522</v>
      </c>
      <c r="G264" s="22" t="s">
        <v>2755</v>
      </c>
      <c r="H264" s="7"/>
      <c r="I264" s="35">
        <v>301</v>
      </c>
      <c r="J264" s="30">
        <f>IF(OR($F264="",$I264=""),0,IFERROR(INDEX(Nutrition!$D$2:$D$300,MATCH($F264,Nutrition!$A$2:$A$300,0))*$I264/100,0))</f>
        <v>1.5049999999999999</v>
      </c>
      <c r="K264" s="30">
        <f>IF(OR($F264="",$I264=""),0,IFERROR(INDEX(Nutrition!$E$2:$E$300,MATCH($F264,Nutrition!$A$2:$A$300,0))*$I264/100,0))</f>
        <v>8.427999999999999</v>
      </c>
      <c r="L264" s="30">
        <f>IF(OR($F264="",$I264=""),0,IFERROR(INDEX(Nutrition!$F$2:$F$300,MATCH($F264,Nutrition!$A$2:$A$300,0))*$I264/100,0))</f>
        <v>15.05</v>
      </c>
      <c r="M264" s="30">
        <f>IF(OR($F264="",$I264=""),0,IFERROR(INDEX(Nutrition!$G$2:$G$300,MATCH($F264,Nutrition!$A$2:$A$300,0))*$I264/100,0))</f>
        <v>49.363999999999997</v>
      </c>
      <c r="N264" s="30">
        <f>IF(OR($F264="",$I264=""),0,IFERROR(INDEX(Nutrition!$H$2:$H$300,MATCH($F264,Nutrition!$A$2:$A$300,0))*$I264/100,0))</f>
        <v>21.07</v>
      </c>
      <c r="O264" s="30">
        <f>IF(OR($F264="",$I264=""),0,IFERROR(INDEX(Nutrition!$I$2:$I$300,MATCH($F264,Nutrition!$A$2:$A$300,0))*$I264/100,0))</f>
        <v>442.47</v>
      </c>
      <c r="P264" s="30">
        <f>IF(OR($F264="",$I264=""),0,IFERROR(INDEX(Nutrition!$J$2:$J$300,MATCH($F264,Nutrition!$A$2:$A$300,0))*$I264/100,0))</f>
        <v>9.0299999999999991E-2</v>
      </c>
      <c r="Q264" s="30">
        <f>IF(OR($F264="",$I264=""),0,IFERROR(INDEX(Nutrition!$K$2:$K$300,MATCH($F264,Nutrition!$A$2:$A$300,0))*$I264/100,0))</f>
        <v>0.12040000000000001</v>
      </c>
      <c r="R264" s="30">
        <f>IF(OR($F264="",$I264=""),0,IFERROR(INDEX(Nutrition!$L$2:$L$300,MATCH($F264,Nutrition!$A$2:$A$300,0))*$I264/100,0))</f>
        <v>39.130000000000003</v>
      </c>
      <c r="S264" s="30">
        <f>IF(OR($F264="",$I264=""),0,IFERROR(INDEX(Nutrition!$M$2:$M$300,MATCH($F264,Nutrition!$A$2:$A$300,0))*$I264/100,0))</f>
        <v>0.84279999999999999</v>
      </c>
    </row>
    <row r="265" spans="1:19" ht="15" customHeight="1" x14ac:dyDescent="0.25">
      <c r="A265" s="22" t="s">
        <v>1342</v>
      </c>
      <c r="B265" s="33" t="str">
        <f>IFERROR(INDEX(Recipes!$B$2:$B$500,MATCH(A265,Recipes!$A$2:$A$500,0)),"")</f>
        <v>Chicken Suya Power Bowl</v>
      </c>
      <c r="C265" s="7" t="s">
        <v>227</v>
      </c>
      <c r="D265" s="34">
        <v>0.5</v>
      </c>
      <c r="E265" s="22" t="s">
        <v>2754</v>
      </c>
      <c r="F265" s="22" t="s">
        <v>226</v>
      </c>
      <c r="G265" s="22" t="s">
        <v>2755</v>
      </c>
      <c r="H265" s="7"/>
      <c r="I265" s="35">
        <v>100</v>
      </c>
      <c r="J265" s="30">
        <f>IF(OR($F265="",$I265=""),0,IFERROR(INDEX(Nutrition!$D$2:$D$300,MATCH($F265,Nutrition!$A$2:$A$300,0))*$I265/100,0))</f>
        <v>6.7</v>
      </c>
      <c r="K265" s="30">
        <f>IF(OR($F265="",$I265=""),0,IFERROR(INDEX(Nutrition!$E$2:$E$300,MATCH($F265,Nutrition!$A$2:$A$300,0))*$I265/100,0))</f>
        <v>10</v>
      </c>
      <c r="L265" s="30">
        <f>IF(OR($F265="",$I265=""),0,IFERROR(INDEX(Nutrition!$F$2:$F$300,MATCH($F265,Nutrition!$A$2:$A$300,0))*$I265/100,0))</f>
        <v>7</v>
      </c>
      <c r="M265" s="30">
        <f>IF(OR($F265="",$I265=""),0,IFERROR(INDEX(Nutrition!$G$2:$G$300,MATCH($F265,Nutrition!$A$2:$A$300,0))*$I265/100,0))</f>
        <v>21</v>
      </c>
      <c r="N265" s="30">
        <f>IF(OR($F265="",$I265=""),0,IFERROR(INDEX(Nutrition!$H$2:$H$300,MATCH($F265,Nutrition!$A$2:$A$300,0))*$I265/100,0))</f>
        <v>81</v>
      </c>
      <c r="O265" s="30">
        <f>IF(OR($F265="",$I265=""),0,IFERROR(INDEX(Nutrition!$I$2:$I$300,MATCH($F265,Nutrition!$A$2:$A$300,0))*$I265/100,0))</f>
        <v>485</v>
      </c>
      <c r="P265" s="30">
        <f>IF(OR($F265="",$I265=""),0,IFERROR(INDEX(Nutrition!$J$2:$J$300,MATCH($F265,Nutrition!$A$2:$A$300,0))*$I265/100,0))</f>
        <v>2.0699999999999998</v>
      </c>
      <c r="Q265" s="30">
        <f>IF(OR($F265="",$I265=""),0,IFERROR(INDEX(Nutrition!$K$2:$K$300,MATCH($F265,Nutrition!$A$2:$A$300,0))*$I265/100,0))</f>
        <v>0.25700000000000001</v>
      </c>
      <c r="R265" s="30">
        <f>IF(OR($F265="",$I265=""),0,IFERROR(INDEX(Nutrition!$L$2:$L$300,MATCH($F265,Nutrition!$A$2:$A$300,0))*$I265/100,0))</f>
        <v>29</v>
      </c>
      <c r="S265" s="30">
        <f>IF(OR($F265="",$I265=""),0,IFERROR(INDEX(Nutrition!$M$2:$M$300,MATCH($F265,Nutrition!$A$2:$A$300,0))*$I265/100,0))</f>
        <v>0.55000000000000004</v>
      </c>
    </row>
    <row r="266" spans="1:19" ht="15" customHeight="1" x14ac:dyDescent="0.25">
      <c r="A266" s="22" t="s">
        <v>1342</v>
      </c>
      <c r="B266" s="33" t="str">
        <f>IFERROR(INDEX(Recipes!$B$2:$B$500,MATCH(A266,Recipes!$A$2:$A$500,0)),"")</f>
        <v>Chicken Suya Power Bowl</v>
      </c>
      <c r="C266" s="7" t="s">
        <v>213</v>
      </c>
      <c r="D266" s="34">
        <v>1</v>
      </c>
      <c r="E266" s="22" t="s">
        <v>2754</v>
      </c>
      <c r="F266" s="22" t="s">
        <v>212</v>
      </c>
      <c r="G266" s="22" t="s">
        <v>2755</v>
      </c>
      <c r="H266" s="7"/>
      <c r="I266" s="35">
        <v>67</v>
      </c>
      <c r="J266" s="30">
        <f>IF(OR($F266="",$I266=""),0,IFERROR(INDEX(Nutrition!$D$2:$D$300,MATCH($F266,Nutrition!$A$2:$A$300,0))*$I266/100,0))</f>
        <v>1.8759999999999999</v>
      </c>
      <c r="K266" s="30">
        <f>IF(OR($F266="",$I266=""),0,IFERROR(INDEX(Nutrition!$E$2:$E$300,MATCH($F266,Nutrition!$A$2:$A$300,0))*$I266/100,0))</f>
        <v>19.497</v>
      </c>
      <c r="L266" s="30">
        <f>IF(OR($F266="",$I266=""),0,IFERROR(INDEX(Nutrition!$F$2:$F$300,MATCH($F266,Nutrition!$A$2:$A$300,0))*$I266/100,0))</f>
        <v>1.34</v>
      </c>
      <c r="M266" s="30">
        <f>IF(OR($F266="",$I266=""),0,IFERROR(INDEX(Nutrition!$G$2:$G$300,MATCH($F266,Nutrition!$A$2:$A$300,0))*$I266/100,0))</f>
        <v>0.40199999999999997</v>
      </c>
      <c r="N266" s="30">
        <f>IF(OR($F266="",$I266=""),0,IFERROR(INDEX(Nutrition!$H$2:$H$300,MATCH($F266,Nutrition!$A$2:$A$300,0))*$I266/100,0))</f>
        <v>5.36</v>
      </c>
      <c r="O266" s="30">
        <f>IF(OR($F266="",$I266=""),0,IFERROR(INDEX(Nutrition!$I$2:$I$300,MATCH($F266,Nutrition!$A$2:$A$300,0))*$I266/100,0))</f>
        <v>68.34</v>
      </c>
      <c r="P266" s="30">
        <f>IF(OR($F266="",$I266=""),0,IFERROR(INDEX(Nutrition!$J$2:$J$300,MATCH($F266,Nutrition!$A$2:$A$300,0))*$I266/100,0))</f>
        <v>0.1474</v>
      </c>
      <c r="Q266" s="30">
        <f>IF(OR($F266="",$I266=""),0,IFERROR(INDEX(Nutrition!$K$2:$K$300,MATCH($F266,Nutrition!$A$2:$A$300,0))*$I266/100,0))</f>
        <v>2.8809999999999999E-2</v>
      </c>
      <c r="R266" s="30">
        <f>IF(OR($F266="",$I266=""),0,IFERROR(INDEX(Nutrition!$L$2:$L$300,MATCH($F266,Nutrition!$A$2:$A$300,0))*$I266/100,0))</f>
        <v>4.0199999999999996</v>
      </c>
      <c r="S266" s="30">
        <f>IF(OR($F266="",$I266=""),0,IFERROR(INDEX(Nutrition!$M$2:$M$300,MATCH($F266,Nutrition!$A$2:$A$300,0))*$I266/100,0))</f>
        <v>0.40199999999999997</v>
      </c>
    </row>
    <row r="267" spans="1:19" ht="15" customHeight="1" x14ac:dyDescent="0.25">
      <c r="A267" s="22" t="s">
        <v>1342</v>
      </c>
      <c r="B267" s="33" t="str">
        <f>IFERROR(INDEX(Recipes!$B$2:$B$500,MATCH(A267,Recipes!$A$2:$A$500,0)),"")</f>
        <v>Chicken Suya Power Bowl</v>
      </c>
      <c r="C267" s="7" t="s">
        <v>2798</v>
      </c>
      <c r="D267" s="34">
        <v>2</v>
      </c>
      <c r="E267" s="22" t="s">
        <v>2753</v>
      </c>
      <c r="F267" s="22"/>
      <c r="G267" s="22" t="s">
        <v>2749</v>
      </c>
      <c r="H267" s="7"/>
      <c r="I267" s="35"/>
      <c r="J267" s="30">
        <f>IF(OR($F267="",$I267=""),0,IFERROR(INDEX(Nutrition!$D$2:$D$300,MATCH($F267,Nutrition!$A$2:$A$300,0))*$I267/100,0))</f>
        <v>0</v>
      </c>
      <c r="K267" s="30">
        <f>IF(OR($F267="",$I267=""),0,IFERROR(INDEX(Nutrition!$E$2:$E$300,MATCH($F267,Nutrition!$A$2:$A$300,0))*$I267/100,0))</f>
        <v>0</v>
      </c>
      <c r="L267" s="30">
        <f>IF(OR($F267="",$I267=""),0,IFERROR(INDEX(Nutrition!$F$2:$F$300,MATCH($F267,Nutrition!$A$2:$A$300,0))*$I267/100,0))</f>
        <v>0</v>
      </c>
      <c r="M267" s="30">
        <f>IF(OR($F267="",$I267=""),0,IFERROR(INDEX(Nutrition!$G$2:$G$300,MATCH($F267,Nutrition!$A$2:$A$300,0))*$I267/100,0))</f>
        <v>0</v>
      </c>
      <c r="N267" s="30">
        <f>IF(OR($F267="",$I267=""),0,IFERROR(INDEX(Nutrition!$H$2:$H$300,MATCH($F267,Nutrition!$A$2:$A$300,0))*$I267/100,0))</f>
        <v>0</v>
      </c>
      <c r="O267" s="30">
        <f>IF(OR($F267="",$I267=""),0,IFERROR(INDEX(Nutrition!$I$2:$I$300,MATCH($F267,Nutrition!$A$2:$A$300,0))*$I267/100,0))</f>
        <v>0</v>
      </c>
      <c r="P267" s="30">
        <f>IF(OR($F267="",$I267=""),0,IFERROR(INDEX(Nutrition!$J$2:$J$300,MATCH($F267,Nutrition!$A$2:$A$300,0))*$I267/100,0))</f>
        <v>0</v>
      </c>
      <c r="Q267" s="30">
        <f>IF(OR($F267="",$I267=""),0,IFERROR(INDEX(Nutrition!$K$2:$K$300,MATCH($F267,Nutrition!$A$2:$A$300,0))*$I267/100,0))</f>
        <v>0</v>
      </c>
      <c r="R267" s="30">
        <f>IF(OR($F267="",$I267=""),0,IFERROR(INDEX(Nutrition!$L$2:$L$300,MATCH($F267,Nutrition!$A$2:$A$300,0))*$I267/100,0))</f>
        <v>0</v>
      </c>
      <c r="S267" s="30">
        <f>IF(OR($F267="",$I267=""),0,IFERROR(INDEX(Nutrition!$M$2:$M$300,MATCH($F267,Nutrition!$A$2:$A$300,0))*$I267/100,0))</f>
        <v>0</v>
      </c>
    </row>
    <row r="268" spans="1:19" ht="15" customHeight="1" x14ac:dyDescent="0.25">
      <c r="A268" s="22" t="s">
        <v>1342</v>
      </c>
      <c r="B268" s="33" t="str">
        <f>IFERROR(INDEX(Recipes!$B$2:$B$500,MATCH(A268,Recipes!$A$2:$A$500,0)),"")</f>
        <v>Chicken Suya Power Bowl</v>
      </c>
      <c r="C268" s="7" t="s">
        <v>2772</v>
      </c>
      <c r="D268" s="34">
        <v>1</v>
      </c>
      <c r="E268" s="22" t="s">
        <v>2753</v>
      </c>
      <c r="F268" s="22"/>
      <c r="G268" s="22" t="s">
        <v>2773</v>
      </c>
      <c r="H268" s="7"/>
      <c r="I268" s="35"/>
      <c r="J268" s="30">
        <f>IF(OR($F268="",$I268=""),0,IFERROR(INDEX(Nutrition!$D$2:$D$300,MATCH($F268,Nutrition!$A$2:$A$300,0))*$I268/100,0))</f>
        <v>0</v>
      </c>
      <c r="K268" s="30">
        <f>IF(OR($F268="",$I268=""),0,IFERROR(INDEX(Nutrition!$E$2:$E$300,MATCH($F268,Nutrition!$A$2:$A$300,0))*$I268/100,0))</f>
        <v>0</v>
      </c>
      <c r="L268" s="30">
        <f>IF(OR($F268="",$I268=""),0,IFERROR(INDEX(Nutrition!$F$2:$F$300,MATCH($F268,Nutrition!$A$2:$A$300,0))*$I268/100,0))</f>
        <v>0</v>
      </c>
      <c r="M268" s="30">
        <f>IF(OR($F268="",$I268=""),0,IFERROR(INDEX(Nutrition!$G$2:$G$300,MATCH($F268,Nutrition!$A$2:$A$300,0))*$I268/100,0))</f>
        <v>0</v>
      </c>
      <c r="N268" s="30">
        <f>IF(OR($F268="",$I268=""),0,IFERROR(INDEX(Nutrition!$H$2:$H$300,MATCH($F268,Nutrition!$A$2:$A$300,0))*$I268/100,0))</f>
        <v>0</v>
      </c>
      <c r="O268" s="30">
        <f>IF(OR($F268="",$I268=""),0,IFERROR(INDEX(Nutrition!$I$2:$I$300,MATCH($F268,Nutrition!$A$2:$A$300,0))*$I268/100,0))</f>
        <v>0</v>
      </c>
      <c r="P268" s="30">
        <f>IF(OR($F268="",$I268=""),0,IFERROR(INDEX(Nutrition!$J$2:$J$300,MATCH($F268,Nutrition!$A$2:$A$300,0))*$I268/100,0))</f>
        <v>0</v>
      </c>
      <c r="Q268" s="30">
        <f>IF(OR($F268="",$I268=""),0,IFERROR(INDEX(Nutrition!$K$2:$K$300,MATCH($F268,Nutrition!$A$2:$A$300,0))*$I268/100,0))</f>
        <v>0</v>
      </c>
      <c r="R268" s="30">
        <f>IF(OR($F268="",$I268=""),0,IFERROR(INDEX(Nutrition!$L$2:$L$300,MATCH($F268,Nutrition!$A$2:$A$300,0))*$I268/100,0))</f>
        <v>0</v>
      </c>
      <c r="S268" s="30">
        <f>IF(OR($F268="",$I268=""),0,IFERROR(INDEX(Nutrition!$M$2:$M$300,MATCH($F268,Nutrition!$A$2:$A$300,0))*$I268/100,0))</f>
        <v>0</v>
      </c>
    </row>
    <row r="269" spans="1:19" ht="15" customHeight="1" x14ac:dyDescent="0.25">
      <c r="A269" s="22" t="s">
        <v>1356</v>
      </c>
      <c r="B269" s="33" t="str">
        <f>IFERROR(INDEX(Recipes!$B$2:$B$500,MATCH(A269,Recipes!$A$2:$A$500,0)),"")</f>
        <v>Burrito Bowl</v>
      </c>
      <c r="C269" s="7" t="s">
        <v>2801</v>
      </c>
      <c r="D269" s="34">
        <v>1</v>
      </c>
      <c r="E269" s="22" t="s">
        <v>2748</v>
      </c>
      <c r="F269" s="22"/>
      <c r="G269" s="22" t="s">
        <v>2749</v>
      </c>
      <c r="H269" s="7" t="s">
        <v>2844</v>
      </c>
      <c r="I269" s="35"/>
      <c r="J269" s="30">
        <f>IF(OR($F269="",$I269=""),0,IFERROR(INDEX(Nutrition!$D$2:$D$300,MATCH($F269,Nutrition!$A$2:$A$300,0))*$I269/100,0))</f>
        <v>0</v>
      </c>
      <c r="K269" s="30">
        <f>IF(OR($F269="",$I269=""),0,IFERROR(INDEX(Nutrition!$E$2:$E$300,MATCH($F269,Nutrition!$A$2:$A$300,0))*$I269/100,0))</f>
        <v>0</v>
      </c>
      <c r="L269" s="30">
        <f>IF(OR($F269="",$I269=""),0,IFERROR(INDEX(Nutrition!$F$2:$F$300,MATCH($F269,Nutrition!$A$2:$A$300,0))*$I269/100,0))</f>
        <v>0</v>
      </c>
      <c r="M269" s="30">
        <f>IF(OR($F269="",$I269=""),0,IFERROR(INDEX(Nutrition!$G$2:$G$300,MATCH($F269,Nutrition!$A$2:$A$300,0))*$I269/100,0))</f>
        <v>0</v>
      </c>
      <c r="N269" s="30">
        <f>IF(OR($F269="",$I269=""),0,IFERROR(INDEX(Nutrition!$H$2:$H$300,MATCH($F269,Nutrition!$A$2:$A$300,0))*$I269/100,0))</f>
        <v>0</v>
      </c>
      <c r="O269" s="30">
        <f>IF(OR($F269="",$I269=""),0,IFERROR(INDEX(Nutrition!$I$2:$I$300,MATCH($F269,Nutrition!$A$2:$A$300,0))*$I269/100,0))</f>
        <v>0</v>
      </c>
      <c r="P269" s="30">
        <f>IF(OR($F269="",$I269=""),0,IFERROR(INDEX(Nutrition!$J$2:$J$300,MATCH($F269,Nutrition!$A$2:$A$300,0))*$I269/100,0))</f>
        <v>0</v>
      </c>
      <c r="Q269" s="30">
        <f>IF(OR($F269="",$I269=""),0,IFERROR(INDEX(Nutrition!$K$2:$K$300,MATCH($F269,Nutrition!$A$2:$A$300,0))*$I269/100,0))</f>
        <v>0</v>
      </c>
      <c r="R269" s="30">
        <f>IF(OR($F269="",$I269=""),0,IFERROR(INDEX(Nutrition!$L$2:$L$300,MATCH($F269,Nutrition!$A$2:$A$300,0))*$I269/100,0))</f>
        <v>0</v>
      </c>
      <c r="S269" s="30">
        <f>IF(OR($F269="",$I269=""),0,IFERROR(INDEX(Nutrition!$M$2:$M$300,MATCH($F269,Nutrition!$A$2:$A$300,0))*$I269/100,0))</f>
        <v>0</v>
      </c>
    </row>
    <row r="270" spans="1:19" ht="15" customHeight="1" x14ac:dyDescent="0.25">
      <c r="A270" s="22" t="s">
        <v>1356</v>
      </c>
      <c r="B270" s="33" t="str">
        <f>IFERROR(INDEX(Recipes!$B$2:$B$500,MATCH(A270,Recipes!$A$2:$A$500,0)),"")</f>
        <v>Burrito Bowl</v>
      </c>
      <c r="C270" s="7" t="s">
        <v>2832</v>
      </c>
      <c r="D270" s="34">
        <v>1</v>
      </c>
      <c r="E270" s="22" t="s">
        <v>2748</v>
      </c>
      <c r="F270" s="22"/>
      <c r="G270" s="22" t="s">
        <v>2749</v>
      </c>
      <c r="H270" s="7" t="s">
        <v>2833</v>
      </c>
      <c r="I270" s="35"/>
      <c r="J270" s="30">
        <f>IF(OR($F270="",$I270=""),0,IFERROR(INDEX(Nutrition!$D$2:$D$300,MATCH($F270,Nutrition!$A$2:$A$300,0))*$I270/100,0))</f>
        <v>0</v>
      </c>
      <c r="K270" s="30">
        <f>IF(OR($F270="",$I270=""),0,IFERROR(INDEX(Nutrition!$E$2:$E$300,MATCH($F270,Nutrition!$A$2:$A$300,0))*$I270/100,0))</f>
        <v>0</v>
      </c>
      <c r="L270" s="30">
        <f>IF(OR($F270="",$I270=""),0,IFERROR(INDEX(Nutrition!$F$2:$F$300,MATCH($F270,Nutrition!$A$2:$A$300,0))*$I270/100,0))</f>
        <v>0</v>
      </c>
      <c r="M270" s="30">
        <f>IF(OR($F270="",$I270=""),0,IFERROR(INDEX(Nutrition!$G$2:$G$300,MATCH($F270,Nutrition!$A$2:$A$300,0))*$I270/100,0))</f>
        <v>0</v>
      </c>
      <c r="N270" s="30">
        <f>IF(OR($F270="",$I270=""),0,IFERROR(INDEX(Nutrition!$H$2:$H$300,MATCH($F270,Nutrition!$A$2:$A$300,0))*$I270/100,0))</f>
        <v>0</v>
      </c>
      <c r="O270" s="30">
        <f>IF(OR($F270="",$I270=""),0,IFERROR(INDEX(Nutrition!$I$2:$I$300,MATCH($F270,Nutrition!$A$2:$A$300,0))*$I270/100,0))</f>
        <v>0</v>
      </c>
      <c r="P270" s="30">
        <f>IF(OR($F270="",$I270=""),0,IFERROR(INDEX(Nutrition!$J$2:$J$300,MATCH($F270,Nutrition!$A$2:$A$300,0))*$I270/100,0))</f>
        <v>0</v>
      </c>
      <c r="Q270" s="30">
        <f>IF(OR($F270="",$I270=""),0,IFERROR(INDEX(Nutrition!$K$2:$K$300,MATCH($F270,Nutrition!$A$2:$A$300,0))*$I270/100,0))</f>
        <v>0</v>
      </c>
      <c r="R270" s="30">
        <f>IF(OR($F270="",$I270=""),0,IFERROR(INDEX(Nutrition!$L$2:$L$300,MATCH($F270,Nutrition!$A$2:$A$300,0))*$I270/100,0))</f>
        <v>0</v>
      </c>
      <c r="S270" s="30">
        <f>IF(OR($F270="",$I270=""),0,IFERROR(INDEX(Nutrition!$M$2:$M$300,MATCH($F270,Nutrition!$A$2:$A$300,0))*$I270/100,0))</f>
        <v>0</v>
      </c>
    </row>
    <row r="271" spans="1:19" ht="15" customHeight="1" x14ac:dyDescent="0.25">
      <c r="A271" s="22" t="s">
        <v>1356</v>
      </c>
      <c r="B271" s="33" t="str">
        <f>IFERROR(INDEX(Recipes!$B$2:$B$500,MATCH(A271,Recipes!$A$2:$A$500,0)),"")</f>
        <v>Burrito Bowl</v>
      </c>
      <c r="C271" s="7" t="s">
        <v>129</v>
      </c>
      <c r="D271" s="34">
        <v>1</v>
      </c>
      <c r="E271" s="22" t="s">
        <v>2754</v>
      </c>
      <c r="F271" s="22" t="s">
        <v>128</v>
      </c>
      <c r="G271" s="22" t="s">
        <v>2755</v>
      </c>
      <c r="H271" s="7" t="s">
        <v>2845</v>
      </c>
      <c r="I271" s="35">
        <v>179</v>
      </c>
      <c r="J271" s="30">
        <f>IF(OR($F271="",$I271=""),0,IFERROR(INDEX(Nutrition!$D$2:$D$300,MATCH($F271,Nutrition!$A$2:$A$300,0))*$I271/100,0))</f>
        <v>4.117</v>
      </c>
      <c r="K271" s="30">
        <f>IF(OR($F271="",$I271=""),0,IFERROR(INDEX(Nutrition!$E$2:$E$300,MATCH($F271,Nutrition!$A$2:$A$300,0))*$I271/100,0))</f>
        <v>32.936</v>
      </c>
      <c r="L271" s="30">
        <f>IF(OR($F271="",$I271=""),0,IFERROR(INDEX(Nutrition!$F$2:$F$300,MATCH($F271,Nutrition!$A$2:$A$300,0))*$I271/100,0))</f>
        <v>100.24</v>
      </c>
      <c r="M271" s="30">
        <f>IF(OR($F271="",$I271=""),0,IFERROR(INDEX(Nutrition!$G$2:$G$300,MATCH($F271,Nutrition!$A$2:$A$300,0))*$I271/100,0))</f>
        <v>1.2529999999999999</v>
      </c>
      <c r="N271" s="30">
        <f>IF(OR($F271="",$I271=""),0,IFERROR(INDEX(Nutrition!$H$2:$H$300,MATCH($F271,Nutrition!$A$2:$A$300,0))*$I271/100,0))</f>
        <v>39.380000000000003</v>
      </c>
      <c r="O271" s="30">
        <f>IF(OR($F271="",$I271=""),0,IFERROR(INDEX(Nutrition!$I$2:$I$300,MATCH($F271,Nutrition!$A$2:$A$300,0))*$I271/100,0))</f>
        <v>893.21</v>
      </c>
      <c r="P271" s="30">
        <f>IF(OR($F271="",$I271=""),0,IFERROR(INDEX(Nutrition!$J$2:$J$300,MATCH($F271,Nutrition!$A$2:$A$300,0))*$I271/100,0))</f>
        <v>0.25060000000000004</v>
      </c>
      <c r="Q271" s="30">
        <f>IF(OR($F271="",$I271=""),0,IFERROR(INDEX(Nutrition!$K$2:$K$300,MATCH($F271,Nutrition!$A$2:$A$300,0))*$I271/100,0))</f>
        <v>0.53520999999999996</v>
      </c>
      <c r="R271" s="30">
        <f>IF(OR($F271="",$I271=""),0,IFERROR(INDEX(Nutrition!$L$2:$L$300,MATCH($F271,Nutrition!$A$2:$A$300,0))*$I271/100,0))</f>
        <v>66.23</v>
      </c>
      <c r="S271" s="30">
        <f>IF(OR($F271="",$I271=""),0,IFERROR(INDEX(Nutrition!$M$2:$M$300,MATCH($F271,Nutrition!$A$2:$A$300,0))*$I271/100,0))</f>
        <v>1.0739999999999998</v>
      </c>
    </row>
    <row r="272" spans="1:19" ht="15" customHeight="1" x14ac:dyDescent="0.25">
      <c r="A272" s="22" t="s">
        <v>1356</v>
      </c>
      <c r="B272" s="33" t="str">
        <f>IFERROR(INDEX(Recipes!$B$2:$B$500,MATCH(A272,Recipes!$A$2:$A$500,0)),"")</f>
        <v>Burrito Bowl</v>
      </c>
      <c r="C272" s="7" t="s">
        <v>556</v>
      </c>
      <c r="D272" s="34">
        <v>1</v>
      </c>
      <c r="E272" s="22" t="s">
        <v>2834</v>
      </c>
      <c r="F272" s="22" t="s">
        <v>555</v>
      </c>
      <c r="G272" s="22" t="s">
        <v>2755</v>
      </c>
      <c r="H272" s="7"/>
      <c r="I272" s="35">
        <v>90</v>
      </c>
      <c r="J272" s="30">
        <f>IF(OR($F272="",$I272=""),0,IFERROR(INDEX(Nutrition!$D$2:$D$300,MATCH($F272,Nutrition!$A$2:$A$300,0))*$I272/100,0))</f>
        <v>2.4300000000000002</v>
      </c>
      <c r="K272" s="30">
        <f>IF(OR($F272="",$I272=""),0,IFERROR(INDEX(Nutrition!$E$2:$E$300,MATCH($F272,Nutrition!$A$2:$A$300,0))*$I272/100,0))</f>
        <v>6.12</v>
      </c>
      <c r="L272" s="30">
        <f>IF(OR($F272="",$I272=""),0,IFERROR(INDEX(Nutrition!$F$2:$F$300,MATCH($F272,Nutrition!$A$2:$A$300,0))*$I272/100,0))</f>
        <v>8.1</v>
      </c>
      <c r="M272" s="30">
        <f>IF(OR($F272="",$I272=""),0,IFERROR(INDEX(Nutrition!$G$2:$G$300,MATCH($F272,Nutrition!$A$2:$A$300,0))*$I272/100,0))</f>
        <v>0.27</v>
      </c>
      <c r="N272" s="30">
        <f>IF(OR($F272="",$I272=""),0,IFERROR(INDEX(Nutrition!$H$2:$H$300,MATCH($F272,Nutrition!$A$2:$A$300,0))*$I272/100,0))</f>
        <v>37.799999999999997</v>
      </c>
      <c r="O272" s="30">
        <f>IF(OR($F272="",$I272=""),0,IFERROR(INDEX(Nutrition!$I$2:$I$300,MATCH($F272,Nutrition!$A$2:$A$300,0))*$I272/100,0))</f>
        <v>243</v>
      </c>
      <c r="P272" s="30">
        <f>IF(OR($F272="",$I272=""),0,IFERROR(INDEX(Nutrition!$J$2:$J$300,MATCH($F272,Nutrition!$A$2:$A$300,0))*$I272/100,0))</f>
        <v>6.3E-2</v>
      </c>
      <c r="Q272" s="30">
        <f>IF(OR($F272="",$I272=""),0,IFERROR(INDEX(Nutrition!$K$2:$K$300,MATCH($F272,Nutrition!$A$2:$A$300,0))*$I272/100,0))</f>
        <v>8.3699999999999997E-2</v>
      </c>
      <c r="R272" s="30">
        <f>IF(OR($F272="",$I272=""),0,IFERROR(INDEX(Nutrition!$L$2:$L$300,MATCH($F272,Nutrition!$A$2:$A$300,0))*$I272/100,0))</f>
        <v>33.299999999999997</v>
      </c>
      <c r="S272" s="30">
        <f>IF(OR($F272="",$I272=""),0,IFERROR(INDEX(Nutrition!$M$2:$M$300,MATCH($F272,Nutrition!$A$2:$A$300,0))*$I272/100,0))</f>
        <v>0.46800000000000003</v>
      </c>
    </row>
    <row r="273" spans="1:19" ht="15" customHeight="1" x14ac:dyDescent="0.25">
      <c r="A273" s="22" t="s">
        <v>1356</v>
      </c>
      <c r="B273" s="33" t="str">
        <f>IFERROR(INDEX(Recipes!$B$2:$B$500,MATCH(A273,Recipes!$A$2:$A$500,0)),"")</f>
        <v>Burrito Bowl</v>
      </c>
      <c r="C273" s="7" t="s">
        <v>446</v>
      </c>
      <c r="D273" s="34">
        <v>2</v>
      </c>
      <c r="E273" s="22" t="s">
        <v>2754</v>
      </c>
      <c r="F273" s="22" t="s">
        <v>445</v>
      </c>
      <c r="G273" s="22" t="s">
        <v>2755</v>
      </c>
      <c r="H273" s="7"/>
      <c r="I273" s="35">
        <v>124</v>
      </c>
      <c r="J273" s="30">
        <f>IF(OR($F273="",$I273=""),0,IFERROR(INDEX(Nutrition!$D$2:$D$300,MATCH($F273,Nutrition!$A$2:$A$300,0))*$I273/100,0))</f>
        <v>1.4879999999999998</v>
      </c>
      <c r="K273" s="30">
        <f>IF(OR($F273="",$I273=""),0,IFERROR(INDEX(Nutrition!$E$2:$E$300,MATCH($F273,Nutrition!$A$2:$A$300,0))*$I273/100,0))</f>
        <v>16.988</v>
      </c>
      <c r="L273" s="30">
        <f>IF(OR($F273="",$I273=""),0,IFERROR(INDEX(Nutrition!$F$2:$F$300,MATCH($F273,Nutrition!$A$2:$A$300,0))*$I273/100,0))</f>
        <v>52.08</v>
      </c>
      <c r="M273" s="30">
        <f>IF(OR($F273="",$I273=""),0,IFERROR(INDEX(Nutrition!$G$2:$G$300,MATCH($F273,Nutrition!$A$2:$A$300,0))*$I273/100,0))</f>
        <v>9.7959999999999994</v>
      </c>
      <c r="N273" s="30">
        <f>IF(OR($F273="",$I273=""),0,IFERROR(INDEX(Nutrition!$H$2:$H$300,MATCH($F273,Nutrition!$A$2:$A$300,0))*$I273/100,0))</f>
        <v>18.600000000000001</v>
      </c>
      <c r="O273" s="30">
        <f>IF(OR($F273="",$I273=""),0,IFERROR(INDEX(Nutrition!$I$2:$I$300,MATCH($F273,Nutrition!$A$2:$A$300,0))*$I273/100,0))</f>
        <v>293.88</v>
      </c>
      <c r="P273" s="30">
        <f>IF(OR($F273="",$I273=""),0,IFERROR(INDEX(Nutrition!$J$2:$J$300,MATCH($F273,Nutrition!$A$2:$A$300,0))*$I273/100,0))</f>
        <v>0.66960000000000008</v>
      </c>
      <c r="Q273" s="30">
        <f>IF(OR($F273="",$I273=""),0,IFERROR(INDEX(Nutrition!$K$2:$K$300,MATCH($F273,Nutrition!$A$2:$A$300,0))*$I273/100,0))</f>
        <v>9.9199999999999997E-2</v>
      </c>
      <c r="R273" s="30">
        <f>IF(OR($F273="",$I273=""),0,IFERROR(INDEX(Nutrition!$L$2:$L$300,MATCH($F273,Nutrition!$A$2:$A$300,0))*$I273/100,0))</f>
        <v>13.64</v>
      </c>
      <c r="S273" s="30">
        <f>IF(OR($F273="",$I273=""),0,IFERROR(INDEX(Nutrition!$M$2:$M$300,MATCH($F273,Nutrition!$A$2:$A$300,0))*$I273/100,0))</f>
        <v>0.33480000000000004</v>
      </c>
    </row>
    <row r="274" spans="1:19" ht="15" customHeight="1" x14ac:dyDescent="0.25">
      <c r="A274" s="22" t="s">
        <v>1356</v>
      </c>
      <c r="B274" s="33" t="str">
        <f>IFERROR(INDEX(Recipes!$B$2:$B$500,MATCH(A274,Recipes!$A$2:$A$500,0)),"")</f>
        <v>Burrito Bowl</v>
      </c>
      <c r="C274" s="7" t="s">
        <v>482</v>
      </c>
      <c r="D274" s="34">
        <v>0.5</v>
      </c>
      <c r="E274" s="22" t="s">
        <v>2754</v>
      </c>
      <c r="F274" s="22" t="s">
        <v>481</v>
      </c>
      <c r="G274" s="22" t="s">
        <v>2755</v>
      </c>
      <c r="H274" s="7" t="s">
        <v>2784</v>
      </c>
      <c r="I274" s="35">
        <v>55</v>
      </c>
      <c r="J274" s="30">
        <f>IF(OR($F274="",$I274=""),0,IFERROR(INDEX(Nutrition!$D$2:$D$300,MATCH($F274,Nutrition!$A$2:$A$300,0))*$I274/100,0))</f>
        <v>0.93500000000000005</v>
      </c>
      <c r="K274" s="30">
        <f>IF(OR($F274="",$I274=""),0,IFERROR(INDEX(Nutrition!$E$2:$E$300,MATCH($F274,Nutrition!$A$2:$A$300,0))*$I274/100,0))</f>
        <v>4.07</v>
      </c>
      <c r="L274" s="30">
        <f>IF(OR($F274="",$I274=""),0,IFERROR(INDEX(Nutrition!$F$2:$F$300,MATCH($F274,Nutrition!$A$2:$A$300,0))*$I274/100,0))</f>
        <v>0</v>
      </c>
      <c r="M274" s="30">
        <f>IF(OR($F274="",$I274=""),0,IFERROR(INDEX(Nutrition!$G$2:$G$300,MATCH($F274,Nutrition!$A$2:$A$300,0))*$I274/100,0))</f>
        <v>0.22</v>
      </c>
      <c r="N274" s="30">
        <f>IF(OR($F274="",$I274=""),0,IFERROR(INDEX(Nutrition!$H$2:$H$300,MATCH($F274,Nutrition!$A$2:$A$300,0))*$I274/100,0))</f>
        <v>10.45</v>
      </c>
      <c r="O274" s="30">
        <f>IF(OR($F274="",$I274=""),0,IFERROR(INDEX(Nutrition!$I$2:$I$300,MATCH($F274,Nutrition!$A$2:$A$300,0))*$I274/100,0))</f>
        <v>80.3</v>
      </c>
      <c r="P274" s="30">
        <f>IF(OR($F274="",$I274=""),0,IFERROR(INDEX(Nutrition!$J$2:$J$300,MATCH($F274,Nutrition!$A$2:$A$300,0))*$I274/100,0))</f>
        <v>1.1000000000000001E-2</v>
      </c>
      <c r="Q274" s="30">
        <f>IF(OR($F274="",$I274=""),0,IFERROR(INDEX(Nutrition!$K$2:$K$300,MATCH($F274,Nutrition!$A$2:$A$300,0))*$I274/100,0))</f>
        <v>6.6000000000000003E-2</v>
      </c>
      <c r="R274" s="30">
        <f>IF(OR($F274="",$I274=""),0,IFERROR(INDEX(Nutrition!$L$2:$L$300,MATCH($F274,Nutrition!$A$2:$A$300,0))*$I274/100,0))</f>
        <v>5.5</v>
      </c>
      <c r="S274" s="30">
        <f>IF(OR($F274="",$I274=""),0,IFERROR(INDEX(Nutrition!$M$2:$M$300,MATCH($F274,Nutrition!$A$2:$A$300,0))*$I274/100,0))</f>
        <v>0.11549999999999999</v>
      </c>
    </row>
    <row r="275" spans="1:19" ht="15" customHeight="1" x14ac:dyDescent="0.25">
      <c r="A275" s="22" t="s">
        <v>1356</v>
      </c>
      <c r="B275" s="33" t="str">
        <f>IFERROR(INDEX(Recipes!$B$2:$B$500,MATCH(A275,Recipes!$A$2:$A$500,0)),"")</f>
        <v>Burrito Bowl</v>
      </c>
      <c r="C275" s="7" t="s">
        <v>473</v>
      </c>
      <c r="D275" s="34">
        <v>0.25</v>
      </c>
      <c r="E275" s="22" t="s">
        <v>2754</v>
      </c>
      <c r="F275" s="22" t="s">
        <v>472</v>
      </c>
      <c r="G275" s="22" t="s">
        <v>2755</v>
      </c>
      <c r="H275" s="7"/>
      <c r="I275" s="35">
        <v>2</v>
      </c>
      <c r="J275" s="30">
        <f>IF(OR($F275="",$I275=""),0,IFERROR(INDEX(Nutrition!$D$2:$D$300,MATCH($F275,Nutrition!$A$2:$A$300,0))*$I275/100,0))</f>
        <v>0.03</v>
      </c>
      <c r="K275" s="30">
        <f>IF(OR($F275="",$I275=""),0,IFERROR(INDEX(Nutrition!$E$2:$E$300,MATCH($F275,Nutrition!$A$2:$A$300,0))*$I275/100,0))</f>
        <v>2.8739999999999997</v>
      </c>
      <c r="L275" s="30">
        <f>IF(OR($F275="",$I275=""),0,IFERROR(INDEX(Nutrition!$F$2:$F$300,MATCH($F275,Nutrition!$A$2:$A$300,0))*$I275/100,0))</f>
        <v>0.96</v>
      </c>
      <c r="M275" s="30">
        <f>IF(OR($F275="",$I275=""),0,IFERROR(INDEX(Nutrition!$G$2:$G$300,MATCH($F275,Nutrition!$A$2:$A$300,0))*$I275/100,0))</f>
        <v>0.28000000000000003</v>
      </c>
      <c r="N275" s="30">
        <f>IF(OR($F275="",$I275=""),0,IFERROR(INDEX(Nutrition!$H$2:$H$300,MATCH($F275,Nutrition!$A$2:$A$300,0))*$I275/100,0))</f>
        <v>0.46</v>
      </c>
      <c r="O275" s="30">
        <f>IF(OR($F275="",$I275=""),0,IFERROR(INDEX(Nutrition!$I$2:$I$300,MATCH($F275,Nutrition!$A$2:$A$300,0))*$I275/100,0))</f>
        <v>6.44</v>
      </c>
      <c r="P275" s="30">
        <f>IF(OR($F275="",$I275=""),0,IFERROR(INDEX(Nutrition!$J$2:$J$300,MATCH($F275,Nutrition!$A$2:$A$300,0))*$I275/100,0))</f>
        <v>1.38E-2</v>
      </c>
      <c r="Q275" s="30">
        <f>IF(OR($F275="",$I275=""),0,IFERROR(INDEX(Nutrition!$K$2:$K$300,MATCH($F275,Nutrition!$A$2:$A$300,0))*$I275/100,0))</f>
        <v>1.0120000000000001E-2</v>
      </c>
      <c r="R275" s="30">
        <f>IF(OR($F275="",$I275=""),0,IFERROR(INDEX(Nutrition!$L$2:$L$300,MATCH($F275,Nutrition!$A$2:$A$300,0))*$I275/100,0))</f>
        <v>0.46</v>
      </c>
      <c r="S275" s="30">
        <f>IF(OR($F275="",$I275=""),0,IFERROR(INDEX(Nutrition!$M$2:$M$300,MATCH($F275,Nutrition!$A$2:$A$300,0))*$I275/100,0))</f>
        <v>2.06E-2</v>
      </c>
    </row>
    <row r="276" spans="1:19" ht="15" customHeight="1" x14ac:dyDescent="0.25">
      <c r="A276" s="22" t="s">
        <v>1356</v>
      </c>
      <c r="B276" s="33" t="str">
        <f>IFERROR(INDEX(Recipes!$B$2:$B$500,MATCH(A276,Recipes!$A$2:$A$500,0)),"")</f>
        <v>Burrito Bowl</v>
      </c>
      <c r="C276" s="7" t="s">
        <v>227</v>
      </c>
      <c r="D276" s="34">
        <v>1</v>
      </c>
      <c r="E276" s="22" t="s">
        <v>2754</v>
      </c>
      <c r="F276" s="22" t="s">
        <v>226</v>
      </c>
      <c r="G276" s="22" t="s">
        <v>2755</v>
      </c>
      <c r="H276" s="7"/>
      <c r="I276" s="35">
        <v>201</v>
      </c>
      <c r="J276" s="30">
        <f>IF(OR($F276="",$I276=""),0,IFERROR(INDEX(Nutrition!$D$2:$D$300,MATCH($F276,Nutrition!$A$2:$A$300,0))*$I276/100,0))</f>
        <v>13.467000000000001</v>
      </c>
      <c r="K276" s="30">
        <f>IF(OR($F276="",$I276=""),0,IFERROR(INDEX(Nutrition!$E$2:$E$300,MATCH($F276,Nutrition!$A$2:$A$300,0))*$I276/100,0))</f>
        <v>20.100000000000001</v>
      </c>
      <c r="L276" s="30">
        <f>IF(OR($F276="",$I276=""),0,IFERROR(INDEX(Nutrition!$F$2:$F$300,MATCH($F276,Nutrition!$A$2:$A$300,0))*$I276/100,0))</f>
        <v>14.07</v>
      </c>
      <c r="M276" s="30">
        <f>IF(OR($F276="",$I276=""),0,IFERROR(INDEX(Nutrition!$G$2:$G$300,MATCH($F276,Nutrition!$A$2:$A$300,0))*$I276/100,0))</f>
        <v>42.21</v>
      </c>
      <c r="N276" s="30">
        <f>IF(OR($F276="",$I276=""),0,IFERROR(INDEX(Nutrition!$H$2:$H$300,MATCH($F276,Nutrition!$A$2:$A$300,0))*$I276/100,0))</f>
        <v>162.81</v>
      </c>
      <c r="O276" s="30">
        <f>IF(OR($F276="",$I276=""),0,IFERROR(INDEX(Nutrition!$I$2:$I$300,MATCH($F276,Nutrition!$A$2:$A$300,0))*$I276/100,0))</f>
        <v>974.85</v>
      </c>
      <c r="P276" s="30">
        <f>IF(OR($F276="",$I276=""),0,IFERROR(INDEX(Nutrition!$J$2:$J$300,MATCH($F276,Nutrition!$A$2:$A$300,0))*$I276/100,0))</f>
        <v>4.1607000000000003</v>
      </c>
      <c r="Q276" s="30">
        <f>IF(OR($F276="",$I276=""),0,IFERROR(INDEX(Nutrition!$K$2:$K$300,MATCH($F276,Nutrition!$A$2:$A$300,0))*$I276/100,0))</f>
        <v>0.51657000000000008</v>
      </c>
      <c r="R276" s="30">
        <f>IF(OR($F276="",$I276=""),0,IFERROR(INDEX(Nutrition!$L$2:$L$300,MATCH($F276,Nutrition!$A$2:$A$300,0))*$I276/100,0))</f>
        <v>58.29</v>
      </c>
      <c r="S276" s="30">
        <f>IF(OR($F276="",$I276=""),0,IFERROR(INDEX(Nutrition!$M$2:$M$300,MATCH($F276,Nutrition!$A$2:$A$300,0))*$I276/100,0))</f>
        <v>1.1055000000000001</v>
      </c>
    </row>
    <row r="277" spans="1:19" ht="15" customHeight="1" x14ac:dyDescent="0.25">
      <c r="A277" s="22" t="s">
        <v>1356</v>
      </c>
      <c r="B277" s="33" t="str">
        <f>IFERROR(INDEX(Recipes!$B$2:$B$500,MATCH(A277,Recipes!$A$2:$A$500,0)),"")</f>
        <v>Burrito Bowl</v>
      </c>
      <c r="C277" s="7" t="s">
        <v>546</v>
      </c>
      <c r="D277" s="34">
        <v>0.5</v>
      </c>
      <c r="E277" s="22" t="s">
        <v>2808</v>
      </c>
      <c r="F277" s="22" t="s">
        <v>545</v>
      </c>
      <c r="G277" s="22" t="s">
        <v>2755</v>
      </c>
      <c r="H277" s="7"/>
      <c r="I277" s="35">
        <v>313</v>
      </c>
      <c r="J277" s="30">
        <f>IF(OR($F277="",$I277=""),0,IFERROR(INDEX(Nutrition!$D$2:$D$300,MATCH($F277,Nutrition!$A$2:$A$300,0))*$I277/100,0))</f>
        <v>6.5730000000000004</v>
      </c>
      <c r="K277" s="30">
        <f>IF(OR($F277="",$I277=""),0,IFERROR(INDEX(Nutrition!$E$2:$E$300,MATCH($F277,Nutrition!$A$2:$A$300,0))*$I277/100,0))</f>
        <v>12.52</v>
      </c>
      <c r="L277" s="30">
        <f>IF(OR($F277="",$I277=""),0,IFERROR(INDEX(Nutrition!$F$2:$F$300,MATCH($F277,Nutrition!$A$2:$A$300,0))*$I277/100,0))</f>
        <v>1364.68</v>
      </c>
      <c r="M277" s="30">
        <f>IF(OR($F277="",$I277=""),0,IFERROR(INDEX(Nutrition!$G$2:$G$300,MATCH($F277,Nutrition!$A$2:$A$300,0))*$I277/100,0))</f>
        <v>320.82499999999999</v>
      </c>
      <c r="N277" s="30">
        <f>IF(OR($F277="",$I277=""),0,IFERROR(INDEX(Nutrition!$H$2:$H$300,MATCH($F277,Nutrition!$A$2:$A$300,0))*$I277/100,0))</f>
        <v>425.68</v>
      </c>
      <c r="O277" s="30">
        <f>IF(OR($F277="",$I277=""),0,IFERROR(INDEX(Nutrition!$I$2:$I$300,MATCH($F277,Nutrition!$A$2:$A$300,0))*$I277/100,0))</f>
        <v>773.11</v>
      </c>
      <c r="P277" s="30">
        <f>IF(OR($F277="",$I277=""),0,IFERROR(INDEX(Nutrition!$J$2:$J$300,MATCH($F277,Nutrition!$A$2:$A$300,0))*$I277/100,0))</f>
        <v>0.40690000000000004</v>
      </c>
      <c r="Q277" s="30">
        <f>IF(OR($F277="",$I277=""),0,IFERROR(INDEX(Nutrition!$K$2:$K$300,MATCH($F277,Nutrition!$A$2:$A$300,0))*$I277/100,0))</f>
        <v>0.23161999999999999</v>
      </c>
      <c r="R277" s="30">
        <f>IF(OR($F277="",$I277=""),0,IFERROR(INDEX(Nutrition!$L$2:$L$300,MATCH($F277,Nutrition!$A$2:$A$300,0))*$I277/100,0))</f>
        <v>43.82</v>
      </c>
      <c r="S277" s="30">
        <f>IF(OR($F277="",$I277=""),0,IFERROR(INDEX(Nutrition!$M$2:$M$300,MATCH($F277,Nutrition!$A$2:$A$300,0))*$I277/100,0))</f>
        <v>3.0361000000000002</v>
      </c>
    </row>
    <row r="278" spans="1:19" ht="15" customHeight="1" x14ac:dyDescent="0.25">
      <c r="A278" s="22" t="s">
        <v>1356</v>
      </c>
      <c r="B278" s="33" t="str">
        <f>IFERROR(INDEX(Recipes!$B$2:$B$500,MATCH(A278,Recipes!$A$2:$A$500,0)),"")</f>
        <v>Burrito Bowl</v>
      </c>
      <c r="C278" s="7" t="s">
        <v>213</v>
      </c>
      <c r="D278" s="34">
        <v>2</v>
      </c>
      <c r="E278" s="22" t="s">
        <v>2754</v>
      </c>
      <c r="F278" s="22" t="s">
        <v>212</v>
      </c>
      <c r="G278" s="22" t="s">
        <v>2755</v>
      </c>
      <c r="H278" s="7"/>
      <c r="I278" s="35">
        <v>134</v>
      </c>
      <c r="J278" s="30">
        <f>IF(OR($F278="",$I278=""),0,IFERROR(INDEX(Nutrition!$D$2:$D$300,MATCH($F278,Nutrition!$A$2:$A$300,0))*$I278/100,0))</f>
        <v>3.7519999999999998</v>
      </c>
      <c r="K278" s="30">
        <f>IF(OR($F278="",$I278=""),0,IFERROR(INDEX(Nutrition!$E$2:$E$300,MATCH($F278,Nutrition!$A$2:$A$300,0))*$I278/100,0))</f>
        <v>38.994</v>
      </c>
      <c r="L278" s="30">
        <f>IF(OR($F278="",$I278=""),0,IFERROR(INDEX(Nutrition!$F$2:$F$300,MATCH($F278,Nutrition!$A$2:$A$300,0))*$I278/100,0))</f>
        <v>2.68</v>
      </c>
      <c r="M278" s="30">
        <f>IF(OR($F278="",$I278=""),0,IFERROR(INDEX(Nutrition!$G$2:$G$300,MATCH($F278,Nutrition!$A$2:$A$300,0))*$I278/100,0))</f>
        <v>0.80399999999999994</v>
      </c>
      <c r="N278" s="30">
        <f>IF(OR($F278="",$I278=""),0,IFERROR(INDEX(Nutrition!$H$2:$H$300,MATCH($F278,Nutrition!$A$2:$A$300,0))*$I278/100,0))</f>
        <v>10.72</v>
      </c>
      <c r="O278" s="30">
        <f>IF(OR($F278="",$I278=""),0,IFERROR(INDEX(Nutrition!$I$2:$I$300,MATCH($F278,Nutrition!$A$2:$A$300,0))*$I278/100,0))</f>
        <v>136.68</v>
      </c>
      <c r="P278" s="30">
        <f>IF(OR($F278="",$I278=""),0,IFERROR(INDEX(Nutrition!$J$2:$J$300,MATCH($F278,Nutrition!$A$2:$A$300,0))*$I278/100,0))</f>
        <v>0.29480000000000001</v>
      </c>
      <c r="Q278" s="30">
        <f>IF(OR($F278="",$I278=""),0,IFERROR(INDEX(Nutrition!$K$2:$K$300,MATCH($F278,Nutrition!$A$2:$A$300,0))*$I278/100,0))</f>
        <v>5.7619999999999998E-2</v>
      </c>
      <c r="R278" s="30">
        <f>IF(OR($F278="",$I278=""),0,IFERROR(INDEX(Nutrition!$L$2:$L$300,MATCH($F278,Nutrition!$A$2:$A$300,0))*$I278/100,0))</f>
        <v>8.0399999999999991</v>
      </c>
      <c r="S278" s="30">
        <f>IF(OR($F278="",$I278=""),0,IFERROR(INDEX(Nutrition!$M$2:$M$300,MATCH($F278,Nutrition!$A$2:$A$300,0))*$I278/100,0))</f>
        <v>0.80399999999999994</v>
      </c>
    </row>
    <row r="279" spans="1:19" ht="15" customHeight="1" x14ac:dyDescent="0.25">
      <c r="A279" s="22" t="s">
        <v>1356</v>
      </c>
      <c r="B279" s="33" t="str">
        <f>IFERROR(INDEX(Recipes!$B$2:$B$500,MATCH(A279,Recipes!$A$2:$A$500,0)),"")</f>
        <v>Burrito Bowl</v>
      </c>
      <c r="C279" s="7" t="s">
        <v>668</v>
      </c>
      <c r="D279" s="34">
        <v>1</v>
      </c>
      <c r="E279" s="22" t="s">
        <v>2809</v>
      </c>
      <c r="F279" s="22" t="s">
        <v>667</v>
      </c>
      <c r="G279" s="22" t="s">
        <v>2755</v>
      </c>
      <c r="H279" s="7"/>
      <c r="I279" s="35">
        <v>30</v>
      </c>
      <c r="J279" s="30">
        <f>IF(OR($F279="",$I279=""),0,IFERROR(INDEX(Nutrition!$D$2:$D$300,MATCH($F279,Nutrition!$A$2:$A$300,0))*$I279/100,0))</f>
        <v>0.84</v>
      </c>
      <c r="K279" s="30">
        <f>IF(OR($F279="",$I279=""),0,IFERROR(INDEX(Nutrition!$E$2:$E$300,MATCH($F279,Nutrition!$A$2:$A$300,0))*$I279/100,0))</f>
        <v>8.1</v>
      </c>
      <c r="L279" s="30">
        <f>IF(OR($F279="",$I279=""),0,IFERROR(INDEX(Nutrition!$F$2:$F$300,MATCH($F279,Nutrition!$A$2:$A$300,0))*$I279/100,0))</f>
        <v>101.1</v>
      </c>
      <c r="M279" s="30">
        <f>IF(OR($F279="",$I279=""),0,IFERROR(INDEX(Nutrition!$G$2:$G$300,MATCH($F279,Nutrition!$A$2:$A$300,0))*$I279/100,0))</f>
        <v>93</v>
      </c>
      <c r="N279" s="30">
        <f>IF(OR($F279="",$I279=""),0,IFERROR(INDEX(Nutrition!$H$2:$H$300,MATCH($F279,Nutrition!$A$2:$A$300,0))*$I279/100,0))</f>
        <v>18.600000000000001</v>
      </c>
      <c r="O279" s="30">
        <f>IF(OR($F279="",$I279=""),0,IFERROR(INDEX(Nutrition!$I$2:$I$300,MATCH($F279,Nutrition!$A$2:$A$300,0))*$I279/100,0))</f>
        <v>156.30000000000001</v>
      </c>
      <c r="P279" s="30">
        <f>IF(OR($F279="",$I279=""),0,IFERROR(INDEX(Nutrition!$J$2:$J$300,MATCH($F279,Nutrition!$A$2:$A$300,0))*$I279/100,0))</f>
        <v>0.75</v>
      </c>
      <c r="Q279" s="30">
        <f>IF(OR($F279="",$I279=""),0,IFERROR(INDEX(Nutrition!$K$2:$K$300,MATCH($F279,Nutrition!$A$2:$A$300,0))*$I279/100,0))</f>
        <v>4.4699999999999997E-2</v>
      </c>
      <c r="R279" s="30">
        <f>IF(OR($F279="",$I279=""),0,IFERROR(INDEX(Nutrition!$L$2:$L$300,MATCH($F279,Nutrition!$A$2:$A$300,0))*$I279/100,0))</f>
        <v>7.8</v>
      </c>
      <c r="S279" s="30">
        <f>IF(OR($F279="",$I279=""),0,IFERROR(INDEX(Nutrition!$M$2:$M$300,MATCH($F279,Nutrition!$A$2:$A$300,0))*$I279/100,0))</f>
        <v>0.53100000000000003</v>
      </c>
    </row>
    <row r="280" spans="1:19" ht="15" customHeight="1" x14ac:dyDescent="0.25">
      <c r="A280" s="22" t="s">
        <v>1356</v>
      </c>
      <c r="B280" s="33" t="str">
        <f>IFERROR(INDEX(Recipes!$B$2:$B$500,MATCH(A280,Recipes!$A$2:$A$500,0)),"")</f>
        <v>Burrito Bowl</v>
      </c>
      <c r="C280" s="7" t="s">
        <v>2839</v>
      </c>
      <c r="D280" s="34">
        <v>1</v>
      </c>
      <c r="E280" s="22" t="s">
        <v>2759</v>
      </c>
      <c r="F280" s="22"/>
      <c r="G280" s="22" t="s">
        <v>2749</v>
      </c>
      <c r="H280" s="7"/>
      <c r="I280" s="35"/>
      <c r="J280" s="30">
        <f>IF(OR($F280="",$I280=""),0,IFERROR(INDEX(Nutrition!$D$2:$D$300,MATCH($F280,Nutrition!$A$2:$A$300,0))*$I280/100,0))</f>
        <v>0</v>
      </c>
      <c r="K280" s="30">
        <f>IF(OR($F280="",$I280=""),0,IFERROR(INDEX(Nutrition!$E$2:$E$300,MATCH($F280,Nutrition!$A$2:$A$300,0))*$I280/100,0))</f>
        <v>0</v>
      </c>
      <c r="L280" s="30">
        <f>IF(OR($F280="",$I280=""),0,IFERROR(INDEX(Nutrition!$F$2:$F$300,MATCH($F280,Nutrition!$A$2:$A$300,0))*$I280/100,0))</f>
        <v>0</v>
      </c>
      <c r="M280" s="30">
        <f>IF(OR($F280="",$I280=""),0,IFERROR(INDEX(Nutrition!$G$2:$G$300,MATCH($F280,Nutrition!$A$2:$A$300,0))*$I280/100,0))</f>
        <v>0</v>
      </c>
      <c r="N280" s="30">
        <f>IF(OR($F280="",$I280=""),0,IFERROR(INDEX(Nutrition!$H$2:$H$300,MATCH($F280,Nutrition!$A$2:$A$300,0))*$I280/100,0))</f>
        <v>0</v>
      </c>
      <c r="O280" s="30">
        <f>IF(OR($F280="",$I280=""),0,IFERROR(INDEX(Nutrition!$I$2:$I$300,MATCH($F280,Nutrition!$A$2:$A$300,0))*$I280/100,0))</f>
        <v>0</v>
      </c>
      <c r="P280" s="30">
        <f>IF(OR($F280="",$I280=""),0,IFERROR(INDEX(Nutrition!$J$2:$J$300,MATCH($F280,Nutrition!$A$2:$A$300,0))*$I280/100,0))</f>
        <v>0</v>
      </c>
      <c r="Q280" s="30">
        <f>IF(OR($F280="",$I280=""),0,IFERROR(INDEX(Nutrition!$K$2:$K$300,MATCH($F280,Nutrition!$A$2:$A$300,0))*$I280/100,0))</f>
        <v>0</v>
      </c>
      <c r="R280" s="30">
        <f>IF(OR($F280="",$I280=""),0,IFERROR(INDEX(Nutrition!$L$2:$L$300,MATCH($F280,Nutrition!$A$2:$A$300,0))*$I280/100,0))</f>
        <v>0</v>
      </c>
      <c r="S280" s="30">
        <f>IF(OR($F280="",$I280=""),0,IFERROR(INDEX(Nutrition!$M$2:$M$300,MATCH($F280,Nutrition!$A$2:$A$300,0))*$I280/100,0))</f>
        <v>0</v>
      </c>
    </row>
    <row r="281" spans="1:19" ht="15" customHeight="1" x14ac:dyDescent="0.25">
      <c r="A281" s="22" t="s">
        <v>1356</v>
      </c>
      <c r="B281" s="33" t="str">
        <f>IFERROR(INDEX(Recipes!$B$2:$B$500,MATCH(A281,Recipes!$A$2:$A$500,0)),"")</f>
        <v>Burrito Bowl</v>
      </c>
      <c r="C281" s="7" t="s">
        <v>2772</v>
      </c>
      <c r="D281" s="34">
        <v>1</v>
      </c>
      <c r="E281" s="22" t="s">
        <v>2753</v>
      </c>
      <c r="F281" s="22"/>
      <c r="G281" s="22" t="s">
        <v>2773</v>
      </c>
      <c r="H281" s="7"/>
      <c r="I281" s="35"/>
      <c r="J281" s="30">
        <f>IF(OR($F281="",$I281=""),0,IFERROR(INDEX(Nutrition!$D$2:$D$300,MATCH($F281,Nutrition!$A$2:$A$300,0))*$I281/100,0))</f>
        <v>0</v>
      </c>
      <c r="K281" s="30">
        <f>IF(OR($F281="",$I281=""),0,IFERROR(INDEX(Nutrition!$E$2:$E$300,MATCH($F281,Nutrition!$A$2:$A$300,0))*$I281/100,0))</f>
        <v>0</v>
      </c>
      <c r="L281" s="30">
        <f>IF(OR($F281="",$I281=""),0,IFERROR(INDEX(Nutrition!$F$2:$F$300,MATCH($F281,Nutrition!$A$2:$A$300,0))*$I281/100,0))</f>
        <v>0</v>
      </c>
      <c r="M281" s="30">
        <f>IF(OR($F281="",$I281=""),0,IFERROR(INDEX(Nutrition!$G$2:$G$300,MATCH($F281,Nutrition!$A$2:$A$300,0))*$I281/100,0))</f>
        <v>0</v>
      </c>
      <c r="N281" s="30">
        <f>IF(OR($F281="",$I281=""),0,IFERROR(INDEX(Nutrition!$H$2:$H$300,MATCH($F281,Nutrition!$A$2:$A$300,0))*$I281/100,0))</f>
        <v>0</v>
      </c>
      <c r="O281" s="30">
        <f>IF(OR($F281="",$I281=""),0,IFERROR(INDEX(Nutrition!$I$2:$I$300,MATCH($F281,Nutrition!$A$2:$A$300,0))*$I281/100,0))</f>
        <v>0</v>
      </c>
      <c r="P281" s="30">
        <f>IF(OR($F281="",$I281=""),0,IFERROR(INDEX(Nutrition!$J$2:$J$300,MATCH($F281,Nutrition!$A$2:$A$300,0))*$I281/100,0))</f>
        <v>0</v>
      </c>
      <c r="Q281" s="30">
        <f>IF(OR($F281="",$I281=""),0,IFERROR(INDEX(Nutrition!$K$2:$K$300,MATCH($F281,Nutrition!$A$2:$A$300,0))*$I281/100,0))</f>
        <v>0</v>
      </c>
      <c r="R281" s="30">
        <f>IF(OR($F281="",$I281=""),0,IFERROR(INDEX(Nutrition!$L$2:$L$300,MATCH($F281,Nutrition!$A$2:$A$300,0))*$I281/100,0))</f>
        <v>0</v>
      </c>
      <c r="S281" s="30">
        <f>IF(OR($F281="",$I281=""),0,IFERROR(INDEX(Nutrition!$M$2:$M$300,MATCH($F281,Nutrition!$A$2:$A$300,0))*$I281/100,0))</f>
        <v>0</v>
      </c>
    </row>
    <row r="282" spans="1:19" ht="15" customHeight="1" x14ac:dyDescent="0.25">
      <c r="A282" s="22" t="s">
        <v>1367</v>
      </c>
      <c r="B282" s="33" t="str">
        <f>IFERROR(INDEX(Recipes!$B$2:$B$500,MATCH(A282,Recipes!$A$2:$A$500,0)),"")</f>
        <v>Mango Prawn Poke-Style Bowl</v>
      </c>
      <c r="C282" s="7" t="s">
        <v>2846</v>
      </c>
      <c r="D282" s="34">
        <v>250</v>
      </c>
      <c r="E282" s="22" t="s">
        <v>2813</v>
      </c>
      <c r="F282" s="22"/>
      <c r="G282" s="22" t="s">
        <v>2768</v>
      </c>
      <c r="H282" s="7" t="s">
        <v>2847</v>
      </c>
      <c r="I282" s="35"/>
      <c r="J282" s="30">
        <f>IF(OR($F282="",$I282=""),0,IFERROR(INDEX(Nutrition!$D$2:$D$300,MATCH($F282,Nutrition!$A$2:$A$300,0))*$I282/100,0))</f>
        <v>0</v>
      </c>
      <c r="K282" s="30">
        <f>IF(OR($F282="",$I282=""),0,IFERROR(INDEX(Nutrition!$E$2:$E$300,MATCH($F282,Nutrition!$A$2:$A$300,0))*$I282/100,0))</f>
        <v>0</v>
      </c>
      <c r="L282" s="30">
        <f>IF(OR($F282="",$I282=""),0,IFERROR(INDEX(Nutrition!$F$2:$F$300,MATCH($F282,Nutrition!$A$2:$A$300,0))*$I282/100,0))</f>
        <v>0</v>
      </c>
      <c r="M282" s="30">
        <f>IF(OR($F282="",$I282=""),0,IFERROR(INDEX(Nutrition!$G$2:$G$300,MATCH($F282,Nutrition!$A$2:$A$300,0))*$I282/100,0))</f>
        <v>0</v>
      </c>
      <c r="N282" s="30">
        <f>IF(OR($F282="",$I282=""),0,IFERROR(INDEX(Nutrition!$H$2:$H$300,MATCH($F282,Nutrition!$A$2:$A$300,0))*$I282/100,0))</f>
        <v>0</v>
      </c>
      <c r="O282" s="30">
        <f>IF(OR($F282="",$I282=""),0,IFERROR(INDEX(Nutrition!$I$2:$I$300,MATCH($F282,Nutrition!$A$2:$A$300,0))*$I282/100,0))</f>
        <v>0</v>
      </c>
      <c r="P282" s="30">
        <f>IF(OR($F282="",$I282=""),0,IFERROR(INDEX(Nutrition!$J$2:$J$300,MATCH($F282,Nutrition!$A$2:$A$300,0))*$I282/100,0))</f>
        <v>0</v>
      </c>
      <c r="Q282" s="30">
        <f>IF(OR($F282="",$I282=""),0,IFERROR(INDEX(Nutrition!$K$2:$K$300,MATCH($F282,Nutrition!$A$2:$A$300,0))*$I282/100,0))</f>
        <v>0</v>
      </c>
      <c r="R282" s="30">
        <f>IF(OR($F282="",$I282=""),0,IFERROR(INDEX(Nutrition!$L$2:$L$300,MATCH($F282,Nutrition!$A$2:$A$300,0))*$I282/100,0))</f>
        <v>0</v>
      </c>
      <c r="S282" s="30">
        <f>IF(OR($F282="",$I282=""),0,IFERROR(INDEX(Nutrition!$M$2:$M$300,MATCH($F282,Nutrition!$A$2:$A$300,0))*$I282/100,0))</f>
        <v>0</v>
      </c>
    </row>
    <row r="283" spans="1:19" ht="15" customHeight="1" x14ac:dyDescent="0.25">
      <c r="A283" s="22" t="s">
        <v>1367</v>
      </c>
      <c r="B283" s="33" t="str">
        <f>IFERROR(INDEX(Recipes!$B$2:$B$500,MATCH(A283,Recipes!$A$2:$A$500,0)),"")</f>
        <v>Mango Prawn Poke-Style Bowl</v>
      </c>
      <c r="C283" s="7" t="s">
        <v>2801</v>
      </c>
      <c r="D283" s="34">
        <v>1</v>
      </c>
      <c r="E283" s="22" t="s">
        <v>2748</v>
      </c>
      <c r="F283" s="22"/>
      <c r="G283" s="22" t="s">
        <v>2749</v>
      </c>
      <c r="H283" s="7" t="s">
        <v>2844</v>
      </c>
      <c r="I283" s="35"/>
      <c r="J283" s="30">
        <f>IF(OR($F283="",$I283=""),0,IFERROR(INDEX(Nutrition!$D$2:$D$300,MATCH($F283,Nutrition!$A$2:$A$300,0))*$I283/100,0))</f>
        <v>0</v>
      </c>
      <c r="K283" s="30">
        <f>IF(OR($F283="",$I283=""),0,IFERROR(INDEX(Nutrition!$E$2:$E$300,MATCH($F283,Nutrition!$A$2:$A$300,0))*$I283/100,0))</f>
        <v>0</v>
      </c>
      <c r="L283" s="30">
        <f>IF(OR($F283="",$I283=""),0,IFERROR(INDEX(Nutrition!$F$2:$F$300,MATCH($F283,Nutrition!$A$2:$A$300,0))*$I283/100,0))</f>
        <v>0</v>
      </c>
      <c r="M283" s="30">
        <f>IF(OR($F283="",$I283=""),0,IFERROR(INDEX(Nutrition!$G$2:$G$300,MATCH($F283,Nutrition!$A$2:$A$300,0))*$I283/100,0))</f>
        <v>0</v>
      </c>
      <c r="N283" s="30">
        <f>IF(OR($F283="",$I283=""),0,IFERROR(INDEX(Nutrition!$H$2:$H$300,MATCH($F283,Nutrition!$A$2:$A$300,0))*$I283/100,0))</f>
        <v>0</v>
      </c>
      <c r="O283" s="30">
        <f>IF(OR($F283="",$I283=""),0,IFERROR(INDEX(Nutrition!$I$2:$I$300,MATCH($F283,Nutrition!$A$2:$A$300,0))*$I283/100,0))</f>
        <v>0</v>
      </c>
      <c r="P283" s="30">
        <f>IF(OR($F283="",$I283=""),0,IFERROR(INDEX(Nutrition!$J$2:$J$300,MATCH($F283,Nutrition!$A$2:$A$300,0))*$I283/100,0))</f>
        <v>0</v>
      </c>
      <c r="Q283" s="30">
        <f>IF(OR($F283="",$I283=""),0,IFERROR(INDEX(Nutrition!$K$2:$K$300,MATCH($F283,Nutrition!$A$2:$A$300,0))*$I283/100,0))</f>
        <v>0</v>
      </c>
      <c r="R283" s="30">
        <f>IF(OR($F283="",$I283=""),0,IFERROR(INDEX(Nutrition!$L$2:$L$300,MATCH($F283,Nutrition!$A$2:$A$300,0))*$I283/100,0))</f>
        <v>0</v>
      </c>
      <c r="S283" s="30">
        <f>IF(OR($F283="",$I283=""),0,IFERROR(INDEX(Nutrition!$M$2:$M$300,MATCH($F283,Nutrition!$A$2:$A$300,0))*$I283/100,0))</f>
        <v>0</v>
      </c>
    </row>
    <row r="284" spans="1:19" ht="15" customHeight="1" x14ac:dyDescent="0.25">
      <c r="A284" s="22" t="s">
        <v>1367</v>
      </c>
      <c r="B284" s="33" t="str">
        <f>IFERROR(INDEX(Recipes!$B$2:$B$500,MATCH(A284,Recipes!$A$2:$A$500,0)),"")</f>
        <v>Mango Prawn Poke-Style Bowl</v>
      </c>
      <c r="C284" s="7" t="s">
        <v>168</v>
      </c>
      <c r="D284" s="34">
        <v>1</v>
      </c>
      <c r="E284" s="22" t="s">
        <v>2754</v>
      </c>
      <c r="F284" s="22" t="s">
        <v>167</v>
      </c>
      <c r="G284" s="22" t="s">
        <v>2755</v>
      </c>
      <c r="H284" s="7"/>
      <c r="I284" s="35">
        <v>336</v>
      </c>
      <c r="J284" s="30">
        <f>IF(OR($F284="",$I284=""),0,IFERROR(INDEX(Nutrition!$D$2:$D$300,MATCH($F284,Nutrition!$A$2:$A$300,0))*$I284/100,0))</f>
        <v>5.3760000000000003</v>
      </c>
      <c r="K284" s="30">
        <f>IF(OR($F284="",$I284=""),0,IFERROR(INDEX(Nutrition!$E$2:$E$300,MATCH($F284,Nutrition!$A$2:$A$300,0))*$I284/100,0))</f>
        <v>122.304</v>
      </c>
      <c r="L284" s="30">
        <f>IF(OR($F284="",$I284=""),0,IFERROR(INDEX(Nutrition!$F$2:$F$300,MATCH($F284,Nutrition!$A$2:$A$300,0))*$I284/100,0))</f>
        <v>181.44</v>
      </c>
      <c r="M284" s="30">
        <f>IF(OR($F284="",$I284=""),0,IFERROR(INDEX(Nutrition!$G$2:$G$300,MATCH($F284,Nutrition!$A$2:$A$300,0))*$I284/100,0))</f>
        <v>14.112</v>
      </c>
      <c r="N284" s="30">
        <f>IF(OR($F284="",$I284=""),0,IFERROR(INDEX(Nutrition!$H$2:$H$300,MATCH($F284,Nutrition!$A$2:$A$300,0))*$I284/100,0))</f>
        <v>144.47999999999999</v>
      </c>
      <c r="O284" s="30">
        <f>IF(OR($F284="",$I284=""),0,IFERROR(INDEX(Nutrition!$I$2:$I$300,MATCH($F284,Nutrition!$A$2:$A$300,0))*$I284/100,0))</f>
        <v>564.48</v>
      </c>
      <c r="P284" s="30">
        <f>IF(OR($F284="",$I284=""),0,IFERROR(INDEX(Nutrition!$J$2:$J$300,MATCH($F284,Nutrition!$A$2:$A$300,0))*$I284/100,0))</f>
        <v>3.0240000000000005</v>
      </c>
      <c r="Q284" s="30">
        <f>IF(OR($F284="",$I284=""),0,IFERROR(INDEX(Nutrition!$K$2:$K$300,MATCH($F284,Nutrition!$A$2:$A$300,0))*$I284/100,0))</f>
        <v>0.39983999999999997</v>
      </c>
      <c r="R284" s="30">
        <f>IF(OR($F284="",$I284=""),0,IFERROR(INDEX(Nutrition!$L$2:$L$300,MATCH($F284,Nutrition!$A$2:$A$300,0))*$I284/100,0))</f>
        <v>33.6</v>
      </c>
      <c r="S284" s="30">
        <f>IF(OR($F284="",$I284=""),0,IFERROR(INDEX(Nutrition!$M$2:$M$300,MATCH($F284,Nutrition!$A$2:$A$300,0))*$I284/100,0))</f>
        <v>0.53759999999999997</v>
      </c>
    </row>
    <row r="285" spans="1:19" ht="15" customHeight="1" x14ac:dyDescent="0.25">
      <c r="A285" s="22" t="s">
        <v>1367</v>
      </c>
      <c r="B285" s="33" t="str">
        <f>IFERROR(INDEX(Recipes!$B$2:$B$500,MATCH(A285,Recipes!$A$2:$A$500,0)),"")</f>
        <v>Mango Prawn Poke-Style Bowl</v>
      </c>
      <c r="C285" s="7" t="s">
        <v>523</v>
      </c>
      <c r="D285" s="34">
        <v>1</v>
      </c>
      <c r="E285" s="22" t="s">
        <v>2754</v>
      </c>
      <c r="F285" s="22" t="s">
        <v>522</v>
      </c>
      <c r="G285" s="22" t="s">
        <v>2755</v>
      </c>
      <c r="H285" s="7"/>
      <c r="I285" s="35">
        <v>301</v>
      </c>
      <c r="J285" s="30">
        <f>IF(OR($F285="",$I285=""),0,IFERROR(INDEX(Nutrition!$D$2:$D$300,MATCH($F285,Nutrition!$A$2:$A$300,0))*$I285/100,0))</f>
        <v>1.5049999999999999</v>
      </c>
      <c r="K285" s="30">
        <f>IF(OR($F285="",$I285=""),0,IFERROR(INDEX(Nutrition!$E$2:$E$300,MATCH($F285,Nutrition!$A$2:$A$300,0))*$I285/100,0))</f>
        <v>8.427999999999999</v>
      </c>
      <c r="L285" s="30">
        <f>IF(OR($F285="",$I285=""),0,IFERROR(INDEX(Nutrition!$F$2:$F$300,MATCH($F285,Nutrition!$A$2:$A$300,0))*$I285/100,0))</f>
        <v>15.05</v>
      </c>
      <c r="M285" s="30">
        <f>IF(OR($F285="",$I285=""),0,IFERROR(INDEX(Nutrition!$G$2:$G$300,MATCH($F285,Nutrition!$A$2:$A$300,0))*$I285/100,0))</f>
        <v>49.363999999999997</v>
      </c>
      <c r="N285" s="30">
        <f>IF(OR($F285="",$I285=""),0,IFERROR(INDEX(Nutrition!$H$2:$H$300,MATCH($F285,Nutrition!$A$2:$A$300,0))*$I285/100,0))</f>
        <v>21.07</v>
      </c>
      <c r="O285" s="30">
        <f>IF(OR($F285="",$I285=""),0,IFERROR(INDEX(Nutrition!$I$2:$I$300,MATCH($F285,Nutrition!$A$2:$A$300,0))*$I285/100,0))</f>
        <v>442.47</v>
      </c>
      <c r="P285" s="30">
        <f>IF(OR($F285="",$I285=""),0,IFERROR(INDEX(Nutrition!$J$2:$J$300,MATCH($F285,Nutrition!$A$2:$A$300,0))*$I285/100,0))</f>
        <v>9.0299999999999991E-2</v>
      </c>
      <c r="Q285" s="30">
        <f>IF(OR($F285="",$I285=""),0,IFERROR(INDEX(Nutrition!$K$2:$K$300,MATCH($F285,Nutrition!$A$2:$A$300,0))*$I285/100,0))</f>
        <v>0.12040000000000001</v>
      </c>
      <c r="R285" s="30">
        <f>IF(OR($F285="",$I285=""),0,IFERROR(INDEX(Nutrition!$L$2:$L$300,MATCH($F285,Nutrition!$A$2:$A$300,0))*$I285/100,0))</f>
        <v>39.130000000000003</v>
      </c>
      <c r="S285" s="30">
        <f>IF(OR($F285="",$I285=""),0,IFERROR(INDEX(Nutrition!$M$2:$M$300,MATCH($F285,Nutrition!$A$2:$A$300,0))*$I285/100,0))</f>
        <v>0.84279999999999999</v>
      </c>
    </row>
    <row r="286" spans="1:19" ht="15" customHeight="1" x14ac:dyDescent="0.25">
      <c r="A286" s="22" t="s">
        <v>1367</v>
      </c>
      <c r="B286" s="33" t="str">
        <f>IFERROR(INDEX(Recipes!$B$2:$B$500,MATCH(A286,Recipes!$A$2:$A$500,0)),"")</f>
        <v>Mango Prawn Poke-Style Bowl</v>
      </c>
      <c r="C286" s="7" t="s">
        <v>529</v>
      </c>
      <c r="D286" s="34">
        <v>1</v>
      </c>
      <c r="E286" s="22" t="s">
        <v>2754</v>
      </c>
      <c r="F286" s="22" t="s">
        <v>528</v>
      </c>
      <c r="G286" s="22" t="s">
        <v>2755</v>
      </c>
      <c r="H286" s="7"/>
      <c r="I286" s="35">
        <v>61</v>
      </c>
      <c r="J286" s="30">
        <f>IF(OR($F286="",$I286=""),0,IFERROR(INDEX(Nutrition!$D$2:$D$300,MATCH($F286,Nutrition!$A$2:$A$300,0))*$I286/100,0))</f>
        <v>1.7079999999999997</v>
      </c>
      <c r="K286" s="30">
        <f>IF(OR($F286="",$I286=""),0,IFERROR(INDEX(Nutrition!$E$2:$E$300,MATCH($F286,Nutrition!$A$2:$A$300,0))*$I286/100,0))</f>
        <v>3.5990000000000002</v>
      </c>
      <c r="L286" s="30">
        <f>IF(OR($F286="",$I286=""),0,IFERROR(INDEX(Nutrition!$F$2:$F$300,MATCH($F286,Nutrition!$A$2:$A$300,0))*$I286/100,0))</f>
        <v>509.35</v>
      </c>
      <c r="M286" s="30">
        <f>IF(OR($F286="",$I286=""),0,IFERROR(INDEX(Nutrition!$G$2:$G$300,MATCH($F286,Nutrition!$A$2:$A$300,0))*$I286/100,0))</f>
        <v>8.0519999999999996</v>
      </c>
      <c r="N286" s="30">
        <f>IF(OR($F286="",$I286=""),0,IFERROR(INDEX(Nutrition!$H$2:$H$300,MATCH($F286,Nutrition!$A$2:$A$300,0))*$I286/100,0))</f>
        <v>11.59</v>
      </c>
      <c r="O286" s="30">
        <f>IF(OR($F286="",$I286=""),0,IFERROR(INDEX(Nutrition!$I$2:$I$300,MATCH($F286,Nutrition!$A$2:$A$300,0))*$I286/100,0))</f>
        <v>195.2</v>
      </c>
      <c r="P286" s="30">
        <f>IF(OR($F286="",$I286=""),0,IFERROR(INDEX(Nutrition!$J$2:$J$300,MATCH($F286,Nutrition!$A$2:$A$300,0))*$I286/100,0))</f>
        <v>0.40260000000000007</v>
      </c>
      <c r="Q286" s="30">
        <f>IF(OR($F286="",$I286=""),0,IFERROR(INDEX(Nutrition!$K$2:$K$300,MATCH($F286,Nutrition!$A$2:$A$300,0))*$I286/100,0))</f>
        <v>8.4180000000000005E-2</v>
      </c>
      <c r="R286" s="30">
        <f>IF(OR($F286="",$I286=""),0,IFERROR(INDEX(Nutrition!$L$2:$L$300,MATCH($F286,Nutrition!$A$2:$A$300,0))*$I286/100,0))</f>
        <v>7.32</v>
      </c>
      <c r="S286" s="30">
        <f>IF(OR($F286="",$I286=""),0,IFERROR(INDEX(Nutrition!$M$2:$M$300,MATCH($F286,Nutrition!$A$2:$A$300,0))*$I286/100,0))</f>
        <v>0.183</v>
      </c>
    </row>
    <row r="287" spans="1:19" ht="15" customHeight="1" x14ac:dyDescent="0.25">
      <c r="A287" s="22" t="s">
        <v>1367</v>
      </c>
      <c r="B287" s="33" t="str">
        <f>IFERROR(INDEX(Recipes!$B$2:$B$500,MATCH(A287,Recipes!$A$2:$A$500,0)),"")</f>
        <v>Mango Prawn Poke-Style Bowl</v>
      </c>
      <c r="C287" s="7" t="s">
        <v>227</v>
      </c>
      <c r="D287" s="34">
        <v>0.5</v>
      </c>
      <c r="E287" s="22" t="s">
        <v>2754</v>
      </c>
      <c r="F287" s="22" t="s">
        <v>226</v>
      </c>
      <c r="G287" s="22" t="s">
        <v>2755</v>
      </c>
      <c r="H287" s="7"/>
      <c r="I287" s="35">
        <v>100</v>
      </c>
      <c r="J287" s="30">
        <f>IF(OR($F287="",$I287=""),0,IFERROR(INDEX(Nutrition!$D$2:$D$300,MATCH($F287,Nutrition!$A$2:$A$300,0))*$I287/100,0))</f>
        <v>6.7</v>
      </c>
      <c r="K287" s="30">
        <f>IF(OR($F287="",$I287=""),0,IFERROR(INDEX(Nutrition!$E$2:$E$300,MATCH($F287,Nutrition!$A$2:$A$300,0))*$I287/100,0))</f>
        <v>10</v>
      </c>
      <c r="L287" s="30">
        <f>IF(OR($F287="",$I287=""),0,IFERROR(INDEX(Nutrition!$F$2:$F$300,MATCH($F287,Nutrition!$A$2:$A$300,0))*$I287/100,0))</f>
        <v>7</v>
      </c>
      <c r="M287" s="30">
        <f>IF(OR($F287="",$I287=""),0,IFERROR(INDEX(Nutrition!$G$2:$G$300,MATCH($F287,Nutrition!$A$2:$A$300,0))*$I287/100,0))</f>
        <v>21</v>
      </c>
      <c r="N287" s="30">
        <f>IF(OR($F287="",$I287=""),0,IFERROR(INDEX(Nutrition!$H$2:$H$300,MATCH($F287,Nutrition!$A$2:$A$300,0))*$I287/100,0))</f>
        <v>81</v>
      </c>
      <c r="O287" s="30">
        <f>IF(OR($F287="",$I287=""),0,IFERROR(INDEX(Nutrition!$I$2:$I$300,MATCH($F287,Nutrition!$A$2:$A$300,0))*$I287/100,0))</f>
        <v>485</v>
      </c>
      <c r="P287" s="30">
        <f>IF(OR($F287="",$I287=""),0,IFERROR(INDEX(Nutrition!$J$2:$J$300,MATCH($F287,Nutrition!$A$2:$A$300,0))*$I287/100,0))</f>
        <v>2.0699999999999998</v>
      </c>
      <c r="Q287" s="30">
        <f>IF(OR($F287="",$I287=""),0,IFERROR(INDEX(Nutrition!$K$2:$K$300,MATCH($F287,Nutrition!$A$2:$A$300,0))*$I287/100,0))</f>
        <v>0.25700000000000001</v>
      </c>
      <c r="R287" s="30">
        <f>IF(OR($F287="",$I287=""),0,IFERROR(INDEX(Nutrition!$L$2:$L$300,MATCH($F287,Nutrition!$A$2:$A$300,0))*$I287/100,0))</f>
        <v>29</v>
      </c>
      <c r="S287" s="30">
        <f>IF(OR($F287="",$I287=""),0,IFERROR(INDEX(Nutrition!$M$2:$M$300,MATCH($F287,Nutrition!$A$2:$A$300,0))*$I287/100,0))</f>
        <v>0.55000000000000004</v>
      </c>
    </row>
    <row r="288" spans="1:19" ht="15" customHeight="1" x14ac:dyDescent="0.25">
      <c r="A288" s="22" t="s">
        <v>1367</v>
      </c>
      <c r="B288" s="33" t="str">
        <f>IFERROR(INDEX(Recipes!$B$2:$B$500,MATCH(A288,Recipes!$A$2:$A$500,0)),"")</f>
        <v>Mango Prawn Poke-Style Bowl</v>
      </c>
      <c r="C288" s="7" t="s">
        <v>490</v>
      </c>
      <c r="D288" s="34">
        <v>2</v>
      </c>
      <c r="E288" s="22" t="s">
        <v>2820</v>
      </c>
      <c r="F288" s="22" t="s">
        <v>489</v>
      </c>
      <c r="G288" s="22" t="s">
        <v>2755</v>
      </c>
      <c r="H288" s="7"/>
      <c r="I288" s="35">
        <v>30</v>
      </c>
      <c r="J288" s="30">
        <f>IF(OR($F288="",$I288=""),0,IFERROR(INDEX(Nutrition!$D$2:$D$300,MATCH($F288,Nutrition!$A$2:$A$300,0))*$I288/100,0))</f>
        <v>0.78</v>
      </c>
      <c r="K288" s="30">
        <f>IF(OR($F288="",$I288=""),0,IFERROR(INDEX(Nutrition!$E$2:$E$300,MATCH($F288,Nutrition!$A$2:$A$300,0))*$I288/100,0))</f>
        <v>5.64</v>
      </c>
      <c r="L288" s="30">
        <f>IF(OR($F288="",$I288=""),0,IFERROR(INDEX(Nutrition!$F$2:$F$300,MATCH($F288,Nutrition!$A$2:$A$300,0))*$I288/100,0))</f>
        <v>15</v>
      </c>
      <c r="M288" s="30">
        <f>IF(OR($F288="",$I288=""),0,IFERROR(INDEX(Nutrition!$G$2:$G$300,MATCH($F288,Nutrition!$A$2:$A$300,0))*$I288/100,0))</f>
        <v>62.1</v>
      </c>
      <c r="N288" s="30">
        <f>IF(OR($F288="",$I288=""),0,IFERROR(INDEX(Nutrition!$H$2:$H$300,MATCH($F288,Nutrition!$A$2:$A$300,0))*$I288/100,0))</f>
        <v>19.2</v>
      </c>
      <c r="O288" s="30">
        <f>IF(OR($F288="",$I288=""),0,IFERROR(INDEX(Nutrition!$I$2:$I$300,MATCH($F288,Nutrition!$A$2:$A$300,0))*$I288/100,0))</f>
        <v>82.8</v>
      </c>
      <c r="P288" s="30">
        <f>IF(OR($F288="",$I288=""),0,IFERROR(INDEX(Nutrition!$J$2:$J$300,MATCH($F288,Nutrition!$A$2:$A$300,0))*$I288/100,0))</f>
        <v>0.16500000000000001</v>
      </c>
      <c r="Q288" s="30">
        <f>IF(OR($F288="",$I288=""),0,IFERROR(INDEX(Nutrition!$K$2:$K$300,MATCH($F288,Nutrition!$A$2:$A$300,0))*$I288/100,0))</f>
        <v>1.83E-2</v>
      </c>
      <c r="R288" s="30">
        <f>IF(OR($F288="",$I288=""),0,IFERROR(INDEX(Nutrition!$L$2:$L$300,MATCH($F288,Nutrition!$A$2:$A$300,0))*$I288/100,0))</f>
        <v>6</v>
      </c>
      <c r="S288" s="30">
        <f>IF(OR($F288="",$I288=""),0,IFERROR(INDEX(Nutrition!$M$2:$M$300,MATCH($F288,Nutrition!$A$2:$A$300,0))*$I288/100,0))</f>
        <v>0.44400000000000001</v>
      </c>
    </row>
    <row r="289" spans="1:19" ht="15" customHeight="1" x14ac:dyDescent="0.25">
      <c r="A289" s="22" t="s">
        <v>1367</v>
      </c>
      <c r="B289" s="33" t="str">
        <f>IFERROR(INDEX(Recipes!$B$2:$B$500,MATCH(A289,Recipes!$A$2:$A$500,0)),"")</f>
        <v>Mango Prawn Poke-Style Bowl</v>
      </c>
      <c r="C289" s="7" t="s">
        <v>213</v>
      </c>
      <c r="D289" s="34">
        <v>1</v>
      </c>
      <c r="E289" s="22" t="s">
        <v>2754</v>
      </c>
      <c r="F289" s="22" t="s">
        <v>212</v>
      </c>
      <c r="G289" s="22" t="s">
        <v>2755</v>
      </c>
      <c r="H289" s="7"/>
      <c r="I289" s="35">
        <v>67</v>
      </c>
      <c r="J289" s="30">
        <f>IF(OR($F289="",$I289=""),0,IFERROR(INDEX(Nutrition!$D$2:$D$300,MATCH($F289,Nutrition!$A$2:$A$300,0))*$I289/100,0))</f>
        <v>1.8759999999999999</v>
      </c>
      <c r="K289" s="30">
        <f>IF(OR($F289="",$I289=""),0,IFERROR(INDEX(Nutrition!$E$2:$E$300,MATCH($F289,Nutrition!$A$2:$A$300,0))*$I289/100,0))</f>
        <v>19.497</v>
      </c>
      <c r="L289" s="30">
        <f>IF(OR($F289="",$I289=""),0,IFERROR(INDEX(Nutrition!$F$2:$F$300,MATCH($F289,Nutrition!$A$2:$A$300,0))*$I289/100,0))</f>
        <v>1.34</v>
      </c>
      <c r="M289" s="30">
        <f>IF(OR($F289="",$I289=""),0,IFERROR(INDEX(Nutrition!$G$2:$G$300,MATCH($F289,Nutrition!$A$2:$A$300,0))*$I289/100,0))</f>
        <v>0.40199999999999997</v>
      </c>
      <c r="N289" s="30">
        <f>IF(OR($F289="",$I289=""),0,IFERROR(INDEX(Nutrition!$H$2:$H$300,MATCH($F289,Nutrition!$A$2:$A$300,0))*$I289/100,0))</f>
        <v>5.36</v>
      </c>
      <c r="O289" s="30">
        <f>IF(OR($F289="",$I289=""),0,IFERROR(INDEX(Nutrition!$I$2:$I$300,MATCH($F289,Nutrition!$A$2:$A$300,0))*$I289/100,0))</f>
        <v>68.34</v>
      </c>
      <c r="P289" s="30">
        <f>IF(OR($F289="",$I289=""),0,IFERROR(INDEX(Nutrition!$J$2:$J$300,MATCH($F289,Nutrition!$A$2:$A$300,0))*$I289/100,0))</f>
        <v>0.1474</v>
      </c>
      <c r="Q289" s="30">
        <f>IF(OR($F289="",$I289=""),0,IFERROR(INDEX(Nutrition!$K$2:$K$300,MATCH($F289,Nutrition!$A$2:$A$300,0))*$I289/100,0))</f>
        <v>2.8809999999999999E-2</v>
      </c>
      <c r="R289" s="30">
        <f>IF(OR($F289="",$I289=""),0,IFERROR(INDEX(Nutrition!$L$2:$L$300,MATCH($F289,Nutrition!$A$2:$A$300,0))*$I289/100,0))</f>
        <v>4.0199999999999996</v>
      </c>
      <c r="S289" s="30">
        <f>IF(OR($F289="",$I289=""),0,IFERROR(INDEX(Nutrition!$M$2:$M$300,MATCH($F289,Nutrition!$A$2:$A$300,0))*$I289/100,0))</f>
        <v>0.40199999999999997</v>
      </c>
    </row>
    <row r="290" spans="1:19" ht="15" customHeight="1" x14ac:dyDescent="0.25">
      <c r="A290" s="22" t="s">
        <v>1367</v>
      </c>
      <c r="B290" s="33" t="str">
        <f>IFERROR(INDEX(Recipes!$B$2:$B$500,MATCH(A290,Recipes!$A$2:$A$500,0)),"")</f>
        <v>Mango Prawn Poke-Style Bowl</v>
      </c>
      <c r="C290" s="7" t="s">
        <v>2823</v>
      </c>
      <c r="D290" s="34">
        <v>2</v>
      </c>
      <c r="E290" s="22" t="s">
        <v>2753</v>
      </c>
      <c r="F290" s="22"/>
      <c r="G290" s="22" t="s">
        <v>2749</v>
      </c>
      <c r="H290" s="7"/>
      <c r="I290" s="35"/>
      <c r="J290" s="30">
        <f>IF(OR($F290="",$I290=""),0,IFERROR(INDEX(Nutrition!$D$2:$D$300,MATCH($F290,Nutrition!$A$2:$A$300,0))*$I290/100,0))</f>
        <v>0</v>
      </c>
      <c r="K290" s="30">
        <f>IF(OR($F290="",$I290=""),0,IFERROR(INDEX(Nutrition!$E$2:$E$300,MATCH($F290,Nutrition!$A$2:$A$300,0))*$I290/100,0))</f>
        <v>0</v>
      </c>
      <c r="L290" s="30">
        <f>IF(OR($F290="",$I290=""),0,IFERROR(INDEX(Nutrition!$F$2:$F$300,MATCH($F290,Nutrition!$A$2:$A$300,0))*$I290/100,0))</f>
        <v>0</v>
      </c>
      <c r="M290" s="30">
        <f>IF(OR($F290="",$I290=""),0,IFERROR(INDEX(Nutrition!$G$2:$G$300,MATCH($F290,Nutrition!$A$2:$A$300,0))*$I290/100,0))</f>
        <v>0</v>
      </c>
      <c r="N290" s="30">
        <f>IF(OR($F290="",$I290=""),0,IFERROR(INDEX(Nutrition!$H$2:$H$300,MATCH($F290,Nutrition!$A$2:$A$300,0))*$I290/100,0))</f>
        <v>0</v>
      </c>
      <c r="O290" s="30">
        <f>IF(OR($F290="",$I290=""),0,IFERROR(INDEX(Nutrition!$I$2:$I$300,MATCH($F290,Nutrition!$A$2:$A$300,0))*$I290/100,0))</f>
        <v>0</v>
      </c>
      <c r="P290" s="30">
        <f>IF(OR($F290="",$I290=""),0,IFERROR(INDEX(Nutrition!$J$2:$J$300,MATCH($F290,Nutrition!$A$2:$A$300,0))*$I290/100,0))</f>
        <v>0</v>
      </c>
      <c r="Q290" s="30">
        <f>IF(OR($F290="",$I290=""),0,IFERROR(INDEX(Nutrition!$K$2:$K$300,MATCH($F290,Nutrition!$A$2:$A$300,0))*$I290/100,0))</f>
        <v>0</v>
      </c>
      <c r="R290" s="30">
        <f>IF(OR($F290="",$I290=""),0,IFERROR(INDEX(Nutrition!$L$2:$L$300,MATCH($F290,Nutrition!$A$2:$A$300,0))*$I290/100,0))</f>
        <v>0</v>
      </c>
      <c r="S290" s="30">
        <f>IF(OR($F290="",$I290=""),0,IFERROR(INDEX(Nutrition!$M$2:$M$300,MATCH($F290,Nutrition!$A$2:$A$300,0))*$I290/100,0))</f>
        <v>0</v>
      </c>
    </row>
    <row r="291" spans="1:19" ht="15" customHeight="1" x14ac:dyDescent="0.25">
      <c r="A291" s="22" t="s">
        <v>1367</v>
      </c>
      <c r="B291" s="33" t="str">
        <f>IFERROR(INDEX(Recipes!$B$2:$B$500,MATCH(A291,Recipes!$A$2:$A$500,0)),"")</f>
        <v>Mango Prawn Poke-Style Bowl</v>
      </c>
      <c r="C291" s="7" t="s">
        <v>2848</v>
      </c>
      <c r="D291" s="34">
        <v>1</v>
      </c>
      <c r="E291" s="22" t="s">
        <v>2759</v>
      </c>
      <c r="F291" s="22"/>
      <c r="G291" s="22" t="s">
        <v>2749</v>
      </c>
      <c r="H291" s="7"/>
      <c r="I291" s="35"/>
      <c r="J291" s="30">
        <f>IF(OR($F291="",$I291=""),0,IFERROR(INDEX(Nutrition!$D$2:$D$300,MATCH($F291,Nutrition!$A$2:$A$300,0))*$I291/100,0))</f>
        <v>0</v>
      </c>
      <c r="K291" s="30">
        <f>IF(OR($F291="",$I291=""),0,IFERROR(INDEX(Nutrition!$E$2:$E$300,MATCH($F291,Nutrition!$A$2:$A$300,0))*$I291/100,0))</f>
        <v>0</v>
      </c>
      <c r="L291" s="30">
        <f>IF(OR($F291="",$I291=""),0,IFERROR(INDEX(Nutrition!$F$2:$F$300,MATCH($F291,Nutrition!$A$2:$A$300,0))*$I291/100,0))</f>
        <v>0</v>
      </c>
      <c r="M291" s="30">
        <f>IF(OR($F291="",$I291=""),0,IFERROR(INDEX(Nutrition!$G$2:$G$300,MATCH($F291,Nutrition!$A$2:$A$300,0))*$I291/100,0))</f>
        <v>0</v>
      </c>
      <c r="N291" s="30">
        <f>IF(OR($F291="",$I291=""),0,IFERROR(INDEX(Nutrition!$H$2:$H$300,MATCH($F291,Nutrition!$A$2:$A$300,0))*$I291/100,0))</f>
        <v>0</v>
      </c>
      <c r="O291" s="30">
        <f>IF(OR($F291="",$I291=""),0,IFERROR(INDEX(Nutrition!$I$2:$I$300,MATCH($F291,Nutrition!$A$2:$A$300,0))*$I291/100,0))</f>
        <v>0</v>
      </c>
      <c r="P291" s="30">
        <f>IF(OR($F291="",$I291=""),0,IFERROR(INDEX(Nutrition!$J$2:$J$300,MATCH($F291,Nutrition!$A$2:$A$300,0))*$I291/100,0))</f>
        <v>0</v>
      </c>
      <c r="Q291" s="30">
        <f>IF(OR($F291="",$I291=""),0,IFERROR(INDEX(Nutrition!$K$2:$K$300,MATCH($F291,Nutrition!$A$2:$A$300,0))*$I291/100,0))</f>
        <v>0</v>
      </c>
      <c r="R291" s="30">
        <f>IF(OR($F291="",$I291=""),0,IFERROR(INDEX(Nutrition!$L$2:$L$300,MATCH($F291,Nutrition!$A$2:$A$300,0))*$I291/100,0))</f>
        <v>0</v>
      </c>
      <c r="S291" s="30">
        <f>IF(OR($F291="",$I291=""),0,IFERROR(INDEX(Nutrition!$M$2:$M$300,MATCH($F291,Nutrition!$A$2:$A$300,0))*$I291/100,0))</f>
        <v>0</v>
      </c>
    </row>
    <row r="292" spans="1:19" ht="15" customHeight="1" x14ac:dyDescent="0.25">
      <c r="A292" s="22" t="s">
        <v>1367</v>
      </c>
      <c r="B292" s="33" t="str">
        <f>IFERROR(INDEX(Recipes!$B$2:$B$500,MATCH(A292,Recipes!$A$2:$A$500,0)),"")</f>
        <v>Mango Prawn Poke-Style Bowl</v>
      </c>
      <c r="C292" s="7" t="s">
        <v>2758</v>
      </c>
      <c r="D292" s="34">
        <v>1</v>
      </c>
      <c r="E292" s="22" t="s">
        <v>2759</v>
      </c>
      <c r="F292" s="22"/>
      <c r="G292" s="22" t="s">
        <v>2749</v>
      </c>
      <c r="H292" s="7"/>
      <c r="I292" s="35"/>
      <c r="J292" s="30">
        <f>IF(OR($F292="",$I292=""),0,IFERROR(INDEX(Nutrition!$D$2:$D$300,MATCH($F292,Nutrition!$A$2:$A$300,0))*$I292/100,0))</f>
        <v>0</v>
      </c>
      <c r="K292" s="30">
        <f>IF(OR($F292="",$I292=""),0,IFERROR(INDEX(Nutrition!$E$2:$E$300,MATCH($F292,Nutrition!$A$2:$A$300,0))*$I292/100,0))</f>
        <v>0</v>
      </c>
      <c r="L292" s="30">
        <f>IF(OR($F292="",$I292=""),0,IFERROR(INDEX(Nutrition!$F$2:$F$300,MATCH($F292,Nutrition!$A$2:$A$300,0))*$I292/100,0))</f>
        <v>0</v>
      </c>
      <c r="M292" s="30">
        <f>IF(OR($F292="",$I292=""),0,IFERROR(INDEX(Nutrition!$G$2:$G$300,MATCH($F292,Nutrition!$A$2:$A$300,0))*$I292/100,0))</f>
        <v>0</v>
      </c>
      <c r="N292" s="30">
        <f>IF(OR($F292="",$I292=""),0,IFERROR(INDEX(Nutrition!$H$2:$H$300,MATCH($F292,Nutrition!$A$2:$A$300,0))*$I292/100,0))</f>
        <v>0</v>
      </c>
      <c r="O292" s="30">
        <f>IF(OR($F292="",$I292=""),0,IFERROR(INDEX(Nutrition!$I$2:$I$300,MATCH($F292,Nutrition!$A$2:$A$300,0))*$I292/100,0))</f>
        <v>0</v>
      </c>
      <c r="P292" s="30">
        <f>IF(OR($F292="",$I292=""),0,IFERROR(INDEX(Nutrition!$J$2:$J$300,MATCH($F292,Nutrition!$A$2:$A$300,0))*$I292/100,0))</f>
        <v>0</v>
      </c>
      <c r="Q292" s="30">
        <f>IF(OR($F292="",$I292=""),0,IFERROR(INDEX(Nutrition!$K$2:$K$300,MATCH($F292,Nutrition!$A$2:$A$300,0))*$I292/100,0))</f>
        <v>0</v>
      </c>
      <c r="R292" s="30">
        <f>IF(OR($F292="",$I292=""),0,IFERROR(INDEX(Nutrition!$L$2:$L$300,MATCH($F292,Nutrition!$A$2:$A$300,0))*$I292/100,0))</f>
        <v>0</v>
      </c>
      <c r="S292" s="30">
        <f>IF(OR($F292="",$I292=""),0,IFERROR(INDEX(Nutrition!$M$2:$M$300,MATCH($F292,Nutrition!$A$2:$A$300,0))*$I292/100,0))</f>
        <v>0</v>
      </c>
    </row>
    <row r="293" spans="1:19" ht="15" customHeight="1" x14ac:dyDescent="0.25">
      <c r="A293" s="22" t="s">
        <v>1378</v>
      </c>
      <c r="B293" s="33" t="str">
        <f>IFERROR(INDEX(Recipes!$B$2:$B$500,MATCH(A293,Recipes!$A$2:$A$500,0)),"")</f>
        <v>Teriyaki Chicken &amp; Broccoli Bowl</v>
      </c>
      <c r="C293" s="7" t="s">
        <v>2849</v>
      </c>
      <c r="D293" s="34">
        <v>2</v>
      </c>
      <c r="E293" s="22" t="s">
        <v>2754</v>
      </c>
      <c r="F293" s="22"/>
      <c r="G293" s="22" t="s">
        <v>2768</v>
      </c>
      <c r="H293" s="7"/>
      <c r="I293" s="35"/>
      <c r="J293" s="30">
        <f>IF(OR($F293="",$I293=""),0,IFERROR(INDEX(Nutrition!$D$2:$D$300,MATCH($F293,Nutrition!$A$2:$A$300,0))*$I293/100,0))</f>
        <v>0</v>
      </c>
      <c r="K293" s="30">
        <f>IF(OR($F293="",$I293=""),0,IFERROR(INDEX(Nutrition!$E$2:$E$300,MATCH($F293,Nutrition!$A$2:$A$300,0))*$I293/100,0))</f>
        <v>0</v>
      </c>
      <c r="L293" s="30">
        <f>IF(OR($F293="",$I293=""),0,IFERROR(INDEX(Nutrition!$F$2:$F$300,MATCH($F293,Nutrition!$A$2:$A$300,0))*$I293/100,0))</f>
        <v>0</v>
      </c>
      <c r="M293" s="30">
        <f>IF(OR($F293="",$I293=""),0,IFERROR(INDEX(Nutrition!$G$2:$G$300,MATCH($F293,Nutrition!$A$2:$A$300,0))*$I293/100,0))</f>
        <v>0</v>
      </c>
      <c r="N293" s="30">
        <f>IF(OR($F293="",$I293=""),0,IFERROR(INDEX(Nutrition!$H$2:$H$300,MATCH($F293,Nutrition!$A$2:$A$300,0))*$I293/100,0))</f>
        <v>0</v>
      </c>
      <c r="O293" s="30">
        <f>IF(OR($F293="",$I293=""),0,IFERROR(INDEX(Nutrition!$I$2:$I$300,MATCH($F293,Nutrition!$A$2:$A$300,0))*$I293/100,0))</f>
        <v>0</v>
      </c>
      <c r="P293" s="30">
        <f>IF(OR($F293="",$I293=""),0,IFERROR(INDEX(Nutrition!$J$2:$J$300,MATCH($F293,Nutrition!$A$2:$A$300,0))*$I293/100,0))</f>
        <v>0</v>
      </c>
      <c r="Q293" s="30">
        <f>IF(OR($F293="",$I293=""),0,IFERROR(INDEX(Nutrition!$K$2:$K$300,MATCH($F293,Nutrition!$A$2:$A$300,0))*$I293/100,0))</f>
        <v>0</v>
      </c>
      <c r="R293" s="30">
        <f>IF(OR($F293="",$I293=""),0,IFERROR(INDEX(Nutrition!$L$2:$L$300,MATCH($F293,Nutrition!$A$2:$A$300,0))*$I293/100,0))</f>
        <v>0</v>
      </c>
      <c r="S293" s="30">
        <f>IF(OR($F293="",$I293=""),0,IFERROR(INDEX(Nutrition!$M$2:$M$300,MATCH($F293,Nutrition!$A$2:$A$300,0))*$I293/100,0))</f>
        <v>0</v>
      </c>
    </row>
    <row r="294" spans="1:19" ht="15" customHeight="1" x14ac:dyDescent="0.25">
      <c r="A294" s="22" t="s">
        <v>1378</v>
      </c>
      <c r="B294" s="33" t="str">
        <f>IFERROR(INDEX(Recipes!$B$2:$B$500,MATCH(A294,Recipes!$A$2:$A$500,0)),"")</f>
        <v>Teriyaki Chicken &amp; Broccoli Bowl</v>
      </c>
      <c r="C294" s="7" t="s">
        <v>2801</v>
      </c>
      <c r="D294" s="34">
        <v>1</v>
      </c>
      <c r="E294" s="22" t="s">
        <v>2748</v>
      </c>
      <c r="F294" s="22"/>
      <c r="G294" s="22" t="s">
        <v>2749</v>
      </c>
      <c r="H294" s="7" t="s">
        <v>2844</v>
      </c>
      <c r="I294" s="35"/>
      <c r="J294" s="30">
        <f>IF(OR($F294="",$I294=""),0,IFERROR(INDEX(Nutrition!$D$2:$D$300,MATCH($F294,Nutrition!$A$2:$A$300,0))*$I294/100,0))</f>
        <v>0</v>
      </c>
      <c r="K294" s="30">
        <f>IF(OR($F294="",$I294=""),0,IFERROR(INDEX(Nutrition!$E$2:$E$300,MATCH($F294,Nutrition!$A$2:$A$300,0))*$I294/100,0))</f>
        <v>0</v>
      </c>
      <c r="L294" s="30">
        <f>IF(OR($F294="",$I294=""),0,IFERROR(INDEX(Nutrition!$F$2:$F$300,MATCH($F294,Nutrition!$A$2:$A$300,0))*$I294/100,0))</f>
        <v>0</v>
      </c>
      <c r="M294" s="30">
        <f>IF(OR($F294="",$I294=""),0,IFERROR(INDEX(Nutrition!$G$2:$G$300,MATCH($F294,Nutrition!$A$2:$A$300,0))*$I294/100,0))</f>
        <v>0</v>
      </c>
      <c r="N294" s="30">
        <f>IF(OR($F294="",$I294=""),0,IFERROR(INDEX(Nutrition!$H$2:$H$300,MATCH($F294,Nutrition!$A$2:$A$300,0))*$I294/100,0))</f>
        <v>0</v>
      </c>
      <c r="O294" s="30">
        <f>IF(OR($F294="",$I294=""),0,IFERROR(INDEX(Nutrition!$I$2:$I$300,MATCH($F294,Nutrition!$A$2:$A$300,0))*$I294/100,0))</f>
        <v>0</v>
      </c>
      <c r="P294" s="30">
        <f>IF(OR($F294="",$I294=""),0,IFERROR(INDEX(Nutrition!$J$2:$J$300,MATCH($F294,Nutrition!$A$2:$A$300,0))*$I294/100,0))</f>
        <v>0</v>
      </c>
      <c r="Q294" s="30">
        <f>IF(OR($F294="",$I294=""),0,IFERROR(INDEX(Nutrition!$K$2:$K$300,MATCH($F294,Nutrition!$A$2:$A$300,0))*$I294/100,0))</f>
        <v>0</v>
      </c>
      <c r="R294" s="30">
        <f>IF(OR($F294="",$I294=""),0,IFERROR(INDEX(Nutrition!$L$2:$L$300,MATCH($F294,Nutrition!$A$2:$A$300,0))*$I294/100,0))</f>
        <v>0</v>
      </c>
      <c r="S294" s="30">
        <f>IF(OR($F294="",$I294=""),0,IFERROR(INDEX(Nutrition!$M$2:$M$300,MATCH($F294,Nutrition!$A$2:$A$300,0))*$I294/100,0))</f>
        <v>0</v>
      </c>
    </row>
    <row r="295" spans="1:19" ht="15" customHeight="1" x14ac:dyDescent="0.25">
      <c r="A295" s="22" t="s">
        <v>1378</v>
      </c>
      <c r="B295" s="33" t="str">
        <f>IFERROR(INDEX(Recipes!$B$2:$B$500,MATCH(A295,Recipes!$A$2:$A$500,0)),"")</f>
        <v>Teriyaki Chicken &amp; Broccoli Bowl</v>
      </c>
      <c r="C295" s="7" t="s">
        <v>576</v>
      </c>
      <c r="D295" s="34">
        <v>1</v>
      </c>
      <c r="E295" s="22" t="s">
        <v>2808</v>
      </c>
      <c r="F295" s="22" t="s">
        <v>575</v>
      </c>
      <c r="G295" s="22" t="s">
        <v>2755</v>
      </c>
      <c r="H295" s="7" t="s">
        <v>2850</v>
      </c>
      <c r="I295" s="35">
        <v>400</v>
      </c>
      <c r="J295" s="30">
        <f>IF(OR($F295="",$I295=""),0,IFERROR(INDEX(Nutrition!$D$2:$D$300,MATCH($F295,Nutrition!$A$2:$A$300,0))*$I295/100,0))</f>
        <v>10.4</v>
      </c>
      <c r="K295" s="30">
        <f>IF(OR($F295="",$I295=""),0,IFERROR(INDEX(Nutrition!$E$2:$E$300,MATCH($F295,Nutrition!$A$2:$A$300,0))*$I295/100,0))</f>
        <v>356.8</v>
      </c>
      <c r="L295" s="30">
        <f>IF(OR($F295="",$I295=""),0,IFERROR(INDEX(Nutrition!$F$2:$F$300,MATCH($F295,Nutrition!$A$2:$A$300,0))*$I295/100,0))</f>
        <v>124</v>
      </c>
      <c r="M295" s="30">
        <f>IF(OR($F295="",$I295=""),0,IFERROR(INDEX(Nutrition!$G$2:$G$300,MATCH($F295,Nutrition!$A$2:$A$300,0))*$I295/100,0))</f>
        <v>406.4</v>
      </c>
      <c r="N295" s="30">
        <f>IF(OR($F295="",$I295=""),0,IFERROR(INDEX(Nutrition!$H$2:$H$300,MATCH($F295,Nutrition!$A$2:$A$300,0))*$I295/100,0))</f>
        <v>252</v>
      </c>
      <c r="O295" s="30">
        <f>IF(OR($F295="",$I295=""),0,IFERROR(INDEX(Nutrition!$I$2:$I$300,MATCH($F295,Nutrition!$A$2:$A$300,0))*$I295/100,0))</f>
        <v>1264</v>
      </c>
      <c r="P295" s="30">
        <f>IF(OR($F295="",$I295=""),0,IFERROR(INDEX(Nutrition!$J$2:$J$300,MATCH($F295,Nutrition!$A$2:$A$300,0))*$I295/100,0))</f>
        <v>3.12</v>
      </c>
      <c r="Q295" s="30">
        <f>IF(OR($F295="",$I295=""),0,IFERROR(INDEX(Nutrition!$K$2:$K$300,MATCH($F295,Nutrition!$A$2:$A$300,0))*$I295/100,0))</f>
        <v>0.7</v>
      </c>
      <c r="R295" s="30">
        <f>IF(OR($F295="",$I295=""),0,IFERROR(INDEX(Nutrition!$L$2:$L$300,MATCH($F295,Nutrition!$A$2:$A$300,0))*$I295/100,0))</f>
        <v>84</v>
      </c>
      <c r="S295" s="30">
        <f>IF(OR($F295="",$I295=""),0,IFERROR(INDEX(Nutrition!$M$2:$M$300,MATCH($F295,Nutrition!$A$2:$A$300,0))*$I295/100,0))</f>
        <v>2.92</v>
      </c>
    </row>
    <row r="296" spans="1:19" ht="15" customHeight="1" x14ac:dyDescent="0.25">
      <c r="A296" s="22" t="s">
        <v>1378</v>
      </c>
      <c r="B296" s="33" t="str">
        <f>IFERROR(INDEX(Recipes!$B$2:$B$500,MATCH(A296,Recipes!$A$2:$A$500,0)),"")</f>
        <v>Teriyaki Chicken &amp; Broccoli Bowl</v>
      </c>
      <c r="C296" s="7" t="s">
        <v>529</v>
      </c>
      <c r="D296" s="34">
        <v>2</v>
      </c>
      <c r="E296" s="22" t="s">
        <v>2754</v>
      </c>
      <c r="F296" s="22" t="s">
        <v>528</v>
      </c>
      <c r="G296" s="22" t="s">
        <v>2755</v>
      </c>
      <c r="H296" s="7"/>
      <c r="I296" s="35">
        <v>122</v>
      </c>
      <c r="J296" s="30">
        <f>IF(OR($F296="",$I296=""),0,IFERROR(INDEX(Nutrition!$D$2:$D$300,MATCH($F296,Nutrition!$A$2:$A$300,0))*$I296/100,0))</f>
        <v>3.4159999999999995</v>
      </c>
      <c r="K296" s="30">
        <f>IF(OR($F296="",$I296=""),0,IFERROR(INDEX(Nutrition!$E$2:$E$300,MATCH($F296,Nutrition!$A$2:$A$300,0))*$I296/100,0))</f>
        <v>7.1980000000000004</v>
      </c>
      <c r="L296" s="30">
        <f>IF(OR($F296="",$I296=""),0,IFERROR(INDEX(Nutrition!$F$2:$F$300,MATCH($F296,Nutrition!$A$2:$A$300,0))*$I296/100,0))</f>
        <v>1018.7</v>
      </c>
      <c r="M296" s="30">
        <f>IF(OR($F296="",$I296=""),0,IFERROR(INDEX(Nutrition!$G$2:$G$300,MATCH($F296,Nutrition!$A$2:$A$300,0))*$I296/100,0))</f>
        <v>16.103999999999999</v>
      </c>
      <c r="N296" s="30">
        <f>IF(OR($F296="",$I296=""),0,IFERROR(INDEX(Nutrition!$H$2:$H$300,MATCH($F296,Nutrition!$A$2:$A$300,0))*$I296/100,0))</f>
        <v>23.18</v>
      </c>
      <c r="O296" s="30">
        <f>IF(OR($F296="",$I296=""),0,IFERROR(INDEX(Nutrition!$I$2:$I$300,MATCH($F296,Nutrition!$A$2:$A$300,0))*$I296/100,0))</f>
        <v>390.4</v>
      </c>
      <c r="P296" s="30">
        <f>IF(OR($F296="",$I296=""),0,IFERROR(INDEX(Nutrition!$J$2:$J$300,MATCH($F296,Nutrition!$A$2:$A$300,0))*$I296/100,0))</f>
        <v>0.80520000000000014</v>
      </c>
      <c r="Q296" s="30">
        <f>IF(OR($F296="",$I296=""),0,IFERROR(INDEX(Nutrition!$K$2:$K$300,MATCH($F296,Nutrition!$A$2:$A$300,0))*$I296/100,0))</f>
        <v>0.16836000000000001</v>
      </c>
      <c r="R296" s="30">
        <f>IF(OR($F296="",$I296=""),0,IFERROR(INDEX(Nutrition!$L$2:$L$300,MATCH($F296,Nutrition!$A$2:$A$300,0))*$I296/100,0))</f>
        <v>14.64</v>
      </c>
      <c r="S296" s="30">
        <f>IF(OR($F296="",$I296=""),0,IFERROR(INDEX(Nutrition!$M$2:$M$300,MATCH($F296,Nutrition!$A$2:$A$300,0))*$I296/100,0))</f>
        <v>0.36599999999999999</v>
      </c>
    </row>
    <row r="297" spans="1:19" ht="15" customHeight="1" x14ac:dyDescent="0.25">
      <c r="A297" s="22" t="s">
        <v>1378</v>
      </c>
      <c r="B297" s="33" t="str">
        <f>IFERROR(INDEX(Recipes!$B$2:$B$500,MATCH(A297,Recipes!$A$2:$A$500,0)),"")</f>
        <v>Teriyaki Chicken &amp; Broccoli Bowl</v>
      </c>
      <c r="C297" s="7" t="s">
        <v>490</v>
      </c>
      <c r="D297" s="34">
        <v>2</v>
      </c>
      <c r="E297" s="22" t="s">
        <v>2820</v>
      </c>
      <c r="F297" s="22" t="s">
        <v>489</v>
      </c>
      <c r="G297" s="22" t="s">
        <v>2755</v>
      </c>
      <c r="H297" s="7"/>
      <c r="I297" s="35">
        <v>30</v>
      </c>
      <c r="J297" s="30">
        <f>IF(OR($F297="",$I297=""),0,IFERROR(INDEX(Nutrition!$D$2:$D$300,MATCH($F297,Nutrition!$A$2:$A$300,0))*$I297/100,0))</f>
        <v>0.78</v>
      </c>
      <c r="K297" s="30">
        <f>IF(OR($F297="",$I297=""),0,IFERROR(INDEX(Nutrition!$E$2:$E$300,MATCH($F297,Nutrition!$A$2:$A$300,0))*$I297/100,0))</f>
        <v>5.64</v>
      </c>
      <c r="L297" s="30">
        <f>IF(OR($F297="",$I297=""),0,IFERROR(INDEX(Nutrition!$F$2:$F$300,MATCH($F297,Nutrition!$A$2:$A$300,0))*$I297/100,0))</f>
        <v>15</v>
      </c>
      <c r="M297" s="30">
        <f>IF(OR($F297="",$I297=""),0,IFERROR(INDEX(Nutrition!$G$2:$G$300,MATCH($F297,Nutrition!$A$2:$A$300,0))*$I297/100,0))</f>
        <v>62.1</v>
      </c>
      <c r="N297" s="30">
        <f>IF(OR($F297="",$I297=""),0,IFERROR(INDEX(Nutrition!$H$2:$H$300,MATCH($F297,Nutrition!$A$2:$A$300,0))*$I297/100,0))</f>
        <v>19.2</v>
      </c>
      <c r="O297" s="30">
        <f>IF(OR($F297="",$I297=""),0,IFERROR(INDEX(Nutrition!$I$2:$I$300,MATCH($F297,Nutrition!$A$2:$A$300,0))*$I297/100,0))</f>
        <v>82.8</v>
      </c>
      <c r="P297" s="30">
        <f>IF(OR($F297="",$I297=""),0,IFERROR(INDEX(Nutrition!$J$2:$J$300,MATCH($F297,Nutrition!$A$2:$A$300,0))*$I297/100,0))</f>
        <v>0.16500000000000001</v>
      </c>
      <c r="Q297" s="30">
        <f>IF(OR($F297="",$I297=""),0,IFERROR(INDEX(Nutrition!$K$2:$K$300,MATCH($F297,Nutrition!$A$2:$A$300,0))*$I297/100,0))</f>
        <v>1.83E-2</v>
      </c>
      <c r="R297" s="30">
        <f>IF(OR($F297="",$I297=""),0,IFERROR(INDEX(Nutrition!$L$2:$L$300,MATCH($F297,Nutrition!$A$2:$A$300,0))*$I297/100,0))</f>
        <v>6</v>
      </c>
      <c r="S297" s="30">
        <f>IF(OR($F297="",$I297=""),0,IFERROR(INDEX(Nutrition!$M$2:$M$300,MATCH($F297,Nutrition!$A$2:$A$300,0))*$I297/100,0))</f>
        <v>0.44400000000000001</v>
      </c>
    </row>
    <row r="298" spans="1:19" ht="15" customHeight="1" x14ac:dyDescent="0.25">
      <c r="A298" s="22" t="s">
        <v>1378</v>
      </c>
      <c r="B298" s="33" t="str">
        <f>IFERROR(INDEX(Recipes!$B$2:$B$500,MATCH(A298,Recipes!$A$2:$A$500,0)),"")</f>
        <v>Teriyaki Chicken &amp; Broccoli Bowl</v>
      </c>
      <c r="C298" s="7" t="s">
        <v>508</v>
      </c>
      <c r="D298" s="34">
        <v>1</v>
      </c>
      <c r="E298" s="22" t="s">
        <v>2821</v>
      </c>
      <c r="F298" s="22" t="s">
        <v>507</v>
      </c>
      <c r="G298" s="22" t="s">
        <v>2755</v>
      </c>
      <c r="H298" s="7"/>
      <c r="I298" s="35">
        <v>15</v>
      </c>
      <c r="J298" s="30">
        <f>IF(OR($F298="",$I298=""),0,IFERROR(INDEX(Nutrition!$D$2:$D$300,MATCH($F298,Nutrition!$A$2:$A$300,0))*$I298/100,0))</f>
        <v>0.3</v>
      </c>
      <c r="K298" s="30">
        <f>IF(OR($F298="",$I298=""),0,IFERROR(INDEX(Nutrition!$E$2:$E$300,MATCH($F298,Nutrition!$A$2:$A$300,0))*$I298/100,0))</f>
        <v>0.75</v>
      </c>
      <c r="L298" s="30">
        <f>IF(OR($F298="",$I298=""),0,IFERROR(INDEX(Nutrition!$F$2:$F$300,MATCH($F298,Nutrition!$A$2:$A$300,0))*$I298/100,0))</f>
        <v>0</v>
      </c>
      <c r="M298" s="30">
        <f>IF(OR($F298="",$I298=""),0,IFERROR(INDEX(Nutrition!$G$2:$G$300,MATCH($F298,Nutrition!$A$2:$A$300,0))*$I298/100,0))</f>
        <v>1.4999999999999999E-2</v>
      </c>
      <c r="N298" s="30">
        <f>IF(OR($F298="",$I298=""),0,IFERROR(INDEX(Nutrition!$H$2:$H$300,MATCH($F298,Nutrition!$A$2:$A$300,0))*$I298/100,0))</f>
        <v>1.65</v>
      </c>
      <c r="O298" s="30">
        <f>IF(OR($F298="",$I298=""),0,IFERROR(INDEX(Nutrition!$I$2:$I$300,MATCH($F298,Nutrition!$A$2:$A$300,0))*$I298/100,0))</f>
        <v>62.25</v>
      </c>
      <c r="P298" s="30">
        <f>IF(OR($F298="",$I298=""),0,IFERROR(INDEX(Nutrition!$J$2:$J$300,MATCH($F298,Nutrition!$A$2:$A$300,0))*$I298/100,0))</f>
        <v>3.9000000000000007E-2</v>
      </c>
      <c r="Q298" s="30">
        <f>IF(OR($F298="",$I298=""),0,IFERROR(INDEX(Nutrition!$K$2:$K$300,MATCH($F298,Nutrition!$A$2:$A$300,0))*$I298/100,0))</f>
        <v>2.4E-2</v>
      </c>
      <c r="R298" s="30">
        <f>IF(OR($F298="",$I298=""),0,IFERROR(INDEX(Nutrition!$L$2:$L$300,MATCH($F298,Nutrition!$A$2:$A$300,0))*$I298/100,0))</f>
        <v>6.45</v>
      </c>
      <c r="S298" s="30">
        <f>IF(OR($F298="",$I298=""),0,IFERROR(INDEX(Nutrition!$M$2:$M$300,MATCH($F298,Nutrition!$A$2:$A$300,0))*$I298/100,0))</f>
        <v>0.09</v>
      </c>
    </row>
    <row r="299" spans="1:19" ht="15" customHeight="1" x14ac:dyDescent="0.25">
      <c r="A299" s="22" t="s">
        <v>1378</v>
      </c>
      <c r="B299" s="33" t="str">
        <f>IFERROR(INDEX(Recipes!$B$2:$B$500,MATCH(A299,Recipes!$A$2:$A$500,0)),"")</f>
        <v>Teriyaki Chicken &amp; Broccoli Bowl</v>
      </c>
      <c r="C299" s="7" t="s">
        <v>500</v>
      </c>
      <c r="D299" s="34">
        <v>2</v>
      </c>
      <c r="E299" s="22" t="s">
        <v>2776</v>
      </c>
      <c r="F299" s="22" t="s">
        <v>499</v>
      </c>
      <c r="G299" s="22" t="s">
        <v>2755</v>
      </c>
      <c r="H299" s="7"/>
      <c r="I299" s="35">
        <v>6</v>
      </c>
      <c r="J299" s="30">
        <f>IF(OR($F299="",$I299=""),0,IFERROR(INDEX(Nutrition!$D$2:$D$300,MATCH($F299,Nutrition!$A$2:$A$300,0))*$I299/100,0))</f>
        <v>0.126</v>
      </c>
      <c r="K299" s="30">
        <f>IF(OR($F299="",$I299=""),0,IFERROR(INDEX(Nutrition!$E$2:$E$300,MATCH($F299,Nutrition!$A$2:$A$300,0))*$I299/100,0))</f>
        <v>1.8719999999999999</v>
      </c>
      <c r="L299" s="30">
        <f>IF(OR($F299="",$I299=""),0,IFERROR(INDEX(Nutrition!$F$2:$F$300,MATCH($F299,Nutrition!$A$2:$A$300,0))*$I299/100,0))</f>
        <v>0</v>
      </c>
      <c r="M299" s="30">
        <f>IF(OR($F299="",$I299=""),0,IFERROR(INDEX(Nutrition!$G$2:$G$300,MATCH($F299,Nutrition!$A$2:$A$300,0))*$I299/100,0))</f>
        <v>0.10199999999999999</v>
      </c>
      <c r="N299" s="30">
        <f>IF(OR($F299="",$I299=""),0,IFERROR(INDEX(Nutrition!$H$2:$H$300,MATCH($F299,Nutrition!$A$2:$A$300,0))*$I299/100,0))</f>
        <v>0.18</v>
      </c>
      <c r="O299" s="30">
        <f>IF(OR($F299="",$I299=""),0,IFERROR(INDEX(Nutrition!$I$2:$I$300,MATCH($F299,Nutrition!$A$2:$A$300,0))*$I299/100,0))</f>
        <v>24.06</v>
      </c>
      <c r="P299" s="30">
        <f>IF(OR($F299="",$I299=""),0,IFERROR(INDEX(Nutrition!$J$2:$J$300,MATCH($F299,Nutrition!$A$2:$A$300,0))*$I299/100,0))</f>
        <v>4.7999999999999996E-3</v>
      </c>
      <c r="Q299" s="30">
        <f>IF(OR($F299="",$I299=""),0,IFERROR(INDEX(Nutrition!$K$2:$K$300,MATCH($F299,Nutrition!$A$2:$A$300,0))*$I299/100,0))</f>
        <v>7.4099999999999999E-2</v>
      </c>
      <c r="R299" s="30">
        <f>IF(OR($F299="",$I299=""),0,IFERROR(INDEX(Nutrition!$L$2:$L$300,MATCH($F299,Nutrition!$A$2:$A$300,0))*$I299/100,0))</f>
        <v>1.5</v>
      </c>
      <c r="S299" s="30">
        <f>IF(OR($F299="",$I299=""),0,IFERROR(INDEX(Nutrition!$M$2:$M$300,MATCH($F299,Nutrition!$A$2:$A$300,0))*$I299/100,0))</f>
        <v>0.10199999999999999</v>
      </c>
    </row>
    <row r="300" spans="1:19" ht="15" customHeight="1" x14ac:dyDescent="0.25">
      <c r="A300" s="22" t="s">
        <v>1378</v>
      </c>
      <c r="B300" s="33" t="str">
        <f>IFERROR(INDEX(Recipes!$B$2:$B$500,MATCH(A300,Recipes!$A$2:$A$500,0)),"")</f>
        <v>Teriyaki Chicken &amp; Broccoli Bowl</v>
      </c>
      <c r="C300" s="7" t="s">
        <v>2823</v>
      </c>
      <c r="D300" s="34">
        <v>3</v>
      </c>
      <c r="E300" s="22" t="s">
        <v>2753</v>
      </c>
      <c r="F300" s="22"/>
      <c r="G300" s="22" t="s">
        <v>2749</v>
      </c>
      <c r="H300" s="7"/>
      <c r="I300" s="35"/>
      <c r="J300" s="30">
        <f>IF(OR($F300="",$I300=""),0,IFERROR(INDEX(Nutrition!$D$2:$D$300,MATCH($F300,Nutrition!$A$2:$A$300,0))*$I300/100,0))</f>
        <v>0</v>
      </c>
      <c r="K300" s="30">
        <f>IF(OR($F300="",$I300=""),0,IFERROR(INDEX(Nutrition!$E$2:$E$300,MATCH($F300,Nutrition!$A$2:$A$300,0))*$I300/100,0))</f>
        <v>0</v>
      </c>
      <c r="L300" s="30">
        <f>IF(OR($F300="",$I300=""),0,IFERROR(INDEX(Nutrition!$F$2:$F$300,MATCH($F300,Nutrition!$A$2:$A$300,0))*$I300/100,0))</f>
        <v>0</v>
      </c>
      <c r="M300" s="30">
        <f>IF(OR($F300="",$I300=""),0,IFERROR(INDEX(Nutrition!$G$2:$G$300,MATCH($F300,Nutrition!$A$2:$A$300,0))*$I300/100,0))</f>
        <v>0</v>
      </c>
      <c r="N300" s="30">
        <f>IF(OR($F300="",$I300=""),0,IFERROR(INDEX(Nutrition!$H$2:$H$300,MATCH($F300,Nutrition!$A$2:$A$300,0))*$I300/100,0))</f>
        <v>0</v>
      </c>
      <c r="O300" s="30">
        <f>IF(OR($F300="",$I300=""),0,IFERROR(INDEX(Nutrition!$I$2:$I$300,MATCH($F300,Nutrition!$A$2:$A$300,0))*$I300/100,0))</f>
        <v>0</v>
      </c>
      <c r="P300" s="30">
        <f>IF(OR($F300="",$I300=""),0,IFERROR(INDEX(Nutrition!$J$2:$J$300,MATCH($F300,Nutrition!$A$2:$A$300,0))*$I300/100,0))</f>
        <v>0</v>
      </c>
      <c r="Q300" s="30">
        <f>IF(OR($F300="",$I300=""),0,IFERROR(INDEX(Nutrition!$K$2:$K$300,MATCH($F300,Nutrition!$A$2:$A$300,0))*$I300/100,0))</f>
        <v>0</v>
      </c>
      <c r="R300" s="30">
        <f>IF(OR($F300="",$I300=""),0,IFERROR(INDEX(Nutrition!$L$2:$L$300,MATCH($F300,Nutrition!$A$2:$A$300,0))*$I300/100,0))</f>
        <v>0</v>
      </c>
      <c r="S300" s="30">
        <f>IF(OR($F300="",$I300=""),0,IFERROR(INDEX(Nutrition!$M$2:$M$300,MATCH($F300,Nutrition!$A$2:$A$300,0))*$I300/100,0))</f>
        <v>0</v>
      </c>
    </row>
    <row r="301" spans="1:19" ht="15" customHeight="1" x14ac:dyDescent="0.25">
      <c r="A301" s="22" t="s">
        <v>1378</v>
      </c>
      <c r="B301" s="33" t="str">
        <f>IFERROR(INDEX(Recipes!$B$2:$B$500,MATCH(A301,Recipes!$A$2:$A$500,0)),"")</f>
        <v>Teriyaki Chicken &amp; Broccoli Bowl</v>
      </c>
      <c r="C301" s="7" t="s">
        <v>2758</v>
      </c>
      <c r="D301" s="34">
        <v>1</v>
      </c>
      <c r="E301" s="22" t="s">
        <v>2753</v>
      </c>
      <c r="F301" s="22"/>
      <c r="G301" s="22" t="s">
        <v>2749</v>
      </c>
      <c r="H301" s="7"/>
      <c r="I301" s="35"/>
      <c r="J301" s="30">
        <f>IF(OR($F301="",$I301=""),0,IFERROR(INDEX(Nutrition!$D$2:$D$300,MATCH($F301,Nutrition!$A$2:$A$300,0))*$I301/100,0))</f>
        <v>0</v>
      </c>
      <c r="K301" s="30">
        <f>IF(OR($F301="",$I301=""),0,IFERROR(INDEX(Nutrition!$E$2:$E$300,MATCH($F301,Nutrition!$A$2:$A$300,0))*$I301/100,0))</f>
        <v>0</v>
      </c>
      <c r="L301" s="30">
        <f>IF(OR($F301="",$I301=""),0,IFERROR(INDEX(Nutrition!$F$2:$F$300,MATCH($F301,Nutrition!$A$2:$A$300,0))*$I301/100,0))</f>
        <v>0</v>
      </c>
      <c r="M301" s="30">
        <f>IF(OR($F301="",$I301=""),0,IFERROR(INDEX(Nutrition!$G$2:$G$300,MATCH($F301,Nutrition!$A$2:$A$300,0))*$I301/100,0))</f>
        <v>0</v>
      </c>
      <c r="N301" s="30">
        <f>IF(OR($F301="",$I301=""),0,IFERROR(INDEX(Nutrition!$H$2:$H$300,MATCH($F301,Nutrition!$A$2:$A$300,0))*$I301/100,0))</f>
        <v>0</v>
      </c>
      <c r="O301" s="30">
        <f>IF(OR($F301="",$I301=""),0,IFERROR(INDEX(Nutrition!$I$2:$I$300,MATCH($F301,Nutrition!$A$2:$A$300,0))*$I301/100,0))</f>
        <v>0</v>
      </c>
      <c r="P301" s="30">
        <f>IF(OR($F301="",$I301=""),0,IFERROR(INDEX(Nutrition!$J$2:$J$300,MATCH($F301,Nutrition!$A$2:$A$300,0))*$I301/100,0))</f>
        <v>0</v>
      </c>
      <c r="Q301" s="30">
        <f>IF(OR($F301="",$I301=""),0,IFERROR(INDEX(Nutrition!$K$2:$K$300,MATCH($F301,Nutrition!$A$2:$A$300,0))*$I301/100,0))</f>
        <v>0</v>
      </c>
      <c r="R301" s="30">
        <f>IF(OR($F301="",$I301=""),0,IFERROR(INDEX(Nutrition!$L$2:$L$300,MATCH($F301,Nutrition!$A$2:$A$300,0))*$I301/100,0))</f>
        <v>0</v>
      </c>
      <c r="S301" s="30">
        <f>IF(OR($F301="",$I301=""),0,IFERROR(INDEX(Nutrition!$M$2:$M$300,MATCH($F301,Nutrition!$A$2:$A$300,0))*$I301/100,0))</f>
        <v>0</v>
      </c>
    </row>
    <row r="302" spans="1:19" ht="15" customHeight="1" x14ac:dyDescent="0.25">
      <c r="A302" s="22" t="s">
        <v>1378</v>
      </c>
      <c r="B302" s="33" t="str">
        <f>IFERROR(INDEX(Recipes!$B$2:$B$500,MATCH(A302,Recipes!$A$2:$A$500,0)),"")</f>
        <v>Teriyaki Chicken &amp; Broccoli Bowl</v>
      </c>
      <c r="C302" s="7" t="s">
        <v>2772</v>
      </c>
      <c r="D302" s="34">
        <v>1</v>
      </c>
      <c r="E302" s="22" t="s">
        <v>2753</v>
      </c>
      <c r="F302" s="22"/>
      <c r="G302" s="22" t="s">
        <v>2773</v>
      </c>
      <c r="H302" s="7"/>
      <c r="I302" s="35"/>
      <c r="J302" s="30">
        <f>IF(OR($F302="",$I302=""),0,IFERROR(INDEX(Nutrition!$D$2:$D$300,MATCH($F302,Nutrition!$A$2:$A$300,0))*$I302/100,0))</f>
        <v>0</v>
      </c>
      <c r="K302" s="30">
        <f>IF(OR($F302="",$I302=""),0,IFERROR(INDEX(Nutrition!$E$2:$E$300,MATCH($F302,Nutrition!$A$2:$A$300,0))*$I302/100,0))</f>
        <v>0</v>
      </c>
      <c r="L302" s="30">
        <f>IF(OR($F302="",$I302=""),0,IFERROR(INDEX(Nutrition!$F$2:$F$300,MATCH($F302,Nutrition!$A$2:$A$300,0))*$I302/100,0))</f>
        <v>0</v>
      </c>
      <c r="M302" s="30">
        <f>IF(OR($F302="",$I302=""),0,IFERROR(INDEX(Nutrition!$G$2:$G$300,MATCH($F302,Nutrition!$A$2:$A$300,0))*$I302/100,0))</f>
        <v>0</v>
      </c>
      <c r="N302" s="30">
        <f>IF(OR($F302="",$I302=""),0,IFERROR(INDEX(Nutrition!$H$2:$H$300,MATCH($F302,Nutrition!$A$2:$A$300,0))*$I302/100,0))</f>
        <v>0</v>
      </c>
      <c r="O302" s="30">
        <f>IF(OR($F302="",$I302=""),0,IFERROR(INDEX(Nutrition!$I$2:$I$300,MATCH($F302,Nutrition!$A$2:$A$300,0))*$I302/100,0))</f>
        <v>0</v>
      </c>
      <c r="P302" s="30">
        <f>IF(OR($F302="",$I302=""),0,IFERROR(INDEX(Nutrition!$J$2:$J$300,MATCH($F302,Nutrition!$A$2:$A$300,0))*$I302/100,0))</f>
        <v>0</v>
      </c>
      <c r="Q302" s="30">
        <f>IF(OR($F302="",$I302=""),0,IFERROR(INDEX(Nutrition!$K$2:$K$300,MATCH($F302,Nutrition!$A$2:$A$300,0))*$I302/100,0))</f>
        <v>0</v>
      </c>
      <c r="R302" s="30">
        <f>IF(OR($F302="",$I302=""),0,IFERROR(INDEX(Nutrition!$L$2:$L$300,MATCH($F302,Nutrition!$A$2:$A$300,0))*$I302/100,0))</f>
        <v>0</v>
      </c>
      <c r="S302" s="30">
        <f>IF(OR($F302="",$I302=""),0,IFERROR(INDEX(Nutrition!$M$2:$M$300,MATCH($F302,Nutrition!$A$2:$A$300,0))*$I302/100,0))</f>
        <v>0</v>
      </c>
    </row>
    <row r="303" spans="1:19" ht="15" customHeight="1" x14ac:dyDescent="0.25">
      <c r="A303" s="22" t="s">
        <v>1390</v>
      </c>
      <c r="B303" s="33" t="str">
        <f>IFERROR(INDEX(Recipes!$B$2:$B$500,MATCH(A303,Recipes!$A$2:$A$500,0)),"")</f>
        <v>Black-Eyed Bean Falafel Bowl</v>
      </c>
      <c r="C303" s="7" t="s">
        <v>2832</v>
      </c>
      <c r="D303" s="34">
        <v>2</v>
      </c>
      <c r="E303" s="22" t="s">
        <v>2790</v>
      </c>
      <c r="F303" s="22"/>
      <c r="G303" s="22" t="s">
        <v>2749</v>
      </c>
      <c r="H303" s="7" t="s">
        <v>2851</v>
      </c>
      <c r="I303" s="35"/>
      <c r="J303" s="30">
        <f>IF(OR($F303="",$I303=""),0,IFERROR(INDEX(Nutrition!$D$2:$D$300,MATCH($F303,Nutrition!$A$2:$A$300,0))*$I303/100,0))</f>
        <v>0</v>
      </c>
      <c r="K303" s="30">
        <f>IF(OR($F303="",$I303=""),0,IFERROR(INDEX(Nutrition!$E$2:$E$300,MATCH($F303,Nutrition!$A$2:$A$300,0))*$I303/100,0))</f>
        <v>0</v>
      </c>
      <c r="L303" s="30">
        <f>IF(OR($F303="",$I303=""),0,IFERROR(INDEX(Nutrition!$F$2:$F$300,MATCH($F303,Nutrition!$A$2:$A$300,0))*$I303/100,0))</f>
        <v>0</v>
      </c>
      <c r="M303" s="30">
        <f>IF(OR($F303="",$I303=""),0,IFERROR(INDEX(Nutrition!$G$2:$G$300,MATCH($F303,Nutrition!$A$2:$A$300,0))*$I303/100,0))</f>
        <v>0</v>
      </c>
      <c r="N303" s="30">
        <f>IF(OR($F303="",$I303=""),0,IFERROR(INDEX(Nutrition!$H$2:$H$300,MATCH($F303,Nutrition!$A$2:$A$300,0))*$I303/100,0))</f>
        <v>0</v>
      </c>
      <c r="O303" s="30">
        <f>IF(OR($F303="",$I303=""),0,IFERROR(INDEX(Nutrition!$I$2:$I$300,MATCH($F303,Nutrition!$A$2:$A$300,0))*$I303/100,0))</f>
        <v>0</v>
      </c>
      <c r="P303" s="30">
        <f>IF(OR($F303="",$I303=""),0,IFERROR(INDEX(Nutrition!$J$2:$J$300,MATCH($F303,Nutrition!$A$2:$A$300,0))*$I303/100,0))</f>
        <v>0</v>
      </c>
      <c r="Q303" s="30">
        <f>IF(OR($F303="",$I303=""),0,IFERROR(INDEX(Nutrition!$K$2:$K$300,MATCH($F303,Nutrition!$A$2:$A$300,0))*$I303/100,0))</f>
        <v>0</v>
      </c>
      <c r="R303" s="30">
        <f>IF(OR($F303="",$I303=""),0,IFERROR(INDEX(Nutrition!$L$2:$L$300,MATCH($F303,Nutrition!$A$2:$A$300,0))*$I303/100,0))</f>
        <v>0</v>
      </c>
      <c r="S303" s="30">
        <f>IF(OR($F303="",$I303=""),0,IFERROR(INDEX(Nutrition!$M$2:$M$300,MATCH($F303,Nutrition!$A$2:$A$300,0))*$I303/100,0))</f>
        <v>0</v>
      </c>
    </row>
    <row r="304" spans="1:19" ht="15" customHeight="1" x14ac:dyDescent="0.25">
      <c r="A304" s="22" t="s">
        <v>1390</v>
      </c>
      <c r="B304" s="33" t="str">
        <f>IFERROR(INDEX(Recipes!$B$2:$B$500,MATCH(A304,Recipes!$A$2:$A$500,0)),"")</f>
        <v>Black-Eyed Bean Falafel Bowl</v>
      </c>
      <c r="C304" s="7" t="s">
        <v>482</v>
      </c>
      <c r="D304" s="34">
        <v>1</v>
      </c>
      <c r="E304" s="22" t="s">
        <v>2754</v>
      </c>
      <c r="F304" s="22" t="s">
        <v>481</v>
      </c>
      <c r="G304" s="22" t="s">
        <v>2755</v>
      </c>
      <c r="H304" s="7"/>
      <c r="I304" s="35">
        <v>110</v>
      </c>
      <c r="J304" s="30">
        <f>IF(OR($F304="",$I304=""),0,IFERROR(INDEX(Nutrition!$D$2:$D$300,MATCH($F304,Nutrition!$A$2:$A$300,0))*$I304/100,0))</f>
        <v>1.87</v>
      </c>
      <c r="K304" s="30">
        <f>IF(OR($F304="",$I304=""),0,IFERROR(INDEX(Nutrition!$E$2:$E$300,MATCH($F304,Nutrition!$A$2:$A$300,0))*$I304/100,0))</f>
        <v>8.14</v>
      </c>
      <c r="L304" s="30">
        <f>IF(OR($F304="",$I304=""),0,IFERROR(INDEX(Nutrition!$F$2:$F$300,MATCH($F304,Nutrition!$A$2:$A$300,0))*$I304/100,0))</f>
        <v>0</v>
      </c>
      <c r="M304" s="30">
        <f>IF(OR($F304="",$I304=""),0,IFERROR(INDEX(Nutrition!$G$2:$G$300,MATCH($F304,Nutrition!$A$2:$A$300,0))*$I304/100,0))</f>
        <v>0.44</v>
      </c>
      <c r="N304" s="30">
        <f>IF(OR($F304="",$I304=""),0,IFERROR(INDEX(Nutrition!$H$2:$H$300,MATCH($F304,Nutrition!$A$2:$A$300,0))*$I304/100,0))</f>
        <v>20.9</v>
      </c>
      <c r="O304" s="30">
        <f>IF(OR($F304="",$I304=""),0,IFERROR(INDEX(Nutrition!$I$2:$I$300,MATCH($F304,Nutrition!$A$2:$A$300,0))*$I304/100,0))</f>
        <v>160.6</v>
      </c>
      <c r="P304" s="30">
        <f>IF(OR($F304="",$I304=""),0,IFERROR(INDEX(Nutrition!$J$2:$J$300,MATCH($F304,Nutrition!$A$2:$A$300,0))*$I304/100,0))</f>
        <v>2.2000000000000002E-2</v>
      </c>
      <c r="Q304" s="30">
        <f>IF(OR($F304="",$I304=""),0,IFERROR(INDEX(Nutrition!$K$2:$K$300,MATCH($F304,Nutrition!$A$2:$A$300,0))*$I304/100,0))</f>
        <v>0.13200000000000001</v>
      </c>
      <c r="R304" s="30">
        <f>IF(OR($F304="",$I304=""),0,IFERROR(INDEX(Nutrition!$L$2:$L$300,MATCH($F304,Nutrition!$A$2:$A$300,0))*$I304/100,0))</f>
        <v>11</v>
      </c>
      <c r="S304" s="30">
        <f>IF(OR($F304="",$I304=""),0,IFERROR(INDEX(Nutrition!$M$2:$M$300,MATCH($F304,Nutrition!$A$2:$A$300,0))*$I304/100,0))</f>
        <v>0.23099999999999998</v>
      </c>
    </row>
    <row r="305" spans="1:19" ht="15" customHeight="1" x14ac:dyDescent="0.25">
      <c r="A305" s="22" t="s">
        <v>1390</v>
      </c>
      <c r="B305" s="33" t="str">
        <f>IFERROR(INDEX(Recipes!$B$2:$B$500,MATCH(A305,Recipes!$A$2:$A$500,0)),"")</f>
        <v>Black-Eyed Bean Falafel Bowl</v>
      </c>
      <c r="C305" s="7" t="s">
        <v>500</v>
      </c>
      <c r="D305" s="34">
        <v>3</v>
      </c>
      <c r="E305" s="22" t="s">
        <v>2776</v>
      </c>
      <c r="F305" s="22" t="s">
        <v>499</v>
      </c>
      <c r="G305" s="22" t="s">
        <v>2755</v>
      </c>
      <c r="H305" s="7"/>
      <c r="I305" s="35">
        <v>9</v>
      </c>
      <c r="J305" s="30">
        <f>IF(OR($F305="",$I305=""),0,IFERROR(INDEX(Nutrition!$D$2:$D$300,MATCH($F305,Nutrition!$A$2:$A$300,0))*$I305/100,0))</f>
        <v>0.18900000000000003</v>
      </c>
      <c r="K305" s="30">
        <f>IF(OR($F305="",$I305=""),0,IFERROR(INDEX(Nutrition!$E$2:$E$300,MATCH($F305,Nutrition!$A$2:$A$300,0))*$I305/100,0))</f>
        <v>2.8080000000000003</v>
      </c>
      <c r="L305" s="30">
        <f>IF(OR($F305="",$I305=""),0,IFERROR(INDEX(Nutrition!$F$2:$F$300,MATCH($F305,Nutrition!$A$2:$A$300,0))*$I305/100,0))</f>
        <v>0</v>
      </c>
      <c r="M305" s="30">
        <f>IF(OR($F305="",$I305=""),0,IFERROR(INDEX(Nutrition!$G$2:$G$300,MATCH($F305,Nutrition!$A$2:$A$300,0))*$I305/100,0))</f>
        <v>0.153</v>
      </c>
      <c r="N305" s="30">
        <f>IF(OR($F305="",$I305=""),0,IFERROR(INDEX(Nutrition!$H$2:$H$300,MATCH($F305,Nutrition!$A$2:$A$300,0))*$I305/100,0))</f>
        <v>0.27</v>
      </c>
      <c r="O305" s="30">
        <f>IF(OR($F305="",$I305=""),0,IFERROR(INDEX(Nutrition!$I$2:$I$300,MATCH($F305,Nutrition!$A$2:$A$300,0))*$I305/100,0))</f>
        <v>36.090000000000003</v>
      </c>
      <c r="P305" s="30">
        <f>IF(OR($F305="",$I305=""),0,IFERROR(INDEX(Nutrition!$J$2:$J$300,MATCH($F305,Nutrition!$A$2:$A$300,0))*$I305/100,0))</f>
        <v>7.1999999999999998E-3</v>
      </c>
      <c r="Q305" s="30">
        <f>IF(OR($F305="",$I305=""),0,IFERROR(INDEX(Nutrition!$K$2:$K$300,MATCH($F305,Nutrition!$A$2:$A$300,0))*$I305/100,0))</f>
        <v>0.11115</v>
      </c>
      <c r="R305" s="30">
        <f>IF(OR($F305="",$I305=""),0,IFERROR(INDEX(Nutrition!$L$2:$L$300,MATCH($F305,Nutrition!$A$2:$A$300,0))*$I305/100,0))</f>
        <v>2.25</v>
      </c>
      <c r="S305" s="30">
        <f>IF(OR($F305="",$I305=""),0,IFERROR(INDEX(Nutrition!$M$2:$M$300,MATCH($F305,Nutrition!$A$2:$A$300,0))*$I305/100,0))</f>
        <v>0.153</v>
      </c>
    </row>
    <row r="306" spans="1:19" ht="15" customHeight="1" x14ac:dyDescent="0.25">
      <c r="A306" s="22" t="s">
        <v>1390</v>
      </c>
      <c r="B306" s="33" t="str">
        <f>IFERROR(INDEX(Recipes!$B$2:$B$500,MATCH(A306,Recipes!$A$2:$A$500,0)),"")</f>
        <v>Black-Eyed Bean Falafel Bowl</v>
      </c>
      <c r="C306" s="7" t="s">
        <v>671</v>
      </c>
      <c r="D306" s="34">
        <v>1</v>
      </c>
      <c r="E306" s="22" t="s">
        <v>2809</v>
      </c>
      <c r="F306" s="22" t="s">
        <v>670</v>
      </c>
      <c r="G306" s="22" t="s">
        <v>2755</v>
      </c>
      <c r="H306" s="7"/>
      <c r="I306" s="35">
        <v>30</v>
      </c>
      <c r="J306" s="30">
        <f>IF(OR($F306="",$I306=""),0,IFERROR(INDEX(Nutrition!$D$2:$D$300,MATCH($F306,Nutrition!$A$2:$A$300,0))*$I306/100,0))</f>
        <v>0.99</v>
      </c>
      <c r="K306" s="30">
        <f>IF(OR($F306="",$I306=""),0,IFERROR(INDEX(Nutrition!$E$2:$E$300,MATCH($F306,Nutrition!$A$2:$A$300,0))*$I306/100,0))</f>
        <v>39.9</v>
      </c>
      <c r="L306" s="30">
        <f>IF(OR($F306="",$I306=""),0,IFERROR(INDEX(Nutrition!$F$2:$F$300,MATCH($F306,Nutrition!$A$2:$A$300,0))*$I306/100,0))</f>
        <v>126.3</v>
      </c>
      <c r="M306" s="30">
        <f>IF(OR($F306="",$I306=""),0,IFERROR(INDEX(Nutrition!$G$2:$G$300,MATCH($F306,Nutrition!$A$2:$A$300,0))*$I306/100,0))</f>
        <v>492</v>
      </c>
      <c r="N306" s="30">
        <f>IF(OR($F306="",$I306=""),0,IFERROR(INDEX(Nutrition!$H$2:$H$300,MATCH($F306,Nutrition!$A$2:$A$300,0))*$I306/100,0))</f>
        <v>45.6</v>
      </c>
      <c r="O306" s="30">
        <f>IF(OR($F306="",$I306=""),0,IFERROR(INDEX(Nutrition!$I$2:$I$300,MATCH($F306,Nutrition!$A$2:$A$300,0))*$I306/100,0))</f>
        <v>166.2</v>
      </c>
      <c r="P306" s="30">
        <f>IF(OR($F306="",$I306=""),0,IFERROR(INDEX(Nutrition!$J$2:$J$300,MATCH($F306,Nutrition!$A$2:$A$300,0))*$I306/100,0))</f>
        <v>0.22500000000000001</v>
      </c>
      <c r="Q306" s="30">
        <f>IF(OR($F306="",$I306=""),0,IFERROR(INDEX(Nutrition!$K$2:$K$300,MATCH($F306,Nutrition!$A$2:$A$300,0))*$I306/100,0))</f>
        <v>2.6999999999999996E-2</v>
      </c>
      <c r="R306" s="30">
        <f>IF(OR($F306="",$I306=""),0,IFERROR(INDEX(Nutrition!$L$2:$L$300,MATCH($F306,Nutrition!$A$2:$A$300,0))*$I306/100,0))</f>
        <v>15</v>
      </c>
      <c r="S306" s="30">
        <f>IF(OR($F306="",$I306=""),0,IFERROR(INDEX(Nutrition!$M$2:$M$300,MATCH($F306,Nutrition!$A$2:$A$300,0))*$I306/100,0))</f>
        <v>1.86</v>
      </c>
    </row>
    <row r="307" spans="1:19" ht="15" customHeight="1" x14ac:dyDescent="0.25">
      <c r="A307" s="22" t="s">
        <v>1390</v>
      </c>
      <c r="B307" s="33" t="str">
        <f>IFERROR(INDEX(Recipes!$B$2:$B$500,MATCH(A307,Recipes!$A$2:$A$500,0)),"")</f>
        <v>Black-Eyed Bean Falafel Bowl</v>
      </c>
      <c r="C307" s="7" t="s">
        <v>652</v>
      </c>
      <c r="D307" s="34">
        <v>1</v>
      </c>
      <c r="E307" s="22" t="s">
        <v>2809</v>
      </c>
      <c r="F307" s="22" t="s">
        <v>651</v>
      </c>
      <c r="G307" s="22" t="s">
        <v>2755</v>
      </c>
      <c r="H307" s="7"/>
      <c r="I307" s="35">
        <v>30</v>
      </c>
      <c r="J307" s="30">
        <f>IF(OR($F307="",$I307=""),0,IFERROR(INDEX(Nutrition!$D$2:$D$300,MATCH($F307,Nutrition!$A$2:$A$300,0))*$I307/100,0))</f>
        <v>0.48</v>
      </c>
      <c r="K307" s="30">
        <f>IF(OR($F307="",$I307=""),0,IFERROR(INDEX(Nutrition!$E$2:$E$300,MATCH($F307,Nutrition!$A$2:$A$300,0))*$I307/100,0))</f>
        <v>7.2</v>
      </c>
      <c r="L307" s="30">
        <f>IF(OR($F307="",$I307=""),0,IFERROR(INDEX(Nutrition!$F$2:$F$300,MATCH($F307,Nutrition!$A$2:$A$300,0))*$I307/100,0))</f>
        <v>79.2</v>
      </c>
      <c r="M307" s="30">
        <f>IF(OR($F307="",$I307=""),0,IFERROR(INDEX(Nutrition!$G$2:$G$300,MATCH($F307,Nutrition!$A$2:$A$300,0))*$I307/100,0))</f>
        <v>124.44</v>
      </c>
      <c r="N307" s="30">
        <f>IF(OR($F307="",$I307=""),0,IFERROR(INDEX(Nutrition!$H$2:$H$300,MATCH($F307,Nutrition!$A$2:$A$300,0))*$I307/100,0))</f>
        <v>20.399999999999999</v>
      </c>
      <c r="O307" s="30">
        <f>IF(OR($F307="",$I307=""),0,IFERROR(INDEX(Nutrition!$I$2:$I$300,MATCH($F307,Nutrition!$A$2:$A$300,0))*$I307/100,0))</f>
        <v>166.8</v>
      </c>
      <c r="P307" s="30">
        <f>IF(OR($F307="",$I307=""),0,IFERROR(INDEX(Nutrition!$J$2:$J$300,MATCH($F307,Nutrition!$A$2:$A$300,0))*$I307/100,0))</f>
        <v>0.24</v>
      </c>
      <c r="Q307" s="30">
        <f>IF(OR($F307="",$I307=""),0,IFERROR(INDEX(Nutrition!$K$2:$K$300,MATCH($F307,Nutrition!$A$2:$A$300,0))*$I307/100,0))</f>
        <v>4.6500000000000007E-2</v>
      </c>
      <c r="R307" s="30">
        <f>IF(OR($F307="",$I307=""),0,IFERROR(INDEX(Nutrition!$L$2:$L$300,MATCH($F307,Nutrition!$A$2:$A$300,0))*$I307/100,0))</f>
        <v>19.2</v>
      </c>
      <c r="S307" s="30">
        <f>IF(OR($F307="",$I307=""),0,IFERROR(INDEX(Nutrition!$M$2:$M$300,MATCH($F307,Nutrition!$A$2:$A$300,0))*$I307/100,0))</f>
        <v>0.96</v>
      </c>
    </row>
    <row r="308" spans="1:19" ht="15" customHeight="1" x14ac:dyDescent="0.25">
      <c r="A308" s="22" t="s">
        <v>1390</v>
      </c>
      <c r="B308" s="33" t="str">
        <f>IFERROR(INDEX(Recipes!$B$2:$B$500,MATCH(A308,Recipes!$A$2:$A$500,0)),"")</f>
        <v>Black-Eyed Bean Falafel Bowl</v>
      </c>
      <c r="C308" s="7" t="s">
        <v>546</v>
      </c>
      <c r="D308" s="34">
        <v>1</v>
      </c>
      <c r="E308" s="22" t="s">
        <v>2808</v>
      </c>
      <c r="F308" s="22" t="s">
        <v>545</v>
      </c>
      <c r="G308" s="22" t="s">
        <v>2755</v>
      </c>
      <c r="H308" s="7"/>
      <c r="I308" s="35">
        <v>626</v>
      </c>
      <c r="J308" s="30">
        <f>IF(OR($F308="",$I308=""),0,IFERROR(INDEX(Nutrition!$D$2:$D$300,MATCH($F308,Nutrition!$A$2:$A$300,0))*$I308/100,0))</f>
        <v>13.146000000000001</v>
      </c>
      <c r="K308" s="30">
        <f>IF(OR($F308="",$I308=""),0,IFERROR(INDEX(Nutrition!$E$2:$E$300,MATCH($F308,Nutrition!$A$2:$A$300,0))*$I308/100,0))</f>
        <v>25.04</v>
      </c>
      <c r="L308" s="30">
        <f>IF(OR($F308="",$I308=""),0,IFERROR(INDEX(Nutrition!$F$2:$F$300,MATCH($F308,Nutrition!$A$2:$A$300,0))*$I308/100,0))</f>
        <v>2729.36</v>
      </c>
      <c r="M308" s="30">
        <f>IF(OR($F308="",$I308=""),0,IFERROR(INDEX(Nutrition!$G$2:$G$300,MATCH($F308,Nutrition!$A$2:$A$300,0))*$I308/100,0))</f>
        <v>641.65</v>
      </c>
      <c r="N308" s="30">
        <f>IF(OR($F308="",$I308=""),0,IFERROR(INDEX(Nutrition!$H$2:$H$300,MATCH($F308,Nutrition!$A$2:$A$300,0))*$I308/100,0))</f>
        <v>851.36</v>
      </c>
      <c r="O308" s="30">
        <f>IF(OR($F308="",$I308=""),0,IFERROR(INDEX(Nutrition!$I$2:$I$300,MATCH($F308,Nutrition!$A$2:$A$300,0))*$I308/100,0))</f>
        <v>1546.22</v>
      </c>
      <c r="P308" s="30">
        <f>IF(OR($F308="",$I308=""),0,IFERROR(INDEX(Nutrition!$J$2:$J$300,MATCH($F308,Nutrition!$A$2:$A$300,0))*$I308/100,0))</f>
        <v>0.81380000000000008</v>
      </c>
      <c r="Q308" s="30">
        <f>IF(OR($F308="",$I308=""),0,IFERROR(INDEX(Nutrition!$K$2:$K$300,MATCH($F308,Nutrition!$A$2:$A$300,0))*$I308/100,0))</f>
        <v>0.46323999999999999</v>
      </c>
      <c r="R308" s="30">
        <f>IF(OR($F308="",$I308=""),0,IFERROR(INDEX(Nutrition!$L$2:$L$300,MATCH($F308,Nutrition!$A$2:$A$300,0))*$I308/100,0))</f>
        <v>87.64</v>
      </c>
      <c r="S308" s="30">
        <f>IF(OR($F308="",$I308=""),0,IFERROR(INDEX(Nutrition!$M$2:$M$300,MATCH($F308,Nutrition!$A$2:$A$300,0))*$I308/100,0))</f>
        <v>6.0722000000000005</v>
      </c>
    </row>
    <row r="309" spans="1:19" ht="15" customHeight="1" x14ac:dyDescent="0.25">
      <c r="A309" s="22" t="s">
        <v>1390</v>
      </c>
      <c r="B309" s="33" t="str">
        <f>IFERROR(INDEX(Recipes!$B$2:$B$500,MATCH(A309,Recipes!$A$2:$A$500,0)),"")</f>
        <v>Black-Eyed Bean Falafel Bowl</v>
      </c>
      <c r="C309" s="7" t="s">
        <v>446</v>
      </c>
      <c r="D309" s="34">
        <v>2</v>
      </c>
      <c r="E309" s="22" t="s">
        <v>2754</v>
      </c>
      <c r="F309" s="22" t="s">
        <v>445</v>
      </c>
      <c r="G309" s="22" t="s">
        <v>2755</v>
      </c>
      <c r="H309" s="7"/>
      <c r="I309" s="35">
        <v>124</v>
      </c>
      <c r="J309" s="30">
        <f>IF(OR($F309="",$I309=""),0,IFERROR(INDEX(Nutrition!$D$2:$D$300,MATCH($F309,Nutrition!$A$2:$A$300,0))*$I309/100,0))</f>
        <v>1.4879999999999998</v>
      </c>
      <c r="K309" s="30">
        <f>IF(OR($F309="",$I309=""),0,IFERROR(INDEX(Nutrition!$E$2:$E$300,MATCH($F309,Nutrition!$A$2:$A$300,0))*$I309/100,0))</f>
        <v>16.988</v>
      </c>
      <c r="L309" s="30">
        <f>IF(OR($F309="",$I309=""),0,IFERROR(INDEX(Nutrition!$F$2:$F$300,MATCH($F309,Nutrition!$A$2:$A$300,0))*$I309/100,0))</f>
        <v>52.08</v>
      </c>
      <c r="M309" s="30">
        <f>IF(OR($F309="",$I309=""),0,IFERROR(INDEX(Nutrition!$G$2:$G$300,MATCH($F309,Nutrition!$A$2:$A$300,0))*$I309/100,0))</f>
        <v>9.7959999999999994</v>
      </c>
      <c r="N309" s="30">
        <f>IF(OR($F309="",$I309=""),0,IFERROR(INDEX(Nutrition!$H$2:$H$300,MATCH($F309,Nutrition!$A$2:$A$300,0))*$I309/100,0))</f>
        <v>18.600000000000001</v>
      </c>
      <c r="O309" s="30">
        <f>IF(OR($F309="",$I309=""),0,IFERROR(INDEX(Nutrition!$I$2:$I$300,MATCH($F309,Nutrition!$A$2:$A$300,0))*$I309/100,0))</f>
        <v>293.88</v>
      </c>
      <c r="P309" s="30">
        <f>IF(OR($F309="",$I309=""),0,IFERROR(INDEX(Nutrition!$J$2:$J$300,MATCH($F309,Nutrition!$A$2:$A$300,0))*$I309/100,0))</f>
        <v>0.66960000000000008</v>
      </c>
      <c r="Q309" s="30">
        <f>IF(OR($F309="",$I309=""),0,IFERROR(INDEX(Nutrition!$K$2:$K$300,MATCH($F309,Nutrition!$A$2:$A$300,0))*$I309/100,0))</f>
        <v>9.9199999999999997E-2</v>
      </c>
      <c r="R309" s="30">
        <f>IF(OR($F309="",$I309=""),0,IFERROR(INDEX(Nutrition!$L$2:$L$300,MATCH($F309,Nutrition!$A$2:$A$300,0))*$I309/100,0))</f>
        <v>13.64</v>
      </c>
      <c r="S309" s="30">
        <f>IF(OR($F309="",$I309=""),0,IFERROR(INDEX(Nutrition!$M$2:$M$300,MATCH($F309,Nutrition!$A$2:$A$300,0))*$I309/100,0))</f>
        <v>0.33480000000000004</v>
      </c>
    </row>
    <row r="310" spans="1:19" ht="15" customHeight="1" x14ac:dyDescent="0.25">
      <c r="A310" s="22" t="s">
        <v>1390</v>
      </c>
      <c r="B310" s="33" t="str">
        <f>IFERROR(INDEX(Recipes!$B$2:$B$500,MATCH(A310,Recipes!$A$2:$A$500,0)),"")</f>
        <v>Black-Eyed Bean Falafel Bowl</v>
      </c>
      <c r="C310" s="7" t="s">
        <v>523</v>
      </c>
      <c r="D310" s="34">
        <v>1</v>
      </c>
      <c r="E310" s="22" t="s">
        <v>2754</v>
      </c>
      <c r="F310" s="22" t="s">
        <v>522</v>
      </c>
      <c r="G310" s="22" t="s">
        <v>2755</v>
      </c>
      <c r="H310" s="7"/>
      <c r="I310" s="35">
        <v>301</v>
      </c>
      <c r="J310" s="30">
        <f>IF(OR($F310="",$I310=""),0,IFERROR(INDEX(Nutrition!$D$2:$D$300,MATCH($F310,Nutrition!$A$2:$A$300,0))*$I310/100,0))</f>
        <v>1.5049999999999999</v>
      </c>
      <c r="K310" s="30">
        <f>IF(OR($F310="",$I310=""),0,IFERROR(INDEX(Nutrition!$E$2:$E$300,MATCH($F310,Nutrition!$A$2:$A$300,0))*$I310/100,0))</f>
        <v>8.427999999999999</v>
      </c>
      <c r="L310" s="30">
        <f>IF(OR($F310="",$I310=""),0,IFERROR(INDEX(Nutrition!$F$2:$F$300,MATCH($F310,Nutrition!$A$2:$A$300,0))*$I310/100,0))</f>
        <v>15.05</v>
      </c>
      <c r="M310" s="30">
        <f>IF(OR($F310="",$I310=""),0,IFERROR(INDEX(Nutrition!$G$2:$G$300,MATCH($F310,Nutrition!$A$2:$A$300,0))*$I310/100,0))</f>
        <v>49.363999999999997</v>
      </c>
      <c r="N310" s="30">
        <f>IF(OR($F310="",$I310=""),0,IFERROR(INDEX(Nutrition!$H$2:$H$300,MATCH($F310,Nutrition!$A$2:$A$300,0))*$I310/100,0))</f>
        <v>21.07</v>
      </c>
      <c r="O310" s="30">
        <f>IF(OR($F310="",$I310=""),0,IFERROR(INDEX(Nutrition!$I$2:$I$300,MATCH($F310,Nutrition!$A$2:$A$300,0))*$I310/100,0))</f>
        <v>442.47</v>
      </c>
      <c r="P310" s="30">
        <f>IF(OR($F310="",$I310=""),0,IFERROR(INDEX(Nutrition!$J$2:$J$300,MATCH($F310,Nutrition!$A$2:$A$300,0))*$I310/100,0))</f>
        <v>9.0299999999999991E-2</v>
      </c>
      <c r="Q310" s="30">
        <f>IF(OR($F310="",$I310=""),0,IFERROR(INDEX(Nutrition!$K$2:$K$300,MATCH($F310,Nutrition!$A$2:$A$300,0))*$I310/100,0))</f>
        <v>0.12040000000000001</v>
      </c>
      <c r="R310" s="30">
        <f>IF(OR($F310="",$I310=""),0,IFERROR(INDEX(Nutrition!$L$2:$L$300,MATCH($F310,Nutrition!$A$2:$A$300,0))*$I310/100,0))</f>
        <v>39.130000000000003</v>
      </c>
      <c r="S310" s="30">
        <f>IF(OR($F310="",$I310=""),0,IFERROR(INDEX(Nutrition!$M$2:$M$300,MATCH($F310,Nutrition!$A$2:$A$300,0))*$I310/100,0))</f>
        <v>0.84279999999999999</v>
      </c>
    </row>
    <row r="311" spans="1:19" ht="15" customHeight="1" x14ac:dyDescent="0.25">
      <c r="A311" s="22" t="s">
        <v>1390</v>
      </c>
      <c r="B311" s="33" t="str">
        <f>IFERROR(INDEX(Recipes!$B$2:$B$500,MATCH(A311,Recipes!$A$2:$A$500,0)),"")</f>
        <v>Black-Eyed Bean Falafel Bowl</v>
      </c>
      <c r="C311" s="7" t="s">
        <v>206</v>
      </c>
      <c r="D311" s="34">
        <v>1</v>
      </c>
      <c r="E311" s="22" t="s">
        <v>2754</v>
      </c>
      <c r="F311" s="22" t="s">
        <v>205</v>
      </c>
      <c r="G311" s="22" t="s">
        <v>2755</v>
      </c>
      <c r="H311" s="7"/>
      <c r="I311" s="35">
        <v>58</v>
      </c>
      <c r="J311" s="30">
        <f>IF(OR($F311="",$I311=""),0,IFERROR(INDEX(Nutrition!$D$2:$D$300,MATCH($F311,Nutrition!$A$2:$A$300,0))*$I311/100,0))</f>
        <v>1.6239999999999997</v>
      </c>
      <c r="K311" s="30">
        <f>IF(OR($F311="",$I311=""),0,IFERROR(INDEX(Nutrition!$E$2:$E$300,MATCH($F311,Nutrition!$A$2:$A$300,0))*$I311/100,0))</f>
        <v>30.74</v>
      </c>
      <c r="L311" s="30">
        <f>IF(OR($F311="",$I311=""),0,IFERROR(INDEX(Nutrition!$F$2:$F$300,MATCH($F311,Nutrition!$A$2:$A$300,0))*$I311/100,0))</f>
        <v>0.57999999999999996</v>
      </c>
      <c r="M311" s="30">
        <f>IF(OR($F311="",$I311=""),0,IFERROR(INDEX(Nutrition!$G$2:$G$300,MATCH($F311,Nutrition!$A$2:$A$300,0))*$I311/100,0))</f>
        <v>0</v>
      </c>
      <c r="N311" s="30">
        <f>IF(OR($F311="",$I311=""),0,IFERROR(INDEX(Nutrition!$H$2:$H$300,MATCH($F311,Nutrition!$A$2:$A$300,0))*$I311/100,0))</f>
        <v>6.38</v>
      </c>
      <c r="O311" s="30">
        <f>IF(OR($F311="",$I311=""),0,IFERROR(INDEX(Nutrition!$I$2:$I$300,MATCH($F311,Nutrition!$A$2:$A$300,0))*$I311/100,0))</f>
        <v>80.040000000000006</v>
      </c>
      <c r="P311" s="30">
        <f>IF(OR($F311="",$I311=""),0,IFERROR(INDEX(Nutrition!$J$2:$J$300,MATCH($F311,Nutrition!$A$2:$A$300,0))*$I311/100,0))</f>
        <v>8.6999999999999994E-2</v>
      </c>
      <c r="Q311" s="30">
        <f>IF(OR($F311="",$I311=""),0,IFERROR(INDEX(Nutrition!$K$2:$K$300,MATCH($F311,Nutrition!$A$2:$A$300,0))*$I311/100,0))</f>
        <v>4.6399999999999997E-2</v>
      </c>
      <c r="R311" s="30">
        <f>IF(OR($F311="",$I311=""),0,IFERROR(INDEX(Nutrition!$L$2:$L$300,MATCH($F311,Nutrition!$A$2:$A$300,0))*$I311/100,0))</f>
        <v>4.6399999999999997</v>
      </c>
      <c r="S311" s="30">
        <f>IF(OR($F311="",$I311=""),0,IFERROR(INDEX(Nutrition!$M$2:$M$300,MATCH($F311,Nutrition!$A$2:$A$300,0))*$I311/100,0))</f>
        <v>0.34799999999999998</v>
      </c>
    </row>
    <row r="312" spans="1:19" ht="15" customHeight="1" x14ac:dyDescent="0.25">
      <c r="A312" s="22" t="s">
        <v>1390</v>
      </c>
      <c r="B312" s="33" t="str">
        <f>IFERROR(INDEX(Recipes!$B$2:$B$500,MATCH(A312,Recipes!$A$2:$A$500,0)),"")</f>
        <v>Black-Eyed Bean Falafel Bowl</v>
      </c>
      <c r="C312" s="7" t="s">
        <v>2839</v>
      </c>
      <c r="D312" s="34">
        <v>1</v>
      </c>
      <c r="E312" s="22" t="s">
        <v>2759</v>
      </c>
      <c r="F312" s="22"/>
      <c r="G312" s="22" t="s">
        <v>2749</v>
      </c>
      <c r="H312" s="7"/>
      <c r="I312" s="35"/>
      <c r="J312" s="30">
        <f>IF(OR($F312="",$I312=""),0,IFERROR(INDEX(Nutrition!$D$2:$D$300,MATCH($F312,Nutrition!$A$2:$A$300,0))*$I312/100,0))</f>
        <v>0</v>
      </c>
      <c r="K312" s="30">
        <f>IF(OR($F312="",$I312=""),0,IFERROR(INDEX(Nutrition!$E$2:$E$300,MATCH($F312,Nutrition!$A$2:$A$300,0))*$I312/100,0))</f>
        <v>0</v>
      </c>
      <c r="L312" s="30">
        <f>IF(OR($F312="",$I312=""),0,IFERROR(INDEX(Nutrition!$F$2:$F$300,MATCH($F312,Nutrition!$A$2:$A$300,0))*$I312/100,0))</f>
        <v>0</v>
      </c>
      <c r="M312" s="30">
        <f>IF(OR($F312="",$I312=""),0,IFERROR(INDEX(Nutrition!$G$2:$G$300,MATCH($F312,Nutrition!$A$2:$A$300,0))*$I312/100,0))</f>
        <v>0</v>
      </c>
      <c r="N312" s="30">
        <f>IF(OR($F312="",$I312=""),0,IFERROR(INDEX(Nutrition!$H$2:$H$300,MATCH($F312,Nutrition!$A$2:$A$300,0))*$I312/100,0))</f>
        <v>0</v>
      </c>
      <c r="O312" s="30">
        <f>IF(OR($F312="",$I312=""),0,IFERROR(INDEX(Nutrition!$I$2:$I$300,MATCH($F312,Nutrition!$A$2:$A$300,0))*$I312/100,0))</f>
        <v>0</v>
      </c>
      <c r="P312" s="30">
        <f>IF(OR($F312="",$I312=""),0,IFERROR(INDEX(Nutrition!$J$2:$J$300,MATCH($F312,Nutrition!$A$2:$A$300,0))*$I312/100,0))</f>
        <v>0</v>
      </c>
      <c r="Q312" s="30">
        <f>IF(OR($F312="",$I312=""),0,IFERROR(INDEX(Nutrition!$K$2:$K$300,MATCH($F312,Nutrition!$A$2:$A$300,0))*$I312/100,0))</f>
        <v>0</v>
      </c>
      <c r="R312" s="30">
        <f>IF(OR($F312="",$I312=""),0,IFERROR(INDEX(Nutrition!$L$2:$L$300,MATCH($F312,Nutrition!$A$2:$A$300,0))*$I312/100,0))</f>
        <v>0</v>
      </c>
      <c r="S312" s="30">
        <f>IF(OR($F312="",$I312=""),0,IFERROR(INDEX(Nutrition!$M$2:$M$300,MATCH($F312,Nutrition!$A$2:$A$300,0))*$I312/100,0))</f>
        <v>0</v>
      </c>
    </row>
    <row r="313" spans="1:19" ht="15" customHeight="1" x14ac:dyDescent="0.25">
      <c r="A313" s="22" t="s">
        <v>1390</v>
      </c>
      <c r="B313" s="33" t="str">
        <f>IFERROR(INDEX(Recipes!$B$2:$B$500,MATCH(A313,Recipes!$A$2:$A$500,0)),"")</f>
        <v>Black-Eyed Bean Falafel Bowl</v>
      </c>
      <c r="C313" s="7" t="s">
        <v>2751</v>
      </c>
      <c r="D313" s="34">
        <v>1</v>
      </c>
      <c r="E313" s="22" t="s">
        <v>2748</v>
      </c>
      <c r="F313" s="22"/>
      <c r="G313" s="22" t="s">
        <v>2749</v>
      </c>
      <c r="H313" s="7"/>
      <c r="I313" s="35"/>
      <c r="J313" s="30">
        <f>IF(OR($F313="",$I313=""),0,IFERROR(INDEX(Nutrition!$D$2:$D$300,MATCH($F313,Nutrition!$A$2:$A$300,0))*$I313/100,0))</f>
        <v>0</v>
      </c>
      <c r="K313" s="30">
        <f>IF(OR($F313="",$I313=""),0,IFERROR(INDEX(Nutrition!$E$2:$E$300,MATCH($F313,Nutrition!$A$2:$A$300,0))*$I313/100,0))</f>
        <v>0</v>
      </c>
      <c r="L313" s="30">
        <f>IF(OR($F313="",$I313=""),0,IFERROR(INDEX(Nutrition!$F$2:$F$300,MATCH($F313,Nutrition!$A$2:$A$300,0))*$I313/100,0))</f>
        <v>0</v>
      </c>
      <c r="M313" s="30">
        <f>IF(OR($F313="",$I313=""),0,IFERROR(INDEX(Nutrition!$G$2:$G$300,MATCH($F313,Nutrition!$A$2:$A$300,0))*$I313/100,0))</f>
        <v>0</v>
      </c>
      <c r="N313" s="30">
        <f>IF(OR($F313="",$I313=""),0,IFERROR(INDEX(Nutrition!$H$2:$H$300,MATCH($F313,Nutrition!$A$2:$A$300,0))*$I313/100,0))</f>
        <v>0</v>
      </c>
      <c r="O313" s="30">
        <f>IF(OR($F313="",$I313=""),0,IFERROR(INDEX(Nutrition!$I$2:$I$300,MATCH($F313,Nutrition!$A$2:$A$300,0))*$I313/100,0))</f>
        <v>0</v>
      </c>
      <c r="P313" s="30">
        <f>IF(OR($F313="",$I313=""),0,IFERROR(INDEX(Nutrition!$J$2:$J$300,MATCH($F313,Nutrition!$A$2:$A$300,0))*$I313/100,0))</f>
        <v>0</v>
      </c>
      <c r="Q313" s="30">
        <f>IF(OR($F313="",$I313=""),0,IFERROR(INDEX(Nutrition!$K$2:$K$300,MATCH($F313,Nutrition!$A$2:$A$300,0))*$I313/100,0))</f>
        <v>0</v>
      </c>
      <c r="R313" s="30">
        <f>IF(OR($F313="",$I313=""),0,IFERROR(INDEX(Nutrition!$L$2:$L$300,MATCH($F313,Nutrition!$A$2:$A$300,0))*$I313/100,0))</f>
        <v>0</v>
      </c>
      <c r="S313" s="30">
        <f>IF(OR($F313="",$I313=""),0,IFERROR(INDEX(Nutrition!$M$2:$M$300,MATCH($F313,Nutrition!$A$2:$A$300,0))*$I313/100,0))</f>
        <v>0</v>
      </c>
    </row>
    <row r="314" spans="1:19" ht="15" customHeight="1" x14ac:dyDescent="0.25">
      <c r="A314" s="22" t="s">
        <v>1390</v>
      </c>
      <c r="B314" s="33" t="str">
        <f>IFERROR(INDEX(Recipes!$B$2:$B$500,MATCH(A314,Recipes!$A$2:$A$500,0)),"")</f>
        <v>Black-Eyed Bean Falafel Bowl</v>
      </c>
      <c r="C314" s="7" t="s">
        <v>2852</v>
      </c>
      <c r="D314" s="34">
        <v>3</v>
      </c>
      <c r="E314" s="22" t="s">
        <v>2754</v>
      </c>
      <c r="F314" s="22"/>
      <c r="G314" s="22" t="s">
        <v>2749</v>
      </c>
      <c r="H314" s="7"/>
      <c r="I314" s="35"/>
      <c r="J314" s="30">
        <f>IF(OR($F314="",$I314=""),0,IFERROR(INDEX(Nutrition!$D$2:$D$300,MATCH($F314,Nutrition!$A$2:$A$300,0))*$I314/100,0))</f>
        <v>0</v>
      </c>
      <c r="K314" s="30">
        <f>IF(OR($F314="",$I314=""),0,IFERROR(INDEX(Nutrition!$E$2:$E$300,MATCH($F314,Nutrition!$A$2:$A$300,0))*$I314/100,0))</f>
        <v>0</v>
      </c>
      <c r="L314" s="30">
        <f>IF(OR($F314="",$I314=""),0,IFERROR(INDEX(Nutrition!$F$2:$F$300,MATCH($F314,Nutrition!$A$2:$A$300,0))*$I314/100,0))</f>
        <v>0</v>
      </c>
      <c r="M314" s="30">
        <f>IF(OR($F314="",$I314=""),0,IFERROR(INDEX(Nutrition!$G$2:$G$300,MATCH($F314,Nutrition!$A$2:$A$300,0))*$I314/100,0))</f>
        <v>0</v>
      </c>
      <c r="N314" s="30">
        <f>IF(OR($F314="",$I314=""),0,IFERROR(INDEX(Nutrition!$H$2:$H$300,MATCH($F314,Nutrition!$A$2:$A$300,0))*$I314/100,0))</f>
        <v>0</v>
      </c>
      <c r="O314" s="30">
        <f>IF(OR($F314="",$I314=""),0,IFERROR(INDEX(Nutrition!$I$2:$I$300,MATCH($F314,Nutrition!$A$2:$A$300,0))*$I314/100,0))</f>
        <v>0</v>
      </c>
      <c r="P314" s="30">
        <f>IF(OR($F314="",$I314=""),0,IFERROR(INDEX(Nutrition!$J$2:$J$300,MATCH($F314,Nutrition!$A$2:$A$300,0))*$I314/100,0))</f>
        <v>0</v>
      </c>
      <c r="Q314" s="30">
        <f>IF(OR($F314="",$I314=""),0,IFERROR(INDEX(Nutrition!$K$2:$K$300,MATCH($F314,Nutrition!$A$2:$A$300,0))*$I314/100,0))</f>
        <v>0</v>
      </c>
      <c r="R314" s="30">
        <f>IF(OR($F314="",$I314=""),0,IFERROR(INDEX(Nutrition!$L$2:$L$300,MATCH($F314,Nutrition!$A$2:$A$300,0))*$I314/100,0))</f>
        <v>0</v>
      </c>
      <c r="S314" s="30">
        <f>IF(OR($F314="",$I314=""),0,IFERROR(INDEX(Nutrition!$M$2:$M$300,MATCH($F314,Nutrition!$A$2:$A$300,0))*$I314/100,0))</f>
        <v>0</v>
      </c>
    </row>
    <row r="315" spans="1:19" ht="15" customHeight="1" x14ac:dyDescent="0.25">
      <c r="A315" s="22" t="s">
        <v>1390</v>
      </c>
      <c r="B315" s="33" t="str">
        <f>IFERROR(INDEX(Recipes!$B$2:$B$500,MATCH(A315,Recipes!$A$2:$A$500,0)),"")</f>
        <v>Black-Eyed Bean Falafel Bowl</v>
      </c>
      <c r="C315" s="7" t="s">
        <v>2772</v>
      </c>
      <c r="D315" s="34">
        <v>2</v>
      </c>
      <c r="E315" s="22" t="s">
        <v>2753</v>
      </c>
      <c r="F315" s="22"/>
      <c r="G315" s="22" t="s">
        <v>2773</v>
      </c>
      <c r="H315" s="7"/>
      <c r="I315" s="35"/>
      <c r="J315" s="30">
        <f>IF(OR($F315="",$I315=""),0,IFERROR(INDEX(Nutrition!$D$2:$D$300,MATCH($F315,Nutrition!$A$2:$A$300,0))*$I315/100,0))</f>
        <v>0</v>
      </c>
      <c r="K315" s="30">
        <f>IF(OR($F315="",$I315=""),0,IFERROR(INDEX(Nutrition!$E$2:$E$300,MATCH($F315,Nutrition!$A$2:$A$300,0))*$I315/100,0))</f>
        <v>0</v>
      </c>
      <c r="L315" s="30">
        <f>IF(OR($F315="",$I315=""),0,IFERROR(INDEX(Nutrition!$F$2:$F$300,MATCH($F315,Nutrition!$A$2:$A$300,0))*$I315/100,0))</f>
        <v>0</v>
      </c>
      <c r="M315" s="30">
        <f>IF(OR($F315="",$I315=""),0,IFERROR(INDEX(Nutrition!$G$2:$G$300,MATCH($F315,Nutrition!$A$2:$A$300,0))*$I315/100,0))</f>
        <v>0</v>
      </c>
      <c r="N315" s="30">
        <f>IF(OR($F315="",$I315=""),0,IFERROR(INDEX(Nutrition!$H$2:$H$300,MATCH($F315,Nutrition!$A$2:$A$300,0))*$I315/100,0))</f>
        <v>0</v>
      </c>
      <c r="O315" s="30">
        <f>IF(OR($F315="",$I315=""),0,IFERROR(INDEX(Nutrition!$I$2:$I$300,MATCH($F315,Nutrition!$A$2:$A$300,0))*$I315/100,0))</f>
        <v>0</v>
      </c>
      <c r="P315" s="30">
        <f>IF(OR($F315="",$I315=""),0,IFERROR(INDEX(Nutrition!$J$2:$J$300,MATCH($F315,Nutrition!$A$2:$A$300,0))*$I315/100,0))</f>
        <v>0</v>
      </c>
      <c r="Q315" s="30">
        <f>IF(OR($F315="",$I315=""),0,IFERROR(INDEX(Nutrition!$K$2:$K$300,MATCH($F315,Nutrition!$A$2:$A$300,0))*$I315/100,0))</f>
        <v>0</v>
      </c>
      <c r="R315" s="30">
        <f>IF(OR($F315="",$I315=""),0,IFERROR(INDEX(Nutrition!$L$2:$L$300,MATCH($F315,Nutrition!$A$2:$A$300,0))*$I315/100,0))</f>
        <v>0</v>
      </c>
      <c r="S315" s="30">
        <f>IF(OR($F315="",$I315=""),0,IFERROR(INDEX(Nutrition!$M$2:$M$300,MATCH($F315,Nutrition!$A$2:$A$300,0))*$I315/100,0))</f>
        <v>0</v>
      </c>
    </row>
    <row r="316" spans="1:19" ht="15" customHeight="1" x14ac:dyDescent="0.25">
      <c r="A316" s="22" t="s">
        <v>1402</v>
      </c>
      <c r="B316" s="33" t="str">
        <f>IFERROR(INDEX(Recipes!$B$2:$B$500,MATCH(A316,Recipes!$A$2:$A$500,0)),"")</f>
        <v>Sweet Potato Buddha Bowl with Ugu Pesto</v>
      </c>
      <c r="C316" s="7" t="s">
        <v>610</v>
      </c>
      <c r="D316" s="34">
        <v>2</v>
      </c>
      <c r="E316" s="22" t="s">
        <v>2754</v>
      </c>
      <c r="F316" s="22" t="s">
        <v>609</v>
      </c>
      <c r="G316" s="22" t="s">
        <v>2755</v>
      </c>
      <c r="H316" s="7"/>
      <c r="I316" s="35">
        <v>260</v>
      </c>
      <c r="J316" s="30">
        <f>IF(OR($F316="",$I316=""),0,IFERROR(INDEX(Nutrition!$D$2:$D$300,MATCH($F316,Nutrition!$A$2:$A$300,0))*$I316/100,0))</f>
        <v>7.8</v>
      </c>
      <c r="K316" s="30">
        <f>IF(OR($F316="",$I316=""),0,IFERROR(INDEX(Nutrition!$E$2:$E$300,MATCH($F316,Nutrition!$A$2:$A$300,0))*$I316/100,0))</f>
        <v>6.24</v>
      </c>
      <c r="L316" s="30">
        <f>IF(OR($F316="",$I316=""),0,IFERROR(INDEX(Nutrition!$F$2:$F$300,MATCH($F316,Nutrition!$A$2:$A$300,0))*$I316/100,0))</f>
        <v>1843.4</v>
      </c>
      <c r="M316" s="30">
        <f>IF(OR($F316="",$I316=""),0,IFERROR(INDEX(Nutrition!$G$2:$G$300,MATCH($F316,Nutrition!$A$2:$A$300,0))*$I316/100,0))</f>
        <v>4.68</v>
      </c>
      <c r="N316" s="30">
        <f>IF(OR($F316="",$I316=""),0,IFERROR(INDEX(Nutrition!$H$2:$H$300,MATCH($F316,Nutrition!$A$2:$A$300,0))*$I316/100,0))</f>
        <v>28.6</v>
      </c>
      <c r="O316" s="30">
        <f>IF(OR($F316="",$I316=""),0,IFERROR(INDEX(Nutrition!$I$2:$I$300,MATCH($F316,Nutrition!$A$2:$A$300,0))*$I316/100,0))</f>
        <v>876.2</v>
      </c>
      <c r="P316" s="30">
        <f>IF(OR($F316="",$I316=""),0,IFERROR(INDEX(Nutrition!$J$2:$J$300,MATCH($F316,Nutrition!$A$2:$A$300,0))*$I316/100,0))</f>
        <v>0.67600000000000005</v>
      </c>
      <c r="Q316" s="30">
        <f>IF(OR($F316="",$I316=""),0,IFERROR(INDEX(Nutrition!$K$2:$K$300,MATCH($F316,Nutrition!$A$2:$A$300,0))*$I316/100,0))</f>
        <v>0.54339999999999999</v>
      </c>
      <c r="R316" s="30">
        <f>IF(OR($F316="",$I316=""),0,IFERROR(INDEX(Nutrition!$L$2:$L$300,MATCH($F316,Nutrition!$A$2:$A$300,0))*$I316/100,0))</f>
        <v>65</v>
      </c>
      <c r="S316" s="30">
        <f>IF(OR($F316="",$I316=""),0,IFERROR(INDEX(Nutrition!$M$2:$M$300,MATCH($F316,Nutrition!$A$2:$A$300,0))*$I316/100,0))</f>
        <v>1.5859999999999999</v>
      </c>
    </row>
    <row r="317" spans="1:19" ht="15" customHeight="1" x14ac:dyDescent="0.25">
      <c r="A317" s="22" t="s">
        <v>1402</v>
      </c>
      <c r="B317" s="33" t="str">
        <f>IFERROR(INDEX(Recipes!$B$2:$B$500,MATCH(A317,Recipes!$A$2:$A$500,0)),"")</f>
        <v>Sweet Potato Buddha Bowl with Ugu Pesto</v>
      </c>
      <c r="C317" s="7" t="s">
        <v>2853</v>
      </c>
      <c r="D317" s="34">
        <v>1</v>
      </c>
      <c r="E317" s="22" t="s">
        <v>2748</v>
      </c>
      <c r="F317" s="22"/>
      <c r="G317" s="22" t="s">
        <v>2749</v>
      </c>
      <c r="H317" s="7" t="s">
        <v>2833</v>
      </c>
      <c r="I317" s="35"/>
      <c r="J317" s="30">
        <f>IF(OR($F317="",$I317=""),0,IFERROR(INDEX(Nutrition!$D$2:$D$300,MATCH($F317,Nutrition!$A$2:$A$300,0))*$I317/100,0))</f>
        <v>0</v>
      </c>
      <c r="K317" s="30">
        <f>IF(OR($F317="",$I317=""),0,IFERROR(INDEX(Nutrition!$E$2:$E$300,MATCH($F317,Nutrition!$A$2:$A$300,0))*$I317/100,0))</f>
        <v>0</v>
      </c>
      <c r="L317" s="30">
        <f>IF(OR($F317="",$I317=""),0,IFERROR(INDEX(Nutrition!$F$2:$F$300,MATCH($F317,Nutrition!$A$2:$A$300,0))*$I317/100,0))</f>
        <v>0</v>
      </c>
      <c r="M317" s="30">
        <f>IF(OR($F317="",$I317=""),0,IFERROR(INDEX(Nutrition!$G$2:$G$300,MATCH($F317,Nutrition!$A$2:$A$300,0))*$I317/100,0))</f>
        <v>0</v>
      </c>
      <c r="N317" s="30">
        <f>IF(OR($F317="",$I317=""),0,IFERROR(INDEX(Nutrition!$H$2:$H$300,MATCH($F317,Nutrition!$A$2:$A$300,0))*$I317/100,0))</f>
        <v>0</v>
      </c>
      <c r="O317" s="30">
        <f>IF(OR($F317="",$I317=""),0,IFERROR(INDEX(Nutrition!$I$2:$I$300,MATCH($F317,Nutrition!$A$2:$A$300,0))*$I317/100,0))</f>
        <v>0</v>
      </c>
      <c r="P317" s="30">
        <f>IF(OR($F317="",$I317=""),0,IFERROR(INDEX(Nutrition!$J$2:$J$300,MATCH($F317,Nutrition!$A$2:$A$300,0))*$I317/100,0))</f>
        <v>0</v>
      </c>
      <c r="Q317" s="30">
        <f>IF(OR($F317="",$I317=""),0,IFERROR(INDEX(Nutrition!$K$2:$K$300,MATCH($F317,Nutrition!$A$2:$A$300,0))*$I317/100,0))</f>
        <v>0</v>
      </c>
      <c r="R317" s="30">
        <f>IF(OR($F317="",$I317=""),0,IFERROR(INDEX(Nutrition!$L$2:$L$300,MATCH($F317,Nutrition!$A$2:$A$300,0))*$I317/100,0))</f>
        <v>0</v>
      </c>
      <c r="S317" s="30">
        <f>IF(OR($F317="",$I317=""),0,IFERROR(INDEX(Nutrition!$M$2:$M$300,MATCH($F317,Nutrition!$A$2:$A$300,0))*$I317/100,0))</f>
        <v>0</v>
      </c>
    </row>
    <row r="318" spans="1:19" ht="15" customHeight="1" x14ac:dyDescent="0.25">
      <c r="A318" s="22" t="s">
        <v>1402</v>
      </c>
      <c r="B318" s="33" t="str">
        <f>IFERROR(INDEX(Recipes!$B$2:$B$500,MATCH(A318,Recipes!$A$2:$A$500,0)),"")</f>
        <v>Sweet Potato Buddha Bowl with Ugu Pesto</v>
      </c>
      <c r="C318" s="7" t="s">
        <v>2854</v>
      </c>
      <c r="D318" s="34">
        <v>1</v>
      </c>
      <c r="E318" s="22" t="s">
        <v>2748</v>
      </c>
      <c r="F318" s="22"/>
      <c r="G318" s="22" t="s">
        <v>2749</v>
      </c>
      <c r="H318" s="7" t="s">
        <v>2844</v>
      </c>
      <c r="I318" s="35"/>
      <c r="J318" s="30">
        <f>IF(OR($F318="",$I318=""),0,IFERROR(INDEX(Nutrition!$D$2:$D$300,MATCH($F318,Nutrition!$A$2:$A$300,0))*$I318/100,0))</f>
        <v>0</v>
      </c>
      <c r="K318" s="30">
        <f>IF(OR($F318="",$I318=""),0,IFERROR(INDEX(Nutrition!$E$2:$E$300,MATCH($F318,Nutrition!$A$2:$A$300,0))*$I318/100,0))</f>
        <v>0</v>
      </c>
      <c r="L318" s="30">
        <f>IF(OR($F318="",$I318=""),0,IFERROR(INDEX(Nutrition!$F$2:$F$300,MATCH($F318,Nutrition!$A$2:$A$300,0))*$I318/100,0))</f>
        <v>0</v>
      </c>
      <c r="M318" s="30">
        <f>IF(OR($F318="",$I318=""),0,IFERROR(INDEX(Nutrition!$G$2:$G$300,MATCH($F318,Nutrition!$A$2:$A$300,0))*$I318/100,0))</f>
        <v>0</v>
      </c>
      <c r="N318" s="30">
        <f>IF(OR($F318="",$I318=""),0,IFERROR(INDEX(Nutrition!$H$2:$H$300,MATCH($F318,Nutrition!$A$2:$A$300,0))*$I318/100,0))</f>
        <v>0</v>
      </c>
      <c r="O318" s="30">
        <f>IF(OR($F318="",$I318=""),0,IFERROR(INDEX(Nutrition!$I$2:$I$300,MATCH($F318,Nutrition!$A$2:$A$300,0))*$I318/100,0))</f>
        <v>0</v>
      </c>
      <c r="P318" s="30">
        <f>IF(OR($F318="",$I318=""),0,IFERROR(INDEX(Nutrition!$J$2:$J$300,MATCH($F318,Nutrition!$A$2:$A$300,0))*$I318/100,0))</f>
        <v>0</v>
      </c>
      <c r="Q318" s="30">
        <f>IF(OR($F318="",$I318=""),0,IFERROR(INDEX(Nutrition!$K$2:$K$300,MATCH($F318,Nutrition!$A$2:$A$300,0))*$I318/100,0))</f>
        <v>0</v>
      </c>
      <c r="R318" s="30">
        <f>IF(OR($F318="",$I318=""),0,IFERROR(INDEX(Nutrition!$L$2:$L$300,MATCH($F318,Nutrition!$A$2:$A$300,0))*$I318/100,0))</f>
        <v>0</v>
      </c>
      <c r="S318" s="30">
        <f>IF(OR($F318="",$I318=""),0,IFERROR(INDEX(Nutrition!$M$2:$M$300,MATCH($F318,Nutrition!$A$2:$A$300,0))*$I318/100,0))</f>
        <v>0</v>
      </c>
    </row>
    <row r="319" spans="1:19" ht="15" customHeight="1" x14ac:dyDescent="0.25">
      <c r="A319" s="22" t="s">
        <v>1402</v>
      </c>
      <c r="B319" s="33" t="str">
        <f>IFERROR(INDEX(Recipes!$B$2:$B$500,MATCH(A319,Recipes!$A$2:$A$500,0)),"")</f>
        <v>Sweet Potato Buddha Bowl with Ugu Pesto</v>
      </c>
      <c r="C319" s="7" t="s">
        <v>628</v>
      </c>
      <c r="D319" s="34">
        <v>2</v>
      </c>
      <c r="E319" s="22" t="s">
        <v>2790</v>
      </c>
      <c r="F319" s="22" t="s">
        <v>627</v>
      </c>
      <c r="G319" s="22" t="s">
        <v>2755</v>
      </c>
      <c r="H319" s="7" t="s">
        <v>2840</v>
      </c>
      <c r="I319" s="35">
        <v>60</v>
      </c>
      <c r="J319" s="30">
        <f>IF(OR($F319="",$I319=""),0,IFERROR(INDEX(Nutrition!$D$2:$D$300,MATCH($F319,Nutrition!$A$2:$A$300,0))*$I319/100,0))</f>
        <v>1.56</v>
      </c>
      <c r="K319" s="30">
        <f>IF(OR($F319="",$I319=""),0,IFERROR(INDEX(Nutrition!$E$2:$E$300,MATCH($F319,Nutrition!$A$2:$A$300,0))*$I319/100,0))</f>
        <v>16.8</v>
      </c>
      <c r="L319" s="30">
        <f>IF(OR($F319="",$I319=""),0,IFERROR(INDEX(Nutrition!$F$2:$F$300,MATCH($F319,Nutrition!$A$2:$A$300,0))*$I319/100,0))</f>
        <v>168</v>
      </c>
      <c r="M319" s="30">
        <f>IF(OR($F319="",$I319=""),0,IFERROR(INDEX(Nutrition!$G$2:$G$300,MATCH($F319,Nutrition!$A$2:$A$300,0))*$I319/100,0))</f>
        <v>0</v>
      </c>
      <c r="N319" s="30">
        <f>IF(OR($F319="",$I319=""),0,IFERROR(INDEX(Nutrition!$H$2:$H$300,MATCH($F319,Nutrition!$A$2:$A$300,0))*$I319/100,0))</f>
        <v>51</v>
      </c>
      <c r="O319" s="30">
        <f>IF(OR($F319="",$I319=""),0,IFERROR(INDEX(Nutrition!$I$2:$I$300,MATCH($F319,Nutrition!$A$2:$A$300,0))*$I319/100,0))</f>
        <v>270</v>
      </c>
      <c r="P319" s="30">
        <f>IF(OR($F319="",$I319=""),0,IFERROR(INDEX(Nutrition!$J$2:$J$300,MATCH($F319,Nutrition!$A$2:$A$300,0))*$I319/100,0))</f>
        <v>0</v>
      </c>
      <c r="Q319" s="30">
        <f>IF(OR($F319="",$I319=""),0,IFERROR(INDEX(Nutrition!$K$2:$K$300,MATCH($F319,Nutrition!$A$2:$A$300,0))*$I319/100,0))</f>
        <v>0</v>
      </c>
      <c r="R319" s="30">
        <f>IF(OR($F319="",$I319=""),0,IFERROR(INDEX(Nutrition!$L$2:$L$300,MATCH($F319,Nutrition!$A$2:$A$300,0))*$I319/100,0))</f>
        <v>30</v>
      </c>
      <c r="S319" s="30">
        <f>IF(OR($F319="",$I319=""),0,IFERROR(INDEX(Nutrition!$M$2:$M$300,MATCH($F319,Nutrition!$A$2:$A$300,0))*$I319/100,0))</f>
        <v>1.5</v>
      </c>
    </row>
    <row r="320" spans="1:19" ht="15" customHeight="1" x14ac:dyDescent="0.25">
      <c r="A320" s="22" t="s">
        <v>1402</v>
      </c>
      <c r="B320" s="33" t="str">
        <f>IFERROR(INDEX(Recipes!$B$2:$B$500,MATCH(A320,Recipes!$A$2:$A$500,0)),"")</f>
        <v>Sweet Potato Buddha Bowl with Ugu Pesto</v>
      </c>
      <c r="C320" s="7" t="s">
        <v>428</v>
      </c>
      <c r="D320" s="34">
        <v>0.25</v>
      </c>
      <c r="E320" s="22" t="s">
        <v>2748</v>
      </c>
      <c r="F320" s="22" t="s">
        <v>427</v>
      </c>
      <c r="G320" s="22" t="s">
        <v>2755</v>
      </c>
      <c r="H320" s="7" t="s">
        <v>2800</v>
      </c>
      <c r="I320" s="35">
        <v>36</v>
      </c>
      <c r="J320" s="30">
        <f>IF(OR($F320="",$I320=""),0,IFERROR(INDEX(Nutrition!$D$2:$D$300,MATCH($F320,Nutrition!$A$2:$A$300,0))*$I320/100,0))</f>
        <v>3.06</v>
      </c>
      <c r="K320" s="30">
        <f>IF(OR($F320="",$I320=""),0,IFERROR(INDEX(Nutrition!$E$2:$E$300,MATCH($F320,Nutrition!$A$2:$A$300,0))*$I320/100,0))</f>
        <v>0</v>
      </c>
      <c r="L320" s="30">
        <f>IF(OR($F320="",$I320=""),0,IFERROR(INDEX(Nutrition!$F$2:$F$300,MATCH($F320,Nutrition!$A$2:$A$300,0))*$I320/100,0))</f>
        <v>0</v>
      </c>
      <c r="M320" s="30">
        <f>IF(OR($F320="",$I320=""),0,IFERROR(INDEX(Nutrition!$G$2:$G$300,MATCH($F320,Nutrition!$A$2:$A$300,0))*$I320/100,0))</f>
        <v>0</v>
      </c>
      <c r="N320" s="30">
        <f>IF(OR($F320="",$I320=""),0,IFERROR(INDEX(Nutrition!$H$2:$H$300,MATCH($F320,Nutrition!$A$2:$A$300,0))*$I320/100,0))</f>
        <v>86.4</v>
      </c>
      <c r="O320" s="30">
        <f>IF(OR($F320="",$I320=""),0,IFERROR(INDEX(Nutrition!$I$2:$I$300,MATCH($F320,Nutrition!$A$2:$A$300,0))*$I320/100,0))</f>
        <v>253.8</v>
      </c>
      <c r="P320" s="30">
        <f>IF(OR($F320="",$I320=""),0,IFERROR(INDEX(Nutrition!$J$2:$J$300,MATCH($F320,Nutrition!$A$2:$A$300,0))*$I320/100,0))</f>
        <v>2.9988000000000001</v>
      </c>
      <c r="Q320" s="30">
        <f>IF(OR($F320="",$I320=""),0,IFERROR(INDEX(Nutrition!$K$2:$K$300,MATCH($F320,Nutrition!$A$2:$A$300,0))*$I320/100,0))</f>
        <v>0.12527999999999997</v>
      </c>
      <c r="R320" s="30">
        <f>IF(OR($F320="",$I320=""),0,IFERROR(INDEX(Nutrition!$L$2:$L$300,MATCH($F320,Nutrition!$A$2:$A$300,0))*$I320/100,0))</f>
        <v>60.48</v>
      </c>
      <c r="S320" s="30">
        <f>IF(OR($F320="",$I320=""),0,IFERROR(INDEX(Nutrition!$M$2:$M$300,MATCH($F320,Nutrition!$A$2:$A$300,0))*$I320/100,0))</f>
        <v>1.6488</v>
      </c>
    </row>
    <row r="321" spans="1:19" ht="15" customHeight="1" x14ac:dyDescent="0.25">
      <c r="A321" s="22" t="s">
        <v>1402</v>
      </c>
      <c r="B321" s="33" t="str">
        <f>IFERROR(INDEX(Recipes!$B$2:$B$500,MATCH(A321,Recipes!$A$2:$A$500,0)),"")</f>
        <v>Sweet Potato Buddha Bowl with Ugu Pesto</v>
      </c>
      <c r="C321" s="7" t="s">
        <v>500</v>
      </c>
      <c r="D321" s="34">
        <v>1</v>
      </c>
      <c r="E321" s="22" t="s">
        <v>2816</v>
      </c>
      <c r="F321" s="22" t="s">
        <v>499</v>
      </c>
      <c r="G321" s="22" t="s">
        <v>2755</v>
      </c>
      <c r="H321" s="7"/>
      <c r="I321" s="35">
        <v>3</v>
      </c>
      <c r="J321" s="30">
        <f>IF(OR($F321="",$I321=""),0,IFERROR(INDEX(Nutrition!$D$2:$D$300,MATCH($F321,Nutrition!$A$2:$A$300,0))*$I321/100,0))</f>
        <v>6.3E-2</v>
      </c>
      <c r="K321" s="30">
        <f>IF(OR($F321="",$I321=""),0,IFERROR(INDEX(Nutrition!$E$2:$E$300,MATCH($F321,Nutrition!$A$2:$A$300,0))*$I321/100,0))</f>
        <v>0.93599999999999994</v>
      </c>
      <c r="L321" s="30">
        <f>IF(OR($F321="",$I321=""),0,IFERROR(INDEX(Nutrition!$F$2:$F$300,MATCH($F321,Nutrition!$A$2:$A$300,0))*$I321/100,0))</f>
        <v>0</v>
      </c>
      <c r="M321" s="30">
        <f>IF(OR($F321="",$I321=""),0,IFERROR(INDEX(Nutrition!$G$2:$G$300,MATCH($F321,Nutrition!$A$2:$A$300,0))*$I321/100,0))</f>
        <v>5.0999999999999997E-2</v>
      </c>
      <c r="N321" s="30">
        <f>IF(OR($F321="",$I321=""),0,IFERROR(INDEX(Nutrition!$H$2:$H$300,MATCH($F321,Nutrition!$A$2:$A$300,0))*$I321/100,0))</f>
        <v>0.09</v>
      </c>
      <c r="O321" s="30">
        <f>IF(OR($F321="",$I321=""),0,IFERROR(INDEX(Nutrition!$I$2:$I$300,MATCH($F321,Nutrition!$A$2:$A$300,0))*$I321/100,0))</f>
        <v>12.03</v>
      </c>
      <c r="P321" s="30">
        <f>IF(OR($F321="",$I321=""),0,IFERROR(INDEX(Nutrition!$J$2:$J$300,MATCH($F321,Nutrition!$A$2:$A$300,0))*$I321/100,0))</f>
        <v>2.3999999999999998E-3</v>
      </c>
      <c r="Q321" s="30">
        <f>IF(OR($F321="",$I321=""),0,IFERROR(INDEX(Nutrition!$K$2:$K$300,MATCH($F321,Nutrition!$A$2:$A$300,0))*$I321/100,0))</f>
        <v>3.705E-2</v>
      </c>
      <c r="R321" s="30">
        <f>IF(OR($F321="",$I321=""),0,IFERROR(INDEX(Nutrition!$L$2:$L$300,MATCH($F321,Nutrition!$A$2:$A$300,0))*$I321/100,0))</f>
        <v>0.75</v>
      </c>
      <c r="S321" s="30">
        <f>IF(OR($F321="",$I321=""),0,IFERROR(INDEX(Nutrition!$M$2:$M$300,MATCH($F321,Nutrition!$A$2:$A$300,0))*$I321/100,0))</f>
        <v>5.0999999999999997E-2</v>
      </c>
    </row>
    <row r="322" spans="1:19" ht="15" customHeight="1" x14ac:dyDescent="0.25">
      <c r="A322" s="22" t="s">
        <v>1402</v>
      </c>
      <c r="B322" s="33" t="str">
        <f>IFERROR(INDEX(Recipes!$B$2:$B$500,MATCH(A322,Recipes!$A$2:$A$500,0)),"")</f>
        <v>Sweet Potato Buddha Bowl with Ugu Pesto</v>
      </c>
      <c r="C322" s="7" t="s">
        <v>206</v>
      </c>
      <c r="D322" s="34">
        <v>1</v>
      </c>
      <c r="E322" s="22" t="s">
        <v>2754</v>
      </c>
      <c r="F322" s="22" t="s">
        <v>205</v>
      </c>
      <c r="G322" s="22" t="s">
        <v>2755</v>
      </c>
      <c r="H322" s="7"/>
      <c r="I322" s="35">
        <v>58</v>
      </c>
      <c r="J322" s="30">
        <f>IF(OR($F322="",$I322=""),0,IFERROR(INDEX(Nutrition!$D$2:$D$300,MATCH($F322,Nutrition!$A$2:$A$300,0))*$I322/100,0))</f>
        <v>1.6239999999999997</v>
      </c>
      <c r="K322" s="30">
        <f>IF(OR($F322="",$I322=""),0,IFERROR(INDEX(Nutrition!$E$2:$E$300,MATCH($F322,Nutrition!$A$2:$A$300,0))*$I322/100,0))</f>
        <v>30.74</v>
      </c>
      <c r="L322" s="30">
        <f>IF(OR($F322="",$I322=""),0,IFERROR(INDEX(Nutrition!$F$2:$F$300,MATCH($F322,Nutrition!$A$2:$A$300,0))*$I322/100,0))</f>
        <v>0.57999999999999996</v>
      </c>
      <c r="M322" s="30">
        <f>IF(OR($F322="",$I322=""),0,IFERROR(INDEX(Nutrition!$G$2:$G$300,MATCH($F322,Nutrition!$A$2:$A$300,0))*$I322/100,0))</f>
        <v>0</v>
      </c>
      <c r="N322" s="30">
        <f>IF(OR($F322="",$I322=""),0,IFERROR(INDEX(Nutrition!$H$2:$H$300,MATCH($F322,Nutrition!$A$2:$A$300,0))*$I322/100,0))</f>
        <v>6.38</v>
      </c>
      <c r="O322" s="30">
        <f>IF(OR($F322="",$I322=""),0,IFERROR(INDEX(Nutrition!$I$2:$I$300,MATCH($F322,Nutrition!$A$2:$A$300,0))*$I322/100,0))</f>
        <v>80.040000000000006</v>
      </c>
      <c r="P322" s="30">
        <f>IF(OR($F322="",$I322=""),0,IFERROR(INDEX(Nutrition!$J$2:$J$300,MATCH($F322,Nutrition!$A$2:$A$300,0))*$I322/100,0))</f>
        <v>8.6999999999999994E-2</v>
      </c>
      <c r="Q322" s="30">
        <f>IF(OR($F322="",$I322=""),0,IFERROR(INDEX(Nutrition!$K$2:$K$300,MATCH($F322,Nutrition!$A$2:$A$300,0))*$I322/100,0))</f>
        <v>4.6399999999999997E-2</v>
      </c>
      <c r="R322" s="30">
        <f>IF(OR($F322="",$I322=""),0,IFERROR(INDEX(Nutrition!$L$2:$L$300,MATCH($F322,Nutrition!$A$2:$A$300,0))*$I322/100,0))</f>
        <v>4.6399999999999997</v>
      </c>
      <c r="S322" s="30">
        <f>IF(OR($F322="",$I322=""),0,IFERROR(INDEX(Nutrition!$M$2:$M$300,MATCH($F322,Nutrition!$A$2:$A$300,0))*$I322/100,0))</f>
        <v>0.34799999999999998</v>
      </c>
    </row>
    <row r="323" spans="1:19" ht="15" customHeight="1" x14ac:dyDescent="0.25">
      <c r="A323" s="22" t="s">
        <v>1402</v>
      </c>
      <c r="B323" s="33" t="str">
        <f>IFERROR(INDEX(Recipes!$B$2:$B$500,MATCH(A323,Recipes!$A$2:$A$500,0)),"")</f>
        <v>Sweet Potato Buddha Bowl with Ugu Pesto</v>
      </c>
      <c r="C323" s="7" t="s">
        <v>523</v>
      </c>
      <c r="D323" s="34">
        <v>0.5</v>
      </c>
      <c r="E323" s="22" t="s">
        <v>2754</v>
      </c>
      <c r="F323" s="22" t="s">
        <v>522</v>
      </c>
      <c r="G323" s="22" t="s">
        <v>2755</v>
      </c>
      <c r="H323" s="7"/>
      <c r="I323" s="35">
        <v>150</v>
      </c>
      <c r="J323" s="30">
        <f>IF(OR($F323="",$I323=""),0,IFERROR(INDEX(Nutrition!$D$2:$D$300,MATCH($F323,Nutrition!$A$2:$A$300,0))*$I323/100,0))</f>
        <v>0.75</v>
      </c>
      <c r="K323" s="30">
        <f>IF(OR($F323="",$I323=""),0,IFERROR(INDEX(Nutrition!$E$2:$E$300,MATCH($F323,Nutrition!$A$2:$A$300,0))*$I323/100,0))</f>
        <v>4.2</v>
      </c>
      <c r="L323" s="30">
        <f>IF(OR($F323="",$I323=""),0,IFERROR(INDEX(Nutrition!$F$2:$F$300,MATCH($F323,Nutrition!$A$2:$A$300,0))*$I323/100,0))</f>
        <v>7.5</v>
      </c>
      <c r="M323" s="30">
        <f>IF(OR($F323="",$I323=""),0,IFERROR(INDEX(Nutrition!$G$2:$G$300,MATCH($F323,Nutrition!$A$2:$A$300,0))*$I323/100,0))</f>
        <v>24.6</v>
      </c>
      <c r="N323" s="30">
        <f>IF(OR($F323="",$I323=""),0,IFERROR(INDEX(Nutrition!$H$2:$H$300,MATCH($F323,Nutrition!$A$2:$A$300,0))*$I323/100,0))</f>
        <v>10.5</v>
      </c>
      <c r="O323" s="30">
        <f>IF(OR($F323="",$I323=""),0,IFERROR(INDEX(Nutrition!$I$2:$I$300,MATCH($F323,Nutrition!$A$2:$A$300,0))*$I323/100,0))</f>
        <v>220.5</v>
      </c>
      <c r="P323" s="30">
        <f>IF(OR($F323="",$I323=""),0,IFERROR(INDEX(Nutrition!$J$2:$J$300,MATCH($F323,Nutrition!$A$2:$A$300,0))*$I323/100,0))</f>
        <v>4.4999999999999998E-2</v>
      </c>
      <c r="Q323" s="30">
        <f>IF(OR($F323="",$I323=""),0,IFERROR(INDEX(Nutrition!$K$2:$K$300,MATCH($F323,Nutrition!$A$2:$A$300,0))*$I323/100,0))</f>
        <v>0.06</v>
      </c>
      <c r="R323" s="30">
        <f>IF(OR($F323="",$I323=""),0,IFERROR(INDEX(Nutrition!$L$2:$L$300,MATCH($F323,Nutrition!$A$2:$A$300,0))*$I323/100,0))</f>
        <v>19.5</v>
      </c>
      <c r="S323" s="30">
        <f>IF(OR($F323="",$I323=""),0,IFERROR(INDEX(Nutrition!$M$2:$M$300,MATCH($F323,Nutrition!$A$2:$A$300,0))*$I323/100,0))</f>
        <v>0.4200000000000001</v>
      </c>
    </row>
    <row r="324" spans="1:19" ht="15" customHeight="1" x14ac:dyDescent="0.25">
      <c r="A324" s="22" t="s">
        <v>1402</v>
      </c>
      <c r="B324" s="33" t="str">
        <f>IFERROR(INDEX(Recipes!$B$2:$B$500,MATCH(A324,Recipes!$A$2:$A$500,0)),"")</f>
        <v>Sweet Potato Buddha Bowl with Ugu Pesto</v>
      </c>
      <c r="C324" s="7" t="s">
        <v>529</v>
      </c>
      <c r="D324" s="34">
        <v>1</v>
      </c>
      <c r="E324" s="22" t="s">
        <v>2754</v>
      </c>
      <c r="F324" s="22" t="s">
        <v>528</v>
      </c>
      <c r="G324" s="22" t="s">
        <v>2755</v>
      </c>
      <c r="H324" s="7"/>
      <c r="I324" s="35">
        <v>61</v>
      </c>
      <c r="J324" s="30">
        <f>IF(OR($F324="",$I324=""),0,IFERROR(INDEX(Nutrition!$D$2:$D$300,MATCH($F324,Nutrition!$A$2:$A$300,0))*$I324/100,0))</f>
        <v>1.7079999999999997</v>
      </c>
      <c r="K324" s="30">
        <f>IF(OR($F324="",$I324=""),0,IFERROR(INDEX(Nutrition!$E$2:$E$300,MATCH($F324,Nutrition!$A$2:$A$300,0))*$I324/100,0))</f>
        <v>3.5990000000000002</v>
      </c>
      <c r="L324" s="30">
        <f>IF(OR($F324="",$I324=""),0,IFERROR(INDEX(Nutrition!$F$2:$F$300,MATCH($F324,Nutrition!$A$2:$A$300,0))*$I324/100,0))</f>
        <v>509.35</v>
      </c>
      <c r="M324" s="30">
        <f>IF(OR($F324="",$I324=""),0,IFERROR(INDEX(Nutrition!$G$2:$G$300,MATCH($F324,Nutrition!$A$2:$A$300,0))*$I324/100,0))</f>
        <v>8.0519999999999996</v>
      </c>
      <c r="N324" s="30">
        <f>IF(OR($F324="",$I324=""),0,IFERROR(INDEX(Nutrition!$H$2:$H$300,MATCH($F324,Nutrition!$A$2:$A$300,0))*$I324/100,0))</f>
        <v>11.59</v>
      </c>
      <c r="O324" s="30">
        <f>IF(OR($F324="",$I324=""),0,IFERROR(INDEX(Nutrition!$I$2:$I$300,MATCH($F324,Nutrition!$A$2:$A$300,0))*$I324/100,0))</f>
        <v>195.2</v>
      </c>
      <c r="P324" s="30">
        <f>IF(OR($F324="",$I324=""),0,IFERROR(INDEX(Nutrition!$J$2:$J$300,MATCH($F324,Nutrition!$A$2:$A$300,0))*$I324/100,0))</f>
        <v>0.40260000000000007</v>
      </c>
      <c r="Q324" s="30">
        <f>IF(OR($F324="",$I324=""),0,IFERROR(INDEX(Nutrition!$K$2:$K$300,MATCH($F324,Nutrition!$A$2:$A$300,0))*$I324/100,0))</f>
        <v>8.4180000000000005E-2</v>
      </c>
      <c r="R324" s="30">
        <f>IF(OR($F324="",$I324=""),0,IFERROR(INDEX(Nutrition!$L$2:$L$300,MATCH($F324,Nutrition!$A$2:$A$300,0))*$I324/100,0))</f>
        <v>7.32</v>
      </c>
      <c r="S324" s="30">
        <f>IF(OR($F324="",$I324=""),0,IFERROR(INDEX(Nutrition!$M$2:$M$300,MATCH($F324,Nutrition!$A$2:$A$300,0))*$I324/100,0))</f>
        <v>0.183</v>
      </c>
    </row>
    <row r="325" spans="1:19" ht="15" customHeight="1" x14ac:dyDescent="0.25">
      <c r="A325" s="22" t="s">
        <v>1402</v>
      </c>
      <c r="B325" s="33" t="str">
        <f>IFERROR(INDEX(Recipes!$B$2:$B$500,MATCH(A325,Recipes!$A$2:$A$500,0)),"")</f>
        <v>Sweet Potato Buddha Bowl with Ugu Pesto</v>
      </c>
      <c r="C325" s="7" t="s">
        <v>2805</v>
      </c>
      <c r="D325" s="34">
        <v>3</v>
      </c>
      <c r="E325" s="22" t="s">
        <v>2753</v>
      </c>
      <c r="F325" s="22"/>
      <c r="G325" s="22" t="s">
        <v>2773</v>
      </c>
      <c r="H325" s="7"/>
      <c r="I325" s="35"/>
      <c r="J325" s="30">
        <f>IF(OR($F325="",$I325=""),0,IFERROR(INDEX(Nutrition!$D$2:$D$300,MATCH($F325,Nutrition!$A$2:$A$300,0))*$I325/100,0))</f>
        <v>0</v>
      </c>
      <c r="K325" s="30">
        <f>IF(OR($F325="",$I325=""),0,IFERROR(INDEX(Nutrition!$E$2:$E$300,MATCH($F325,Nutrition!$A$2:$A$300,0))*$I325/100,0))</f>
        <v>0</v>
      </c>
      <c r="L325" s="30">
        <f>IF(OR($F325="",$I325=""),0,IFERROR(INDEX(Nutrition!$F$2:$F$300,MATCH($F325,Nutrition!$A$2:$A$300,0))*$I325/100,0))</f>
        <v>0</v>
      </c>
      <c r="M325" s="30">
        <f>IF(OR($F325="",$I325=""),0,IFERROR(INDEX(Nutrition!$G$2:$G$300,MATCH($F325,Nutrition!$A$2:$A$300,0))*$I325/100,0))</f>
        <v>0</v>
      </c>
      <c r="N325" s="30">
        <f>IF(OR($F325="",$I325=""),0,IFERROR(INDEX(Nutrition!$H$2:$H$300,MATCH($F325,Nutrition!$A$2:$A$300,0))*$I325/100,0))</f>
        <v>0</v>
      </c>
      <c r="O325" s="30">
        <f>IF(OR($F325="",$I325=""),0,IFERROR(INDEX(Nutrition!$I$2:$I$300,MATCH($F325,Nutrition!$A$2:$A$300,0))*$I325/100,0))</f>
        <v>0</v>
      </c>
      <c r="P325" s="30">
        <f>IF(OR($F325="",$I325=""),0,IFERROR(INDEX(Nutrition!$J$2:$J$300,MATCH($F325,Nutrition!$A$2:$A$300,0))*$I325/100,0))</f>
        <v>0</v>
      </c>
      <c r="Q325" s="30">
        <f>IF(OR($F325="",$I325=""),0,IFERROR(INDEX(Nutrition!$K$2:$K$300,MATCH($F325,Nutrition!$A$2:$A$300,0))*$I325/100,0))</f>
        <v>0</v>
      </c>
      <c r="R325" s="30">
        <f>IF(OR($F325="",$I325=""),0,IFERROR(INDEX(Nutrition!$L$2:$L$300,MATCH($F325,Nutrition!$A$2:$A$300,0))*$I325/100,0))</f>
        <v>0</v>
      </c>
      <c r="S325" s="30">
        <f>IF(OR($F325="",$I325=""),0,IFERROR(INDEX(Nutrition!$M$2:$M$300,MATCH($F325,Nutrition!$A$2:$A$300,0))*$I325/100,0))</f>
        <v>0</v>
      </c>
    </row>
    <row r="326" spans="1:19" ht="15" customHeight="1" x14ac:dyDescent="0.25">
      <c r="A326" s="22" t="s">
        <v>1402</v>
      </c>
      <c r="B326" s="33" t="str">
        <f>IFERROR(INDEX(Recipes!$B$2:$B$500,MATCH(A326,Recipes!$A$2:$A$500,0)),"")</f>
        <v>Sweet Potato Buddha Bowl with Ugu Pesto</v>
      </c>
      <c r="C326" s="7" t="s">
        <v>2781</v>
      </c>
      <c r="D326" s="34">
        <v>1</v>
      </c>
      <c r="E326" s="22" t="s">
        <v>2782</v>
      </c>
      <c r="F326" s="22"/>
      <c r="G326" s="22" t="s">
        <v>2773</v>
      </c>
      <c r="H326" s="7"/>
      <c r="I326" s="35"/>
      <c r="J326" s="30">
        <f>IF(OR($F326="",$I326=""),0,IFERROR(INDEX(Nutrition!$D$2:$D$300,MATCH($F326,Nutrition!$A$2:$A$300,0))*$I326/100,0))</f>
        <v>0</v>
      </c>
      <c r="K326" s="30">
        <f>IF(OR($F326="",$I326=""),0,IFERROR(INDEX(Nutrition!$E$2:$E$300,MATCH($F326,Nutrition!$A$2:$A$300,0))*$I326/100,0))</f>
        <v>0</v>
      </c>
      <c r="L326" s="30">
        <f>IF(OR($F326="",$I326=""),0,IFERROR(INDEX(Nutrition!$F$2:$F$300,MATCH($F326,Nutrition!$A$2:$A$300,0))*$I326/100,0))</f>
        <v>0</v>
      </c>
      <c r="M326" s="30">
        <f>IF(OR($F326="",$I326=""),0,IFERROR(INDEX(Nutrition!$G$2:$G$300,MATCH($F326,Nutrition!$A$2:$A$300,0))*$I326/100,0))</f>
        <v>0</v>
      </c>
      <c r="N326" s="30">
        <f>IF(OR($F326="",$I326=""),0,IFERROR(INDEX(Nutrition!$H$2:$H$300,MATCH($F326,Nutrition!$A$2:$A$300,0))*$I326/100,0))</f>
        <v>0</v>
      </c>
      <c r="O326" s="30">
        <f>IF(OR($F326="",$I326=""),0,IFERROR(INDEX(Nutrition!$I$2:$I$300,MATCH($F326,Nutrition!$A$2:$A$300,0))*$I326/100,0))</f>
        <v>0</v>
      </c>
      <c r="P326" s="30">
        <f>IF(OR($F326="",$I326=""),0,IFERROR(INDEX(Nutrition!$J$2:$J$300,MATCH($F326,Nutrition!$A$2:$A$300,0))*$I326/100,0))</f>
        <v>0</v>
      </c>
      <c r="Q326" s="30">
        <f>IF(OR($F326="",$I326=""),0,IFERROR(INDEX(Nutrition!$K$2:$K$300,MATCH($F326,Nutrition!$A$2:$A$300,0))*$I326/100,0))</f>
        <v>0</v>
      </c>
      <c r="R326" s="30">
        <f>IF(OR($F326="",$I326=""),0,IFERROR(INDEX(Nutrition!$L$2:$L$300,MATCH($F326,Nutrition!$A$2:$A$300,0))*$I326/100,0))</f>
        <v>0</v>
      </c>
      <c r="S326" s="30">
        <f>IF(OR($F326="",$I326=""),0,IFERROR(INDEX(Nutrition!$M$2:$M$300,MATCH($F326,Nutrition!$A$2:$A$300,0))*$I326/100,0))</f>
        <v>0</v>
      </c>
    </row>
    <row r="327" spans="1:19" ht="15" customHeight="1" x14ac:dyDescent="0.25">
      <c r="A327" s="22" t="s">
        <v>1413</v>
      </c>
      <c r="B327" s="33" t="str">
        <f>IFERROR(INDEX(Recipes!$B$2:$B$500,MATCH(A327,Recipes!$A$2:$A$500,0)),"")</f>
        <v>Bibimbap-Style Beef Bowl</v>
      </c>
      <c r="C327" s="7" t="s">
        <v>2855</v>
      </c>
      <c r="D327" s="34">
        <v>250</v>
      </c>
      <c r="E327" s="22" t="s">
        <v>2813</v>
      </c>
      <c r="F327" s="22"/>
      <c r="G327" s="22" t="s">
        <v>2768</v>
      </c>
      <c r="H327" s="7"/>
      <c r="I327" s="35"/>
      <c r="J327" s="30">
        <f>IF(OR($F327="",$I327=""),0,IFERROR(INDEX(Nutrition!$D$2:$D$300,MATCH($F327,Nutrition!$A$2:$A$300,0))*$I327/100,0))</f>
        <v>0</v>
      </c>
      <c r="K327" s="30">
        <f>IF(OR($F327="",$I327=""),0,IFERROR(INDEX(Nutrition!$E$2:$E$300,MATCH($F327,Nutrition!$A$2:$A$300,0))*$I327/100,0))</f>
        <v>0</v>
      </c>
      <c r="L327" s="30">
        <f>IF(OR($F327="",$I327=""),0,IFERROR(INDEX(Nutrition!$F$2:$F$300,MATCH($F327,Nutrition!$A$2:$A$300,0))*$I327/100,0))</f>
        <v>0</v>
      </c>
      <c r="M327" s="30">
        <f>IF(OR($F327="",$I327=""),0,IFERROR(INDEX(Nutrition!$G$2:$G$300,MATCH($F327,Nutrition!$A$2:$A$300,0))*$I327/100,0))</f>
        <v>0</v>
      </c>
      <c r="N327" s="30">
        <f>IF(OR($F327="",$I327=""),0,IFERROR(INDEX(Nutrition!$H$2:$H$300,MATCH($F327,Nutrition!$A$2:$A$300,0))*$I327/100,0))</f>
        <v>0</v>
      </c>
      <c r="O327" s="30">
        <f>IF(OR($F327="",$I327=""),0,IFERROR(INDEX(Nutrition!$I$2:$I$300,MATCH($F327,Nutrition!$A$2:$A$300,0))*$I327/100,0))</f>
        <v>0</v>
      </c>
      <c r="P327" s="30">
        <f>IF(OR($F327="",$I327=""),0,IFERROR(INDEX(Nutrition!$J$2:$J$300,MATCH($F327,Nutrition!$A$2:$A$300,0))*$I327/100,0))</f>
        <v>0</v>
      </c>
      <c r="Q327" s="30">
        <f>IF(OR($F327="",$I327=""),0,IFERROR(INDEX(Nutrition!$K$2:$K$300,MATCH($F327,Nutrition!$A$2:$A$300,0))*$I327/100,0))</f>
        <v>0</v>
      </c>
      <c r="R327" s="30">
        <f>IF(OR($F327="",$I327=""),0,IFERROR(INDEX(Nutrition!$L$2:$L$300,MATCH($F327,Nutrition!$A$2:$A$300,0))*$I327/100,0))</f>
        <v>0</v>
      </c>
      <c r="S327" s="30">
        <f>IF(OR($F327="",$I327=""),0,IFERROR(INDEX(Nutrition!$M$2:$M$300,MATCH($F327,Nutrition!$A$2:$A$300,0))*$I327/100,0))</f>
        <v>0</v>
      </c>
    </row>
    <row r="328" spans="1:19" ht="15" customHeight="1" x14ac:dyDescent="0.25">
      <c r="A328" s="22" t="s">
        <v>1413</v>
      </c>
      <c r="B328" s="33" t="str">
        <f>IFERROR(INDEX(Recipes!$B$2:$B$500,MATCH(A328,Recipes!$A$2:$A$500,0)),"")</f>
        <v>Bibimbap-Style Beef Bowl</v>
      </c>
      <c r="C328" s="7" t="s">
        <v>2801</v>
      </c>
      <c r="D328" s="34">
        <v>1</v>
      </c>
      <c r="E328" s="22" t="s">
        <v>2748</v>
      </c>
      <c r="F328" s="22"/>
      <c r="G328" s="22" t="s">
        <v>2749</v>
      </c>
      <c r="H328" s="7" t="s">
        <v>2844</v>
      </c>
      <c r="I328" s="35"/>
      <c r="J328" s="30">
        <f>IF(OR($F328="",$I328=""),0,IFERROR(INDEX(Nutrition!$D$2:$D$300,MATCH($F328,Nutrition!$A$2:$A$300,0))*$I328/100,0))</f>
        <v>0</v>
      </c>
      <c r="K328" s="30">
        <f>IF(OR($F328="",$I328=""),0,IFERROR(INDEX(Nutrition!$E$2:$E$300,MATCH($F328,Nutrition!$A$2:$A$300,0))*$I328/100,0))</f>
        <v>0</v>
      </c>
      <c r="L328" s="30">
        <f>IF(OR($F328="",$I328=""),0,IFERROR(INDEX(Nutrition!$F$2:$F$300,MATCH($F328,Nutrition!$A$2:$A$300,0))*$I328/100,0))</f>
        <v>0</v>
      </c>
      <c r="M328" s="30">
        <f>IF(OR($F328="",$I328=""),0,IFERROR(INDEX(Nutrition!$G$2:$G$300,MATCH($F328,Nutrition!$A$2:$A$300,0))*$I328/100,0))</f>
        <v>0</v>
      </c>
      <c r="N328" s="30">
        <f>IF(OR($F328="",$I328=""),0,IFERROR(INDEX(Nutrition!$H$2:$H$300,MATCH($F328,Nutrition!$A$2:$A$300,0))*$I328/100,0))</f>
        <v>0</v>
      </c>
      <c r="O328" s="30">
        <f>IF(OR($F328="",$I328=""),0,IFERROR(INDEX(Nutrition!$I$2:$I$300,MATCH($F328,Nutrition!$A$2:$A$300,0))*$I328/100,0))</f>
        <v>0</v>
      </c>
      <c r="P328" s="30">
        <f>IF(OR($F328="",$I328=""),0,IFERROR(INDEX(Nutrition!$J$2:$J$300,MATCH($F328,Nutrition!$A$2:$A$300,0))*$I328/100,0))</f>
        <v>0</v>
      </c>
      <c r="Q328" s="30">
        <f>IF(OR($F328="",$I328=""),0,IFERROR(INDEX(Nutrition!$K$2:$K$300,MATCH($F328,Nutrition!$A$2:$A$300,0))*$I328/100,0))</f>
        <v>0</v>
      </c>
      <c r="R328" s="30">
        <f>IF(OR($F328="",$I328=""),0,IFERROR(INDEX(Nutrition!$L$2:$L$300,MATCH($F328,Nutrition!$A$2:$A$300,0))*$I328/100,0))</f>
        <v>0</v>
      </c>
      <c r="S328" s="30">
        <f>IF(OR($F328="",$I328=""),0,IFERROR(INDEX(Nutrition!$M$2:$M$300,MATCH($F328,Nutrition!$A$2:$A$300,0))*$I328/100,0))</f>
        <v>0</v>
      </c>
    </row>
    <row r="329" spans="1:19" ht="15" customHeight="1" x14ac:dyDescent="0.25">
      <c r="A329" s="22" t="s">
        <v>1413</v>
      </c>
      <c r="B329" s="33" t="str">
        <f>IFERROR(INDEX(Recipes!$B$2:$B$500,MATCH(A329,Recipes!$A$2:$A$500,0)),"")</f>
        <v>Bibimbap-Style Beef Bowl</v>
      </c>
      <c r="C329" s="7" t="s">
        <v>2767</v>
      </c>
      <c r="D329" s="34">
        <v>2</v>
      </c>
      <c r="E329" s="22" t="s">
        <v>2754</v>
      </c>
      <c r="F329" s="22"/>
      <c r="G329" s="22" t="s">
        <v>2768</v>
      </c>
      <c r="H329" s="7"/>
      <c r="I329" s="35"/>
      <c r="J329" s="30">
        <f>IF(OR($F329="",$I329=""),0,IFERROR(INDEX(Nutrition!$D$2:$D$300,MATCH($F329,Nutrition!$A$2:$A$300,0))*$I329/100,0))</f>
        <v>0</v>
      </c>
      <c r="K329" s="30">
        <f>IF(OR($F329="",$I329=""),0,IFERROR(INDEX(Nutrition!$E$2:$E$300,MATCH($F329,Nutrition!$A$2:$A$300,0))*$I329/100,0))</f>
        <v>0</v>
      </c>
      <c r="L329" s="30">
        <f>IF(OR($F329="",$I329=""),0,IFERROR(INDEX(Nutrition!$F$2:$F$300,MATCH($F329,Nutrition!$A$2:$A$300,0))*$I329/100,0))</f>
        <v>0</v>
      </c>
      <c r="M329" s="30">
        <f>IF(OR($F329="",$I329=""),0,IFERROR(INDEX(Nutrition!$G$2:$G$300,MATCH($F329,Nutrition!$A$2:$A$300,0))*$I329/100,0))</f>
        <v>0</v>
      </c>
      <c r="N329" s="30">
        <f>IF(OR($F329="",$I329=""),0,IFERROR(INDEX(Nutrition!$H$2:$H$300,MATCH($F329,Nutrition!$A$2:$A$300,0))*$I329/100,0))</f>
        <v>0</v>
      </c>
      <c r="O329" s="30">
        <f>IF(OR($F329="",$I329=""),0,IFERROR(INDEX(Nutrition!$I$2:$I$300,MATCH($F329,Nutrition!$A$2:$A$300,0))*$I329/100,0))</f>
        <v>0</v>
      </c>
      <c r="P329" s="30">
        <f>IF(OR($F329="",$I329=""),0,IFERROR(INDEX(Nutrition!$J$2:$J$300,MATCH($F329,Nutrition!$A$2:$A$300,0))*$I329/100,0))</f>
        <v>0</v>
      </c>
      <c r="Q329" s="30">
        <f>IF(OR($F329="",$I329=""),0,IFERROR(INDEX(Nutrition!$K$2:$K$300,MATCH($F329,Nutrition!$A$2:$A$300,0))*$I329/100,0))</f>
        <v>0</v>
      </c>
      <c r="R329" s="30">
        <f>IF(OR($F329="",$I329=""),0,IFERROR(INDEX(Nutrition!$L$2:$L$300,MATCH($F329,Nutrition!$A$2:$A$300,0))*$I329/100,0))</f>
        <v>0</v>
      </c>
      <c r="S329" s="30">
        <f>IF(OR($F329="",$I329=""),0,IFERROR(INDEX(Nutrition!$M$2:$M$300,MATCH($F329,Nutrition!$A$2:$A$300,0))*$I329/100,0))</f>
        <v>0</v>
      </c>
    </row>
    <row r="330" spans="1:19" ht="15" customHeight="1" x14ac:dyDescent="0.25">
      <c r="A330" s="22" t="s">
        <v>1413</v>
      </c>
      <c r="B330" s="33" t="str">
        <f>IFERROR(INDEX(Recipes!$B$2:$B$500,MATCH(A330,Recipes!$A$2:$A$500,0)),"")</f>
        <v>Bibimbap-Style Beef Bowl</v>
      </c>
      <c r="C330" s="7" t="s">
        <v>633</v>
      </c>
      <c r="D330" s="34">
        <v>2</v>
      </c>
      <c r="E330" s="22" t="s">
        <v>2790</v>
      </c>
      <c r="F330" s="22" t="s">
        <v>632</v>
      </c>
      <c r="G330" s="22" t="s">
        <v>2755</v>
      </c>
      <c r="H330" s="7"/>
      <c r="I330" s="35">
        <v>56</v>
      </c>
      <c r="J330" s="30">
        <f>IF(OR($F330="",$I330=""),0,IFERROR(INDEX(Nutrition!$D$2:$D$300,MATCH($F330,Nutrition!$A$2:$A$300,0))*$I330/100,0))</f>
        <v>1.1200000000000001</v>
      </c>
      <c r="K330" s="30">
        <f>IF(OR($F330="",$I330=""),0,IFERROR(INDEX(Nutrition!$E$2:$E$300,MATCH($F330,Nutrition!$A$2:$A$300,0))*$I330/100,0))</f>
        <v>24.247999999999998</v>
      </c>
      <c r="L330" s="30">
        <f>IF(OR($F330="",$I330=""),0,IFERROR(INDEX(Nutrition!$F$2:$F$300,MATCH($F330,Nutrition!$A$2:$A$300,0))*$I330/100,0))</f>
        <v>81.760000000000005</v>
      </c>
      <c r="M330" s="30">
        <f>IF(OR($F330="",$I330=""),0,IFERROR(INDEX(Nutrition!$G$2:$G$300,MATCH($F330,Nutrition!$A$2:$A$300,0))*$I330/100,0))</f>
        <v>638.4</v>
      </c>
      <c r="N330" s="30">
        <f>IF(OR($F330="",$I330=""),0,IFERROR(INDEX(Nutrition!$H$2:$H$300,MATCH($F330,Nutrition!$A$2:$A$300,0))*$I330/100,0))</f>
        <v>47.6</v>
      </c>
      <c r="O330" s="30">
        <f>IF(OR($F330="",$I330=""),0,IFERROR(INDEX(Nutrition!$I$2:$I$300,MATCH($F330,Nutrition!$A$2:$A$300,0))*$I330/100,0))</f>
        <v>342.16</v>
      </c>
      <c r="P330" s="30">
        <f>IF(OR($F330="",$I330=""),0,IFERROR(INDEX(Nutrition!$J$2:$J$300,MATCH($F330,Nutrition!$A$2:$A$300,0))*$I330/100,0))</f>
        <v>0</v>
      </c>
      <c r="Q330" s="30">
        <f>IF(OR($F330="",$I330=""),0,IFERROR(INDEX(Nutrition!$K$2:$K$300,MATCH($F330,Nutrition!$A$2:$A$300,0))*$I330/100,0))</f>
        <v>0.10752</v>
      </c>
      <c r="R330" s="30">
        <f>IF(OR($F330="",$I330=""),0,IFERROR(INDEX(Nutrition!$L$2:$L$300,MATCH($F330,Nutrition!$A$2:$A$300,0))*$I330/100,0))</f>
        <v>30.8</v>
      </c>
      <c r="S330" s="30">
        <f>IF(OR($F330="",$I330=""),0,IFERROR(INDEX(Nutrition!$M$2:$M$300,MATCH($F330,Nutrition!$A$2:$A$300,0))*$I330/100,0))</f>
        <v>1.2991999999999999</v>
      </c>
    </row>
    <row r="331" spans="1:19" ht="15" customHeight="1" x14ac:dyDescent="0.25">
      <c r="A331" s="22" t="s">
        <v>1413</v>
      </c>
      <c r="B331" s="33" t="str">
        <f>IFERROR(INDEX(Recipes!$B$2:$B$500,MATCH(A331,Recipes!$A$2:$A$500,0)),"")</f>
        <v>Bibimbap-Style Beef Bowl</v>
      </c>
      <c r="C331" s="7" t="s">
        <v>529</v>
      </c>
      <c r="D331" s="34">
        <v>2</v>
      </c>
      <c r="E331" s="22" t="s">
        <v>2754</v>
      </c>
      <c r="F331" s="22" t="s">
        <v>528</v>
      </c>
      <c r="G331" s="22" t="s">
        <v>2755</v>
      </c>
      <c r="H331" s="7"/>
      <c r="I331" s="35">
        <v>122</v>
      </c>
      <c r="J331" s="30">
        <f>IF(OR($F331="",$I331=""),0,IFERROR(INDEX(Nutrition!$D$2:$D$300,MATCH($F331,Nutrition!$A$2:$A$300,0))*$I331/100,0))</f>
        <v>3.4159999999999995</v>
      </c>
      <c r="K331" s="30">
        <f>IF(OR($F331="",$I331=""),0,IFERROR(INDEX(Nutrition!$E$2:$E$300,MATCH($F331,Nutrition!$A$2:$A$300,0))*$I331/100,0))</f>
        <v>7.1980000000000004</v>
      </c>
      <c r="L331" s="30">
        <f>IF(OR($F331="",$I331=""),0,IFERROR(INDEX(Nutrition!$F$2:$F$300,MATCH($F331,Nutrition!$A$2:$A$300,0))*$I331/100,0))</f>
        <v>1018.7</v>
      </c>
      <c r="M331" s="30">
        <f>IF(OR($F331="",$I331=""),0,IFERROR(INDEX(Nutrition!$G$2:$G$300,MATCH($F331,Nutrition!$A$2:$A$300,0))*$I331/100,0))</f>
        <v>16.103999999999999</v>
      </c>
      <c r="N331" s="30">
        <f>IF(OR($F331="",$I331=""),0,IFERROR(INDEX(Nutrition!$H$2:$H$300,MATCH($F331,Nutrition!$A$2:$A$300,0))*$I331/100,0))</f>
        <v>23.18</v>
      </c>
      <c r="O331" s="30">
        <f>IF(OR($F331="",$I331=""),0,IFERROR(INDEX(Nutrition!$I$2:$I$300,MATCH($F331,Nutrition!$A$2:$A$300,0))*$I331/100,0))</f>
        <v>390.4</v>
      </c>
      <c r="P331" s="30">
        <f>IF(OR($F331="",$I331=""),0,IFERROR(INDEX(Nutrition!$J$2:$J$300,MATCH($F331,Nutrition!$A$2:$A$300,0))*$I331/100,0))</f>
        <v>0.80520000000000014</v>
      </c>
      <c r="Q331" s="30">
        <f>IF(OR($F331="",$I331=""),0,IFERROR(INDEX(Nutrition!$K$2:$K$300,MATCH($F331,Nutrition!$A$2:$A$300,0))*$I331/100,0))</f>
        <v>0.16836000000000001</v>
      </c>
      <c r="R331" s="30">
        <f>IF(OR($F331="",$I331=""),0,IFERROR(INDEX(Nutrition!$L$2:$L$300,MATCH($F331,Nutrition!$A$2:$A$300,0))*$I331/100,0))</f>
        <v>14.64</v>
      </c>
      <c r="S331" s="30">
        <f>IF(OR($F331="",$I331=""),0,IFERROR(INDEX(Nutrition!$M$2:$M$300,MATCH($F331,Nutrition!$A$2:$A$300,0))*$I331/100,0))</f>
        <v>0.36599999999999999</v>
      </c>
    </row>
    <row r="332" spans="1:19" ht="15" customHeight="1" x14ac:dyDescent="0.25">
      <c r="A332" s="22" t="s">
        <v>1413</v>
      </c>
      <c r="B332" s="33" t="str">
        <f>IFERROR(INDEX(Recipes!$B$2:$B$500,MATCH(A332,Recipes!$A$2:$A$500,0)),"")</f>
        <v>Bibimbap-Style Beef Bowl</v>
      </c>
      <c r="C332" s="7" t="s">
        <v>523</v>
      </c>
      <c r="D332" s="34">
        <v>1</v>
      </c>
      <c r="E332" s="22" t="s">
        <v>2754</v>
      </c>
      <c r="F332" s="22" t="s">
        <v>522</v>
      </c>
      <c r="G332" s="22" t="s">
        <v>2755</v>
      </c>
      <c r="H332" s="7"/>
      <c r="I332" s="35">
        <v>301</v>
      </c>
      <c r="J332" s="30">
        <f>IF(OR($F332="",$I332=""),0,IFERROR(INDEX(Nutrition!$D$2:$D$300,MATCH($F332,Nutrition!$A$2:$A$300,0))*$I332/100,0))</f>
        <v>1.5049999999999999</v>
      </c>
      <c r="K332" s="30">
        <f>IF(OR($F332="",$I332=""),0,IFERROR(INDEX(Nutrition!$E$2:$E$300,MATCH($F332,Nutrition!$A$2:$A$300,0))*$I332/100,0))</f>
        <v>8.427999999999999</v>
      </c>
      <c r="L332" s="30">
        <f>IF(OR($F332="",$I332=""),0,IFERROR(INDEX(Nutrition!$F$2:$F$300,MATCH($F332,Nutrition!$A$2:$A$300,0))*$I332/100,0))</f>
        <v>15.05</v>
      </c>
      <c r="M332" s="30">
        <f>IF(OR($F332="",$I332=""),0,IFERROR(INDEX(Nutrition!$G$2:$G$300,MATCH($F332,Nutrition!$A$2:$A$300,0))*$I332/100,0))</f>
        <v>49.363999999999997</v>
      </c>
      <c r="N332" s="30">
        <f>IF(OR($F332="",$I332=""),0,IFERROR(INDEX(Nutrition!$H$2:$H$300,MATCH($F332,Nutrition!$A$2:$A$300,0))*$I332/100,0))</f>
        <v>21.07</v>
      </c>
      <c r="O332" s="30">
        <f>IF(OR($F332="",$I332=""),0,IFERROR(INDEX(Nutrition!$I$2:$I$300,MATCH($F332,Nutrition!$A$2:$A$300,0))*$I332/100,0))</f>
        <v>442.47</v>
      </c>
      <c r="P332" s="30">
        <f>IF(OR($F332="",$I332=""),0,IFERROR(INDEX(Nutrition!$J$2:$J$300,MATCH($F332,Nutrition!$A$2:$A$300,0))*$I332/100,0))</f>
        <v>9.0299999999999991E-2</v>
      </c>
      <c r="Q332" s="30">
        <f>IF(OR($F332="",$I332=""),0,IFERROR(INDEX(Nutrition!$K$2:$K$300,MATCH($F332,Nutrition!$A$2:$A$300,0))*$I332/100,0))</f>
        <v>0.12040000000000001</v>
      </c>
      <c r="R332" s="30">
        <f>IF(OR($F332="",$I332=""),0,IFERROR(INDEX(Nutrition!$L$2:$L$300,MATCH($F332,Nutrition!$A$2:$A$300,0))*$I332/100,0))</f>
        <v>39.130000000000003</v>
      </c>
      <c r="S332" s="30">
        <f>IF(OR($F332="",$I332=""),0,IFERROR(INDEX(Nutrition!$M$2:$M$300,MATCH($F332,Nutrition!$A$2:$A$300,0))*$I332/100,0))</f>
        <v>0.84279999999999999</v>
      </c>
    </row>
    <row r="333" spans="1:19" ht="15" customHeight="1" x14ac:dyDescent="0.25">
      <c r="A333" s="22" t="s">
        <v>1413</v>
      </c>
      <c r="B333" s="33" t="str">
        <f>IFERROR(INDEX(Recipes!$B$2:$B$500,MATCH(A333,Recipes!$A$2:$A$500,0)),"")</f>
        <v>Bibimbap-Style Beef Bowl</v>
      </c>
      <c r="C333" s="7" t="s">
        <v>595</v>
      </c>
      <c r="D333" s="34">
        <v>1</v>
      </c>
      <c r="E333" s="22" t="s">
        <v>2748</v>
      </c>
      <c r="F333" s="22" t="s">
        <v>594</v>
      </c>
      <c r="G333" s="22" t="s">
        <v>2755</v>
      </c>
      <c r="H333" s="7" t="s">
        <v>2760</v>
      </c>
      <c r="I333" s="35">
        <v>86</v>
      </c>
      <c r="J333" s="30">
        <f>IF(OR($F333="",$I333=""),0,IFERROR(INDEX(Nutrition!$D$2:$D$300,MATCH($F333,Nutrition!$A$2:$A$300,0))*$I333/100,0))</f>
        <v>1.9779999999999998</v>
      </c>
      <c r="K333" s="30">
        <f>IF(OR($F333="",$I333=""),0,IFERROR(INDEX(Nutrition!$E$2:$E$300,MATCH($F333,Nutrition!$A$2:$A$300,0))*$I333/100,0))</f>
        <v>0</v>
      </c>
      <c r="L333" s="30">
        <f>IF(OR($F333="",$I333=""),0,IFERROR(INDEX(Nutrition!$F$2:$F$300,MATCH($F333,Nutrition!$A$2:$A$300,0))*$I333/100,0))</f>
        <v>0</v>
      </c>
      <c r="M333" s="30">
        <f>IF(OR($F333="",$I333=""),0,IFERROR(INDEX(Nutrition!$G$2:$G$300,MATCH($F333,Nutrition!$A$2:$A$300,0))*$I333/100,0))</f>
        <v>0</v>
      </c>
      <c r="N333" s="30">
        <f>IF(OR($F333="",$I333=""),0,IFERROR(INDEX(Nutrition!$H$2:$H$300,MATCH($F333,Nutrition!$A$2:$A$300,0))*$I333/100,0))</f>
        <v>32.68</v>
      </c>
      <c r="O333" s="30">
        <f>IF(OR($F333="",$I333=""),0,IFERROR(INDEX(Nutrition!$I$2:$I$300,MATCH($F333,Nutrition!$A$2:$A$300,0))*$I333/100,0))</f>
        <v>361.2</v>
      </c>
      <c r="P333" s="30">
        <f>IF(OR($F333="",$I333=""),0,IFERROR(INDEX(Nutrition!$J$2:$J$300,MATCH($F333,Nutrition!$A$2:$A$300,0))*$I333/100,0))</f>
        <v>0</v>
      </c>
      <c r="Q333" s="30">
        <f>IF(OR($F333="",$I333=""),0,IFERROR(INDEX(Nutrition!$K$2:$K$300,MATCH($F333,Nutrition!$A$2:$A$300,0))*$I333/100,0))</f>
        <v>9.4600000000000004E-2</v>
      </c>
      <c r="R333" s="30">
        <f>IF(OR($F333="",$I333=""),0,IFERROR(INDEX(Nutrition!$L$2:$L$300,MATCH($F333,Nutrition!$A$2:$A$300,0))*$I333/100,0))</f>
        <v>15.48</v>
      </c>
      <c r="S333" s="30">
        <f>IF(OR($F333="",$I333=""),0,IFERROR(INDEX(Nutrition!$M$2:$M$300,MATCH($F333,Nutrition!$A$2:$A$300,0))*$I333/100,0))</f>
        <v>1.1438000000000001</v>
      </c>
    </row>
    <row r="334" spans="1:19" ht="15" customHeight="1" x14ac:dyDescent="0.25">
      <c r="A334" s="22" t="s">
        <v>1413</v>
      </c>
      <c r="B334" s="33" t="str">
        <f>IFERROR(INDEX(Recipes!$B$2:$B$500,MATCH(A334,Recipes!$A$2:$A$500,0)),"")</f>
        <v>Bibimbap-Style Beef Bowl</v>
      </c>
      <c r="C334" s="7" t="s">
        <v>500</v>
      </c>
      <c r="D334" s="34">
        <v>2</v>
      </c>
      <c r="E334" s="22" t="s">
        <v>2776</v>
      </c>
      <c r="F334" s="22" t="s">
        <v>499</v>
      </c>
      <c r="G334" s="22" t="s">
        <v>2755</v>
      </c>
      <c r="H334" s="7"/>
      <c r="I334" s="35">
        <v>6</v>
      </c>
      <c r="J334" s="30">
        <f>IF(OR($F334="",$I334=""),0,IFERROR(INDEX(Nutrition!$D$2:$D$300,MATCH($F334,Nutrition!$A$2:$A$300,0))*$I334/100,0))</f>
        <v>0.126</v>
      </c>
      <c r="K334" s="30">
        <f>IF(OR($F334="",$I334=""),0,IFERROR(INDEX(Nutrition!$E$2:$E$300,MATCH($F334,Nutrition!$A$2:$A$300,0))*$I334/100,0))</f>
        <v>1.8719999999999999</v>
      </c>
      <c r="L334" s="30">
        <f>IF(OR($F334="",$I334=""),0,IFERROR(INDEX(Nutrition!$F$2:$F$300,MATCH($F334,Nutrition!$A$2:$A$300,0))*$I334/100,0))</f>
        <v>0</v>
      </c>
      <c r="M334" s="30">
        <f>IF(OR($F334="",$I334=""),0,IFERROR(INDEX(Nutrition!$G$2:$G$300,MATCH($F334,Nutrition!$A$2:$A$300,0))*$I334/100,0))</f>
        <v>0.10199999999999999</v>
      </c>
      <c r="N334" s="30">
        <f>IF(OR($F334="",$I334=""),0,IFERROR(INDEX(Nutrition!$H$2:$H$300,MATCH($F334,Nutrition!$A$2:$A$300,0))*$I334/100,0))</f>
        <v>0.18</v>
      </c>
      <c r="O334" s="30">
        <f>IF(OR($F334="",$I334=""),0,IFERROR(INDEX(Nutrition!$I$2:$I$300,MATCH($F334,Nutrition!$A$2:$A$300,0))*$I334/100,0))</f>
        <v>24.06</v>
      </c>
      <c r="P334" s="30">
        <f>IF(OR($F334="",$I334=""),0,IFERROR(INDEX(Nutrition!$J$2:$J$300,MATCH($F334,Nutrition!$A$2:$A$300,0))*$I334/100,0))</f>
        <v>4.7999999999999996E-3</v>
      </c>
      <c r="Q334" s="30">
        <f>IF(OR($F334="",$I334=""),0,IFERROR(INDEX(Nutrition!$K$2:$K$300,MATCH($F334,Nutrition!$A$2:$A$300,0))*$I334/100,0))</f>
        <v>7.4099999999999999E-2</v>
      </c>
      <c r="R334" s="30">
        <f>IF(OR($F334="",$I334=""),0,IFERROR(INDEX(Nutrition!$L$2:$L$300,MATCH($F334,Nutrition!$A$2:$A$300,0))*$I334/100,0))</f>
        <v>1.5</v>
      </c>
      <c r="S334" s="30">
        <f>IF(OR($F334="",$I334=""),0,IFERROR(INDEX(Nutrition!$M$2:$M$300,MATCH($F334,Nutrition!$A$2:$A$300,0))*$I334/100,0))</f>
        <v>0.10199999999999999</v>
      </c>
    </row>
    <row r="335" spans="1:19" ht="15" customHeight="1" x14ac:dyDescent="0.25">
      <c r="A335" s="22" t="s">
        <v>1413</v>
      </c>
      <c r="B335" s="33" t="str">
        <f>IFERROR(INDEX(Recipes!$B$2:$B$500,MATCH(A335,Recipes!$A$2:$A$500,0)),"")</f>
        <v>Bibimbap-Style Beef Bowl</v>
      </c>
      <c r="C335" s="7" t="s">
        <v>473</v>
      </c>
      <c r="D335" s="34">
        <v>0.5</v>
      </c>
      <c r="E335" s="22" t="s">
        <v>2754</v>
      </c>
      <c r="F335" s="22" t="s">
        <v>472</v>
      </c>
      <c r="G335" s="22" t="s">
        <v>2755</v>
      </c>
      <c r="H335" s="7"/>
      <c r="I335" s="35">
        <v>5</v>
      </c>
      <c r="J335" s="30">
        <f>IF(OR($F335="",$I335=""),0,IFERROR(INDEX(Nutrition!$D$2:$D$300,MATCH($F335,Nutrition!$A$2:$A$300,0))*$I335/100,0))</f>
        <v>7.4999999999999997E-2</v>
      </c>
      <c r="K335" s="30">
        <f>IF(OR($F335="",$I335=""),0,IFERROR(INDEX(Nutrition!$E$2:$E$300,MATCH($F335,Nutrition!$A$2:$A$300,0))*$I335/100,0))</f>
        <v>7.1849999999999996</v>
      </c>
      <c r="L335" s="30">
        <f>IF(OR($F335="",$I335=""),0,IFERROR(INDEX(Nutrition!$F$2:$F$300,MATCH($F335,Nutrition!$A$2:$A$300,0))*$I335/100,0))</f>
        <v>2.4</v>
      </c>
      <c r="M335" s="30">
        <f>IF(OR($F335="",$I335=""),0,IFERROR(INDEX(Nutrition!$G$2:$G$300,MATCH($F335,Nutrition!$A$2:$A$300,0))*$I335/100,0))</f>
        <v>0.7</v>
      </c>
      <c r="N335" s="30">
        <f>IF(OR($F335="",$I335=""),0,IFERROR(INDEX(Nutrition!$H$2:$H$300,MATCH($F335,Nutrition!$A$2:$A$300,0))*$I335/100,0))</f>
        <v>1.1499999999999999</v>
      </c>
      <c r="O335" s="30">
        <f>IF(OR($F335="",$I335=""),0,IFERROR(INDEX(Nutrition!$I$2:$I$300,MATCH($F335,Nutrition!$A$2:$A$300,0))*$I335/100,0))</f>
        <v>16.100000000000001</v>
      </c>
      <c r="P335" s="30">
        <f>IF(OR($F335="",$I335=""),0,IFERROR(INDEX(Nutrition!$J$2:$J$300,MATCH($F335,Nutrition!$A$2:$A$300,0))*$I335/100,0))</f>
        <v>3.4499999999999996E-2</v>
      </c>
      <c r="Q335" s="30">
        <f>IF(OR($F335="",$I335=""),0,IFERROR(INDEX(Nutrition!$K$2:$K$300,MATCH($F335,Nutrition!$A$2:$A$300,0))*$I335/100,0))</f>
        <v>2.5300000000000003E-2</v>
      </c>
      <c r="R335" s="30">
        <f>IF(OR($F335="",$I335=""),0,IFERROR(INDEX(Nutrition!$L$2:$L$300,MATCH($F335,Nutrition!$A$2:$A$300,0))*$I335/100,0))</f>
        <v>1.1499999999999999</v>
      </c>
      <c r="S335" s="30">
        <f>IF(OR($F335="",$I335=""),0,IFERROR(INDEX(Nutrition!$M$2:$M$300,MATCH($F335,Nutrition!$A$2:$A$300,0))*$I335/100,0))</f>
        <v>5.1500000000000004E-2</v>
      </c>
    </row>
    <row r="336" spans="1:19" ht="15" customHeight="1" x14ac:dyDescent="0.25">
      <c r="A336" s="22" t="s">
        <v>1413</v>
      </c>
      <c r="B336" s="33" t="str">
        <f>IFERROR(INDEX(Recipes!$B$2:$B$500,MATCH(A336,Recipes!$A$2:$A$500,0)),"")</f>
        <v>Bibimbap-Style Beef Bowl</v>
      </c>
      <c r="C336" s="7" t="s">
        <v>490</v>
      </c>
      <c r="D336" s="34">
        <v>2</v>
      </c>
      <c r="E336" s="22" t="s">
        <v>2820</v>
      </c>
      <c r="F336" s="22" t="s">
        <v>489</v>
      </c>
      <c r="G336" s="22" t="s">
        <v>2755</v>
      </c>
      <c r="H336" s="7"/>
      <c r="I336" s="35">
        <v>30</v>
      </c>
      <c r="J336" s="30">
        <f>IF(OR($F336="",$I336=""),0,IFERROR(INDEX(Nutrition!$D$2:$D$300,MATCH($F336,Nutrition!$A$2:$A$300,0))*$I336/100,0))</f>
        <v>0.78</v>
      </c>
      <c r="K336" s="30">
        <f>IF(OR($F336="",$I336=""),0,IFERROR(INDEX(Nutrition!$E$2:$E$300,MATCH($F336,Nutrition!$A$2:$A$300,0))*$I336/100,0))</f>
        <v>5.64</v>
      </c>
      <c r="L336" s="30">
        <f>IF(OR($F336="",$I336=""),0,IFERROR(INDEX(Nutrition!$F$2:$F$300,MATCH($F336,Nutrition!$A$2:$A$300,0))*$I336/100,0))</f>
        <v>15</v>
      </c>
      <c r="M336" s="30">
        <f>IF(OR($F336="",$I336=""),0,IFERROR(INDEX(Nutrition!$G$2:$G$300,MATCH($F336,Nutrition!$A$2:$A$300,0))*$I336/100,0))</f>
        <v>62.1</v>
      </c>
      <c r="N336" s="30">
        <f>IF(OR($F336="",$I336=""),0,IFERROR(INDEX(Nutrition!$H$2:$H$300,MATCH($F336,Nutrition!$A$2:$A$300,0))*$I336/100,0))</f>
        <v>19.2</v>
      </c>
      <c r="O336" s="30">
        <f>IF(OR($F336="",$I336=""),0,IFERROR(INDEX(Nutrition!$I$2:$I$300,MATCH($F336,Nutrition!$A$2:$A$300,0))*$I336/100,0))</f>
        <v>82.8</v>
      </c>
      <c r="P336" s="30">
        <f>IF(OR($F336="",$I336=""),0,IFERROR(INDEX(Nutrition!$J$2:$J$300,MATCH($F336,Nutrition!$A$2:$A$300,0))*$I336/100,0))</f>
        <v>0.16500000000000001</v>
      </c>
      <c r="Q336" s="30">
        <f>IF(OR($F336="",$I336=""),0,IFERROR(INDEX(Nutrition!$K$2:$K$300,MATCH($F336,Nutrition!$A$2:$A$300,0))*$I336/100,0))</f>
        <v>1.83E-2</v>
      </c>
      <c r="R336" s="30">
        <f>IF(OR($F336="",$I336=""),0,IFERROR(INDEX(Nutrition!$L$2:$L$300,MATCH($F336,Nutrition!$A$2:$A$300,0))*$I336/100,0))</f>
        <v>6</v>
      </c>
      <c r="S336" s="30">
        <f>IF(OR($F336="",$I336=""),0,IFERROR(INDEX(Nutrition!$M$2:$M$300,MATCH($F336,Nutrition!$A$2:$A$300,0))*$I336/100,0))</f>
        <v>0.44400000000000001</v>
      </c>
    </row>
    <row r="337" spans="1:19" ht="15" customHeight="1" x14ac:dyDescent="0.25">
      <c r="A337" s="22" t="s">
        <v>1413</v>
      </c>
      <c r="B337" s="33" t="str">
        <f>IFERROR(INDEX(Recipes!$B$2:$B$500,MATCH(A337,Recipes!$A$2:$A$500,0)),"")</f>
        <v>Bibimbap-Style Beef Bowl</v>
      </c>
      <c r="C337" s="7" t="s">
        <v>2823</v>
      </c>
      <c r="D337" s="34">
        <v>2</v>
      </c>
      <c r="E337" s="22" t="s">
        <v>2753</v>
      </c>
      <c r="F337" s="22"/>
      <c r="G337" s="22" t="s">
        <v>2749</v>
      </c>
      <c r="H337" s="7"/>
      <c r="I337" s="35"/>
      <c r="J337" s="30">
        <f>IF(OR($F337="",$I337=""),0,IFERROR(INDEX(Nutrition!$D$2:$D$300,MATCH($F337,Nutrition!$A$2:$A$300,0))*$I337/100,0))</f>
        <v>0</v>
      </c>
      <c r="K337" s="30">
        <f>IF(OR($F337="",$I337=""),0,IFERROR(INDEX(Nutrition!$E$2:$E$300,MATCH($F337,Nutrition!$A$2:$A$300,0))*$I337/100,0))</f>
        <v>0</v>
      </c>
      <c r="L337" s="30">
        <f>IF(OR($F337="",$I337=""),0,IFERROR(INDEX(Nutrition!$F$2:$F$300,MATCH($F337,Nutrition!$A$2:$A$300,0))*$I337/100,0))</f>
        <v>0</v>
      </c>
      <c r="M337" s="30">
        <f>IF(OR($F337="",$I337=""),0,IFERROR(INDEX(Nutrition!$G$2:$G$300,MATCH($F337,Nutrition!$A$2:$A$300,0))*$I337/100,0))</f>
        <v>0</v>
      </c>
      <c r="N337" s="30">
        <f>IF(OR($F337="",$I337=""),0,IFERROR(INDEX(Nutrition!$H$2:$H$300,MATCH($F337,Nutrition!$A$2:$A$300,0))*$I337/100,0))</f>
        <v>0</v>
      </c>
      <c r="O337" s="30">
        <f>IF(OR($F337="",$I337=""),0,IFERROR(INDEX(Nutrition!$I$2:$I$300,MATCH($F337,Nutrition!$A$2:$A$300,0))*$I337/100,0))</f>
        <v>0</v>
      </c>
      <c r="P337" s="30">
        <f>IF(OR($F337="",$I337=""),0,IFERROR(INDEX(Nutrition!$J$2:$J$300,MATCH($F337,Nutrition!$A$2:$A$300,0))*$I337/100,0))</f>
        <v>0</v>
      </c>
      <c r="Q337" s="30">
        <f>IF(OR($F337="",$I337=""),0,IFERROR(INDEX(Nutrition!$K$2:$K$300,MATCH($F337,Nutrition!$A$2:$A$300,0))*$I337/100,0))</f>
        <v>0</v>
      </c>
      <c r="R337" s="30">
        <f>IF(OR($F337="",$I337=""),0,IFERROR(INDEX(Nutrition!$L$2:$L$300,MATCH($F337,Nutrition!$A$2:$A$300,0))*$I337/100,0))</f>
        <v>0</v>
      </c>
      <c r="S337" s="30">
        <f>IF(OR($F337="",$I337=""),0,IFERROR(INDEX(Nutrition!$M$2:$M$300,MATCH($F337,Nutrition!$A$2:$A$300,0))*$I337/100,0))</f>
        <v>0</v>
      </c>
    </row>
    <row r="338" spans="1:19" ht="15" customHeight="1" x14ac:dyDescent="0.25">
      <c r="A338" s="22" t="s">
        <v>1413</v>
      </c>
      <c r="B338" s="33" t="str">
        <f>IFERROR(INDEX(Recipes!$B$2:$B$500,MATCH(A338,Recipes!$A$2:$A$500,0)),"")</f>
        <v>Bibimbap-Style Beef Bowl</v>
      </c>
      <c r="C338" s="7" t="s">
        <v>2758</v>
      </c>
      <c r="D338" s="34">
        <v>1</v>
      </c>
      <c r="E338" s="22" t="s">
        <v>2753</v>
      </c>
      <c r="F338" s="22"/>
      <c r="G338" s="22" t="s">
        <v>2749</v>
      </c>
      <c r="H338" s="7"/>
      <c r="I338" s="35"/>
      <c r="J338" s="30">
        <f>IF(OR($F338="",$I338=""),0,IFERROR(INDEX(Nutrition!$D$2:$D$300,MATCH($F338,Nutrition!$A$2:$A$300,0))*$I338/100,0))</f>
        <v>0</v>
      </c>
      <c r="K338" s="30">
        <f>IF(OR($F338="",$I338=""),0,IFERROR(INDEX(Nutrition!$E$2:$E$300,MATCH($F338,Nutrition!$A$2:$A$300,0))*$I338/100,0))</f>
        <v>0</v>
      </c>
      <c r="L338" s="30">
        <f>IF(OR($F338="",$I338=""),0,IFERROR(INDEX(Nutrition!$F$2:$F$300,MATCH($F338,Nutrition!$A$2:$A$300,0))*$I338/100,0))</f>
        <v>0</v>
      </c>
      <c r="M338" s="30">
        <f>IF(OR($F338="",$I338=""),0,IFERROR(INDEX(Nutrition!$G$2:$G$300,MATCH($F338,Nutrition!$A$2:$A$300,0))*$I338/100,0))</f>
        <v>0</v>
      </c>
      <c r="N338" s="30">
        <f>IF(OR($F338="",$I338=""),0,IFERROR(INDEX(Nutrition!$H$2:$H$300,MATCH($F338,Nutrition!$A$2:$A$300,0))*$I338/100,0))</f>
        <v>0</v>
      </c>
      <c r="O338" s="30">
        <f>IF(OR($F338="",$I338=""),0,IFERROR(INDEX(Nutrition!$I$2:$I$300,MATCH($F338,Nutrition!$A$2:$A$300,0))*$I338/100,0))</f>
        <v>0</v>
      </c>
      <c r="P338" s="30">
        <f>IF(OR($F338="",$I338=""),0,IFERROR(INDEX(Nutrition!$J$2:$J$300,MATCH($F338,Nutrition!$A$2:$A$300,0))*$I338/100,0))</f>
        <v>0</v>
      </c>
      <c r="Q338" s="30">
        <f>IF(OR($F338="",$I338=""),0,IFERROR(INDEX(Nutrition!$K$2:$K$300,MATCH($F338,Nutrition!$A$2:$A$300,0))*$I338/100,0))</f>
        <v>0</v>
      </c>
      <c r="R338" s="30">
        <f>IF(OR($F338="",$I338=""),0,IFERROR(INDEX(Nutrition!$L$2:$L$300,MATCH($F338,Nutrition!$A$2:$A$300,0))*$I338/100,0))</f>
        <v>0</v>
      </c>
      <c r="S338" s="30">
        <f>IF(OR($F338="",$I338=""),0,IFERROR(INDEX(Nutrition!$M$2:$M$300,MATCH($F338,Nutrition!$A$2:$A$300,0))*$I338/100,0))</f>
        <v>0</v>
      </c>
    </row>
    <row r="339" spans="1:19" ht="15" customHeight="1" x14ac:dyDescent="0.25">
      <c r="A339" s="22" t="s">
        <v>1413</v>
      </c>
      <c r="B339" s="33" t="str">
        <f>IFERROR(INDEX(Recipes!$B$2:$B$500,MATCH(A339,Recipes!$A$2:$A$500,0)),"")</f>
        <v>Bibimbap-Style Beef Bowl</v>
      </c>
      <c r="C339" s="7" t="s">
        <v>2848</v>
      </c>
      <c r="D339" s="34">
        <v>1</v>
      </c>
      <c r="E339" s="22" t="s">
        <v>2759</v>
      </c>
      <c r="F339" s="22"/>
      <c r="G339" s="22" t="s">
        <v>2749</v>
      </c>
      <c r="H339" s="7"/>
      <c r="I339" s="35"/>
      <c r="J339" s="30">
        <f>IF(OR($F339="",$I339=""),0,IFERROR(INDEX(Nutrition!$D$2:$D$300,MATCH($F339,Nutrition!$A$2:$A$300,0))*$I339/100,0))</f>
        <v>0</v>
      </c>
      <c r="K339" s="30">
        <f>IF(OR($F339="",$I339=""),0,IFERROR(INDEX(Nutrition!$E$2:$E$300,MATCH($F339,Nutrition!$A$2:$A$300,0))*$I339/100,0))</f>
        <v>0</v>
      </c>
      <c r="L339" s="30">
        <f>IF(OR($F339="",$I339=""),0,IFERROR(INDEX(Nutrition!$F$2:$F$300,MATCH($F339,Nutrition!$A$2:$A$300,0))*$I339/100,0))</f>
        <v>0</v>
      </c>
      <c r="M339" s="30">
        <f>IF(OR($F339="",$I339=""),0,IFERROR(INDEX(Nutrition!$G$2:$G$300,MATCH($F339,Nutrition!$A$2:$A$300,0))*$I339/100,0))</f>
        <v>0</v>
      </c>
      <c r="N339" s="30">
        <f>IF(OR($F339="",$I339=""),0,IFERROR(INDEX(Nutrition!$H$2:$H$300,MATCH($F339,Nutrition!$A$2:$A$300,0))*$I339/100,0))</f>
        <v>0</v>
      </c>
      <c r="O339" s="30">
        <f>IF(OR($F339="",$I339=""),0,IFERROR(INDEX(Nutrition!$I$2:$I$300,MATCH($F339,Nutrition!$A$2:$A$300,0))*$I339/100,0))</f>
        <v>0</v>
      </c>
      <c r="P339" s="30">
        <f>IF(OR($F339="",$I339=""),0,IFERROR(INDEX(Nutrition!$J$2:$J$300,MATCH($F339,Nutrition!$A$2:$A$300,0))*$I339/100,0))</f>
        <v>0</v>
      </c>
      <c r="Q339" s="30">
        <f>IF(OR($F339="",$I339=""),0,IFERROR(INDEX(Nutrition!$K$2:$K$300,MATCH($F339,Nutrition!$A$2:$A$300,0))*$I339/100,0))</f>
        <v>0</v>
      </c>
      <c r="R339" s="30">
        <f>IF(OR($F339="",$I339=""),0,IFERROR(INDEX(Nutrition!$L$2:$L$300,MATCH($F339,Nutrition!$A$2:$A$300,0))*$I339/100,0))</f>
        <v>0</v>
      </c>
      <c r="S339" s="30">
        <f>IF(OR($F339="",$I339=""),0,IFERROR(INDEX(Nutrition!$M$2:$M$300,MATCH($F339,Nutrition!$A$2:$A$300,0))*$I339/100,0))</f>
        <v>0</v>
      </c>
    </row>
    <row r="340" spans="1:19" ht="15" customHeight="1" x14ac:dyDescent="0.25">
      <c r="A340" s="22" t="s">
        <v>1423</v>
      </c>
      <c r="B340" s="33" t="str">
        <f>IFERROR(INDEX(Recipes!$B$2:$B$500,MATCH(A340,Recipes!$A$2:$A$500,0)),"")</f>
        <v>Thai Groundnut Wara Bowl</v>
      </c>
      <c r="C340" s="7" t="s">
        <v>2856</v>
      </c>
      <c r="D340" s="34">
        <v>300</v>
      </c>
      <c r="E340" s="22" t="s">
        <v>2813</v>
      </c>
      <c r="F340" s="22"/>
      <c r="G340" s="22" t="s">
        <v>2768</v>
      </c>
      <c r="H340" s="7"/>
      <c r="I340" s="35"/>
      <c r="J340" s="30">
        <f>IF(OR($F340="",$I340=""),0,IFERROR(INDEX(Nutrition!$D$2:$D$300,MATCH($F340,Nutrition!$A$2:$A$300,0))*$I340/100,0))</f>
        <v>0</v>
      </c>
      <c r="K340" s="30">
        <f>IF(OR($F340="",$I340=""),0,IFERROR(INDEX(Nutrition!$E$2:$E$300,MATCH($F340,Nutrition!$A$2:$A$300,0))*$I340/100,0))</f>
        <v>0</v>
      </c>
      <c r="L340" s="30">
        <f>IF(OR($F340="",$I340=""),0,IFERROR(INDEX(Nutrition!$F$2:$F$300,MATCH($F340,Nutrition!$A$2:$A$300,0))*$I340/100,0))</f>
        <v>0</v>
      </c>
      <c r="M340" s="30">
        <f>IF(OR($F340="",$I340=""),0,IFERROR(INDEX(Nutrition!$G$2:$G$300,MATCH($F340,Nutrition!$A$2:$A$300,0))*$I340/100,0))</f>
        <v>0</v>
      </c>
      <c r="N340" s="30">
        <f>IF(OR($F340="",$I340=""),0,IFERROR(INDEX(Nutrition!$H$2:$H$300,MATCH($F340,Nutrition!$A$2:$A$300,0))*$I340/100,0))</f>
        <v>0</v>
      </c>
      <c r="O340" s="30">
        <f>IF(OR($F340="",$I340=""),0,IFERROR(INDEX(Nutrition!$I$2:$I$300,MATCH($F340,Nutrition!$A$2:$A$300,0))*$I340/100,0))</f>
        <v>0</v>
      </c>
      <c r="P340" s="30">
        <f>IF(OR($F340="",$I340=""),0,IFERROR(INDEX(Nutrition!$J$2:$J$300,MATCH($F340,Nutrition!$A$2:$A$300,0))*$I340/100,0))</f>
        <v>0</v>
      </c>
      <c r="Q340" s="30">
        <f>IF(OR($F340="",$I340=""),0,IFERROR(INDEX(Nutrition!$K$2:$K$300,MATCH($F340,Nutrition!$A$2:$A$300,0))*$I340/100,0))</f>
        <v>0</v>
      </c>
      <c r="R340" s="30">
        <f>IF(OR($F340="",$I340=""),0,IFERROR(INDEX(Nutrition!$L$2:$L$300,MATCH($F340,Nutrition!$A$2:$A$300,0))*$I340/100,0))</f>
        <v>0</v>
      </c>
      <c r="S340" s="30">
        <f>IF(OR($F340="",$I340=""),0,IFERROR(INDEX(Nutrition!$M$2:$M$300,MATCH($F340,Nutrition!$A$2:$A$300,0))*$I340/100,0))</f>
        <v>0</v>
      </c>
    </row>
    <row r="341" spans="1:19" ht="15" customHeight="1" x14ac:dyDescent="0.25">
      <c r="A341" s="22" t="s">
        <v>1423</v>
      </c>
      <c r="B341" s="33" t="str">
        <f>IFERROR(INDEX(Recipes!$B$2:$B$500,MATCH(A341,Recipes!$A$2:$A$500,0)),"")</f>
        <v>Thai Groundnut Wara Bowl</v>
      </c>
      <c r="C341" s="7" t="s">
        <v>2857</v>
      </c>
      <c r="D341" s="34">
        <v>1</v>
      </c>
      <c r="E341" s="22" t="s">
        <v>2748</v>
      </c>
      <c r="F341" s="22"/>
      <c r="G341" s="22" t="s">
        <v>2749</v>
      </c>
      <c r="H341" s="7"/>
      <c r="I341" s="35"/>
      <c r="J341" s="30">
        <f>IF(OR($F341="",$I341=""),0,IFERROR(INDEX(Nutrition!$D$2:$D$300,MATCH($F341,Nutrition!$A$2:$A$300,0))*$I341/100,0))</f>
        <v>0</v>
      </c>
      <c r="K341" s="30">
        <f>IF(OR($F341="",$I341=""),0,IFERROR(INDEX(Nutrition!$E$2:$E$300,MATCH($F341,Nutrition!$A$2:$A$300,0))*$I341/100,0))</f>
        <v>0</v>
      </c>
      <c r="L341" s="30">
        <f>IF(OR($F341="",$I341=""),0,IFERROR(INDEX(Nutrition!$F$2:$F$300,MATCH($F341,Nutrition!$A$2:$A$300,0))*$I341/100,0))</f>
        <v>0</v>
      </c>
      <c r="M341" s="30">
        <f>IF(OR($F341="",$I341=""),0,IFERROR(INDEX(Nutrition!$G$2:$G$300,MATCH($F341,Nutrition!$A$2:$A$300,0))*$I341/100,0))</f>
        <v>0</v>
      </c>
      <c r="N341" s="30">
        <f>IF(OR($F341="",$I341=""),0,IFERROR(INDEX(Nutrition!$H$2:$H$300,MATCH($F341,Nutrition!$A$2:$A$300,0))*$I341/100,0))</f>
        <v>0</v>
      </c>
      <c r="O341" s="30">
        <f>IF(OR($F341="",$I341=""),0,IFERROR(INDEX(Nutrition!$I$2:$I$300,MATCH($F341,Nutrition!$A$2:$A$300,0))*$I341/100,0))</f>
        <v>0</v>
      </c>
      <c r="P341" s="30">
        <f>IF(OR($F341="",$I341=""),0,IFERROR(INDEX(Nutrition!$J$2:$J$300,MATCH($F341,Nutrition!$A$2:$A$300,0))*$I341/100,0))</f>
        <v>0</v>
      </c>
      <c r="Q341" s="30">
        <f>IF(OR($F341="",$I341=""),0,IFERROR(INDEX(Nutrition!$K$2:$K$300,MATCH($F341,Nutrition!$A$2:$A$300,0))*$I341/100,0))</f>
        <v>0</v>
      </c>
      <c r="R341" s="30">
        <f>IF(OR($F341="",$I341=""),0,IFERROR(INDEX(Nutrition!$L$2:$L$300,MATCH($F341,Nutrition!$A$2:$A$300,0))*$I341/100,0))</f>
        <v>0</v>
      </c>
      <c r="S341" s="30">
        <f>IF(OR($F341="",$I341=""),0,IFERROR(INDEX(Nutrition!$M$2:$M$300,MATCH($F341,Nutrition!$A$2:$A$300,0))*$I341/100,0))</f>
        <v>0</v>
      </c>
    </row>
    <row r="342" spans="1:19" ht="15" customHeight="1" x14ac:dyDescent="0.25">
      <c r="A342" s="22" t="s">
        <v>1423</v>
      </c>
      <c r="B342" s="33" t="str">
        <f>IFERROR(INDEX(Recipes!$B$2:$B$500,MATCH(A342,Recipes!$A$2:$A$500,0)),"")</f>
        <v>Thai Groundnut Wara Bowl</v>
      </c>
      <c r="C342" s="7" t="s">
        <v>544</v>
      </c>
      <c r="D342" s="34">
        <v>0.25</v>
      </c>
      <c r="E342" s="22" t="s">
        <v>2808</v>
      </c>
      <c r="F342" s="22" t="s">
        <v>543</v>
      </c>
      <c r="G342" s="22" t="s">
        <v>2755</v>
      </c>
      <c r="H342" s="7"/>
      <c r="I342" s="35">
        <v>225</v>
      </c>
      <c r="J342" s="30">
        <f>IF(OR($F342="",$I342=""),0,IFERROR(INDEX(Nutrition!$D$2:$D$300,MATCH($F342,Nutrition!$A$2:$A$300,0))*$I342/100,0))</f>
        <v>4.7249999999999996</v>
      </c>
      <c r="K342" s="30">
        <f>IF(OR($F342="",$I342=""),0,IFERROR(INDEX(Nutrition!$E$2:$E$300,MATCH($F342,Nutrition!$A$2:$A$300,0))*$I342/100,0))</f>
        <v>128.25</v>
      </c>
      <c r="L342" s="30">
        <f>IF(OR($F342="",$I342=""),0,IFERROR(INDEX(Nutrition!$F$2:$F$300,MATCH($F342,Nutrition!$A$2:$A$300,0))*$I342/100,0))</f>
        <v>126</v>
      </c>
      <c r="M342" s="30">
        <f>IF(OR($F342="",$I342=""),0,IFERROR(INDEX(Nutrition!$G$2:$G$300,MATCH($F342,Nutrition!$A$2:$A$300,0))*$I342/100,0))</f>
        <v>85.95</v>
      </c>
      <c r="N342" s="30">
        <f>IF(OR($F342="",$I342=""),0,IFERROR(INDEX(Nutrition!$H$2:$H$300,MATCH($F342,Nutrition!$A$2:$A$300,0))*$I342/100,0))</f>
        <v>40.5</v>
      </c>
      <c r="O342" s="30">
        <f>IF(OR($F342="",$I342=""),0,IFERROR(INDEX(Nutrition!$I$2:$I$300,MATCH($F342,Nutrition!$A$2:$A$300,0))*$I342/100,0))</f>
        <v>546.75</v>
      </c>
      <c r="P342" s="30">
        <f>IF(OR($F342="",$I342=""),0,IFERROR(INDEX(Nutrition!$J$2:$J$300,MATCH($F342,Nutrition!$A$2:$A$300,0))*$I342/100,0))</f>
        <v>0.2475</v>
      </c>
      <c r="Q342" s="30">
        <f>IF(OR($F342="",$I342=""),0,IFERROR(INDEX(Nutrition!$K$2:$K$300,MATCH($F342,Nutrition!$A$2:$A$300,0))*$I342/100,0))</f>
        <v>0.47025</v>
      </c>
      <c r="R342" s="30">
        <f>IF(OR($F342="",$I342=""),0,IFERROR(INDEX(Nutrition!$L$2:$L$300,MATCH($F342,Nutrition!$A$2:$A$300,0))*$I342/100,0))</f>
        <v>36</v>
      </c>
      <c r="S342" s="30">
        <f>IF(OR($F342="",$I342=""),0,IFERROR(INDEX(Nutrition!$M$2:$M$300,MATCH($F342,Nutrition!$A$2:$A$300,0))*$I342/100,0))</f>
        <v>1.8</v>
      </c>
    </row>
    <row r="343" spans="1:19" ht="15" customHeight="1" x14ac:dyDescent="0.25">
      <c r="A343" s="22" t="s">
        <v>1423</v>
      </c>
      <c r="B343" s="33" t="str">
        <f>IFERROR(INDEX(Recipes!$B$2:$B$500,MATCH(A343,Recipes!$A$2:$A$500,0)),"")</f>
        <v>Thai Groundnut Wara Bowl</v>
      </c>
      <c r="C343" s="7" t="s">
        <v>529</v>
      </c>
      <c r="D343" s="34">
        <v>2</v>
      </c>
      <c r="E343" s="22" t="s">
        <v>2754</v>
      </c>
      <c r="F343" s="22" t="s">
        <v>528</v>
      </c>
      <c r="G343" s="22" t="s">
        <v>2755</v>
      </c>
      <c r="H343" s="7"/>
      <c r="I343" s="35">
        <v>122</v>
      </c>
      <c r="J343" s="30">
        <f>IF(OR($F343="",$I343=""),0,IFERROR(INDEX(Nutrition!$D$2:$D$300,MATCH($F343,Nutrition!$A$2:$A$300,0))*$I343/100,0))</f>
        <v>3.4159999999999995</v>
      </c>
      <c r="K343" s="30">
        <f>IF(OR($F343="",$I343=""),0,IFERROR(INDEX(Nutrition!$E$2:$E$300,MATCH($F343,Nutrition!$A$2:$A$300,0))*$I343/100,0))</f>
        <v>7.1980000000000004</v>
      </c>
      <c r="L343" s="30">
        <f>IF(OR($F343="",$I343=""),0,IFERROR(INDEX(Nutrition!$F$2:$F$300,MATCH($F343,Nutrition!$A$2:$A$300,0))*$I343/100,0))</f>
        <v>1018.7</v>
      </c>
      <c r="M343" s="30">
        <f>IF(OR($F343="",$I343=""),0,IFERROR(INDEX(Nutrition!$G$2:$G$300,MATCH($F343,Nutrition!$A$2:$A$300,0))*$I343/100,0))</f>
        <v>16.103999999999999</v>
      </c>
      <c r="N343" s="30">
        <f>IF(OR($F343="",$I343=""),0,IFERROR(INDEX(Nutrition!$H$2:$H$300,MATCH($F343,Nutrition!$A$2:$A$300,0))*$I343/100,0))</f>
        <v>23.18</v>
      </c>
      <c r="O343" s="30">
        <f>IF(OR($F343="",$I343=""),0,IFERROR(INDEX(Nutrition!$I$2:$I$300,MATCH($F343,Nutrition!$A$2:$A$300,0))*$I343/100,0))</f>
        <v>390.4</v>
      </c>
      <c r="P343" s="30">
        <f>IF(OR($F343="",$I343=""),0,IFERROR(INDEX(Nutrition!$J$2:$J$300,MATCH($F343,Nutrition!$A$2:$A$300,0))*$I343/100,0))</f>
        <v>0.80520000000000014</v>
      </c>
      <c r="Q343" s="30">
        <f>IF(OR($F343="",$I343=""),0,IFERROR(INDEX(Nutrition!$K$2:$K$300,MATCH($F343,Nutrition!$A$2:$A$300,0))*$I343/100,0))</f>
        <v>0.16836000000000001</v>
      </c>
      <c r="R343" s="30">
        <f>IF(OR($F343="",$I343=""),0,IFERROR(INDEX(Nutrition!$L$2:$L$300,MATCH($F343,Nutrition!$A$2:$A$300,0))*$I343/100,0))</f>
        <v>14.64</v>
      </c>
      <c r="S343" s="30">
        <f>IF(OR($F343="",$I343=""),0,IFERROR(INDEX(Nutrition!$M$2:$M$300,MATCH($F343,Nutrition!$A$2:$A$300,0))*$I343/100,0))</f>
        <v>0.36599999999999999</v>
      </c>
    </row>
    <row r="344" spans="1:19" ht="15" customHeight="1" x14ac:dyDescent="0.25">
      <c r="A344" s="22" t="s">
        <v>1423</v>
      </c>
      <c r="B344" s="33" t="str">
        <f>IFERROR(INDEX(Recipes!$B$2:$B$500,MATCH(A344,Recipes!$A$2:$A$500,0)),"")</f>
        <v>Thai Groundnut Wara Bowl</v>
      </c>
      <c r="C344" s="7" t="s">
        <v>523</v>
      </c>
      <c r="D344" s="34">
        <v>1</v>
      </c>
      <c r="E344" s="22" t="s">
        <v>2754</v>
      </c>
      <c r="F344" s="22" t="s">
        <v>522</v>
      </c>
      <c r="G344" s="22" t="s">
        <v>2755</v>
      </c>
      <c r="H344" s="7"/>
      <c r="I344" s="35">
        <v>301</v>
      </c>
      <c r="J344" s="30">
        <f>IF(OR($F344="",$I344=""),0,IFERROR(INDEX(Nutrition!$D$2:$D$300,MATCH($F344,Nutrition!$A$2:$A$300,0))*$I344/100,0))</f>
        <v>1.5049999999999999</v>
      </c>
      <c r="K344" s="30">
        <f>IF(OR($F344="",$I344=""),0,IFERROR(INDEX(Nutrition!$E$2:$E$300,MATCH($F344,Nutrition!$A$2:$A$300,0))*$I344/100,0))</f>
        <v>8.427999999999999</v>
      </c>
      <c r="L344" s="30">
        <f>IF(OR($F344="",$I344=""),0,IFERROR(INDEX(Nutrition!$F$2:$F$300,MATCH($F344,Nutrition!$A$2:$A$300,0))*$I344/100,0))</f>
        <v>15.05</v>
      </c>
      <c r="M344" s="30">
        <f>IF(OR($F344="",$I344=""),0,IFERROR(INDEX(Nutrition!$G$2:$G$300,MATCH($F344,Nutrition!$A$2:$A$300,0))*$I344/100,0))</f>
        <v>49.363999999999997</v>
      </c>
      <c r="N344" s="30">
        <f>IF(OR($F344="",$I344=""),0,IFERROR(INDEX(Nutrition!$H$2:$H$300,MATCH($F344,Nutrition!$A$2:$A$300,0))*$I344/100,0))</f>
        <v>21.07</v>
      </c>
      <c r="O344" s="30">
        <f>IF(OR($F344="",$I344=""),0,IFERROR(INDEX(Nutrition!$I$2:$I$300,MATCH($F344,Nutrition!$A$2:$A$300,0))*$I344/100,0))</f>
        <v>442.47</v>
      </c>
      <c r="P344" s="30">
        <f>IF(OR($F344="",$I344=""),0,IFERROR(INDEX(Nutrition!$J$2:$J$300,MATCH($F344,Nutrition!$A$2:$A$300,0))*$I344/100,0))</f>
        <v>9.0299999999999991E-2</v>
      </c>
      <c r="Q344" s="30">
        <f>IF(OR($F344="",$I344=""),0,IFERROR(INDEX(Nutrition!$K$2:$K$300,MATCH($F344,Nutrition!$A$2:$A$300,0))*$I344/100,0))</f>
        <v>0.12040000000000001</v>
      </c>
      <c r="R344" s="30">
        <f>IF(OR($F344="",$I344=""),0,IFERROR(INDEX(Nutrition!$L$2:$L$300,MATCH($F344,Nutrition!$A$2:$A$300,0))*$I344/100,0))</f>
        <v>39.130000000000003</v>
      </c>
      <c r="S344" s="30">
        <f>IF(OR($F344="",$I344=""),0,IFERROR(INDEX(Nutrition!$M$2:$M$300,MATCH($F344,Nutrition!$A$2:$A$300,0))*$I344/100,0))</f>
        <v>0.84279999999999999</v>
      </c>
    </row>
    <row r="345" spans="1:19" ht="15" customHeight="1" x14ac:dyDescent="0.25">
      <c r="A345" s="22" t="s">
        <v>1423</v>
      </c>
      <c r="B345" s="33" t="str">
        <f>IFERROR(INDEX(Recipes!$B$2:$B$500,MATCH(A345,Recipes!$A$2:$A$500,0)),"")</f>
        <v>Thai Groundnut Wara Bowl</v>
      </c>
      <c r="C345" s="7" t="s">
        <v>490</v>
      </c>
      <c r="D345" s="34">
        <v>2</v>
      </c>
      <c r="E345" s="22" t="s">
        <v>2820</v>
      </c>
      <c r="F345" s="22" t="s">
        <v>489</v>
      </c>
      <c r="G345" s="22" t="s">
        <v>2755</v>
      </c>
      <c r="H345" s="7"/>
      <c r="I345" s="35">
        <v>30</v>
      </c>
      <c r="J345" s="30">
        <f>IF(OR($F345="",$I345=""),0,IFERROR(INDEX(Nutrition!$D$2:$D$300,MATCH($F345,Nutrition!$A$2:$A$300,0))*$I345/100,0))</f>
        <v>0.78</v>
      </c>
      <c r="K345" s="30">
        <f>IF(OR($F345="",$I345=""),0,IFERROR(INDEX(Nutrition!$E$2:$E$300,MATCH($F345,Nutrition!$A$2:$A$300,0))*$I345/100,0))</f>
        <v>5.64</v>
      </c>
      <c r="L345" s="30">
        <f>IF(OR($F345="",$I345=""),0,IFERROR(INDEX(Nutrition!$F$2:$F$300,MATCH($F345,Nutrition!$A$2:$A$300,0))*$I345/100,0))</f>
        <v>15</v>
      </c>
      <c r="M345" s="30">
        <f>IF(OR($F345="",$I345=""),0,IFERROR(INDEX(Nutrition!$G$2:$G$300,MATCH($F345,Nutrition!$A$2:$A$300,0))*$I345/100,0))</f>
        <v>62.1</v>
      </c>
      <c r="N345" s="30">
        <f>IF(OR($F345="",$I345=""),0,IFERROR(INDEX(Nutrition!$H$2:$H$300,MATCH($F345,Nutrition!$A$2:$A$300,0))*$I345/100,0))</f>
        <v>19.2</v>
      </c>
      <c r="O345" s="30">
        <f>IF(OR($F345="",$I345=""),0,IFERROR(INDEX(Nutrition!$I$2:$I$300,MATCH($F345,Nutrition!$A$2:$A$300,0))*$I345/100,0))</f>
        <v>82.8</v>
      </c>
      <c r="P345" s="30">
        <f>IF(OR($F345="",$I345=""),0,IFERROR(INDEX(Nutrition!$J$2:$J$300,MATCH($F345,Nutrition!$A$2:$A$300,0))*$I345/100,0))</f>
        <v>0.16500000000000001</v>
      </c>
      <c r="Q345" s="30">
        <f>IF(OR($F345="",$I345=""),0,IFERROR(INDEX(Nutrition!$K$2:$K$300,MATCH($F345,Nutrition!$A$2:$A$300,0))*$I345/100,0))</f>
        <v>1.83E-2</v>
      </c>
      <c r="R345" s="30">
        <f>IF(OR($F345="",$I345=""),0,IFERROR(INDEX(Nutrition!$L$2:$L$300,MATCH($F345,Nutrition!$A$2:$A$300,0))*$I345/100,0))</f>
        <v>6</v>
      </c>
      <c r="S345" s="30">
        <f>IF(OR($F345="",$I345=""),0,IFERROR(INDEX(Nutrition!$M$2:$M$300,MATCH($F345,Nutrition!$A$2:$A$300,0))*$I345/100,0))</f>
        <v>0.44400000000000001</v>
      </c>
    </row>
    <row r="346" spans="1:19" ht="15" customHeight="1" x14ac:dyDescent="0.25">
      <c r="A346" s="22" t="s">
        <v>1423</v>
      </c>
      <c r="B346" s="33" t="str">
        <f>IFERROR(INDEX(Recipes!$B$2:$B$500,MATCH(A346,Recipes!$A$2:$A$500,0)),"")</f>
        <v>Thai Groundnut Wara Bowl</v>
      </c>
      <c r="C346" s="7" t="s">
        <v>668</v>
      </c>
      <c r="D346" s="34">
        <v>1</v>
      </c>
      <c r="E346" s="22" t="s">
        <v>2809</v>
      </c>
      <c r="F346" s="22" t="s">
        <v>667</v>
      </c>
      <c r="G346" s="22" t="s">
        <v>2755</v>
      </c>
      <c r="H346" s="7"/>
      <c r="I346" s="35">
        <v>30</v>
      </c>
      <c r="J346" s="30">
        <f>IF(OR($F346="",$I346=""),0,IFERROR(INDEX(Nutrition!$D$2:$D$300,MATCH($F346,Nutrition!$A$2:$A$300,0))*$I346/100,0))</f>
        <v>0.84</v>
      </c>
      <c r="K346" s="30">
        <f>IF(OR($F346="",$I346=""),0,IFERROR(INDEX(Nutrition!$E$2:$E$300,MATCH($F346,Nutrition!$A$2:$A$300,0))*$I346/100,0))</f>
        <v>8.1</v>
      </c>
      <c r="L346" s="30">
        <f>IF(OR($F346="",$I346=""),0,IFERROR(INDEX(Nutrition!$F$2:$F$300,MATCH($F346,Nutrition!$A$2:$A$300,0))*$I346/100,0))</f>
        <v>101.1</v>
      </c>
      <c r="M346" s="30">
        <f>IF(OR($F346="",$I346=""),0,IFERROR(INDEX(Nutrition!$G$2:$G$300,MATCH($F346,Nutrition!$A$2:$A$300,0))*$I346/100,0))</f>
        <v>93</v>
      </c>
      <c r="N346" s="30">
        <f>IF(OR($F346="",$I346=""),0,IFERROR(INDEX(Nutrition!$H$2:$H$300,MATCH($F346,Nutrition!$A$2:$A$300,0))*$I346/100,0))</f>
        <v>18.600000000000001</v>
      </c>
      <c r="O346" s="30">
        <f>IF(OR($F346="",$I346=""),0,IFERROR(INDEX(Nutrition!$I$2:$I$300,MATCH($F346,Nutrition!$A$2:$A$300,0))*$I346/100,0))</f>
        <v>156.30000000000001</v>
      </c>
      <c r="P346" s="30">
        <f>IF(OR($F346="",$I346=""),0,IFERROR(INDEX(Nutrition!$J$2:$J$300,MATCH($F346,Nutrition!$A$2:$A$300,0))*$I346/100,0))</f>
        <v>0.75</v>
      </c>
      <c r="Q346" s="30">
        <f>IF(OR($F346="",$I346=""),0,IFERROR(INDEX(Nutrition!$K$2:$K$300,MATCH($F346,Nutrition!$A$2:$A$300,0))*$I346/100,0))</f>
        <v>4.4699999999999997E-2</v>
      </c>
      <c r="R346" s="30">
        <f>IF(OR($F346="",$I346=""),0,IFERROR(INDEX(Nutrition!$L$2:$L$300,MATCH($F346,Nutrition!$A$2:$A$300,0))*$I346/100,0))</f>
        <v>7.8</v>
      </c>
      <c r="S346" s="30">
        <f>IF(OR($F346="",$I346=""),0,IFERROR(INDEX(Nutrition!$M$2:$M$300,MATCH($F346,Nutrition!$A$2:$A$300,0))*$I346/100,0))</f>
        <v>0.53100000000000003</v>
      </c>
    </row>
    <row r="347" spans="1:19" ht="15" customHeight="1" x14ac:dyDescent="0.25">
      <c r="A347" s="22" t="s">
        <v>1423</v>
      </c>
      <c r="B347" s="33" t="str">
        <f>IFERROR(INDEX(Recipes!$B$2:$B$500,MATCH(A347,Recipes!$A$2:$A$500,0)),"")</f>
        <v>Thai Groundnut Wara Bowl</v>
      </c>
      <c r="C347" s="7" t="s">
        <v>213</v>
      </c>
      <c r="D347" s="34">
        <v>1</v>
      </c>
      <c r="E347" s="22" t="s">
        <v>2754</v>
      </c>
      <c r="F347" s="22" t="s">
        <v>212</v>
      </c>
      <c r="G347" s="22" t="s">
        <v>2755</v>
      </c>
      <c r="H347" s="7"/>
      <c r="I347" s="35">
        <v>67</v>
      </c>
      <c r="J347" s="30">
        <f>IF(OR($F347="",$I347=""),0,IFERROR(INDEX(Nutrition!$D$2:$D$300,MATCH($F347,Nutrition!$A$2:$A$300,0))*$I347/100,0))</f>
        <v>1.8759999999999999</v>
      </c>
      <c r="K347" s="30">
        <f>IF(OR($F347="",$I347=""),0,IFERROR(INDEX(Nutrition!$E$2:$E$300,MATCH($F347,Nutrition!$A$2:$A$300,0))*$I347/100,0))</f>
        <v>19.497</v>
      </c>
      <c r="L347" s="30">
        <f>IF(OR($F347="",$I347=""),0,IFERROR(INDEX(Nutrition!$F$2:$F$300,MATCH($F347,Nutrition!$A$2:$A$300,0))*$I347/100,0))</f>
        <v>1.34</v>
      </c>
      <c r="M347" s="30">
        <f>IF(OR($F347="",$I347=""),0,IFERROR(INDEX(Nutrition!$G$2:$G$300,MATCH($F347,Nutrition!$A$2:$A$300,0))*$I347/100,0))</f>
        <v>0.40199999999999997</v>
      </c>
      <c r="N347" s="30">
        <f>IF(OR($F347="",$I347=""),0,IFERROR(INDEX(Nutrition!$H$2:$H$300,MATCH($F347,Nutrition!$A$2:$A$300,0))*$I347/100,0))</f>
        <v>5.36</v>
      </c>
      <c r="O347" s="30">
        <f>IF(OR($F347="",$I347=""),0,IFERROR(INDEX(Nutrition!$I$2:$I$300,MATCH($F347,Nutrition!$A$2:$A$300,0))*$I347/100,0))</f>
        <v>68.34</v>
      </c>
      <c r="P347" s="30">
        <f>IF(OR($F347="",$I347=""),0,IFERROR(INDEX(Nutrition!$J$2:$J$300,MATCH($F347,Nutrition!$A$2:$A$300,0))*$I347/100,0))</f>
        <v>0.1474</v>
      </c>
      <c r="Q347" s="30">
        <f>IF(OR($F347="",$I347=""),0,IFERROR(INDEX(Nutrition!$K$2:$K$300,MATCH($F347,Nutrition!$A$2:$A$300,0))*$I347/100,0))</f>
        <v>2.8809999999999999E-2</v>
      </c>
      <c r="R347" s="30">
        <f>IF(OR($F347="",$I347=""),0,IFERROR(INDEX(Nutrition!$L$2:$L$300,MATCH($F347,Nutrition!$A$2:$A$300,0))*$I347/100,0))</f>
        <v>4.0199999999999996</v>
      </c>
      <c r="S347" s="30">
        <f>IF(OR($F347="",$I347=""),0,IFERROR(INDEX(Nutrition!$M$2:$M$300,MATCH($F347,Nutrition!$A$2:$A$300,0))*$I347/100,0))</f>
        <v>0.40199999999999997</v>
      </c>
    </row>
    <row r="348" spans="1:19" ht="15" customHeight="1" x14ac:dyDescent="0.25">
      <c r="A348" s="22" t="s">
        <v>1423</v>
      </c>
      <c r="B348" s="33" t="str">
        <f>IFERROR(INDEX(Recipes!$B$2:$B$500,MATCH(A348,Recipes!$A$2:$A$500,0)),"")</f>
        <v>Thai Groundnut Wara Bowl</v>
      </c>
      <c r="C348" s="7" t="s">
        <v>508</v>
      </c>
      <c r="D348" s="34">
        <v>1</v>
      </c>
      <c r="E348" s="22" t="s">
        <v>2821</v>
      </c>
      <c r="F348" s="22" t="s">
        <v>507</v>
      </c>
      <c r="G348" s="22" t="s">
        <v>2755</v>
      </c>
      <c r="H348" s="7"/>
      <c r="I348" s="35">
        <v>15</v>
      </c>
      <c r="J348" s="30">
        <f>IF(OR($F348="",$I348=""),0,IFERROR(INDEX(Nutrition!$D$2:$D$300,MATCH($F348,Nutrition!$A$2:$A$300,0))*$I348/100,0))</f>
        <v>0.3</v>
      </c>
      <c r="K348" s="30">
        <f>IF(OR($F348="",$I348=""),0,IFERROR(INDEX(Nutrition!$E$2:$E$300,MATCH($F348,Nutrition!$A$2:$A$300,0))*$I348/100,0))</f>
        <v>0.75</v>
      </c>
      <c r="L348" s="30">
        <f>IF(OR($F348="",$I348=""),0,IFERROR(INDEX(Nutrition!$F$2:$F$300,MATCH($F348,Nutrition!$A$2:$A$300,0))*$I348/100,0))</f>
        <v>0</v>
      </c>
      <c r="M348" s="30">
        <f>IF(OR($F348="",$I348=""),0,IFERROR(INDEX(Nutrition!$G$2:$G$300,MATCH($F348,Nutrition!$A$2:$A$300,0))*$I348/100,0))</f>
        <v>1.4999999999999999E-2</v>
      </c>
      <c r="N348" s="30">
        <f>IF(OR($F348="",$I348=""),0,IFERROR(INDEX(Nutrition!$H$2:$H$300,MATCH($F348,Nutrition!$A$2:$A$300,0))*$I348/100,0))</f>
        <v>1.65</v>
      </c>
      <c r="O348" s="30">
        <f>IF(OR($F348="",$I348=""),0,IFERROR(INDEX(Nutrition!$I$2:$I$300,MATCH($F348,Nutrition!$A$2:$A$300,0))*$I348/100,0))</f>
        <v>62.25</v>
      </c>
      <c r="P348" s="30">
        <f>IF(OR($F348="",$I348=""),0,IFERROR(INDEX(Nutrition!$J$2:$J$300,MATCH($F348,Nutrition!$A$2:$A$300,0))*$I348/100,0))</f>
        <v>3.9000000000000007E-2</v>
      </c>
      <c r="Q348" s="30">
        <f>IF(OR($F348="",$I348=""),0,IFERROR(INDEX(Nutrition!$K$2:$K$300,MATCH($F348,Nutrition!$A$2:$A$300,0))*$I348/100,0))</f>
        <v>2.4E-2</v>
      </c>
      <c r="R348" s="30">
        <f>IF(OR($F348="",$I348=""),0,IFERROR(INDEX(Nutrition!$L$2:$L$300,MATCH($F348,Nutrition!$A$2:$A$300,0))*$I348/100,0))</f>
        <v>6.45</v>
      </c>
      <c r="S348" s="30">
        <f>IF(OR($F348="",$I348=""),0,IFERROR(INDEX(Nutrition!$M$2:$M$300,MATCH($F348,Nutrition!$A$2:$A$300,0))*$I348/100,0))</f>
        <v>0.09</v>
      </c>
    </row>
    <row r="349" spans="1:19" ht="15" customHeight="1" x14ac:dyDescent="0.25">
      <c r="A349" s="22" t="s">
        <v>1423</v>
      </c>
      <c r="B349" s="33" t="str">
        <f>IFERROR(INDEX(Recipes!$B$2:$B$500,MATCH(A349,Recipes!$A$2:$A$500,0)),"")</f>
        <v>Thai Groundnut Wara Bowl</v>
      </c>
      <c r="C349" s="7" t="s">
        <v>500</v>
      </c>
      <c r="D349" s="34">
        <v>1</v>
      </c>
      <c r="E349" s="22" t="s">
        <v>2816</v>
      </c>
      <c r="F349" s="22" t="s">
        <v>499</v>
      </c>
      <c r="G349" s="22" t="s">
        <v>2755</v>
      </c>
      <c r="H349" s="7"/>
      <c r="I349" s="35">
        <v>3</v>
      </c>
      <c r="J349" s="30">
        <f>IF(OR($F349="",$I349=""),0,IFERROR(INDEX(Nutrition!$D$2:$D$300,MATCH($F349,Nutrition!$A$2:$A$300,0))*$I349/100,0))</f>
        <v>6.3E-2</v>
      </c>
      <c r="K349" s="30">
        <f>IF(OR($F349="",$I349=""),0,IFERROR(INDEX(Nutrition!$E$2:$E$300,MATCH($F349,Nutrition!$A$2:$A$300,0))*$I349/100,0))</f>
        <v>0.93599999999999994</v>
      </c>
      <c r="L349" s="30">
        <f>IF(OR($F349="",$I349=""),0,IFERROR(INDEX(Nutrition!$F$2:$F$300,MATCH($F349,Nutrition!$A$2:$A$300,0))*$I349/100,0))</f>
        <v>0</v>
      </c>
      <c r="M349" s="30">
        <f>IF(OR($F349="",$I349=""),0,IFERROR(INDEX(Nutrition!$G$2:$G$300,MATCH($F349,Nutrition!$A$2:$A$300,0))*$I349/100,0))</f>
        <v>5.0999999999999997E-2</v>
      </c>
      <c r="N349" s="30">
        <f>IF(OR($F349="",$I349=""),0,IFERROR(INDEX(Nutrition!$H$2:$H$300,MATCH($F349,Nutrition!$A$2:$A$300,0))*$I349/100,0))</f>
        <v>0.09</v>
      </c>
      <c r="O349" s="30">
        <f>IF(OR($F349="",$I349=""),0,IFERROR(INDEX(Nutrition!$I$2:$I$300,MATCH($F349,Nutrition!$A$2:$A$300,0))*$I349/100,0))</f>
        <v>12.03</v>
      </c>
      <c r="P349" s="30">
        <f>IF(OR($F349="",$I349=""),0,IFERROR(INDEX(Nutrition!$J$2:$J$300,MATCH($F349,Nutrition!$A$2:$A$300,0))*$I349/100,0))</f>
        <v>2.3999999999999998E-3</v>
      </c>
      <c r="Q349" s="30">
        <f>IF(OR($F349="",$I349=""),0,IFERROR(INDEX(Nutrition!$K$2:$K$300,MATCH($F349,Nutrition!$A$2:$A$300,0))*$I349/100,0))</f>
        <v>3.705E-2</v>
      </c>
      <c r="R349" s="30">
        <f>IF(OR($F349="",$I349=""),0,IFERROR(INDEX(Nutrition!$L$2:$L$300,MATCH($F349,Nutrition!$A$2:$A$300,0))*$I349/100,0))</f>
        <v>0.75</v>
      </c>
      <c r="S349" s="30">
        <f>IF(OR($F349="",$I349=""),0,IFERROR(INDEX(Nutrition!$M$2:$M$300,MATCH($F349,Nutrition!$A$2:$A$300,0))*$I349/100,0))</f>
        <v>5.0999999999999997E-2</v>
      </c>
    </row>
    <row r="350" spans="1:19" ht="15" customHeight="1" x14ac:dyDescent="0.25">
      <c r="A350" s="22" t="s">
        <v>1423</v>
      </c>
      <c r="B350" s="33" t="str">
        <f>IFERROR(INDEX(Recipes!$B$2:$B$500,MATCH(A350,Recipes!$A$2:$A$500,0)),"")</f>
        <v>Thai Groundnut Wara Bowl</v>
      </c>
      <c r="C350" s="7" t="s">
        <v>370</v>
      </c>
      <c r="D350" s="34">
        <v>2</v>
      </c>
      <c r="E350" s="22" t="s">
        <v>2754</v>
      </c>
      <c r="F350" s="22" t="s">
        <v>369</v>
      </c>
      <c r="G350" s="22" t="s">
        <v>2755</v>
      </c>
      <c r="H350" s="7" t="s">
        <v>2793</v>
      </c>
      <c r="I350" s="35">
        <v>14</v>
      </c>
      <c r="J350" s="30">
        <f>IF(OR($F350="",$I350=""),0,IFERROR(INDEX(Nutrition!$D$2:$D$300,MATCH($F350,Nutrition!$A$2:$A$300,0))*$I350/100,0))</f>
        <v>1.1200000000000001</v>
      </c>
      <c r="K350" s="30">
        <f>IF(OR($F350="",$I350=""),0,IFERROR(INDEX(Nutrition!$E$2:$E$300,MATCH($F350,Nutrition!$A$2:$A$300,0))*$I350/100,0))</f>
        <v>5.6000000000000008E-2</v>
      </c>
      <c r="L350" s="30">
        <f>IF(OR($F350="",$I350=""),0,IFERROR(INDEX(Nutrition!$F$2:$F$300,MATCH($F350,Nutrition!$A$2:$A$300,0))*$I350/100,0))</f>
        <v>0</v>
      </c>
      <c r="M350" s="30">
        <f>IF(OR($F350="",$I350=""),0,IFERROR(INDEX(Nutrition!$G$2:$G$300,MATCH($F350,Nutrition!$A$2:$A$300,0))*$I350/100,0))</f>
        <v>0.37800000000000006</v>
      </c>
      <c r="N350" s="30">
        <f>IF(OR($F350="",$I350=""),0,IFERROR(INDEX(Nutrition!$H$2:$H$300,MATCH($F350,Nutrition!$A$2:$A$300,0))*$I350/100,0))</f>
        <v>2.66</v>
      </c>
      <c r="O350" s="30">
        <f>IF(OR($F350="",$I350=""),0,IFERROR(INDEX(Nutrition!$I$2:$I$300,MATCH($F350,Nutrition!$A$2:$A$300,0))*$I350/100,0))</f>
        <v>91.84</v>
      </c>
      <c r="P350" s="30">
        <f>IF(OR($F350="",$I350=""),0,IFERROR(INDEX(Nutrition!$J$2:$J$300,MATCH($F350,Nutrition!$A$2:$A$300,0))*$I350/100,0))</f>
        <v>7.000000000000001E-3</v>
      </c>
      <c r="Q350" s="30">
        <f>IF(OR($F350="",$I350=""),0,IFERROR(INDEX(Nutrition!$K$2:$K$300,MATCH($F350,Nutrition!$A$2:$A$300,0))*$I350/100,0))</f>
        <v>2.3099999999999999E-2</v>
      </c>
      <c r="R350" s="30">
        <f>IF(OR($F350="",$I350=""),0,IFERROR(INDEX(Nutrition!$L$2:$L$300,MATCH($F350,Nutrition!$A$2:$A$300,0))*$I350/100,0))</f>
        <v>6.02</v>
      </c>
      <c r="S350" s="30">
        <f>IF(OR($F350="",$I350=""),0,IFERROR(INDEX(Nutrition!$M$2:$M$300,MATCH($F350,Nutrition!$A$2:$A$300,0))*$I350/100,0))</f>
        <v>0.14280000000000001</v>
      </c>
    </row>
    <row r="351" spans="1:19" ht="15" customHeight="1" x14ac:dyDescent="0.25">
      <c r="A351" s="22" t="s">
        <v>1423</v>
      </c>
      <c r="B351" s="33" t="str">
        <f>IFERROR(INDEX(Recipes!$B$2:$B$500,MATCH(A351,Recipes!$A$2:$A$500,0)),"")</f>
        <v>Thai Groundnut Wara Bowl</v>
      </c>
      <c r="C351" s="7" t="s">
        <v>2822</v>
      </c>
      <c r="D351" s="34">
        <v>3</v>
      </c>
      <c r="E351" s="22" t="s">
        <v>2753</v>
      </c>
      <c r="F351" s="22"/>
      <c r="G351" s="22" t="s">
        <v>2749</v>
      </c>
      <c r="H351" s="7"/>
      <c r="I351" s="35"/>
      <c r="J351" s="30">
        <f>IF(OR($F351="",$I351=""),0,IFERROR(INDEX(Nutrition!$D$2:$D$300,MATCH($F351,Nutrition!$A$2:$A$300,0))*$I351/100,0))</f>
        <v>0</v>
      </c>
      <c r="K351" s="30">
        <f>IF(OR($F351="",$I351=""),0,IFERROR(INDEX(Nutrition!$E$2:$E$300,MATCH($F351,Nutrition!$A$2:$A$300,0))*$I351/100,0))</f>
        <v>0</v>
      </c>
      <c r="L351" s="30">
        <f>IF(OR($F351="",$I351=""),0,IFERROR(INDEX(Nutrition!$F$2:$F$300,MATCH($F351,Nutrition!$A$2:$A$300,0))*$I351/100,0))</f>
        <v>0</v>
      </c>
      <c r="M351" s="30">
        <f>IF(OR($F351="",$I351=""),0,IFERROR(INDEX(Nutrition!$G$2:$G$300,MATCH($F351,Nutrition!$A$2:$A$300,0))*$I351/100,0))</f>
        <v>0</v>
      </c>
      <c r="N351" s="30">
        <f>IF(OR($F351="",$I351=""),0,IFERROR(INDEX(Nutrition!$H$2:$H$300,MATCH($F351,Nutrition!$A$2:$A$300,0))*$I351/100,0))</f>
        <v>0</v>
      </c>
      <c r="O351" s="30">
        <f>IF(OR($F351="",$I351=""),0,IFERROR(INDEX(Nutrition!$I$2:$I$300,MATCH($F351,Nutrition!$A$2:$A$300,0))*$I351/100,0))</f>
        <v>0</v>
      </c>
      <c r="P351" s="30">
        <f>IF(OR($F351="",$I351=""),0,IFERROR(INDEX(Nutrition!$J$2:$J$300,MATCH($F351,Nutrition!$A$2:$A$300,0))*$I351/100,0))</f>
        <v>0</v>
      </c>
      <c r="Q351" s="30">
        <f>IF(OR($F351="",$I351=""),0,IFERROR(INDEX(Nutrition!$K$2:$K$300,MATCH($F351,Nutrition!$A$2:$A$300,0))*$I351/100,0))</f>
        <v>0</v>
      </c>
      <c r="R351" s="30">
        <f>IF(OR($F351="",$I351=""),0,IFERROR(INDEX(Nutrition!$L$2:$L$300,MATCH($F351,Nutrition!$A$2:$A$300,0))*$I351/100,0))</f>
        <v>0</v>
      </c>
      <c r="S351" s="30">
        <f>IF(OR($F351="",$I351=""),0,IFERROR(INDEX(Nutrition!$M$2:$M$300,MATCH($F351,Nutrition!$A$2:$A$300,0))*$I351/100,0))</f>
        <v>0</v>
      </c>
    </row>
    <row r="352" spans="1:19" ht="15" customHeight="1" x14ac:dyDescent="0.25">
      <c r="A352" s="22" t="s">
        <v>1423</v>
      </c>
      <c r="B352" s="33" t="str">
        <f>IFERROR(INDEX(Recipes!$B$2:$B$500,MATCH(A352,Recipes!$A$2:$A$500,0)),"")</f>
        <v>Thai Groundnut Wara Bowl</v>
      </c>
      <c r="C352" s="7" t="s">
        <v>2823</v>
      </c>
      <c r="D352" s="34">
        <v>2</v>
      </c>
      <c r="E352" s="22" t="s">
        <v>2753</v>
      </c>
      <c r="F352" s="22"/>
      <c r="G352" s="22" t="s">
        <v>2749</v>
      </c>
      <c r="H352" s="7"/>
      <c r="I352" s="35"/>
      <c r="J352" s="30">
        <f>IF(OR($F352="",$I352=""),0,IFERROR(INDEX(Nutrition!$D$2:$D$300,MATCH($F352,Nutrition!$A$2:$A$300,0))*$I352/100,0))</f>
        <v>0</v>
      </c>
      <c r="K352" s="30">
        <f>IF(OR($F352="",$I352=""),0,IFERROR(INDEX(Nutrition!$E$2:$E$300,MATCH($F352,Nutrition!$A$2:$A$300,0))*$I352/100,0))</f>
        <v>0</v>
      </c>
      <c r="L352" s="30">
        <f>IF(OR($F352="",$I352=""),0,IFERROR(INDEX(Nutrition!$F$2:$F$300,MATCH($F352,Nutrition!$A$2:$A$300,0))*$I352/100,0))</f>
        <v>0</v>
      </c>
      <c r="M352" s="30">
        <f>IF(OR($F352="",$I352=""),0,IFERROR(INDEX(Nutrition!$G$2:$G$300,MATCH($F352,Nutrition!$A$2:$A$300,0))*$I352/100,0))</f>
        <v>0</v>
      </c>
      <c r="N352" s="30">
        <f>IF(OR($F352="",$I352=""),0,IFERROR(INDEX(Nutrition!$H$2:$H$300,MATCH($F352,Nutrition!$A$2:$A$300,0))*$I352/100,0))</f>
        <v>0</v>
      </c>
      <c r="O352" s="30">
        <f>IF(OR($F352="",$I352=""),0,IFERROR(INDEX(Nutrition!$I$2:$I$300,MATCH($F352,Nutrition!$A$2:$A$300,0))*$I352/100,0))</f>
        <v>0</v>
      </c>
      <c r="P352" s="30">
        <f>IF(OR($F352="",$I352=""),0,IFERROR(INDEX(Nutrition!$J$2:$J$300,MATCH($F352,Nutrition!$A$2:$A$300,0))*$I352/100,0))</f>
        <v>0</v>
      </c>
      <c r="Q352" s="30">
        <f>IF(OR($F352="",$I352=""),0,IFERROR(INDEX(Nutrition!$K$2:$K$300,MATCH($F352,Nutrition!$A$2:$A$300,0))*$I352/100,0))</f>
        <v>0</v>
      </c>
      <c r="R352" s="30">
        <f>IF(OR($F352="",$I352=""),0,IFERROR(INDEX(Nutrition!$L$2:$L$300,MATCH($F352,Nutrition!$A$2:$A$300,0))*$I352/100,0))</f>
        <v>0</v>
      </c>
      <c r="S352" s="30">
        <f>IF(OR($F352="",$I352=""),0,IFERROR(INDEX(Nutrition!$M$2:$M$300,MATCH($F352,Nutrition!$A$2:$A$300,0))*$I352/100,0))</f>
        <v>0</v>
      </c>
    </row>
    <row r="353" spans="1:19" ht="15" customHeight="1" x14ac:dyDescent="0.25">
      <c r="A353" s="22" t="s">
        <v>1433</v>
      </c>
      <c r="B353" s="33" t="str">
        <f>IFERROR(INDEX(Recipes!$B$2:$B$500,MATCH(A353,Recipes!$A$2:$A$500,0)),"")</f>
        <v>Greek Chicken Gyro Bowl with Tzatziki</v>
      </c>
      <c r="C353" s="7" t="s">
        <v>2806</v>
      </c>
      <c r="D353" s="34">
        <v>2</v>
      </c>
      <c r="E353" s="22" t="s">
        <v>2754</v>
      </c>
      <c r="F353" s="22"/>
      <c r="G353" s="22" t="s">
        <v>2768</v>
      </c>
      <c r="H353" s="7"/>
      <c r="I353" s="35"/>
      <c r="J353" s="30">
        <f>IF(OR($F353="",$I353=""),0,IFERROR(INDEX(Nutrition!$D$2:$D$300,MATCH($F353,Nutrition!$A$2:$A$300,0))*$I353/100,0))</f>
        <v>0</v>
      </c>
      <c r="K353" s="30">
        <f>IF(OR($F353="",$I353=""),0,IFERROR(INDEX(Nutrition!$E$2:$E$300,MATCH($F353,Nutrition!$A$2:$A$300,0))*$I353/100,0))</f>
        <v>0</v>
      </c>
      <c r="L353" s="30">
        <f>IF(OR($F353="",$I353=""),0,IFERROR(INDEX(Nutrition!$F$2:$F$300,MATCH($F353,Nutrition!$A$2:$A$300,0))*$I353/100,0))</f>
        <v>0</v>
      </c>
      <c r="M353" s="30">
        <f>IF(OR($F353="",$I353=""),0,IFERROR(INDEX(Nutrition!$G$2:$G$300,MATCH($F353,Nutrition!$A$2:$A$300,0))*$I353/100,0))</f>
        <v>0</v>
      </c>
      <c r="N353" s="30">
        <f>IF(OR($F353="",$I353=""),0,IFERROR(INDEX(Nutrition!$H$2:$H$300,MATCH($F353,Nutrition!$A$2:$A$300,0))*$I353/100,0))</f>
        <v>0</v>
      </c>
      <c r="O353" s="30">
        <f>IF(OR($F353="",$I353=""),0,IFERROR(INDEX(Nutrition!$I$2:$I$300,MATCH($F353,Nutrition!$A$2:$A$300,0))*$I353/100,0))</f>
        <v>0</v>
      </c>
      <c r="P353" s="30">
        <f>IF(OR($F353="",$I353=""),0,IFERROR(INDEX(Nutrition!$J$2:$J$300,MATCH($F353,Nutrition!$A$2:$A$300,0))*$I353/100,0))</f>
        <v>0</v>
      </c>
      <c r="Q353" s="30">
        <f>IF(OR($F353="",$I353=""),0,IFERROR(INDEX(Nutrition!$K$2:$K$300,MATCH($F353,Nutrition!$A$2:$A$300,0))*$I353/100,0))</f>
        <v>0</v>
      </c>
      <c r="R353" s="30">
        <f>IF(OR($F353="",$I353=""),0,IFERROR(INDEX(Nutrition!$L$2:$L$300,MATCH($F353,Nutrition!$A$2:$A$300,0))*$I353/100,0))</f>
        <v>0</v>
      </c>
      <c r="S353" s="30">
        <f>IF(OR($F353="",$I353=""),0,IFERROR(INDEX(Nutrition!$M$2:$M$300,MATCH($F353,Nutrition!$A$2:$A$300,0))*$I353/100,0))</f>
        <v>0</v>
      </c>
    </row>
    <row r="354" spans="1:19" ht="15" customHeight="1" x14ac:dyDescent="0.25">
      <c r="A354" s="22" t="s">
        <v>1433</v>
      </c>
      <c r="B354" s="33" t="str">
        <f>IFERROR(INDEX(Recipes!$B$2:$B$500,MATCH(A354,Recipes!$A$2:$A$500,0)),"")</f>
        <v>Greek Chicken Gyro Bowl with Tzatziki</v>
      </c>
      <c r="C354" s="7" t="s">
        <v>2801</v>
      </c>
      <c r="D354" s="34">
        <v>1</v>
      </c>
      <c r="E354" s="22" t="s">
        <v>2748</v>
      </c>
      <c r="F354" s="22"/>
      <c r="G354" s="22" t="s">
        <v>2749</v>
      </c>
      <c r="H354" s="7" t="s">
        <v>2844</v>
      </c>
      <c r="I354" s="35"/>
      <c r="J354" s="30">
        <f>IF(OR($F354="",$I354=""),0,IFERROR(INDEX(Nutrition!$D$2:$D$300,MATCH($F354,Nutrition!$A$2:$A$300,0))*$I354/100,0))</f>
        <v>0</v>
      </c>
      <c r="K354" s="30">
        <f>IF(OR($F354="",$I354=""),0,IFERROR(INDEX(Nutrition!$E$2:$E$300,MATCH($F354,Nutrition!$A$2:$A$300,0))*$I354/100,0))</f>
        <v>0</v>
      </c>
      <c r="L354" s="30">
        <f>IF(OR($F354="",$I354=""),0,IFERROR(INDEX(Nutrition!$F$2:$F$300,MATCH($F354,Nutrition!$A$2:$A$300,0))*$I354/100,0))</f>
        <v>0</v>
      </c>
      <c r="M354" s="30">
        <f>IF(OR($F354="",$I354=""),0,IFERROR(INDEX(Nutrition!$G$2:$G$300,MATCH($F354,Nutrition!$A$2:$A$300,0))*$I354/100,0))</f>
        <v>0</v>
      </c>
      <c r="N354" s="30">
        <f>IF(OR($F354="",$I354=""),0,IFERROR(INDEX(Nutrition!$H$2:$H$300,MATCH($F354,Nutrition!$A$2:$A$300,0))*$I354/100,0))</f>
        <v>0</v>
      </c>
      <c r="O354" s="30">
        <f>IF(OR($F354="",$I354=""),0,IFERROR(INDEX(Nutrition!$I$2:$I$300,MATCH($F354,Nutrition!$A$2:$A$300,0))*$I354/100,0))</f>
        <v>0</v>
      </c>
      <c r="P354" s="30">
        <f>IF(OR($F354="",$I354=""),0,IFERROR(INDEX(Nutrition!$J$2:$J$300,MATCH($F354,Nutrition!$A$2:$A$300,0))*$I354/100,0))</f>
        <v>0</v>
      </c>
      <c r="Q354" s="30">
        <f>IF(OR($F354="",$I354=""),0,IFERROR(INDEX(Nutrition!$K$2:$K$300,MATCH($F354,Nutrition!$A$2:$A$300,0))*$I354/100,0))</f>
        <v>0</v>
      </c>
      <c r="R354" s="30">
        <f>IF(OR($F354="",$I354=""),0,IFERROR(INDEX(Nutrition!$L$2:$L$300,MATCH($F354,Nutrition!$A$2:$A$300,0))*$I354/100,0))</f>
        <v>0</v>
      </c>
      <c r="S354" s="30">
        <f>IF(OR($F354="",$I354=""),0,IFERROR(INDEX(Nutrition!$M$2:$M$300,MATCH($F354,Nutrition!$A$2:$A$300,0))*$I354/100,0))</f>
        <v>0</v>
      </c>
    </row>
    <row r="355" spans="1:19" ht="15" customHeight="1" x14ac:dyDescent="0.25">
      <c r="A355" s="22" t="s">
        <v>1433</v>
      </c>
      <c r="B355" s="33" t="str">
        <f>IFERROR(INDEX(Recipes!$B$2:$B$500,MATCH(A355,Recipes!$A$2:$A$500,0)),"")</f>
        <v>Greek Chicken Gyro Bowl with Tzatziki</v>
      </c>
      <c r="C355" s="7" t="s">
        <v>523</v>
      </c>
      <c r="D355" s="34">
        <v>1</v>
      </c>
      <c r="E355" s="22" t="s">
        <v>2754</v>
      </c>
      <c r="F355" s="22" t="s">
        <v>522</v>
      </c>
      <c r="G355" s="22" t="s">
        <v>2755</v>
      </c>
      <c r="H355" s="7"/>
      <c r="I355" s="35">
        <v>301</v>
      </c>
      <c r="J355" s="30">
        <f>IF(OR($F355="",$I355=""),0,IFERROR(INDEX(Nutrition!$D$2:$D$300,MATCH($F355,Nutrition!$A$2:$A$300,0))*$I355/100,0))</f>
        <v>1.5049999999999999</v>
      </c>
      <c r="K355" s="30">
        <f>IF(OR($F355="",$I355=""),0,IFERROR(INDEX(Nutrition!$E$2:$E$300,MATCH($F355,Nutrition!$A$2:$A$300,0))*$I355/100,0))</f>
        <v>8.427999999999999</v>
      </c>
      <c r="L355" s="30">
        <f>IF(OR($F355="",$I355=""),0,IFERROR(INDEX(Nutrition!$F$2:$F$300,MATCH($F355,Nutrition!$A$2:$A$300,0))*$I355/100,0))</f>
        <v>15.05</v>
      </c>
      <c r="M355" s="30">
        <f>IF(OR($F355="",$I355=""),0,IFERROR(INDEX(Nutrition!$G$2:$G$300,MATCH($F355,Nutrition!$A$2:$A$300,0))*$I355/100,0))</f>
        <v>49.363999999999997</v>
      </c>
      <c r="N355" s="30">
        <f>IF(OR($F355="",$I355=""),0,IFERROR(INDEX(Nutrition!$H$2:$H$300,MATCH($F355,Nutrition!$A$2:$A$300,0))*$I355/100,0))</f>
        <v>21.07</v>
      </c>
      <c r="O355" s="30">
        <f>IF(OR($F355="",$I355=""),0,IFERROR(INDEX(Nutrition!$I$2:$I$300,MATCH($F355,Nutrition!$A$2:$A$300,0))*$I355/100,0))</f>
        <v>442.47</v>
      </c>
      <c r="P355" s="30">
        <f>IF(OR($F355="",$I355=""),0,IFERROR(INDEX(Nutrition!$J$2:$J$300,MATCH($F355,Nutrition!$A$2:$A$300,0))*$I355/100,0))</f>
        <v>9.0299999999999991E-2</v>
      </c>
      <c r="Q355" s="30">
        <f>IF(OR($F355="",$I355=""),0,IFERROR(INDEX(Nutrition!$K$2:$K$300,MATCH($F355,Nutrition!$A$2:$A$300,0))*$I355/100,0))</f>
        <v>0.12040000000000001</v>
      </c>
      <c r="R355" s="30">
        <f>IF(OR($F355="",$I355=""),0,IFERROR(INDEX(Nutrition!$L$2:$L$300,MATCH($F355,Nutrition!$A$2:$A$300,0))*$I355/100,0))</f>
        <v>39.130000000000003</v>
      </c>
      <c r="S355" s="30">
        <f>IF(OR($F355="",$I355=""),0,IFERROR(INDEX(Nutrition!$M$2:$M$300,MATCH($F355,Nutrition!$A$2:$A$300,0))*$I355/100,0))</f>
        <v>0.84279999999999999</v>
      </c>
    </row>
    <row r="356" spans="1:19" ht="15" customHeight="1" x14ac:dyDescent="0.25">
      <c r="A356" s="22" t="s">
        <v>1433</v>
      </c>
      <c r="B356" s="33" t="str">
        <f>IFERROR(INDEX(Recipes!$B$2:$B$500,MATCH(A356,Recipes!$A$2:$A$500,0)),"")</f>
        <v>Greek Chicken Gyro Bowl with Tzatziki</v>
      </c>
      <c r="C356" s="7" t="s">
        <v>446</v>
      </c>
      <c r="D356" s="34">
        <v>3</v>
      </c>
      <c r="E356" s="22" t="s">
        <v>2754</v>
      </c>
      <c r="F356" s="22" t="s">
        <v>445</v>
      </c>
      <c r="G356" s="22" t="s">
        <v>2755</v>
      </c>
      <c r="H356" s="7"/>
      <c r="I356" s="35">
        <v>186</v>
      </c>
      <c r="J356" s="30">
        <f>IF(OR($F356="",$I356=""),0,IFERROR(INDEX(Nutrition!$D$2:$D$300,MATCH($F356,Nutrition!$A$2:$A$300,0))*$I356/100,0))</f>
        <v>2.2319999999999998</v>
      </c>
      <c r="K356" s="30">
        <f>IF(OR($F356="",$I356=""),0,IFERROR(INDEX(Nutrition!$E$2:$E$300,MATCH($F356,Nutrition!$A$2:$A$300,0))*$I356/100,0))</f>
        <v>25.481999999999999</v>
      </c>
      <c r="L356" s="30">
        <f>IF(OR($F356="",$I356=""),0,IFERROR(INDEX(Nutrition!$F$2:$F$300,MATCH($F356,Nutrition!$A$2:$A$300,0))*$I356/100,0))</f>
        <v>78.12</v>
      </c>
      <c r="M356" s="30">
        <f>IF(OR($F356="",$I356=""),0,IFERROR(INDEX(Nutrition!$G$2:$G$300,MATCH($F356,Nutrition!$A$2:$A$300,0))*$I356/100,0))</f>
        <v>14.694000000000001</v>
      </c>
      <c r="N356" s="30">
        <f>IF(OR($F356="",$I356=""),0,IFERROR(INDEX(Nutrition!$H$2:$H$300,MATCH($F356,Nutrition!$A$2:$A$300,0))*$I356/100,0))</f>
        <v>27.9</v>
      </c>
      <c r="O356" s="30">
        <f>IF(OR($F356="",$I356=""),0,IFERROR(INDEX(Nutrition!$I$2:$I$300,MATCH($F356,Nutrition!$A$2:$A$300,0))*$I356/100,0))</f>
        <v>440.82</v>
      </c>
      <c r="P356" s="30">
        <f>IF(OR($F356="",$I356=""),0,IFERROR(INDEX(Nutrition!$J$2:$J$300,MATCH($F356,Nutrition!$A$2:$A$300,0))*$I356/100,0))</f>
        <v>1.0044000000000002</v>
      </c>
      <c r="Q356" s="30">
        <f>IF(OR($F356="",$I356=""),0,IFERROR(INDEX(Nutrition!$K$2:$K$300,MATCH($F356,Nutrition!$A$2:$A$300,0))*$I356/100,0))</f>
        <v>0.14880000000000002</v>
      </c>
      <c r="R356" s="30">
        <f>IF(OR($F356="",$I356=""),0,IFERROR(INDEX(Nutrition!$L$2:$L$300,MATCH($F356,Nutrition!$A$2:$A$300,0))*$I356/100,0))</f>
        <v>20.46</v>
      </c>
      <c r="S356" s="30">
        <f>IF(OR($F356="",$I356=""),0,IFERROR(INDEX(Nutrition!$M$2:$M$300,MATCH($F356,Nutrition!$A$2:$A$300,0))*$I356/100,0))</f>
        <v>0.50220000000000009</v>
      </c>
    </row>
    <row r="357" spans="1:19" ht="15" customHeight="1" x14ac:dyDescent="0.25">
      <c r="A357" s="22" t="s">
        <v>1433</v>
      </c>
      <c r="B357" s="33" t="str">
        <f>IFERROR(INDEX(Recipes!$B$2:$B$500,MATCH(A357,Recipes!$A$2:$A$500,0)),"")</f>
        <v>Greek Chicken Gyro Bowl with Tzatziki</v>
      </c>
      <c r="C357" s="7" t="s">
        <v>482</v>
      </c>
      <c r="D357" s="34">
        <v>0.5</v>
      </c>
      <c r="E357" s="22" t="s">
        <v>2754</v>
      </c>
      <c r="F357" s="22" t="s">
        <v>481</v>
      </c>
      <c r="G357" s="22" t="s">
        <v>2755</v>
      </c>
      <c r="H357" s="7" t="s">
        <v>2784</v>
      </c>
      <c r="I357" s="35">
        <v>55</v>
      </c>
      <c r="J357" s="30">
        <f>IF(OR($F357="",$I357=""),0,IFERROR(INDEX(Nutrition!$D$2:$D$300,MATCH($F357,Nutrition!$A$2:$A$300,0))*$I357/100,0))</f>
        <v>0.93500000000000005</v>
      </c>
      <c r="K357" s="30">
        <f>IF(OR($F357="",$I357=""),0,IFERROR(INDEX(Nutrition!$E$2:$E$300,MATCH($F357,Nutrition!$A$2:$A$300,0))*$I357/100,0))</f>
        <v>4.07</v>
      </c>
      <c r="L357" s="30">
        <f>IF(OR($F357="",$I357=""),0,IFERROR(INDEX(Nutrition!$F$2:$F$300,MATCH($F357,Nutrition!$A$2:$A$300,0))*$I357/100,0))</f>
        <v>0</v>
      </c>
      <c r="M357" s="30">
        <f>IF(OR($F357="",$I357=""),0,IFERROR(INDEX(Nutrition!$G$2:$G$300,MATCH($F357,Nutrition!$A$2:$A$300,0))*$I357/100,0))</f>
        <v>0.22</v>
      </c>
      <c r="N357" s="30">
        <f>IF(OR($F357="",$I357=""),0,IFERROR(INDEX(Nutrition!$H$2:$H$300,MATCH($F357,Nutrition!$A$2:$A$300,0))*$I357/100,0))</f>
        <v>10.45</v>
      </c>
      <c r="O357" s="30">
        <f>IF(OR($F357="",$I357=""),0,IFERROR(INDEX(Nutrition!$I$2:$I$300,MATCH($F357,Nutrition!$A$2:$A$300,0))*$I357/100,0))</f>
        <v>80.3</v>
      </c>
      <c r="P357" s="30">
        <f>IF(OR($F357="",$I357=""),0,IFERROR(INDEX(Nutrition!$J$2:$J$300,MATCH($F357,Nutrition!$A$2:$A$300,0))*$I357/100,0))</f>
        <v>1.1000000000000001E-2</v>
      </c>
      <c r="Q357" s="30">
        <f>IF(OR($F357="",$I357=""),0,IFERROR(INDEX(Nutrition!$K$2:$K$300,MATCH($F357,Nutrition!$A$2:$A$300,0))*$I357/100,0))</f>
        <v>6.6000000000000003E-2</v>
      </c>
      <c r="R357" s="30">
        <f>IF(OR($F357="",$I357=""),0,IFERROR(INDEX(Nutrition!$L$2:$L$300,MATCH($F357,Nutrition!$A$2:$A$300,0))*$I357/100,0))</f>
        <v>5.5</v>
      </c>
      <c r="S357" s="30">
        <f>IF(OR($F357="",$I357=""),0,IFERROR(INDEX(Nutrition!$M$2:$M$300,MATCH($F357,Nutrition!$A$2:$A$300,0))*$I357/100,0))</f>
        <v>0.11549999999999999</v>
      </c>
    </row>
    <row r="358" spans="1:19" ht="15" customHeight="1" x14ac:dyDescent="0.25">
      <c r="A358" s="22" t="s">
        <v>1433</v>
      </c>
      <c r="B358" s="33" t="str">
        <f>IFERROR(INDEX(Recipes!$B$2:$B$500,MATCH(A358,Recipes!$A$2:$A$500,0)),"")</f>
        <v>Greek Chicken Gyro Bowl with Tzatziki</v>
      </c>
      <c r="C358" s="7" t="s">
        <v>546</v>
      </c>
      <c r="D358" s="34">
        <v>0.5</v>
      </c>
      <c r="E358" s="22" t="s">
        <v>2808</v>
      </c>
      <c r="F358" s="22" t="s">
        <v>545</v>
      </c>
      <c r="G358" s="22" t="s">
        <v>2755</v>
      </c>
      <c r="H358" s="7"/>
      <c r="I358" s="35">
        <v>313</v>
      </c>
      <c r="J358" s="30">
        <f>IF(OR($F358="",$I358=""),0,IFERROR(INDEX(Nutrition!$D$2:$D$300,MATCH($F358,Nutrition!$A$2:$A$300,0))*$I358/100,0))</f>
        <v>6.5730000000000004</v>
      </c>
      <c r="K358" s="30">
        <f>IF(OR($F358="",$I358=""),0,IFERROR(INDEX(Nutrition!$E$2:$E$300,MATCH($F358,Nutrition!$A$2:$A$300,0))*$I358/100,0))</f>
        <v>12.52</v>
      </c>
      <c r="L358" s="30">
        <f>IF(OR($F358="",$I358=""),0,IFERROR(INDEX(Nutrition!$F$2:$F$300,MATCH($F358,Nutrition!$A$2:$A$300,0))*$I358/100,0))</f>
        <v>1364.68</v>
      </c>
      <c r="M358" s="30">
        <f>IF(OR($F358="",$I358=""),0,IFERROR(INDEX(Nutrition!$G$2:$G$300,MATCH($F358,Nutrition!$A$2:$A$300,0))*$I358/100,0))</f>
        <v>320.82499999999999</v>
      </c>
      <c r="N358" s="30">
        <f>IF(OR($F358="",$I358=""),0,IFERROR(INDEX(Nutrition!$H$2:$H$300,MATCH($F358,Nutrition!$A$2:$A$300,0))*$I358/100,0))</f>
        <v>425.68</v>
      </c>
      <c r="O358" s="30">
        <f>IF(OR($F358="",$I358=""),0,IFERROR(INDEX(Nutrition!$I$2:$I$300,MATCH($F358,Nutrition!$A$2:$A$300,0))*$I358/100,0))</f>
        <v>773.11</v>
      </c>
      <c r="P358" s="30">
        <f>IF(OR($F358="",$I358=""),0,IFERROR(INDEX(Nutrition!$J$2:$J$300,MATCH($F358,Nutrition!$A$2:$A$300,0))*$I358/100,0))</f>
        <v>0.40690000000000004</v>
      </c>
      <c r="Q358" s="30">
        <f>IF(OR($F358="",$I358=""),0,IFERROR(INDEX(Nutrition!$K$2:$K$300,MATCH($F358,Nutrition!$A$2:$A$300,0))*$I358/100,0))</f>
        <v>0.23161999999999999</v>
      </c>
      <c r="R358" s="30">
        <f>IF(OR($F358="",$I358=""),0,IFERROR(INDEX(Nutrition!$L$2:$L$300,MATCH($F358,Nutrition!$A$2:$A$300,0))*$I358/100,0))</f>
        <v>43.82</v>
      </c>
      <c r="S358" s="30">
        <f>IF(OR($F358="",$I358=""),0,IFERROR(INDEX(Nutrition!$M$2:$M$300,MATCH($F358,Nutrition!$A$2:$A$300,0))*$I358/100,0))</f>
        <v>3.0361000000000002</v>
      </c>
    </row>
    <row r="359" spans="1:19" ht="15" customHeight="1" x14ac:dyDescent="0.25">
      <c r="A359" s="22" t="s">
        <v>1433</v>
      </c>
      <c r="B359" s="33" t="str">
        <f>IFERROR(INDEX(Recipes!$B$2:$B$500,MATCH(A359,Recipes!$A$2:$A$500,0)),"")</f>
        <v>Greek Chicken Gyro Bowl with Tzatziki</v>
      </c>
      <c r="C359" s="7" t="s">
        <v>500</v>
      </c>
      <c r="D359" s="34">
        <v>2</v>
      </c>
      <c r="E359" s="22" t="s">
        <v>2776</v>
      </c>
      <c r="F359" s="22" t="s">
        <v>499</v>
      </c>
      <c r="G359" s="22" t="s">
        <v>2755</v>
      </c>
      <c r="H359" s="7"/>
      <c r="I359" s="35">
        <v>6</v>
      </c>
      <c r="J359" s="30">
        <f>IF(OR($F359="",$I359=""),0,IFERROR(INDEX(Nutrition!$D$2:$D$300,MATCH($F359,Nutrition!$A$2:$A$300,0))*$I359/100,0))</f>
        <v>0.126</v>
      </c>
      <c r="K359" s="30">
        <f>IF(OR($F359="",$I359=""),0,IFERROR(INDEX(Nutrition!$E$2:$E$300,MATCH($F359,Nutrition!$A$2:$A$300,0))*$I359/100,0))</f>
        <v>1.8719999999999999</v>
      </c>
      <c r="L359" s="30">
        <f>IF(OR($F359="",$I359=""),0,IFERROR(INDEX(Nutrition!$F$2:$F$300,MATCH($F359,Nutrition!$A$2:$A$300,0))*$I359/100,0))</f>
        <v>0</v>
      </c>
      <c r="M359" s="30">
        <f>IF(OR($F359="",$I359=""),0,IFERROR(INDEX(Nutrition!$G$2:$G$300,MATCH($F359,Nutrition!$A$2:$A$300,0))*$I359/100,0))</f>
        <v>0.10199999999999999</v>
      </c>
      <c r="N359" s="30">
        <f>IF(OR($F359="",$I359=""),0,IFERROR(INDEX(Nutrition!$H$2:$H$300,MATCH($F359,Nutrition!$A$2:$A$300,0))*$I359/100,0))</f>
        <v>0.18</v>
      </c>
      <c r="O359" s="30">
        <f>IF(OR($F359="",$I359=""),0,IFERROR(INDEX(Nutrition!$I$2:$I$300,MATCH($F359,Nutrition!$A$2:$A$300,0))*$I359/100,0))</f>
        <v>24.06</v>
      </c>
      <c r="P359" s="30">
        <f>IF(OR($F359="",$I359=""),0,IFERROR(INDEX(Nutrition!$J$2:$J$300,MATCH($F359,Nutrition!$A$2:$A$300,0))*$I359/100,0))</f>
        <v>4.7999999999999996E-3</v>
      </c>
      <c r="Q359" s="30">
        <f>IF(OR($F359="",$I359=""),0,IFERROR(INDEX(Nutrition!$K$2:$K$300,MATCH($F359,Nutrition!$A$2:$A$300,0))*$I359/100,0))</f>
        <v>7.4099999999999999E-2</v>
      </c>
      <c r="R359" s="30">
        <f>IF(OR($F359="",$I359=""),0,IFERROR(INDEX(Nutrition!$L$2:$L$300,MATCH($F359,Nutrition!$A$2:$A$300,0))*$I359/100,0))</f>
        <v>1.5</v>
      </c>
      <c r="S359" s="30">
        <f>IF(OR($F359="",$I359=""),0,IFERROR(INDEX(Nutrition!$M$2:$M$300,MATCH($F359,Nutrition!$A$2:$A$300,0))*$I359/100,0))</f>
        <v>0.10199999999999999</v>
      </c>
    </row>
    <row r="360" spans="1:19" ht="15" customHeight="1" x14ac:dyDescent="0.25">
      <c r="A360" s="22" t="s">
        <v>1433</v>
      </c>
      <c r="B360" s="33" t="str">
        <f>IFERROR(INDEX(Recipes!$B$2:$B$500,MATCH(A360,Recipes!$A$2:$A$500,0)),"")</f>
        <v>Greek Chicken Gyro Bowl with Tzatziki</v>
      </c>
      <c r="C360" s="7" t="s">
        <v>206</v>
      </c>
      <c r="D360" s="34">
        <v>1</v>
      </c>
      <c r="E360" s="22" t="s">
        <v>2754</v>
      </c>
      <c r="F360" s="22" t="s">
        <v>205</v>
      </c>
      <c r="G360" s="22" t="s">
        <v>2755</v>
      </c>
      <c r="H360" s="7"/>
      <c r="I360" s="35">
        <v>58</v>
      </c>
      <c r="J360" s="30">
        <f>IF(OR($F360="",$I360=""),0,IFERROR(INDEX(Nutrition!$D$2:$D$300,MATCH($F360,Nutrition!$A$2:$A$300,0))*$I360/100,0))</f>
        <v>1.6239999999999997</v>
      </c>
      <c r="K360" s="30">
        <f>IF(OR($F360="",$I360=""),0,IFERROR(INDEX(Nutrition!$E$2:$E$300,MATCH($F360,Nutrition!$A$2:$A$300,0))*$I360/100,0))</f>
        <v>30.74</v>
      </c>
      <c r="L360" s="30">
        <f>IF(OR($F360="",$I360=""),0,IFERROR(INDEX(Nutrition!$F$2:$F$300,MATCH($F360,Nutrition!$A$2:$A$300,0))*$I360/100,0))</f>
        <v>0.57999999999999996</v>
      </c>
      <c r="M360" s="30">
        <f>IF(OR($F360="",$I360=""),0,IFERROR(INDEX(Nutrition!$G$2:$G$300,MATCH($F360,Nutrition!$A$2:$A$300,0))*$I360/100,0))</f>
        <v>0</v>
      </c>
      <c r="N360" s="30">
        <f>IF(OR($F360="",$I360=""),0,IFERROR(INDEX(Nutrition!$H$2:$H$300,MATCH($F360,Nutrition!$A$2:$A$300,0))*$I360/100,0))</f>
        <v>6.38</v>
      </c>
      <c r="O360" s="30">
        <f>IF(OR($F360="",$I360=""),0,IFERROR(INDEX(Nutrition!$I$2:$I$300,MATCH($F360,Nutrition!$A$2:$A$300,0))*$I360/100,0))</f>
        <v>80.040000000000006</v>
      </c>
      <c r="P360" s="30">
        <f>IF(OR($F360="",$I360=""),0,IFERROR(INDEX(Nutrition!$J$2:$J$300,MATCH($F360,Nutrition!$A$2:$A$300,0))*$I360/100,0))</f>
        <v>8.6999999999999994E-2</v>
      </c>
      <c r="Q360" s="30">
        <f>IF(OR($F360="",$I360=""),0,IFERROR(INDEX(Nutrition!$K$2:$K$300,MATCH($F360,Nutrition!$A$2:$A$300,0))*$I360/100,0))</f>
        <v>4.6399999999999997E-2</v>
      </c>
      <c r="R360" s="30">
        <f>IF(OR($F360="",$I360=""),0,IFERROR(INDEX(Nutrition!$L$2:$L$300,MATCH($F360,Nutrition!$A$2:$A$300,0))*$I360/100,0))</f>
        <v>4.6399999999999997</v>
      </c>
      <c r="S360" s="30">
        <f>IF(OR($F360="",$I360=""),0,IFERROR(INDEX(Nutrition!$M$2:$M$300,MATCH($F360,Nutrition!$A$2:$A$300,0))*$I360/100,0))</f>
        <v>0.34799999999999998</v>
      </c>
    </row>
    <row r="361" spans="1:19" ht="15" customHeight="1" x14ac:dyDescent="0.25">
      <c r="A361" s="22" t="s">
        <v>1433</v>
      </c>
      <c r="B361" s="33" t="str">
        <f>IFERROR(INDEX(Recipes!$B$2:$B$500,MATCH(A361,Recipes!$A$2:$A$500,0)),"")</f>
        <v>Greek Chicken Gyro Bowl with Tzatziki</v>
      </c>
      <c r="C361" s="7" t="s">
        <v>663</v>
      </c>
      <c r="D361" s="34">
        <v>1</v>
      </c>
      <c r="E361" s="22" t="s">
        <v>2811</v>
      </c>
      <c r="F361" s="22" t="s">
        <v>662</v>
      </c>
      <c r="G361" s="22" t="s">
        <v>2755</v>
      </c>
      <c r="H361" s="7" t="s">
        <v>2858</v>
      </c>
      <c r="I361" s="35">
        <v>25</v>
      </c>
      <c r="J361" s="30">
        <f>IF(OR($F361="",$I361=""),0,IFERROR(INDEX(Nutrition!$D$2:$D$300,MATCH($F361,Nutrition!$A$2:$A$300,0))*$I361/100,0))</f>
        <v>1.7</v>
      </c>
      <c r="K361" s="30">
        <f>IF(OR($F361="",$I361=""),0,IFERROR(INDEX(Nutrition!$E$2:$E$300,MATCH($F361,Nutrition!$A$2:$A$300,0))*$I361/100,0))</f>
        <v>3.3250000000000002</v>
      </c>
      <c r="L361" s="30">
        <f>IF(OR($F361="",$I361=""),0,IFERROR(INDEX(Nutrition!$F$2:$F$300,MATCH($F361,Nutrition!$A$2:$A$300,0))*$I361/100,0))</f>
        <v>50.75</v>
      </c>
      <c r="M361" s="30">
        <f>IF(OR($F361="",$I361=""),0,IFERROR(INDEX(Nutrition!$G$2:$G$300,MATCH($F361,Nutrition!$A$2:$A$300,0))*$I361/100,0))</f>
        <v>0</v>
      </c>
      <c r="N361" s="30">
        <f>IF(OR($F361="",$I361=""),0,IFERROR(INDEX(Nutrition!$H$2:$H$300,MATCH($F361,Nutrition!$A$2:$A$300,0))*$I361/100,0))</f>
        <v>26.25</v>
      </c>
      <c r="O361" s="30">
        <f>IF(OR($F361="",$I361=""),0,IFERROR(INDEX(Nutrition!$I$2:$I$300,MATCH($F361,Nutrition!$A$2:$A$300,0))*$I361/100,0))</f>
        <v>114.5</v>
      </c>
      <c r="P361" s="30">
        <f>IF(OR($F361="",$I361=""),0,IFERROR(INDEX(Nutrition!$J$2:$J$300,MATCH($F361,Nutrition!$A$2:$A$300,0))*$I361/100,0))</f>
        <v>0</v>
      </c>
      <c r="Q361" s="30">
        <f>IF(OR($F361="",$I361=""),0,IFERROR(INDEX(Nutrition!$K$2:$K$300,MATCH($F361,Nutrition!$A$2:$A$300,0))*$I361/100,0))</f>
        <v>3.95E-2</v>
      </c>
      <c r="R361" s="30">
        <f>IF(OR($F361="",$I361=""),0,IFERROR(INDEX(Nutrition!$L$2:$L$300,MATCH($F361,Nutrition!$A$2:$A$300,0))*$I361/100,0))</f>
        <v>15.75</v>
      </c>
      <c r="S361" s="30">
        <f>IF(OR($F361="",$I361=""),0,IFERROR(INDEX(Nutrition!$M$2:$M$300,MATCH($F361,Nutrition!$A$2:$A$300,0))*$I361/100,0))</f>
        <v>2.9674999999999998</v>
      </c>
    </row>
    <row r="362" spans="1:19" ht="15" customHeight="1" x14ac:dyDescent="0.25">
      <c r="A362" s="22" t="s">
        <v>1433</v>
      </c>
      <c r="B362" s="33" t="str">
        <f>IFERROR(INDEX(Recipes!$B$2:$B$500,MATCH(A362,Recipes!$A$2:$A$500,0)),"")</f>
        <v>Greek Chicken Gyro Bowl with Tzatziki</v>
      </c>
      <c r="C362" s="7" t="s">
        <v>2762</v>
      </c>
      <c r="D362" s="34">
        <v>1</v>
      </c>
      <c r="E362" s="22" t="s">
        <v>2748</v>
      </c>
      <c r="F362" s="22"/>
      <c r="G362" s="22" t="s">
        <v>2749</v>
      </c>
      <c r="H362" s="7"/>
      <c r="I362" s="35"/>
      <c r="J362" s="30">
        <f>IF(OR($F362="",$I362=""),0,IFERROR(INDEX(Nutrition!$D$2:$D$300,MATCH($F362,Nutrition!$A$2:$A$300,0))*$I362/100,0))</f>
        <v>0</v>
      </c>
      <c r="K362" s="30">
        <f>IF(OR($F362="",$I362=""),0,IFERROR(INDEX(Nutrition!$E$2:$E$300,MATCH($F362,Nutrition!$A$2:$A$300,0))*$I362/100,0))</f>
        <v>0</v>
      </c>
      <c r="L362" s="30">
        <f>IF(OR($F362="",$I362=""),0,IFERROR(INDEX(Nutrition!$F$2:$F$300,MATCH($F362,Nutrition!$A$2:$A$300,0))*$I362/100,0))</f>
        <v>0</v>
      </c>
      <c r="M362" s="30">
        <f>IF(OR($F362="",$I362=""),0,IFERROR(INDEX(Nutrition!$G$2:$G$300,MATCH($F362,Nutrition!$A$2:$A$300,0))*$I362/100,0))</f>
        <v>0</v>
      </c>
      <c r="N362" s="30">
        <f>IF(OR($F362="",$I362=""),0,IFERROR(INDEX(Nutrition!$H$2:$H$300,MATCH($F362,Nutrition!$A$2:$A$300,0))*$I362/100,0))</f>
        <v>0</v>
      </c>
      <c r="O362" s="30">
        <f>IF(OR($F362="",$I362=""),0,IFERROR(INDEX(Nutrition!$I$2:$I$300,MATCH($F362,Nutrition!$A$2:$A$300,0))*$I362/100,0))</f>
        <v>0</v>
      </c>
      <c r="P362" s="30">
        <f>IF(OR($F362="",$I362=""),0,IFERROR(INDEX(Nutrition!$J$2:$J$300,MATCH($F362,Nutrition!$A$2:$A$300,0))*$I362/100,0))</f>
        <v>0</v>
      </c>
      <c r="Q362" s="30">
        <f>IF(OR($F362="",$I362=""),0,IFERROR(INDEX(Nutrition!$K$2:$K$300,MATCH($F362,Nutrition!$A$2:$A$300,0))*$I362/100,0))</f>
        <v>0</v>
      </c>
      <c r="R362" s="30">
        <f>IF(OR($F362="",$I362=""),0,IFERROR(INDEX(Nutrition!$L$2:$L$300,MATCH($F362,Nutrition!$A$2:$A$300,0))*$I362/100,0))</f>
        <v>0</v>
      </c>
      <c r="S362" s="30">
        <f>IF(OR($F362="",$I362=""),0,IFERROR(INDEX(Nutrition!$M$2:$M$300,MATCH($F362,Nutrition!$A$2:$A$300,0))*$I362/100,0))</f>
        <v>0</v>
      </c>
    </row>
    <row r="363" spans="1:19" ht="15" customHeight="1" x14ac:dyDescent="0.25">
      <c r="A363" s="22" t="s">
        <v>1433</v>
      </c>
      <c r="B363" s="33" t="str">
        <f>IFERROR(INDEX(Recipes!$B$2:$B$500,MATCH(A363,Recipes!$A$2:$A$500,0)),"")</f>
        <v>Greek Chicken Gyro Bowl with Tzatziki</v>
      </c>
      <c r="C363" s="7" t="s">
        <v>2827</v>
      </c>
      <c r="D363" s="34">
        <v>1</v>
      </c>
      <c r="E363" s="22" t="s">
        <v>2759</v>
      </c>
      <c r="F363" s="22"/>
      <c r="G363" s="22" t="s">
        <v>2749</v>
      </c>
      <c r="H363" s="7"/>
      <c r="I363" s="35"/>
      <c r="J363" s="30">
        <f>IF(OR($F363="",$I363=""),0,IFERROR(INDEX(Nutrition!$D$2:$D$300,MATCH($F363,Nutrition!$A$2:$A$300,0))*$I363/100,0))</f>
        <v>0</v>
      </c>
      <c r="K363" s="30">
        <f>IF(OR($F363="",$I363=""),0,IFERROR(INDEX(Nutrition!$E$2:$E$300,MATCH($F363,Nutrition!$A$2:$A$300,0))*$I363/100,0))</f>
        <v>0</v>
      </c>
      <c r="L363" s="30">
        <f>IF(OR($F363="",$I363=""),0,IFERROR(INDEX(Nutrition!$F$2:$F$300,MATCH($F363,Nutrition!$A$2:$A$300,0))*$I363/100,0))</f>
        <v>0</v>
      </c>
      <c r="M363" s="30">
        <f>IF(OR($F363="",$I363=""),0,IFERROR(INDEX(Nutrition!$G$2:$G$300,MATCH($F363,Nutrition!$A$2:$A$300,0))*$I363/100,0))</f>
        <v>0</v>
      </c>
      <c r="N363" s="30">
        <f>IF(OR($F363="",$I363=""),0,IFERROR(INDEX(Nutrition!$H$2:$H$300,MATCH($F363,Nutrition!$A$2:$A$300,0))*$I363/100,0))</f>
        <v>0</v>
      </c>
      <c r="O363" s="30">
        <f>IF(OR($F363="",$I363=""),0,IFERROR(INDEX(Nutrition!$I$2:$I$300,MATCH($F363,Nutrition!$A$2:$A$300,0))*$I363/100,0))</f>
        <v>0</v>
      </c>
      <c r="P363" s="30">
        <f>IF(OR($F363="",$I363=""),0,IFERROR(INDEX(Nutrition!$J$2:$J$300,MATCH($F363,Nutrition!$A$2:$A$300,0))*$I363/100,0))</f>
        <v>0</v>
      </c>
      <c r="Q363" s="30">
        <f>IF(OR($F363="",$I363=""),0,IFERROR(INDEX(Nutrition!$K$2:$K$300,MATCH($F363,Nutrition!$A$2:$A$300,0))*$I363/100,0))</f>
        <v>0</v>
      </c>
      <c r="R363" s="30">
        <f>IF(OR($F363="",$I363=""),0,IFERROR(INDEX(Nutrition!$L$2:$L$300,MATCH($F363,Nutrition!$A$2:$A$300,0))*$I363/100,0))</f>
        <v>0</v>
      </c>
      <c r="S363" s="30">
        <f>IF(OR($F363="",$I363=""),0,IFERROR(INDEX(Nutrition!$M$2:$M$300,MATCH($F363,Nutrition!$A$2:$A$300,0))*$I363/100,0))</f>
        <v>0</v>
      </c>
    </row>
    <row r="364" spans="1:19" ht="15" customHeight="1" x14ac:dyDescent="0.25">
      <c r="A364" s="22" t="s">
        <v>1433</v>
      </c>
      <c r="B364" s="33" t="str">
        <f>IFERROR(INDEX(Recipes!$B$2:$B$500,MATCH(A364,Recipes!$A$2:$A$500,0)),"")</f>
        <v>Greek Chicken Gyro Bowl with Tzatziki</v>
      </c>
      <c r="C364" s="7" t="s">
        <v>2805</v>
      </c>
      <c r="D364" s="34">
        <v>1</v>
      </c>
      <c r="E364" s="22" t="s">
        <v>2753</v>
      </c>
      <c r="F364" s="22"/>
      <c r="G364" s="22" t="s">
        <v>2773</v>
      </c>
      <c r="H364" s="7"/>
      <c r="I364" s="35"/>
      <c r="J364" s="30">
        <f>IF(OR($F364="",$I364=""),0,IFERROR(INDEX(Nutrition!$D$2:$D$300,MATCH($F364,Nutrition!$A$2:$A$300,0))*$I364/100,0))</f>
        <v>0</v>
      </c>
      <c r="K364" s="30">
        <f>IF(OR($F364="",$I364=""),0,IFERROR(INDEX(Nutrition!$E$2:$E$300,MATCH($F364,Nutrition!$A$2:$A$300,0))*$I364/100,0))</f>
        <v>0</v>
      </c>
      <c r="L364" s="30">
        <f>IF(OR($F364="",$I364=""),0,IFERROR(INDEX(Nutrition!$F$2:$F$300,MATCH($F364,Nutrition!$A$2:$A$300,0))*$I364/100,0))</f>
        <v>0</v>
      </c>
      <c r="M364" s="30">
        <f>IF(OR($F364="",$I364=""),0,IFERROR(INDEX(Nutrition!$G$2:$G$300,MATCH($F364,Nutrition!$A$2:$A$300,0))*$I364/100,0))</f>
        <v>0</v>
      </c>
      <c r="N364" s="30">
        <f>IF(OR($F364="",$I364=""),0,IFERROR(INDEX(Nutrition!$H$2:$H$300,MATCH($F364,Nutrition!$A$2:$A$300,0))*$I364/100,0))</f>
        <v>0</v>
      </c>
      <c r="O364" s="30">
        <f>IF(OR($F364="",$I364=""),0,IFERROR(INDEX(Nutrition!$I$2:$I$300,MATCH($F364,Nutrition!$A$2:$A$300,0))*$I364/100,0))</f>
        <v>0</v>
      </c>
      <c r="P364" s="30">
        <f>IF(OR($F364="",$I364=""),0,IFERROR(INDEX(Nutrition!$J$2:$J$300,MATCH($F364,Nutrition!$A$2:$A$300,0))*$I364/100,0))</f>
        <v>0</v>
      </c>
      <c r="Q364" s="30">
        <f>IF(OR($F364="",$I364=""),0,IFERROR(INDEX(Nutrition!$K$2:$K$300,MATCH($F364,Nutrition!$A$2:$A$300,0))*$I364/100,0))</f>
        <v>0</v>
      </c>
      <c r="R364" s="30">
        <f>IF(OR($F364="",$I364=""),0,IFERROR(INDEX(Nutrition!$L$2:$L$300,MATCH($F364,Nutrition!$A$2:$A$300,0))*$I364/100,0))</f>
        <v>0</v>
      </c>
      <c r="S364" s="30">
        <f>IF(OR($F364="",$I364=""),0,IFERROR(INDEX(Nutrition!$M$2:$M$300,MATCH($F364,Nutrition!$A$2:$A$300,0))*$I364/100,0))</f>
        <v>0</v>
      </c>
    </row>
    <row r="365" spans="1:19" ht="15" customHeight="1" x14ac:dyDescent="0.25">
      <c r="A365" s="22" t="s">
        <v>1444</v>
      </c>
      <c r="B365" s="33" t="str">
        <f>IFERROR(INDEX(Recipes!$B$2:$B$500,MATCH(A365,Recipes!$A$2:$A$500,0)),"")</f>
        <v>Coconut Prawn &amp; Mango Rice Bowl</v>
      </c>
      <c r="C365" s="7" t="s">
        <v>2846</v>
      </c>
      <c r="D365" s="34">
        <v>250</v>
      </c>
      <c r="E365" s="22" t="s">
        <v>2813</v>
      </c>
      <c r="F365" s="22"/>
      <c r="G365" s="22" t="s">
        <v>2768</v>
      </c>
      <c r="H365" s="7"/>
      <c r="I365" s="35"/>
      <c r="J365" s="30">
        <f>IF(OR($F365="",$I365=""),0,IFERROR(INDEX(Nutrition!$D$2:$D$300,MATCH($F365,Nutrition!$A$2:$A$300,0))*$I365/100,0))</f>
        <v>0</v>
      </c>
      <c r="K365" s="30">
        <f>IF(OR($F365="",$I365=""),0,IFERROR(INDEX(Nutrition!$E$2:$E$300,MATCH($F365,Nutrition!$A$2:$A$300,0))*$I365/100,0))</f>
        <v>0</v>
      </c>
      <c r="L365" s="30">
        <f>IF(OR($F365="",$I365=""),0,IFERROR(INDEX(Nutrition!$F$2:$F$300,MATCH($F365,Nutrition!$A$2:$A$300,0))*$I365/100,0))</f>
        <v>0</v>
      </c>
      <c r="M365" s="30">
        <f>IF(OR($F365="",$I365=""),0,IFERROR(INDEX(Nutrition!$G$2:$G$300,MATCH($F365,Nutrition!$A$2:$A$300,0))*$I365/100,0))</f>
        <v>0</v>
      </c>
      <c r="N365" s="30">
        <f>IF(OR($F365="",$I365=""),0,IFERROR(INDEX(Nutrition!$H$2:$H$300,MATCH($F365,Nutrition!$A$2:$A$300,0))*$I365/100,0))</f>
        <v>0</v>
      </c>
      <c r="O365" s="30">
        <f>IF(OR($F365="",$I365=""),0,IFERROR(INDEX(Nutrition!$I$2:$I$300,MATCH($F365,Nutrition!$A$2:$A$300,0))*$I365/100,0))</f>
        <v>0</v>
      </c>
      <c r="P365" s="30">
        <f>IF(OR($F365="",$I365=""),0,IFERROR(INDEX(Nutrition!$J$2:$J$300,MATCH($F365,Nutrition!$A$2:$A$300,0))*$I365/100,0))</f>
        <v>0</v>
      </c>
      <c r="Q365" s="30">
        <f>IF(OR($F365="",$I365=""),0,IFERROR(INDEX(Nutrition!$K$2:$K$300,MATCH($F365,Nutrition!$A$2:$A$300,0))*$I365/100,0))</f>
        <v>0</v>
      </c>
      <c r="R365" s="30">
        <f>IF(OR($F365="",$I365=""),0,IFERROR(INDEX(Nutrition!$L$2:$L$300,MATCH($F365,Nutrition!$A$2:$A$300,0))*$I365/100,0))</f>
        <v>0</v>
      </c>
      <c r="S365" s="30">
        <f>IF(OR($F365="",$I365=""),0,IFERROR(INDEX(Nutrition!$M$2:$M$300,MATCH($F365,Nutrition!$A$2:$A$300,0))*$I365/100,0))</f>
        <v>0</v>
      </c>
    </row>
    <row r="366" spans="1:19" ht="15" customHeight="1" x14ac:dyDescent="0.25">
      <c r="A366" s="22" t="s">
        <v>1444</v>
      </c>
      <c r="B366" s="33" t="str">
        <f>IFERROR(INDEX(Recipes!$B$2:$B$500,MATCH(A366,Recipes!$A$2:$A$500,0)),"")</f>
        <v>Coconut Prawn &amp; Mango Rice Bowl</v>
      </c>
      <c r="C366" s="7" t="s">
        <v>2801</v>
      </c>
      <c r="D366" s="34">
        <v>1</v>
      </c>
      <c r="E366" s="22" t="s">
        <v>2748</v>
      </c>
      <c r="F366" s="22"/>
      <c r="G366" s="22" t="s">
        <v>2749</v>
      </c>
      <c r="H366" s="7" t="s">
        <v>2844</v>
      </c>
      <c r="I366" s="35"/>
      <c r="J366" s="30">
        <f>IF(OR($F366="",$I366=""),0,IFERROR(INDEX(Nutrition!$D$2:$D$300,MATCH($F366,Nutrition!$A$2:$A$300,0))*$I366/100,0))</f>
        <v>0</v>
      </c>
      <c r="K366" s="30">
        <f>IF(OR($F366="",$I366=""),0,IFERROR(INDEX(Nutrition!$E$2:$E$300,MATCH($F366,Nutrition!$A$2:$A$300,0))*$I366/100,0))</f>
        <v>0</v>
      </c>
      <c r="L366" s="30">
        <f>IF(OR($F366="",$I366=""),0,IFERROR(INDEX(Nutrition!$F$2:$F$300,MATCH($F366,Nutrition!$A$2:$A$300,0))*$I366/100,0))</f>
        <v>0</v>
      </c>
      <c r="M366" s="30">
        <f>IF(OR($F366="",$I366=""),0,IFERROR(INDEX(Nutrition!$G$2:$G$300,MATCH($F366,Nutrition!$A$2:$A$300,0))*$I366/100,0))</f>
        <v>0</v>
      </c>
      <c r="N366" s="30">
        <f>IF(OR($F366="",$I366=""),0,IFERROR(INDEX(Nutrition!$H$2:$H$300,MATCH($F366,Nutrition!$A$2:$A$300,0))*$I366/100,0))</f>
        <v>0</v>
      </c>
      <c r="O366" s="30">
        <f>IF(OR($F366="",$I366=""),0,IFERROR(INDEX(Nutrition!$I$2:$I$300,MATCH($F366,Nutrition!$A$2:$A$300,0))*$I366/100,0))</f>
        <v>0</v>
      </c>
      <c r="P366" s="30">
        <f>IF(OR($F366="",$I366=""),0,IFERROR(INDEX(Nutrition!$J$2:$J$300,MATCH($F366,Nutrition!$A$2:$A$300,0))*$I366/100,0))</f>
        <v>0</v>
      </c>
      <c r="Q366" s="30">
        <f>IF(OR($F366="",$I366=""),0,IFERROR(INDEX(Nutrition!$K$2:$K$300,MATCH($F366,Nutrition!$A$2:$A$300,0))*$I366/100,0))</f>
        <v>0</v>
      </c>
      <c r="R366" s="30">
        <f>IF(OR($F366="",$I366=""),0,IFERROR(INDEX(Nutrition!$L$2:$L$300,MATCH($F366,Nutrition!$A$2:$A$300,0))*$I366/100,0))</f>
        <v>0</v>
      </c>
      <c r="S366" s="30">
        <f>IF(OR($F366="",$I366=""),0,IFERROR(INDEX(Nutrition!$M$2:$M$300,MATCH($F366,Nutrition!$A$2:$A$300,0))*$I366/100,0))</f>
        <v>0</v>
      </c>
    </row>
    <row r="367" spans="1:19" ht="15" customHeight="1" x14ac:dyDescent="0.25">
      <c r="A367" s="22" t="s">
        <v>1444</v>
      </c>
      <c r="B367" s="33" t="str">
        <f>IFERROR(INDEX(Recipes!$B$2:$B$500,MATCH(A367,Recipes!$A$2:$A$500,0)),"")</f>
        <v>Coconut Prawn &amp; Mango Rice Bowl</v>
      </c>
      <c r="C367" s="7" t="s">
        <v>262</v>
      </c>
      <c r="D367" s="34">
        <v>0.5</v>
      </c>
      <c r="E367" s="22" t="s">
        <v>2754</v>
      </c>
      <c r="F367" s="22" t="s">
        <v>261</v>
      </c>
      <c r="G367" s="22" t="s">
        <v>2755</v>
      </c>
      <c r="H367" s="7" t="s">
        <v>2792</v>
      </c>
      <c r="I367" s="35">
        <v>198</v>
      </c>
      <c r="J367" s="30">
        <f>IF(OR($F367="",$I367=""),0,IFERROR(INDEX(Nutrition!$D$2:$D$300,MATCH($F367,Nutrition!$A$2:$A$300,0))*$I367/100,0))</f>
        <v>17.82</v>
      </c>
      <c r="K367" s="30">
        <f>IF(OR($F367="",$I367=""),0,IFERROR(INDEX(Nutrition!$E$2:$E$300,MATCH($F367,Nutrition!$A$2:$A$300,0))*$I367/100,0))</f>
        <v>6.5339999999999998</v>
      </c>
      <c r="L367" s="30">
        <f>IF(OR($F367="",$I367=""),0,IFERROR(INDEX(Nutrition!$F$2:$F$300,MATCH($F367,Nutrition!$A$2:$A$300,0))*$I367/100,0))</f>
        <v>0</v>
      </c>
      <c r="M367" s="30">
        <f>IF(OR($F367="",$I367=""),0,IFERROR(INDEX(Nutrition!$G$2:$G$300,MATCH($F367,Nutrition!$A$2:$A$300,0))*$I367/100,0))</f>
        <v>0.39600000000000002</v>
      </c>
      <c r="N367" s="30">
        <f>IF(OR($F367="",$I367=""),0,IFERROR(INDEX(Nutrition!$H$2:$H$300,MATCH($F367,Nutrition!$A$2:$A$300,0))*$I367/100,0))</f>
        <v>51.48</v>
      </c>
      <c r="O367" s="30">
        <f>IF(OR($F367="",$I367=""),0,IFERROR(INDEX(Nutrition!$I$2:$I$300,MATCH($F367,Nutrition!$A$2:$A$300,0))*$I367/100,0))</f>
        <v>704.88</v>
      </c>
      <c r="P367" s="30">
        <f>IF(OR($F367="",$I367=""),0,IFERROR(INDEX(Nutrition!$J$2:$J$300,MATCH($F367,Nutrition!$A$2:$A$300,0))*$I367/100,0))</f>
        <v>0.47519999999999996</v>
      </c>
      <c r="Q367" s="30">
        <f>IF(OR($F367="",$I367=""),0,IFERROR(INDEX(Nutrition!$K$2:$K$300,MATCH($F367,Nutrition!$A$2:$A$300,0))*$I367/100,0))</f>
        <v>0.10692</v>
      </c>
      <c r="R367" s="30">
        <f>IF(OR($F367="",$I367=""),0,IFERROR(INDEX(Nutrition!$L$2:$L$300,MATCH($F367,Nutrition!$A$2:$A$300,0))*$I367/100,0))</f>
        <v>63.36</v>
      </c>
      <c r="S367" s="30">
        <f>IF(OR($F367="",$I367=""),0,IFERROR(INDEX(Nutrition!$M$2:$M$300,MATCH($F367,Nutrition!$A$2:$A$300,0))*$I367/100,0))</f>
        <v>4.8114000000000008</v>
      </c>
    </row>
    <row r="368" spans="1:19" ht="15" customHeight="1" x14ac:dyDescent="0.25">
      <c r="A368" s="22" t="s">
        <v>1444</v>
      </c>
      <c r="B368" s="33" t="str">
        <f>IFERROR(INDEX(Recipes!$B$2:$B$500,MATCH(A368,Recipes!$A$2:$A$500,0)),"")</f>
        <v>Coconut Prawn &amp; Mango Rice Bowl</v>
      </c>
      <c r="C368" s="7" t="s">
        <v>168</v>
      </c>
      <c r="D368" s="34">
        <v>1</v>
      </c>
      <c r="E368" s="22" t="s">
        <v>2754</v>
      </c>
      <c r="F368" s="22" t="s">
        <v>167</v>
      </c>
      <c r="G368" s="22" t="s">
        <v>2755</v>
      </c>
      <c r="H368" s="7"/>
      <c r="I368" s="35">
        <v>336</v>
      </c>
      <c r="J368" s="30">
        <f>IF(OR($F368="",$I368=""),0,IFERROR(INDEX(Nutrition!$D$2:$D$300,MATCH($F368,Nutrition!$A$2:$A$300,0))*$I368/100,0))</f>
        <v>5.3760000000000003</v>
      </c>
      <c r="K368" s="30">
        <f>IF(OR($F368="",$I368=""),0,IFERROR(INDEX(Nutrition!$E$2:$E$300,MATCH($F368,Nutrition!$A$2:$A$300,0))*$I368/100,0))</f>
        <v>122.304</v>
      </c>
      <c r="L368" s="30">
        <f>IF(OR($F368="",$I368=""),0,IFERROR(INDEX(Nutrition!$F$2:$F$300,MATCH($F368,Nutrition!$A$2:$A$300,0))*$I368/100,0))</f>
        <v>181.44</v>
      </c>
      <c r="M368" s="30">
        <f>IF(OR($F368="",$I368=""),0,IFERROR(INDEX(Nutrition!$G$2:$G$300,MATCH($F368,Nutrition!$A$2:$A$300,0))*$I368/100,0))</f>
        <v>14.112</v>
      </c>
      <c r="N368" s="30">
        <f>IF(OR($F368="",$I368=""),0,IFERROR(INDEX(Nutrition!$H$2:$H$300,MATCH($F368,Nutrition!$A$2:$A$300,0))*$I368/100,0))</f>
        <v>144.47999999999999</v>
      </c>
      <c r="O368" s="30">
        <f>IF(OR($F368="",$I368=""),0,IFERROR(INDEX(Nutrition!$I$2:$I$300,MATCH($F368,Nutrition!$A$2:$A$300,0))*$I368/100,0))</f>
        <v>564.48</v>
      </c>
      <c r="P368" s="30">
        <f>IF(OR($F368="",$I368=""),0,IFERROR(INDEX(Nutrition!$J$2:$J$300,MATCH($F368,Nutrition!$A$2:$A$300,0))*$I368/100,0))</f>
        <v>3.0240000000000005</v>
      </c>
      <c r="Q368" s="30">
        <f>IF(OR($F368="",$I368=""),0,IFERROR(INDEX(Nutrition!$K$2:$K$300,MATCH($F368,Nutrition!$A$2:$A$300,0))*$I368/100,0))</f>
        <v>0.39983999999999997</v>
      </c>
      <c r="R368" s="30">
        <f>IF(OR($F368="",$I368=""),0,IFERROR(INDEX(Nutrition!$L$2:$L$300,MATCH($F368,Nutrition!$A$2:$A$300,0))*$I368/100,0))</f>
        <v>33.6</v>
      </c>
      <c r="S368" s="30">
        <f>IF(OR($F368="",$I368=""),0,IFERROR(INDEX(Nutrition!$M$2:$M$300,MATCH($F368,Nutrition!$A$2:$A$300,0))*$I368/100,0))</f>
        <v>0.53759999999999997</v>
      </c>
    </row>
    <row r="369" spans="1:19" ht="15" customHeight="1" x14ac:dyDescent="0.25">
      <c r="A369" s="22" t="s">
        <v>1444</v>
      </c>
      <c r="B369" s="33" t="str">
        <f>IFERROR(INDEX(Recipes!$B$2:$B$500,MATCH(A369,Recipes!$A$2:$A$500,0)),"")</f>
        <v>Coconut Prawn &amp; Mango Rice Bowl</v>
      </c>
      <c r="C369" s="7" t="s">
        <v>482</v>
      </c>
      <c r="D369" s="34">
        <v>0.5</v>
      </c>
      <c r="E369" s="22" t="s">
        <v>2754</v>
      </c>
      <c r="F369" s="22" t="s">
        <v>481</v>
      </c>
      <c r="G369" s="22" t="s">
        <v>2755</v>
      </c>
      <c r="H369" s="7" t="s">
        <v>2784</v>
      </c>
      <c r="I369" s="35">
        <v>55</v>
      </c>
      <c r="J369" s="30">
        <f>IF(OR($F369="",$I369=""),0,IFERROR(INDEX(Nutrition!$D$2:$D$300,MATCH($F369,Nutrition!$A$2:$A$300,0))*$I369/100,0))</f>
        <v>0.93500000000000005</v>
      </c>
      <c r="K369" s="30">
        <f>IF(OR($F369="",$I369=""),0,IFERROR(INDEX(Nutrition!$E$2:$E$300,MATCH($F369,Nutrition!$A$2:$A$300,0))*$I369/100,0))</f>
        <v>4.07</v>
      </c>
      <c r="L369" s="30">
        <f>IF(OR($F369="",$I369=""),0,IFERROR(INDEX(Nutrition!$F$2:$F$300,MATCH($F369,Nutrition!$A$2:$A$300,0))*$I369/100,0))</f>
        <v>0</v>
      </c>
      <c r="M369" s="30">
        <f>IF(OR($F369="",$I369=""),0,IFERROR(INDEX(Nutrition!$G$2:$G$300,MATCH($F369,Nutrition!$A$2:$A$300,0))*$I369/100,0))</f>
        <v>0.22</v>
      </c>
      <c r="N369" s="30">
        <f>IF(OR($F369="",$I369=""),0,IFERROR(INDEX(Nutrition!$H$2:$H$300,MATCH($F369,Nutrition!$A$2:$A$300,0))*$I369/100,0))</f>
        <v>10.45</v>
      </c>
      <c r="O369" s="30">
        <f>IF(OR($F369="",$I369=""),0,IFERROR(INDEX(Nutrition!$I$2:$I$300,MATCH($F369,Nutrition!$A$2:$A$300,0))*$I369/100,0))</f>
        <v>80.3</v>
      </c>
      <c r="P369" s="30">
        <f>IF(OR($F369="",$I369=""),0,IFERROR(INDEX(Nutrition!$J$2:$J$300,MATCH($F369,Nutrition!$A$2:$A$300,0))*$I369/100,0))</f>
        <v>1.1000000000000001E-2</v>
      </c>
      <c r="Q369" s="30">
        <f>IF(OR($F369="",$I369=""),0,IFERROR(INDEX(Nutrition!$K$2:$K$300,MATCH($F369,Nutrition!$A$2:$A$300,0))*$I369/100,0))</f>
        <v>6.6000000000000003E-2</v>
      </c>
      <c r="R369" s="30">
        <f>IF(OR($F369="",$I369=""),0,IFERROR(INDEX(Nutrition!$L$2:$L$300,MATCH($F369,Nutrition!$A$2:$A$300,0))*$I369/100,0))</f>
        <v>5.5</v>
      </c>
      <c r="S369" s="30">
        <f>IF(OR($F369="",$I369=""),0,IFERROR(INDEX(Nutrition!$M$2:$M$300,MATCH($F369,Nutrition!$A$2:$A$300,0))*$I369/100,0))</f>
        <v>0.11549999999999999</v>
      </c>
    </row>
    <row r="370" spans="1:19" ht="15" customHeight="1" x14ac:dyDescent="0.25">
      <c r="A370" s="22" t="s">
        <v>1444</v>
      </c>
      <c r="B370" s="33" t="str">
        <f>IFERROR(INDEX(Recipes!$B$2:$B$500,MATCH(A370,Recipes!$A$2:$A$500,0)),"")</f>
        <v>Coconut Prawn &amp; Mango Rice Bowl</v>
      </c>
      <c r="C370" s="7" t="s">
        <v>462</v>
      </c>
      <c r="D370" s="34">
        <v>1</v>
      </c>
      <c r="E370" s="22" t="s">
        <v>2754</v>
      </c>
      <c r="F370" s="22" t="s">
        <v>461</v>
      </c>
      <c r="G370" s="22" t="s">
        <v>2755</v>
      </c>
      <c r="H370" s="7"/>
      <c r="I370" s="35">
        <v>119</v>
      </c>
      <c r="J370" s="30">
        <f>IF(OR($F370="",$I370=""),0,IFERROR(INDEX(Nutrition!$D$2:$D$300,MATCH($F370,Nutrition!$A$2:$A$300,0))*$I370/100,0))</f>
        <v>2.4990000000000001</v>
      </c>
      <c r="K370" s="30">
        <f>IF(OR($F370="",$I370=""),0,IFERROR(INDEX(Nutrition!$E$2:$E$300,MATCH($F370,Nutrition!$A$2:$A$300,0))*$I370/100,0))</f>
        <v>151.96300000000002</v>
      </c>
      <c r="L370" s="30">
        <f>IF(OR($F370="",$I370=""),0,IFERROR(INDEX(Nutrition!$F$2:$F$300,MATCH($F370,Nutrition!$A$2:$A$300,0))*$I370/100,0))</f>
        <v>186.83</v>
      </c>
      <c r="M370" s="30">
        <f>IF(OR($F370="",$I370=""),0,IFERROR(INDEX(Nutrition!$G$2:$G$300,MATCH($F370,Nutrition!$A$2:$A$300,0))*$I370/100,0))</f>
        <v>5.8310000000000004</v>
      </c>
      <c r="N370" s="30">
        <f>IF(OR($F370="",$I370=""),0,IFERROR(INDEX(Nutrition!$H$2:$H$300,MATCH($F370,Nutrition!$A$2:$A$300,0))*$I370/100,0))</f>
        <v>54.74</v>
      </c>
      <c r="O370" s="30">
        <f>IF(OR($F370="",$I370=""),0,IFERROR(INDEX(Nutrition!$I$2:$I$300,MATCH($F370,Nutrition!$A$2:$A$300,0))*$I370/100,0))</f>
        <v>251.09</v>
      </c>
      <c r="P370" s="30">
        <f>IF(OR($F370="",$I370=""),0,IFERROR(INDEX(Nutrition!$J$2:$J$300,MATCH($F370,Nutrition!$A$2:$A$300,0))*$I370/100,0))</f>
        <v>1.8802000000000001</v>
      </c>
      <c r="Q370" s="30">
        <f>IF(OR($F370="",$I370=""),0,IFERROR(INDEX(Nutrition!$K$2:$K$300,MATCH($F370,Nutrition!$A$2:$A$300,0))*$I370/100,0))</f>
        <v>0.34628999999999999</v>
      </c>
      <c r="R370" s="30">
        <f>IF(OR($F370="",$I370=""),0,IFERROR(INDEX(Nutrition!$L$2:$L$300,MATCH($F370,Nutrition!$A$2:$A$300,0))*$I370/100,0))</f>
        <v>14.28</v>
      </c>
      <c r="S370" s="30">
        <f>IF(OR($F370="",$I370=""),0,IFERROR(INDEX(Nutrition!$M$2:$M$300,MATCH($F370,Nutrition!$A$2:$A$300,0))*$I370/100,0))</f>
        <v>0.51170000000000004</v>
      </c>
    </row>
    <row r="371" spans="1:19" ht="15" customHeight="1" x14ac:dyDescent="0.25">
      <c r="A371" s="22" t="s">
        <v>1444</v>
      </c>
      <c r="B371" s="33" t="str">
        <f>IFERROR(INDEX(Recipes!$B$2:$B$500,MATCH(A371,Recipes!$A$2:$A$500,0)),"")</f>
        <v>Coconut Prawn &amp; Mango Rice Bowl</v>
      </c>
      <c r="C371" s="7" t="s">
        <v>473</v>
      </c>
      <c r="D371" s="34">
        <v>0.25</v>
      </c>
      <c r="E371" s="22" t="s">
        <v>2754</v>
      </c>
      <c r="F371" s="22" t="s">
        <v>472</v>
      </c>
      <c r="G371" s="22" t="s">
        <v>2755</v>
      </c>
      <c r="H371" s="7"/>
      <c r="I371" s="35">
        <v>2</v>
      </c>
      <c r="J371" s="30">
        <f>IF(OR($F371="",$I371=""),0,IFERROR(INDEX(Nutrition!$D$2:$D$300,MATCH($F371,Nutrition!$A$2:$A$300,0))*$I371/100,0))</f>
        <v>0.03</v>
      </c>
      <c r="K371" s="30">
        <f>IF(OR($F371="",$I371=""),0,IFERROR(INDEX(Nutrition!$E$2:$E$300,MATCH($F371,Nutrition!$A$2:$A$300,0))*$I371/100,0))</f>
        <v>2.8739999999999997</v>
      </c>
      <c r="L371" s="30">
        <f>IF(OR($F371="",$I371=""),0,IFERROR(INDEX(Nutrition!$F$2:$F$300,MATCH($F371,Nutrition!$A$2:$A$300,0))*$I371/100,0))</f>
        <v>0.96</v>
      </c>
      <c r="M371" s="30">
        <f>IF(OR($F371="",$I371=""),0,IFERROR(INDEX(Nutrition!$G$2:$G$300,MATCH($F371,Nutrition!$A$2:$A$300,0))*$I371/100,0))</f>
        <v>0.28000000000000003</v>
      </c>
      <c r="N371" s="30">
        <f>IF(OR($F371="",$I371=""),0,IFERROR(INDEX(Nutrition!$H$2:$H$300,MATCH($F371,Nutrition!$A$2:$A$300,0))*$I371/100,0))</f>
        <v>0.46</v>
      </c>
      <c r="O371" s="30">
        <f>IF(OR($F371="",$I371=""),0,IFERROR(INDEX(Nutrition!$I$2:$I$300,MATCH($F371,Nutrition!$A$2:$A$300,0))*$I371/100,0))</f>
        <v>6.44</v>
      </c>
      <c r="P371" s="30">
        <f>IF(OR($F371="",$I371=""),0,IFERROR(INDEX(Nutrition!$J$2:$J$300,MATCH($F371,Nutrition!$A$2:$A$300,0))*$I371/100,0))</f>
        <v>1.38E-2</v>
      </c>
      <c r="Q371" s="30">
        <f>IF(OR($F371="",$I371=""),0,IFERROR(INDEX(Nutrition!$K$2:$K$300,MATCH($F371,Nutrition!$A$2:$A$300,0))*$I371/100,0))</f>
        <v>1.0120000000000001E-2</v>
      </c>
      <c r="R371" s="30">
        <f>IF(OR($F371="",$I371=""),0,IFERROR(INDEX(Nutrition!$L$2:$L$300,MATCH($F371,Nutrition!$A$2:$A$300,0))*$I371/100,0))</f>
        <v>0.46</v>
      </c>
      <c r="S371" s="30">
        <f>IF(OR($F371="",$I371=""),0,IFERROR(INDEX(Nutrition!$M$2:$M$300,MATCH($F371,Nutrition!$A$2:$A$300,0))*$I371/100,0))</f>
        <v>2.06E-2</v>
      </c>
    </row>
    <row r="372" spans="1:19" ht="15" customHeight="1" x14ac:dyDescent="0.25">
      <c r="A372" s="22" t="s">
        <v>1444</v>
      </c>
      <c r="B372" s="33" t="str">
        <f>IFERROR(INDEX(Recipes!$B$2:$B$500,MATCH(A372,Recipes!$A$2:$A$500,0)),"")</f>
        <v>Coconut Prawn &amp; Mango Rice Bowl</v>
      </c>
      <c r="C372" s="7" t="s">
        <v>668</v>
      </c>
      <c r="D372" s="34">
        <v>1</v>
      </c>
      <c r="E372" s="22" t="s">
        <v>2809</v>
      </c>
      <c r="F372" s="22" t="s">
        <v>667</v>
      </c>
      <c r="G372" s="22" t="s">
        <v>2755</v>
      </c>
      <c r="H372" s="7"/>
      <c r="I372" s="35">
        <v>30</v>
      </c>
      <c r="J372" s="30">
        <f>IF(OR($F372="",$I372=""),0,IFERROR(INDEX(Nutrition!$D$2:$D$300,MATCH($F372,Nutrition!$A$2:$A$300,0))*$I372/100,0))</f>
        <v>0.84</v>
      </c>
      <c r="K372" s="30">
        <f>IF(OR($F372="",$I372=""),0,IFERROR(INDEX(Nutrition!$E$2:$E$300,MATCH($F372,Nutrition!$A$2:$A$300,0))*$I372/100,0))</f>
        <v>8.1</v>
      </c>
      <c r="L372" s="30">
        <f>IF(OR($F372="",$I372=""),0,IFERROR(INDEX(Nutrition!$F$2:$F$300,MATCH($F372,Nutrition!$A$2:$A$300,0))*$I372/100,0))</f>
        <v>101.1</v>
      </c>
      <c r="M372" s="30">
        <f>IF(OR($F372="",$I372=""),0,IFERROR(INDEX(Nutrition!$G$2:$G$300,MATCH($F372,Nutrition!$A$2:$A$300,0))*$I372/100,0))</f>
        <v>93</v>
      </c>
      <c r="N372" s="30">
        <f>IF(OR($F372="",$I372=""),0,IFERROR(INDEX(Nutrition!$H$2:$H$300,MATCH($F372,Nutrition!$A$2:$A$300,0))*$I372/100,0))</f>
        <v>18.600000000000001</v>
      </c>
      <c r="O372" s="30">
        <f>IF(OR($F372="",$I372=""),0,IFERROR(INDEX(Nutrition!$I$2:$I$300,MATCH($F372,Nutrition!$A$2:$A$300,0))*$I372/100,0))</f>
        <v>156.30000000000001</v>
      </c>
      <c r="P372" s="30">
        <f>IF(OR($F372="",$I372=""),0,IFERROR(INDEX(Nutrition!$J$2:$J$300,MATCH($F372,Nutrition!$A$2:$A$300,0))*$I372/100,0))</f>
        <v>0.75</v>
      </c>
      <c r="Q372" s="30">
        <f>IF(OR($F372="",$I372=""),0,IFERROR(INDEX(Nutrition!$K$2:$K$300,MATCH($F372,Nutrition!$A$2:$A$300,0))*$I372/100,0))</f>
        <v>4.4699999999999997E-2</v>
      </c>
      <c r="R372" s="30">
        <f>IF(OR($F372="",$I372=""),0,IFERROR(INDEX(Nutrition!$L$2:$L$300,MATCH($F372,Nutrition!$A$2:$A$300,0))*$I372/100,0))</f>
        <v>7.8</v>
      </c>
      <c r="S372" s="30">
        <f>IF(OR($F372="",$I372=""),0,IFERROR(INDEX(Nutrition!$M$2:$M$300,MATCH($F372,Nutrition!$A$2:$A$300,0))*$I372/100,0))</f>
        <v>0.53100000000000003</v>
      </c>
    </row>
    <row r="373" spans="1:19" ht="15" customHeight="1" x14ac:dyDescent="0.25">
      <c r="A373" s="22" t="s">
        <v>1444</v>
      </c>
      <c r="B373" s="33" t="str">
        <f>IFERROR(INDEX(Recipes!$B$2:$B$500,MATCH(A373,Recipes!$A$2:$A$500,0)),"")</f>
        <v>Coconut Prawn &amp; Mango Rice Bowl</v>
      </c>
      <c r="C373" s="7" t="s">
        <v>213</v>
      </c>
      <c r="D373" s="34">
        <v>1</v>
      </c>
      <c r="E373" s="22" t="s">
        <v>2754</v>
      </c>
      <c r="F373" s="22" t="s">
        <v>212</v>
      </c>
      <c r="G373" s="22" t="s">
        <v>2755</v>
      </c>
      <c r="H373" s="7"/>
      <c r="I373" s="35">
        <v>67</v>
      </c>
      <c r="J373" s="30">
        <f>IF(OR($F373="",$I373=""),0,IFERROR(INDEX(Nutrition!$D$2:$D$300,MATCH($F373,Nutrition!$A$2:$A$300,0))*$I373/100,0))</f>
        <v>1.8759999999999999</v>
      </c>
      <c r="K373" s="30">
        <f>IF(OR($F373="",$I373=""),0,IFERROR(INDEX(Nutrition!$E$2:$E$300,MATCH($F373,Nutrition!$A$2:$A$300,0))*$I373/100,0))</f>
        <v>19.497</v>
      </c>
      <c r="L373" s="30">
        <f>IF(OR($F373="",$I373=""),0,IFERROR(INDEX(Nutrition!$F$2:$F$300,MATCH($F373,Nutrition!$A$2:$A$300,0))*$I373/100,0))</f>
        <v>1.34</v>
      </c>
      <c r="M373" s="30">
        <f>IF(OR($F373="",$I373=""),0,IFERROR(INDEX(Nutrition!$G$2:$G$300,MATCH($F373,Nutrition!$A$2:$A$300,0))*$I373/100,0))</f>
        <v>0.40199999999999997</v>
      </c>
      <c r="N373" s="30">
        <f>IF(OR($F373="",$I373=""),0,IFERROR(INDEX(Nutrition!$H$2:$H$300,MATCH($F373,Nutrition!$A$2:$A$300,0))*$I373/100,0))</f>
        <v>5.36</v>
      </c>
      <c r="O373" s="30">
        <f>IF(OR($F373="",$I373=""),0,IFERROR(INDEX(Nutrition!$I$2:$I$300,MATCH($F373,Nutrition!$A$2:$A$300,0))*$I373/100,0))</f>
        <v>68.34</v>
      </c>
      <c r="P373" s="30">
        <f>IF(OR($F373="",$I373=""),0,IFERROR(INDEX(Nutrition!$J$2:$J$300,MATCH($F373,Nutrition!$A$2:$A$300,0))*$I373/100,0))</f>
        <v>0.1474</v>
      </c>
      <c r="Q373" s="30">
        <f>IF(OR($F373="",$I373=""),0,IFERROR(INDEX(Nutrition!$K$2:$K$300,MATCH($F373,Nutrition!$A$2:$A$300,0))*$I373/100,0))</f>
        <v>2.8809999999999999E-2</v>
      </c>
      <c r="R373" s="30">
        <f>IF(OR($F373="",$I373=""),0,IFERROR(INDEX(Nutrition!$L$2:$L$300,MATCH($F373,Nutrition!$A$2:$A$300,0))*$I373/100,0))</f>
        <v>4.0199999999999996</v>
      </c>
      <c r="S373" s="30">
        <f>IF(OR($F373="",$I373=""),0,IFERROR(INDEX(Nutrition!$M$2:$M$300,MATCH($F373,Nutrition!$A$2:$A$300,0))*$I373/100,0))</f>
        <v>0.40199999999999997</v>
      </c>
    </row>
    <row r="374" spans="1:19" ht="15" customHeight="1" x14ac:dyDescent="0.25">
      <c r="A374" s="22" t="s">
        <v>1444</v>
      </c>
      <c r="B374" s="33" t="str">
        <f>IFERROR(INDEX(Recipes!$B$2:$B$500,MATCH(A374,Recipes!$A$2:$A$500,0)),"")</f>
        <v>Coconut Prawn &amp; Mango Rice Bowl</v>
      </c>
      <c r="C374" s="7" t="s">
        <v>500</v>
      </c>
      <c r="D374" s="34">
        <v>1</v>
      </c>
      <c r="E374" s="22" t="s">
        <v>2816</v>
      </c>
      <c r="F374" s="22" t="s">
        <v>499</v>
      </c>
      <c r="G374" s="22" t="s">
        <v>2755</v>
      </c>
      <c r="H374" s="7"/>
      <c r="I374" s="35">
        <v>3</v>
      </c>
      <c r="J374" s="30">
        <f>IF(OR($F374="",$I374=""),0,IFERROR(INDEX(Nutrition!$D$2:$D$300,MATCH($F374,Nutrition!$A$2:$A$300,0))*$I374/100,0))</f>
        <v>6.3E-2</v>
      </c>
      <c r="K374" s="30">
        <f>IF(OR($F374="",$I374=""),0,IFERROR(INDEX(Nutrition!$E$2:$E$300,MATCH($F374,Nutrition!$A$2:$A$300,0))*$I374/100,0))</f>
        <v>0.93599999999999994</v>
      </c>
      <c r="L374" s="30">
        <f>IF(OR($F374="",$I374=""),0,IFERROR(INDEX(Nutrition!$F$2:$F$300,MATCH($F374,Nutrition!$A$2:$A$300,0))*$I374/100,0))</f>
        <v>0</v>
      </c>
      <c r="M374" s="30">
        <f>IF(OR($F374="",$I374=""),0,IFERROR(INDEX(Nutrition!$G$2:$G$300,MATCH($F374,Nutrition!$A$2:$A$300,0))*$I374/100,0))</f>
        <v>5.0999999999999997E-2</v>
      </c>
      <c r="N374" s="30">
        <f>IF(OR($F374="",$I374=""),0,IFERROR(INDEX(Nutrition!$H$2:$H$300,MATCH($F374,Nutrition!$A$2:$A$300,0))*$I374/100,0))</f>
        <v>0.09</v>
      </c>
      <c r="O374" s="30">
        <f>IF(OR($F374="",$I374=""),0,IFERROR(INDEX(Nutrition!$I$2:$I$300,MATCH($F374,Nutrition!$A$2:$A$300,0))*$I374/100,0))</f>
        <v>12.03</v>
      </c>
      <c r="P374" s="30">
        <f>IF(OR($F374="",$I374=""),0,IFERROR(INDEX(Nutrition!$J$2:$J$300,MATCH($F374,Nutrition!$A$2:$A$300,0))*$I374/100,0))</f>
        <v>2.3999999999999998E-3</v>
      </c>
      <c r="Q374" s="30">
        <f>IF(OR($F374="",$I374=""),0,IFERROR(INDEX(Nutrition!$K$2:$K$300,MATCH($F374,Nutrition!$A$2:$A$300,0))*$I374/100,0))</f>
        <v>3.705E-2</v>
      </c>
      <c r="R374" s="30">
        <f>IF(OR($F374="",$I374=""),0,IFERROR(INDEX(Nutrition!$L$2:$L$300,MATCH($F374,Nutrition!$A$2:$A$300,0))*$I374/100,0))</f>
        <v>0.75</v>
      </c>
      <c r="S374" s="30">
        <f>IF(OR($F374="",$I374=""),0,IFERROR(INDEX(Nutrition!$M$2:$M$300,MATCH($F374,Nutrition!$A$2:$A$300,0))*$I374/100,0))</f>
        <v>5.0999999999999997E-2</v>
      </c>
    </row>
    <row r="375" spans="1:19" ht="15" customHeight="1" x14ac:dyDescent="0.25">
      <c r="A375" s="22" t="s">
        <v>1444</v>
      </c>
      <c r="B375" s="33" t="str">
        <f>IFERROR(INDEX(Recipes!$B$2:$B$500,MATCH(A375,Recipes!$A$2:$A$500,0)),"")</f>
        <v>Coconut Prawn &amp; Mango Rice Bowl</v>
      </c>
      <c r="C375" s="7" t="s">
        <v>2772</v>
      </c>
      <c r="D375" s="34">
        <v>1</v>
      </c>
      <c r="E375" s="22" t="s">
        <v>2753</v>
      </c>
      <c r="F375" s="22"/>
      <c r="G375" s="22" t="s">
        <v>2773</v>
      </c>
      <c r="H375" s="7"/>
      <c r="I375" s="35"/>
      <c r="J375" s="30">
        <f>IF(OR($F375="",$I375=""),0,IFERROR(INDEX(Nutrition!$D$2:$D$300,MATCH($F375,Nutrition!$A$2:$A$300,0))*$I375/100,0))</f>
        <v>0</v>
      </c>
      <c r="K375" s="30">
        <f>IF(OR($F375="",$I375=""),0,IFERROR(INDEX(Nutrition!$E$2:$E$300,MATCH($F375,Nutrition!$A$2:$A$300,0))*$I375/100,0))</f>
        <v>0</v>
      </c>
      <c r="L375" s="30">
        <f>IF(OR($F375="",$I375=""),0,IFERROR(INDEX(Nutrition!$F$2:$F$300,MATCH($F375,Nutrition!$A$2:$A$300,0))*$I375/100,0))</f>
        <v>0</v>
      </c>
      <c r="M375" s="30">
        <f>IF(OR($F375="",$I375=""),0,IFERROR(INDEX(Nutrition!$G$2:$G$300,MATCH($F375,Nutrition!$A$2:$A$300,0))*$I375/100,0))</f>
        <v>0</v>
      </c>
      <c r="N375" s="30">
        <f>IF(OR($F375="",$I375=""),0,IFERROR(INDEX(Nutrition!$H$2:$H$300,MATCH($F375,Nutrition!$A$2:$A$300,0))*$I375/100,0))</f>
        <v>0</v>
      </c>
      <c r="O375" s="30">
        <f>IF(OR($F375="",$I375=""),0,IFERROR(INDEX(Nutrition!$I$2:$I$300,MATCH($F375,Nutrition!$A$2:$A$300,0))*$I375/100,0))</f>
        <v>0</v>
      </c>
      <c r="P375" s="30">
        <f>IF(OR($F375="",$I375=""),0,IFERROR(INDEX(Nutrition!$J$2:$J$300,MATCH($F375,Nutrition!$A$2:$A$300,0))*$I375/100,0))</f>
        <v>0</v>
      </c>
      <c r="Q375" s="30">
        <f>IF(OR($F375="",$I375=""),0,IFERROR(INDEX(Nutrition!$K$2:$K$300,MATCH($F375,Nutrition!$A$2:$A$300,0))*$I375/100,0))</f>
        <v>0</v>
      </c>
      <c r="R375" s="30">
        <f>IF(OR($F375="",$I375=""),0,IFERROR(INDEX(Nutrition!$L$2:$L$300,MATCH($F375,Nutrition!$A$2:$A$300,0))*$I375/100,0))</f>
        <v>0</v>
      </c>
      <c r="S375" s="30">
        <f>IF(OR($F375="",$I375=""),0,IFERROR(INDEX(Nutrition!$M$2:$M$300,MATCH($F375,Nutrition!$A$2:$A$300,0))*$I375/100,0))</f>
        <v>0</v>
      </c>
    </row>
    <row r="376" spans="1:19" ht="15" customHeight="1" x14ac:dyDescent="0.25">
      <c r="A376" s="22" t="s">
        <v>1454</v>
      </c>
      <c r="B376" s="33" t="str">
        <f>IFERROR(INDEX(Recipes!$B$2:$B$500,MATCH(A376,Recipes!$A$2:$A$500,0)),"")</f>
        <v>Lighter Chicken Shawarma</v>
      </c>
      <c r="C376" s="7" t="s">
        <v>2806</v>
      </c>
      <c r="D376" s="34">
        <v>2</v>
      </c>
      <c r="E376" s="22" t="s">
        <v>2754</v>
      </c>
      <c r="F376" s="22"/>
      <c r="G376" s="22" t="s">
        <v>2768</v>
      </c>
      <c r="H376" s="7"/>
      <c r="I376" s="35"/>
      <c r="J376" s="30">
        <f>IF(OR($F376="",$I376=""),0,IFERROR(INDEX(Nutrition!$D$2:$D$300,MATCH($F376,Nutrition!$A$2:$A$300,0))*$I376/100,0))</f>
        <v>0</v>
      </c>
      <c r="K376" s="30">
        <f>IF(OR($F376="",$I376=""),0,IFERROR(INDEX(Nutrition!$E$2:$E$300,MATCH($F376,Nutrition!$A$2:$A$300,0))*$I376/100,0))</f>
        <v>0</v>
      </c>
      <c r="L376" s="30">
        <f>IF(OR($F376="",$I376=""),0,IFERROR(INDEX(Nutrition!$F$2:$F$300,MATCH($F376,Nutrition!$A$2:$A$300,0))*$I376/100,0))</f>
        <v>0</v>
      </c>
      <c r="M376" s="30">
        <f>IF(OR($F376="",$I376=""),0,IFERROR(INDEX(Nutrition!$G$2:$G$300,MATCH($F376,Nutrition!$A$2:$A$300,0))*$I376/100,0))</f>
        <v>0</v>
      </c>
      <c r="N376" s="30">
        <f>IF(OR($F376="",$I376=""),0,IFERROR(INDEX(Nutrition!$H$2:$H$300,MATCH($F376,Nutrition!$A$2:$A$300,0))*$I376/100,0))</f>
        <v>0</v>
      </c>
      <c r="O376" s="30">
        <f>IF(OR($F376="",$I376=""),0,IFERROR(INDEX(Nutrition!$I$2:$I$300,MATCH($F376,Nutrition!$A$2:$A$300,0))*$I376/100,0))</f>
        <v>0</v>
      </c>
      <c r="P376" s="30">
        <f>IF(OR($F376="",$I376=""),0,IFERROR(INDEX(Nutrition!$J$2:$J$300,MATCH($F376,Nutrition!$A$2:$A$300,0))*$I376/100,0))</f>
        <v>0</v>
      </c>
      <c r="Q376" s="30">
        <f>IF(OR($F376="",$I376=""),0,IFERROR(INDEX(Nutrition!$K$2:$K$300,MATCH($F376,Nutrition!$A$2:$A$300,0))*$I376/100,0))</f>
        <v>0</v>
      </c>
      <c r="R376" s="30">
        <f>IF(OR($F376="",$I376=""),0,IFERROR(INDEX(Nutrition!$L$2:$L$300,MATCH($F376,Nutrition!$A$2:$A$300,0))*$I376/100,0))</f>
        <v>0</v>
      </c>
      <c r="S376" s="30">
        <f>IF(OR($F376="",$I376=""),0,IFERROR(INDEX(Nutrition!$M$2:$M$300,MATCH($F376,Nutrition!$A$2:$A$300,0))*$I376/100,0))</f>
        <v>0</v>
      </c>
    </row>
    <row r="377" spans="1:19" ht="15" customHeight="1" x14ac:dyDescent="0.25">
      <c r="A377" s="22" t="s">
        <v>1454</v>
      </c>
      <c r="B377" s="33" t="str">
        <f>IFERROR(INDEX(Recipes!$B$2:$B$500,MATCH(A377,Recipes!$A$2:$A$500,0)),"")</f>
        <v>Lighter Chicken Shawarma</v>
      </c>
      <c r="C377" s="7" t="s">
        <v>2859</v>
      </c>
      <c r="D377" s="34">
        <v>2</v>
      </c>
      <c r="E377" s="22" t="s">
        <v>2754</v>
      </c>
      <c r="F377" s="22"/>
      <c r="G377" s="22" t="s">
        <v>2749</v>
      </c>
      <c r="H377" s="7"/>
      <c r="I377" s="35"/>
      <c r="J377" s="30">
        <f>IF(OR($F377="",$I377=""),0,IFERROR(INDEX(Nutrition!$D$2:$D$300,MATCH($F377,Nutrition!$A$2:$A$300,0))*$I377/100,0))</f>
        <v>0</v>
      </c>
      <c r="K377" s="30">
        <f>IF(OR($F377="",$I377=""),0,IFERROR(INDEX(Nutrition!$E$2:$E$300,MATCH($F377,Nutrition!$A$2:$A$300,0))*$I377/100,0))</f>
        <v>0</v>
      </c>
      <c r="L377" s="30">
        <f>IF(OR($F377="",$I377=""),0,IFERROR(INDEX(Nutrition!$F$2:$F$300,MATCH($F377,Nutrition!$A$2:$A$300,0))*$I377/100,0))</f>
        <v>0</v>
      </c>
      <c r="M377" s="30">
        <f>IF(OR($F377="",$I377=""),0,IFERROR(INDEX(Nutrition!$G$2:$G$300,MATCH($F377,Nutrition!$A$2:$A$300,0))*$I377/100,0))</f>
        <v>0</v>
      </c>
      <c r="N377" s="30">
        <f>IF(OR($F377="",$I377=""),0,IFERROR(INDEX(Nutrition!$H$2:$H$300,MATCH($F377,Nutrition!$A$2:$A$300,0))*$I377/100,0))</f>
        <v>0</v>
      </c>
      <c r="O377" s="30">
        <f>IF(OR($F377="",$I377=""),0,IFERROR(INDEX(Nutrition!$I$2:$I$300,MATCH($F377,Nutrition!$A$2:$A$300,0))*$I377/100,0))</f>
        <v>0</v>
      </c>
      <c r="P377" s="30">
        <f>IF(OR($F377="",$I377=""),0,IFERROR(INDEX(Nutrition!$J$2:$J$300,MATCH($F377,Nutrition!$A$2:$A$300,0))*$I377/100,0))</f>
        <v>0</v>
      </c>
      <c r="Q377" s="30">
        <f>IF(OR($F377="",$I377=""),0,IFERROR(INDEX(Nutrition!$K$2:$K$300,MATCH($F377,Nutrition!$A$2:$A$300,0))*$I377/100,0))</f>
        <v>0</v>
      </c>
      <c r="R377" s="30">
        <f>IF(OR($F377="",$I377=""),0,IFERROR(INDEX(Nutrition!$L$2:$L$300,MATCH($F377,Nutrition!$A$2:$A$300,0))*$I377/100,0))</f>
        <v>0</v>
      </c>
      <c r="S377" s="30">
        <f>IF(OR($F377="",$I377=""),0,IFERROR(INDEX(Nutrition!$M$2:$M$300,MATCH($F377,Nutrition!$A$2:$A$300,0))*$I377/100,0))</f>
        <v>0</v>
      </c>
    </row>
    <row r="378" spans="1:19" ht="15" customHeight="1" x14ac:dyDescent="0.25">
      <c r="A378" s="22" t="s">
        <v>1454</v>
      </c>
      <c r="B378" s="33" t="str">
        <f>IFERROR(INDEX(Recipes!$B$2:$B$500,MATCH(A378,Recipes!$A$2:$A$500,0)),"")</f>
        <v>Lighter Chicken Shawarma</v>
      </c>
      <c r="C378" s="7" t="s">
        <v>537</v>
      </c>
      <c r="D378" s="34">
        <v>0.25</v>
      </c>
      <c r="E378" s="22" t="s">
        <v>2808</v>
      </c>
      <c r="F378" s="22" t="s">
        <v>536</v>
      </c>
      <c r="G378" s="22" t="s">
        <v>2755</v>
      </c>
      <c r="H378" s="7"/>
      <c r="I378" s="35">
        <v>227</v>
      </c>
      <c r="J378" s="30">
        <f>IF(OR($F378="",$I378=""),0,IFERROR(INDEX(Nutrition!$D$2:$D$300,MATCH($F378,Nutrition!$A$2:$A$300,0))*$I378/100,0))</f>
        <v>5.6749999999999998</v>
      </c>
      <c r="K378" s="30">
        <f>IF(OR($F378="",$I378=""),0,IFERROR(INDEX(Nutrition!$E$2:$E$300,MATCH($F378,Nutrition!$A$2:$A$300,0))*$I378/100,0))</f>
        <v>83.082000000000008</v>
      </c>
      <c r="L378" s="30">
        <f>IF(OR($F378="",$I378=""),0,IFERROR(INDEX(Nutrition!$F$2:$F$300,MATCH($F378,Nutrition!$A$2:$A$300,0))*$I378/100,0))</f>
        <v>11.35</v>
      </c>
      <c r="M378" s="30">
        <f>IF(OR($F378="",$I378=""),0,IFERROR(INDEX(Nutrition!$G$2:$G$300,MATCH($F378,Nutrition!$A$2:$A$300,0))*$I378/100,0))</f>
        <v>172.52</v>
      </c>
      <c r="N378" s="30">
        <f>IF(OR($F378="",$I378=""),0,IFERROR(INDEX(Nutrition!$H$2:$H$300,MATCH($F378,Nutrition!$A$2:$A$300,0))*$I378/100,0))</f>
        <v>97.61</v>
      </c>
      <c r="O378" s="30">
        <f>IF(OR($F378="",$I378=""),0,IFERROR(INDEX(Nutrition!$I$2:$I$300,MATCH($F378,Nutrition!$A$2:$A$300,0))*$I378/100,0))</f>
        <v>385.9</v>
      </c>
      <c r="P378" s="30">
        <f>IF(OR($F378="",$I378=""),0,IFERROR(INDEX(Nutrition!$J$2:$J$300,MATCH($F378,Nutrition!$A$2:$A$300,0))*$I378/100,0))</f>
        <v>0.34049999999999997</v>
      </c>
      <c r="Q378" s="30">
        <f>IF(OR($F378="",$I378=""),0,IFERROR(INDEX(Nutrition!$K$2:$K$300,MATCH($F378,Nutrition!$A$2:$A$300,0))*$I378/100,0))</f>
        <v>0.28148000000000001</v>
      </c>
      <c r="R378" s="30">
        <f>IF(OR($F378="",$I378=""),0,IFERROR(INDEX(Nutrition!$L$2:$L$300,MATCH($F378,Nutrition!$A$2:$A$300,0))*$I378/100,0))</f>
        <v>27.24</v>
      </c>
      <c r="S378" s="30">
        <f>IF(OR($F378="",$I378=""),0,IFERROR(INDEX(Nutrition!$M$2:$M$300,MATCH($F378,Nutrition!$A$2:$A$300,0))*$I378/100,0))</f>
        <v>1.0669</v>
      </c>
    </row>
    <row r="379" spans="1:19" ht="15" customHeight="1" x14ac:dyDescent="0.25">
      <c r="A379" s="22" t="s">
        <v>1454</v>
      </c>
      <c r="B379" s="33" t="str">
        <f>IFERROR(INDEX(Recipes!$B$2:$B$500,MATCH(A379,Recipes!$A$2:$A$500,0)),"")</f>
        <v>Lighter Chicken Shawarma</v>
      </c>
      <c r="C379" s="7" t="s">
        <v>529</v>
      </c>
      <c r="D379" s="34">
        <v>1</v>
      </c>
      <c r="E379" s="22" t="s">
        <v>2754</v>
      </c>
      <c r="F379" s="22" t="s">
        <v>528</v>
      </c>
      <c r="G379" s="22" t="s">
        <v>2755</v>
      </c>
      <c r="H379" s="7"/>
      <c r="I379" s="35">
        <v>61</v>
      </c>
      <c r="J379" s="30">
        <f>IF(OR($F379="",$I379=""),0,IFERROR(INDEX(Nutrition!$D$2:$D$300,MATCH($F379,Nutrition!$A$2:$A$300,0))*$I379/100,0))</f>
        <v>1.7079999999999997</v>
      </c>
      <c r="K379" s="30">
        <f>IF(OR($F379="",$I379=""),0,IFERROR(INDEX(Nutrition!$E$2:$E$300,MATCH($F379,Nutrition!$A$2:$A$300,0))*$I379/100,0))</f>
        <v>3.5990000000000002</v>
      </c>
      <c r="L379" s="30">
        <f>IF(OR($F379="",$I379=""),0,IFERROR(INDEX(Nutrition!$F$2:$F$300,MATCH($F379,Nutrition!$A$2:$A$300,0))*$I379/100,0))</f>
        <v>509.35</v>
      </c>
      <c r="M379" s="30">
        <f>IF(OR($F379="",$I379=""),0,IFERROR(INDEX(Nutrition!$G$2:$G$300,MATCH($F379,Nutrition!$A$2:$A$300,0))*$I379/100,0))</f>
        <v>8.0519999999999996</v>
      </c>
      <c r="N379" s="30">
        <f>IF(OR($F379="",$I379=""),0,IFERROR(INDEX(Nutrition!$H$2:$H$300,MATCH($F379,Nutrition!$A$2:$A$300,0))*$I379/100,0))</f>
        <v>11.59</v>
      </c>
      <c r="O379" s="30">
        <f>IF(OR($F379="",$I379=""),0,IFERROR(INDEX(Nutrition!$I$2:$I$300,MATCH($F379,Nutrition!$A$2:$A$300,0))*$I379/100,0))</f>
        <v>195.2</v>
      </c>
      <c r="P379" s="30">
        <f>IF(OR($F379="",$I379=""),0,IFERROR(INDEX(Nutrition!$J$2:$J$300,MATCH($F379,Nutrition!$A$2:$A$300,0))*$I379/100,0))</f>
        <v>0.40260000000000007</v>
      </c>
      <c r="Q379" s="30">
        <f>IF(OR($F379="",$I379=""),0,IFERROR(INDEX(Nutrition!$K$2:$K$300,MATCH($F379,Nutrition!$A$2:$A$300,0))*$I379/100,0))</f>
        <v>8.4180000000000005E-2</v>
      </c>
      <c r="R379" s="30">
        <f>IF(OR($F379="",$I379=""),0,IFERROR(INDEX(Nutrition!$L$2:$L$300,MATCH($F379,Nutrition!$A$2:$A$300,0))*$I379/100,0))</f>
        <v>7.32</v>
      </c>
      <c r="S379" s="30">
        <f>IF(OR($F379="",$I379=""),0,IFERROR(INDEX(Nutrition!$M$2:$M$300,MATCH($F379,Nutrition!$A$2:$A$300,0))*$I379/100,0))</f>
        <v>0.183</v>
      </c>
    </row>
    <row r="380" spans="1:19" ht="15" customHeight="1" x14ac:dyDescent="0.25">
      <c r="A380" s="22" t="s">
        <v>1454</v>
      </c>
      <c r="B380" s="33" t="str">
        <f>IFERROR(INDEX(Recipes!$B$2:$B$500,MATCH(A380,Recipes!$A$2:$A$500,0)),"")</f>
        <v>Lighter Chicken Shawarma</v>
      </c>
      <c r="C380" s="7" t="s">
        <v>523</v>
      </c>
      <c r="D380" s="34">
        <v>1</v>
      </c>
      <c r="E380" s="22" t="s">
        <v>2754</v>
      </c>
      <c r="F380" s="22" t="s">
        <v>522</v>
      </c>
      <c r="G380" s="22" t="s">
        <v>2755</v>
      </c>
      <c r="H380" s="7"/>
      <c r="I380" s="35">
        <v>301</v>
      </c>
      <c r="J380" s="30">
        <f>IF(OR($F380="",$I380=""),0,IFERROR(INDEX(Nutrition!$D$2:$D$300,MATCH($F380,Nutrition!$A$2:$A$300,0))*$I380/100,0))</f>
        <v>1.5049999999999999</v>
      </c>
      <c r="K380" s="30">
        <f>IF(OR($F380="",$I380=""),0,IFERROR(INDEX(Nutrition!$E$2:$E$300,MATCH($F380,Nutrition!$A$2:$A$300,0))*$I380/100,0))</f>
        <v>8.427999999999999</v>
      </c>
      <c r="L380" s="30">
        <f>IF(OR($F380="",$I380=""),0,IFERROR(INDEX(Nutrition!$F$2:$F$300,MATCH($F380,Nutrition!$A$2:$A$300,0))*$I380/100,0))</f>
        <v>15.05</v>
      </c>
      <c r="M380" s="30">
        <f>IF(OR($F380="",$I380=""),0,IFERROR(INDEX(Nutrition!$G$2:$G$300,MATCH($F380,Nutrition!$A$2:$A$300,0))*$I380/100,0))</f>
        <v>49.363999999999997</v>
      </c>
      <c r="N380" s="30">
        <f>IF(OR($F380="",$I380=""),0,IFERROR(INDEX(Nutrition!$H$2:$H$300,MATCH($F380,Nutrition!$A$2:$A$300,0))*$I380/100,0))</f>
        <v>21.07</v>
      </c>
      <c r="O380" s="30">
        <f>IF(OR($F380="",$I380=""),0,IFERROR(INDEX(Nutrition!$I$2:$I$300,MATCH($F380,Nutrition!$A$2:$A$300,0))*$I380/100,0))</f>
        <v>442.47</v>
      </c>
      <c r="P380" s="30">
        <f>IF(OR($F380="",$I380=""),0,IFERROR(INDEX(Nutrition!$J$2:$J$300,MATCH($F380,Nutrition!$A$2:$A$300,0))*$I380/100,0))</f>
        <v>9.0299999999999991E-2</v>
      </c>
      <c r="Q380" s="30">
        <f>IF(OR($F380="",$I380=""),0,IFERROR(INDEX(Nutrition!$K$2:$K$300,MATCH($F380,Nutrition!$A$2:$A$300,0))*$I380/100,0))</f>
        <v>0.12040000000000001</v>
      </c>
      <c r="R380" s="30">
        <f>IF(OR($F380="",$I380=""),0,IFERROR(INDEX(Nutrition!$L$2:$L$300,MATCH($F380,Nutrition!$A$2:$A$300,0))*$I380/100,0))</f>
        <v>39.130000000000003</v>
      </c>
      <c r="S380" s="30">
        <f>IF(OR($F380="",$I380=""),0,IFERROR(INDEX(Nutrition!$M$2:$M$300,MATCH($F380,Nutrition!$A$2:$A$300,0))*$I380/100,0))</f>
        <v>0.84279999999999999</v>
      </c>
    </row>
    <row r="381" spans="1:19" ht="15" customHeight="1" x14ac:dyDescent="0.25">
      <c r="A381" s="22" t="s">
        <v>1454</v>
      </c>
      <c r="B381" s="33" t="str">
        <f>IFERROR(INDEX(Recipes!$B$2:$B$500,MATCH(A381,Recipes!$A$2:$A$500,0)),"")</f>
        <v>Lighter Chicken Shawarma</v>
      </c>
      <c r="C381" s="7" t="s">
        <v>446</v>
      </c>
      <c r="D381" s="34">
        <v>2</v>
      </c>
      <c r="E381" s="22" t="s">
        <v>2754</v>
      </c>
      <c r="F381" s="22" t="s">
        <v>445</v>
      </c>
      <c r="G381" s="22" t="s">
        <v>2755</v>
      </c>
      <c r="H381" s="7"/>
      <c r="I381" s="35">
        <v>124</v>
      </c>
      <c r="J381" s="30">
        <f>IF(OR($F381="",$I381=""),0,IFERROR(INDEX(Nutrition!$D$2:$D$300,MATCH($F381,Nutrition!$A$2:$A$300,0))*$I381/100,0))</f>
        <v>1.4879999999999998</v>
      </c>
      <c r="K381" s="30">
        <f>IF(OR($F381="",$I381=""),0,IFERROR(INDEX(Nutrition!$E$2:$E$300,MATCH($F381,Nutrition!$A$2:$A$300,0))*$I381/100,0))</f>
        <v>16.988</v>
      </c>
      <c r="L381" s="30">
        <f>IF(OR($F381="",$I381=""),0,IFERROR(INDEX(Nutrition!$F$2:$F$300,MATCH($F381,Nutrition!$A$2:$A$300,0))*$I381/100,0))</f>
        <v>52.08</v>
      </c>
      <c r="M381" s="30">
        <f>IF(OR($F381="",$I381=""),0,IFERROR(INDEX(Nutrition!$G$2:$G$300,MATCH($F381,Nutrition!$A$2:$A$300,0))*$I381/100,0))</f>
        <v>9.7959999999999994</v>
      </c>
      <c r="N381" s="30">
        <f>IF(OR($F381="",$I381=""),0,IFERROR(INDEX(Nutrition!$H$2:$H$300,MATCH($F381,Nutrition!$A$2:$A$300,0))*$I381/100,0))</f>
        <v>18.600000000000001</v>
      </c>
      <c r="O381" s="30">
        <f>IF(OR($F381="",$I381=""),0,IFERROR(INDEX(Nutrition!$I$2:$I$300,MATCH($F381,Nutrition!$A$2:$A$300,0))*$I381/100,0))</f>
        <v>293.88</v>
      </c>
      <c r="P381" s="30">
        <f>IF(OR($F381="",$I381=""),0,IFERROR(INDEX(Nutrition!$J$2:$J$300,MATCH($F381,Nutrition!$A$2:$A$300,0))*$I381/100,0))</f>
        <v>0.66960000000000008</v>
      </c>
      <c r="Q381" s="30">
        <f>IF(OR($F381="",$I381=""),0,IFERROR(INDEX(Nutrition!$K$2:$K$300,MATCH($F381,Nutrition!$A$2:$A$300,0))*$I381/100,0))</f>
        <v>9.9199999999999997E-2</v>
      </c>
      <c r="R381" s="30">
        <f>IF(OR($F381="",$I381=""),0,IFERROR(INDEX(Nutrition!$L$2:$L$300,MATCH($F381,Nutrition!$A$2:$A$300,0))*$I381/100,0))</f>
        <v>13.64</v>
      </c>
      <c r="S381" s="30">
        <f>IF(OR($F381="",$I381=""),0,IFERROR(INDEX(Nutrition!$M$2:$M$300,MATCH($F381,Nutrition!$A$2:$A$300,0))*$I381/100,0))</f>
        <v>0.33480000000000004</v>
      </c>
    </row>
    <row r="382" spans="1:19" ht="15" customHeight="1" x14ac:dyDescent="0.25">
      <c r="A382" s="22" t="s">
        <v>1454</v>
      </c>
      <c r="B382" s="33" t="str">
        <f>IFERROR(INDEX(Recipes!$B$2:$B$500,MATCH(A382,Recipes!$A$2:$A$500,0)),"")</f>
        <v>Lighter Chicken Shawarma</v>
      </c>
      <c r="C382" s="7" t="s">
        <v>482</v>
      </c>
      <c r="D382" s="34">
        <v>0.5</v>
      </c>
      <c r="E382" s="22" t="s">
        <v>2754</v>
      </c>
      <c r="F382" s="22" t="s">
        <v>481</v>
      </c>
      <c r="G382" s="22" t="s">
        <v>2755</v>
      </c>
      <c r="H382" s="7"/>
      <c r="I382" s="35">
        <v>55</v>
      </c>
      <c r="J382" s="30">
        <f>IF(OR($F382="",$I382=""),0,IFERROR(INDEX(Nutrition!$D$2:$D$300,MATCH($F382,Nutrition!$A$2:$A$300,0))*$I382/100,0))</f>
        <v>0.93500000000000005</v>
      </c>
      <c r="K382" s="30">
        <f>IF(OR($F382="",$I382=""),0,IFERROR(INDEX(Nutrition!$E$2:$E$300,MATCH($F382,Nutrition!$A$2:$A$300,0))*$I382/100,0))</f>
        <v>4.07</v>
      </c>
      <c r="L382" s="30">
        <f>IF(OR($F382="",$I382=""),0,IFERROR(INDEX(Nutrition!$F$2:$F$300,MATCH($F382,Nutrition!$A$2:$A$300,0))*$I382/100,0))</f>
        <v>0</v>
      </c>
      <c r="M382" s="30">
        <f>IF(OR($F382="",$I382=""),0,IFERROR(INDEX(Nutrition!$G$2:$G$300,MATCH($F382,Nutrition!$A$2:$A$300,0))*$I382/100,0))</f>
        <v>0.22</v>
      </c>
      <c r="N382" s="30">
        <f>IF(OR($F382="",$I382=""),0,IFERROR(INDEX(Nutrition!$H$2:$H$300,MATCH($F382,Nutrition!$A$2:$A$300,0))*$I382/100,0))</f>
        <v>10.45</v>
      </c>
      <c r="O382" s="30">
        <f>IF(OR($F382="",$I382=""),0,IFERROR(INDEX(Nutrition!$I$2:$I$300,MATCH($F382,Nutrition!$A$2:$A$300,0))*$I382/100,0))</f>
        <v>80.3</v>
      </c>
      <c r="P382" s="30">
        <f>IF(OR($F382="",$I382=""),0,IFERROR(INDEX(Nutrition!$J$2:$J$300,MATCH($F382,Nutrition!$A$2:$A$300,0))*$I382/100,0))</f>
        <v>1.1000000000000001E-2</v>
      </c>
      <c r="Q382" s="30">
        <f>IF(OR($F382="",$I382=""),0,IFERROR(INDEX(Nutrition!$K$2:$K$300,MATCH($F382,Nutrition!$A$2:$A$300,0))*$I382/100,0))</f>
        <v>6.6000000000000003E-2</v>
      </c>
      <c r="R382" s="30">
        <f>IF(OR($F382="",$I382=""),0,IFERROR(INDEX(Nutrition!$L$2:$L$300,MATCH($F382,Nutrition!$A$2:$A$300,0))*$I382/100,0))</f>
        <v>5.5</v>
      </c>
      <c r="S382" s="30">
        <f>IF(OR($F382="",$I382=""),0,IFERROR(INDEX(Nutrition!$M$2:$M$300,MATCH($F382,Nutrition!$A$2:$A$300,0))*$I382/100,0))</f>
        <v>0.11549999999999999</v>
      </c>
    </row>
    <row r="383" spans="1:19" ht="15" customHeight="1" x14ac:dyDescent="0.25">
      <c r="A383" s="22" t="s">
        <v>1454</v>
      </c>
      <c r="B383" s="33" t="str">
        <f>IFERROR(INDEX(Recipes!$B$2:$B$500,MATCH(A383,Recipes!$A$2:$A$500,0)),"")</f>
        <v>Lighter Chicken Shawarma</v>
      </c>
      <c r="C383" s="7" t="s">
        <v>500</v>
      </c>
      <c r="D383" s="34">
        <v>2</v>
      </c>
      <c r="E383" s="22" t="s">
        <v>2776</v>
      </c>
      <c r="F383" s="22" t="s">
        <v>499</v>
      </c>
      <c r="G383" s="22" t="s">
        <v>2755</v>
      </c>
      <c r="H383" s="7"/>
      <c r="I383" s="35">
        <v>6</v>
      </c>
      <c r="J383" s="30">
        <f>IF(OR($F383="",$I383=""),0,IFERROR(INDEX(Nutrition!$D$2:$D$300,MATCH($F383,Nutrition!$A$2:$A$300,0))*$I383/100,0))</f>
        <v>0.126</v>
      </c>
      <c r="K383" s="30">
        <f>IF(OR($F383="",$I383=""),0,IFERROR(INDEX(Nutrition!$E$2:$E$300,MATCH($F383,Nutrition!$A$2:$A$300,0))*$I383/100,0))</f>
        <v>1.8719999999999999</v>
      </c>
      <c r="L383" s="30">
        <f>IF(OR($F383="",$I383=""),0,IFERROR(INDEX(Nutrition!$F$2:$F$300,MATCH($F383,Nutrition!$A$2:$A$300,0))*$I383/100,0))</f>
        <v>0</v>
      </c>
      <c r="M383" s="30">
        <f>IF(OR($F383="",$I383=""),0,IFERROR(INDEX(Nutrition!$G$2:$G$300,MATCH($F383,Nutrition!$A$2:$A$300,0))*$I383/100,0))</f>
        <v>0.10199999999999999</v>
      </c>
      <c r="N383" s="30">
        <f>IF(OR($F383="",$I383=""),0,IFERROR(INDEX(Nutrition!$H$2:$H$300,MATCH($F383,Nutrition!$A$2:$A$300,0))*$I383/100,0))</f>
        <v>0.18</v>
      </c>
      <c r="O383" s="30">
        <f>IF(OR($F383="",$I383=""),0,IFERROR(INDEX(Nutrition!$I$2:$I$300,MATCH($F383,Nutrition!$A$2:$A$300,0))*$I383/100,0))</f>
        <v>24.06</v>
      </c>
      <c r="P383" s="30">
        <f>IF(OR($F383="",$I383=""),0,IFERROR(INDEX(Nutrition!$J$2:$J$300,MATCH($F383,Nutrition!$A$2:$A$300,0))*$I383/100,0))</f>
        <v>4.7999999999999996E-3</v>
      </c>
      <c r="Q383" s="30">
        <f>IF(OR($F383="",$I383=""),0,IFERROR(INDEX(Nutrition!$K$2:$K$300,MATCH($F383,Nutrition!$A$2:$A$300,0))*$I383/100,0))</f>
        <v>7.4099999999999999E-2</v>
      </c>
      <c r="R383" s="30">
        <f>IF(OR($F383="",$I383=""),0,IFERROR(INDEX(Nutrition!$L$2:$L$300,MATCH($F383,Nutrition!$A$2:$A$300,0))*$I383/100,0))</f>
        <v>1.5</v>
      </c>
      <c r="S383" s="30">
        <f>IF(OR($F383="",$I383=""),0,IFERROR(INDEX(Nutrition!$M$2:$M$300,MATCH($F383,Nutrition!$A$2:$A$300,0))*$I383/100,0))</f>
        <v>0.10199999999999999</v>
      </c>
    </row>
    <row r="384" spans="1:19" ht="15" customHeight="1" x14ac:dyDescent="0.25">
      <c r="A384" s="22" t="s">
        <v>1454</v>
      </c>
      <c r="B384" s="33" t="str">
        <f>IFERROR(INDEX(Recipes!$B$2:$B$500,MATCH(A384,Recipes!$A$2:$A$500,0)),"")</f>
        <v>Lighter Chicken Shawarma</v>
      </c>
      <c r="C384" s="7" t="s">
        <v>206</v>
      </c>
      <c r="D384" s="34">
        <v>0.5</v>
      </c>
      <c r="E384" s="22" t="s">
        <v>2754</v>
      </c>
      <c r="F384" s="22" t="s">
        <v>205</v>
      </c>
      <c r="G384" s="22" t="s">
        <v>2755</v>
      </c>
      <c r="H384" s="7"/>
      <c r="I384" s="35">
        <v>29</v>
      </c>
      <c r="J384" s="30">
        <f>IF(OR($F384="",$I384=""),0,IFERROR(INDEX(Nutrition!$D$2:$D$300,MATCH($F384,Nutrition!$A$2:$A$300,0))*$I384/100,0))</f>
        <v>0.81199999999999983</v>
      </c>
      <c r="K384" s="30">
        <f>IF(OR($F384="",$I384=""),0,IFERROR(INDEX(Nutrition!$E$2:$E$300,MATCH($F384,Nutrition!$A$2:$A$300,0))*$I384/100,0))</f>
        <v>15.37</v>
      </c>
      <c r="L384" s="30">
        <f>IF(OR($F384="",$I384=""),0,IFERROR(INDEX(Nutrition!$F$2:$F$300,MATCH($F384,Nutrition!$A$2:$A$300,0))*$I384/100,0))</f>
        <v>0.28999999999999998</v>
      </c>
      <c r="M384" s="30">
        <f>IF(OR($F384="",$I384=""),0,IFERROR(INDEX(Nutrition!$G$2:$G$300,MATCH($F384,Nutrition!$A$2:$A$300,0))*$I384/100,0))</f>
        <v>0</v>
      </c>
      <c r="N384" s="30">
        <f>IF(OR($F384="",$I384=""),0,IFERROR(INDEX(Nutrition!$H$2:$H$300,MATCH($F384,Nutrition!$A$2:$A$300,0))*$I384/100,0))</f>
        <v>3.19</v>
      </c>
      <c r="O384" s="30">
        <f>IF(OR($F384="",$I384=""),0,IFERROR(INDEX(Nutrition!$I$2:$I$300,MATCH($F384,Nutrition!$A$2:$A$300,0))*$I384/100,0))</f>
        <v>40.020000000000003</v>
      </c>
      <c r="P384" s="30">
        <f>IF(OR($F384="",$I384=""),0,IFERROR(INDEX(Nutrition!$J$2:$J$300,MATCH($F384,Nutrition!$A$2:$A$300,0))*$I384/100,0))</f>
        <v>4.3499999999999997E-2</v>
      </c>
      <c r="Q384" s="30">
        <f>IF(OR($F384="",$I384=""),0,IFERROR(INDEX(Nutrition!$K$2:$K$300,MATCH($F384,Nutrition!$A$2:$A$300,0))*$I384/100,0))</f>
        <v>2.3199999999999998E-2</v>
      </c>
      <c r="R384" s="30">
        <f>IF(OR($F384="",$I384=""),0,IFERROR(INDEX(Nutrition!$L$2:$L$300,MATCH($F384,Nutrition!$A$2:$A$300,0))*$I384/100,0))</f>
        <v>2.3199999999999998</v>
      </c>
      <c r="S384" s="30">
        <f>IF(OR($F384="",$I384=""),0,IFERROR(INDEX(Nutrition!$M$2:$M$300,MATCH($F384,Nutrition!$A$2:$A$300,0))*$I384/100,0))</f>
        <v>0.17399999999999999</v>
      </c>
    </row>
    <row r="385" spans="1:19" ht="15" customHeight="1" x14ac:dyDescent="0.25">
      <c r="A385" s="22" t="s">
        <v>1454</v>
      </c>
      <c r="B385" s="33" t="str">
        <f>IFERROR(INDEX(Recipes!$B$2:$B$500,MATCH(A385,Recipes!$A$2:$A$500,0)),"")</f>
        <v>Lighter Chicken Shawarma</v>
      </c>
      <c r="C385" s="7" t="s">
        <v>2762</v>
      </c>
      <c r="D385" s="34">
        <v>0.5</v>
      </c>
      <c r="E385" s="22" t="s">
        <v>2748</v>
      </c>
      <c r="F385" s="22"/>
      <c r="G385" s="22" t="s">
        <v>2749</v>
      </c>
      <c r="H385" s="7"/>
      <c r="I385" s="35"/>
      <c r="J385" s="30">
        <f>IF(OR($F385="",$I385=""),0,IFERROR(INDEX(Nutrition!$D$2:$D$300,MATCH($F385,Nutrition!$A$2:$A$300,0))*$I385/100,0))</f>
        <v>0</v>
      </c>
      <c r="K385" s="30">
        <f>IF(OR($F385="",$I385=""),0,IFERROR(INDEX(Nutrition!$E$2:$E$300,MATCH($F385,Nutrition!$A$2:$A$300,0))*$I385/100,0))</f>
        <v>0</v>
      </c>
      <c r="L385" s="30">
        <f>IF(OR($F385="",$I385=""),0,IFERROR(INDEX(Nutrition!$F$2:$F$300,MATCH($F385,Nutrition!$A$2:$A$300,0))*$I385/100,0))</f>
        <v>0</v>
      </c>
      <c r="M385" s="30">
        <f>IF(OR($F385="",$I385=""),0,IFERROR(INDEX(Nutrition!$G$2:$G$300,MATCH($F385,Nutrition!$A$2:$A$300,0))*$I385/100,0))</f>
        <v>0</v>
      </c>
      <c r="N385" s="30">
        <f>IF(OR($F385="",$I385=""),0,IFERROR(INDEX(Nutrition!$H$2:$H$300,MATCH($F385,Nutrition!$A$2:$A$300,0))*$I385/100,0))</f>
        <v>0</v>
      </c>
      <c r="O385" s="30">
        <f>IF(OR($F385="",$I385=""),0,IFERROR(INDEX(Nutrition!$I$2:$I$300,MATCH($F385,Nutrition!$A$2:$A$300,0))*$I385/100,0))</f>
        <v>0</v>
      </c>
      <c r="P385" s="30">
        <f>IF(OR($F385="",$I385=""),0,IFERROR(INDEX(Nutrition!$J$2:$J$300,MATCH($F385,Nutrition!$A$2:$A$300,0))*$I385/100,0))</f>
        <v>0</v>
      </c>
      <c r="Q385" s="30">
        <f>IF(OR($F385="",$I385=""),0,IFERROR(INDEX(Nutrition!$K$2:$K$300,MATCH($F385,Nutrition!$A$2:$A$300,0))*$I385/100,0))</f>
        <v>0</v>
      </c>
      <c r="R385" s="30">
        <f>IF(OR($F385="",$I385=""),0,IFERROR(INDEX(Nutrition!$L$2:$L$300,MATCH($F385,Nutrition!$A$2:$A$300,0))*$I385/100,0))</f>
        <v>0</v>
      </c>
      <c r="S385" s="30">
        <f>IF(OR($F385="",$I385=""),0,IFERROR(INDEX(Nutrition!$M$2:$M$300,MATCH($F385,Nutrition!$A$2:$A$300,0))*$I385/100,0))</f>
        <v>0</v>
      </c>
    </row>
    <row r="386" spans="1:19" ht="15" customHeight="1" x14ac:dyDescent="0.25">
      <c r="A386" s="22" t="s">
        <v>1454</v>
      </c>
      <c r="B386" s="33" t="str">
        <f>IFERROR(INDEX(Recipes!$B$2:$B$500,MATCH(A386,Recipes!$A$2:$A$500,0)),"")</f>
        <v>Lighter Chicken Shawarma</v>
      </c>
      <c r="C386" s="7" t="s">
        <v>2860</v>
      </c>
      <c r="D386" s="34">
        <v>2</v>
      </c>
      <c r="E386" s="22" t="s">
        <v>2759</v>
      </c>
      <c r="F386" s="22"/>
      <c r="G386" s="22" t="s">
        <v>2749</v>
      </c>
      <c r="H386" s="7"/>
      <c r="I386" s="35"/>
      <c r="J386" s="30">
        <f>IF(OR($F386="",$I386=""),0,IFERROR(INDEX(Nutrition!$D$2:$D$300,MATCH($F386,Nutrition!$A$2:$A$300,0))*$I386/100,0))</f>
        <v>0</v>
      </c>
      <c r="K386" s="30">
        <f>IF(OR($F386="",$I386=""),0,IFERROR(INDEX(Nutrition!$E$2:$E$300,MATCH($F386,Nutrition!$A$2:$A$300,0))*$I386/100,0))</f>
        <v>0</v>
      </c>
      <c r="L386" s="30">
        <f>IF(OR($F386="",$I386=""),0,IFERROR(INDEX(Nutrition!$F$2:$F$300,MATCH($F386,Nutrition!$A$2:$A$300,0))*$I386/100,0))</f>
        <v>0</v>
      </c>
      <c r="M386" s="30">
        <f>IF(OR($F386="",$I386=""),0,IFERROR(INDEX(Nutrition!$G$2:$G$300,MATCH($F386,Nutrition!$A$2:$A$300,0))*$I386/100,0))</f>
        <v>0</v>
      </c>
      <c r="N386" s="30">
        <f>IF(OR($F386="",$I386=""),0,IFERROR(INDEX(Nutrition!$H$2:$H$300,MATCH($F386,Nutrition!$A$2:$A$300,0))*$I386/100,0))</f>
        <v>0</v>
      </c>
      <c r="O386" s="30">
        <f>IF(OR($F386="",$I386=""),0,IFERROR(INDEX(Nutrition!$I$2:$I$300,MATCH($F386,Nutrition!$A$2:$A$300,0))*$I386/100,0))</f>
        <v>0</v>
      </c>
      <c r="P386" s="30">
        <f>IF(OR($F386="",$I386=""),0,IFERROR(INDEX(Nutrition!$J$2:$J$300,MATCH($F386,Nutrition!$A$2:$A$300,0))*$I386/100,0))</f>
        <v>0</v>
      </c>
      <c r="Q386" s="30">
        <f>IF(OR($F386="",$I386=""),0,IFERROR(INDEX(Nutrition!$K$2:$K$300,MATCH($F386,Nutrition!$A$2:$A$300,0))*$I386/100,0))</f>
        <v>0</v>
      </c>
      <c r="R386" s="30">
        <f>IF(OR($F386="",$I386=""),0,IFERROR(INDEX(Nutrition!$L$2:$L$300,MATCH($F386,Nutrition!$A$2:$A$300,0))*$I386/100,0))</f>
        <v>0</v>
      </c>
      <c r="S386" s="30">
        <f>IF(OR($F386="",$I386=""),0,IFERROR(INDEX(Nutrition!$M$2:$M$300,MATCH($F386,Nutrition!$A$2:$A$300,0))*$I386/100,0))</f>
        <v>0</v>
      </c>
    </row>
    <row r="387" spans="1:19" ht="15" customHeight="1" x14ac:dyDescent="0.25">
      <c r="A387" s="22" t="s">
        <v>1454</v>
      </c>
      <c r="B387" s="33" t="str">
        <f>IFERROR(INDEX(Recipes!$B$2:$B$500,MATCH(A387,Recipes!$A$2:$A$500,0)),"")</f>
        <v>Lighter Chicken Shawarma</v>
      </c>
      <c r="C387" s="7" t="s">
        <v>2772</v>
      </c>
      <c r="D387" s="34">
        <v>1</v>
      </c>
      <c r="E387" s="22" t="s">
        <v>2753</v>
      </c>
      <c r="F387" s="22"/>
      <c r="G387" s="22" t="s">
        <v>2773</v>
      </c>
      <c r="H387" s="7"/>
      <c r="I387" s="35"/>
      <c r="J387" s="30">
        <f>IF(OR($F387="",$I387=""),0,IFERROR(INDEX(Nutrition!$D$2:$D$300,MATCH($F387,Nutrition!$A$2:$A$300,0))*$I387/100,0))</f>
        <v>0</v>
      </c>
      <c r="K387" s="30">
        <f>IF(OR($F387="",$I387=""),0,IFERROR(INDEX(Nutrition!$E$2:$E$300,MATCH($F387,Nutrition!$A$2:$A$300,0))*$I387/100,0))</f>
        <v>0</v>
      </c>
      <c r="L387" s="30">
        <f>IF(OR($F387="",$I387=""),0,IFERROR(INDEX(Nutrition!$F$2:$F$300,MATCH($F387,Nutrition!$A$2:$A$300,0))*$I387/100,0))</f>
        <v>0</v>
      </c>
      <c r="M387" s="30">
        <f>IF(OR($F387="",$I387=""),0,IFERROR(INDEX(Nutrition!$G$2:$G$300,MATCH($F387,Nutrition!$A$2:$A$300,0))*$I387/100,0))</f>
        <v>0</v>
      </c>
      <c r="N387" s="30">
        <f>IF(OR($F387="",$I387=""),0,IFERROR(INDEX(Nutrition!$H$2:$H$300,MATCH($F387,Nutrition!$A$2:$A$300,0))*$I387/100,0))</f>
        <v>0</v>
      </c>
      <c r="O387" s="30">
        <f>IF(OR($F387="",$I387=""),0,IFERROR(INDEX(Nutrition!$I$2:$I$300,MATCH($F387,Nutrition!$A$2:$A$300,0))*$I387/100,0))</f>
        <v>0</v>
      </c>
      <c r="P387" s="30">
        <f>IF(OR($F387="",$I387=""),0,IFERROR(INDEX(Nutrition!$J$2:$J$300,MATCH($F387,Nutrition!$A$2:$A$300,0))*$I387/100,0))</f>
        <v>0</v>
      </c>
      <c r="Q387" s="30">
        <f>IF(OR($F387="",$I387=""),0,IFERROR(INDEX(Nutrition!$K$2:$K$300,MATCH($F387,Nutrition!$A$2:$A$300,0))*$I387/100,0))</f>
        <v>0</v>
      </c>
      <c r="R387" s="30">
        <f>IF(OR($F387="",$I387=""),0,IFERROR(INDEX(Nutrition!$L$2:$L$300,MATCH($F387,Nutrition!$A$2:$A$300,0))*$I387/100,0))</f>
        <v>0</v>
      </c>
      <c r="S387" s="30">
        <f>IF(OR($F387="",$I387=""),0,IFERROR(INDEX(Nutrition!$M$2:$M$300,MATCH($F387,Nutrition!$A$2:$A$300,0))*$I387/100,0))</f>
        <v>0</v>
      </c>
    </row>
    <row r="388" spans="1:19" ht="15" customHeight="1" x14ac:dyDescent="0.25">
      <c r="A388" s="22" t="s">
        <v>1466</v>
      </c>
      <c r="B388" s="33" t="str">
        <f>IFERROR(INDEX(Recipes!$B$2:$B$500,MATCH(A388,Recipes!$A$2:$A$500,0)),"")</f>
        <v>Fish Tacos with Pineapple Salsa</v>
      </c>
      <c r="C388" s="7" t="s">
        <v>2861</v>
      </c>
      <c r="D388" s="34">
        <v>300</v>
      </c>
      <c r="E388" s="22" t="s">
        <v>2813</v>
      </c>
      <c r="F388" s="22"/>
      <c r="G388" s="22" t="s">
        <v>2768</v>
      </c>
      <c r="H388" s="7"/>
      <c r="I388" s="35"/>
      <c r="J388" s="30">
        <f>IF(OR($F388="",$I388=""),0,IFERROR(INDEX(Nutrition!$D$2:$D$300,MATCH($F388,Nutrition!$A$2:$A$300,0))*$I388/100,0))</f>
        <v>0</v>
      </c>
      <c r="K388" s="30">
        <f>IF(OR($F388="",$I388=""),0,IFERROR(INDEX(Nutrition!$E$2:$E$300,MATCH($F388,Nutrition!$A$2:$A$300,0))*$I388/100,0))</f>
        <v>0</v>
      </c>
      <c r="L388" s="30">
        <f>IF(OR($F388="",$I388=""),0,IFERROR(INDEX(Nutrition!$F$2:$F$300,MATCH($F388,Nutrition!$A$2:$A$300,0))*$I388/100,0))</f>
        <v>0</v>
      </c>
      <c r="M388" s="30">
        <f>IF(OR($F388="",$I388=""),0,IFERROR(INDEX(Nutrition!$G$2:$G$300,MATCH($F388,Nutrition!$A$2:$A$300,0))*$I388/100,0))</f>
        <v>0</v>
      </c>
      <c r="N388" s="30">
        <f>IF(OR($F388="",$I388=""),0,IFERROR(INDEX(Nutrition!$H$2:$H$300,MATCH($F388,Nutrition!$A$2:$A$300,0))*$I388/100,0))</f>
        <v>0</v>
      </c>
      <c r="O388" s="30">
        <f>IF(OR($F388="",$I388=""),0,IFERROR(INDEX(Nutrition!$I$2:$I$300,MATCH($F388,Nutrition!$A$2:$A$300,0))*$I388/100,0))</f>
        <v>0</v>
      </c>
      <c r="P388" s="30">
        <f>IF(OR($F388="",$I388=""),0,IFERROR(INDEX(Nutrition!$J$2:$J$300,MATCH($F388,Nutrition!$A$2:$A$300,0))*$I388/100,0))</f>
        <v>0</v>
      </c>
      <c r="Q388" s="30">
        <f>IF(OR($F388="",$I388=""),0,IFERROR(INDEX(Nutrition!$K$2:$K$300,MATCH($F388,Nutrition!$A$2:$A$300,0))*$I388/100,0))</f>
        <v>0</v>
      </c>
      <c r="R388" s="30">
        <f>IF(OR($F388="",$I388=""),0,IFERROR(INDEX(Nutrition!$L$2:$L$300,MATCH($F388,Nutrition!$A$2:$A$300,0))*$I388/100,0))</f>
        <v>0</v>
      </c>
      <c r="S388" s="30">
        <f>IF(OR($F388="",$I388=""),0,IFERROR(INDEX(Nutrition!$M$2:$M$300,MATCH($F388,Nutrition!$A$2:$A$300,0))*$I388/100,0))</f>
        <v>0</v>
      </c>
    </row>
    <row r="389" spans="1:19" ht="15" customHeight="1" x14ac:dyDescent="0.25">
      <c r="A389" s="22" t="s">
        <v>1466</v>
      </c>
      <c r="B389" s="33" t="str">
        <f>IFERROR(INDEX(Recipes!$B$2:$B$500,MATCH(A389,Recipes!$A$2:$A$500,0)),"")</f>
        <v>Fish Tacos with Pineapple Salsa</v>
      </c>
      <c r="C389" s="7" t="s">
        <v>2862</v>
      </c>
      <c r="D389" s="34">
        <v>6</v>
      </c>
      <c r="E389" s="22" t="s">
        <v>2754</v>
      </c>
      <c r="F389" s="22"/>
      <c r="G389" s="22" t="s">
        <v>2749</v>
      </c>
      <c r="H389" s="7"/>
      <c r="I389" s="35"/>
      <c r="J389" s="30">
        <f>IF(OR($F389="",$I389=""),0,IFERROR(INDEX(Nutrition!$D$2:$D$300,MATCH($F389,Nutrition!$A$2:$A$300,0))*$I389/100,0))</f>
        <v>0</v>
      </c>
      <c r="K389" s="30">
        <f>IF(OR($F389="",$I389=""),0,IFERROR(INDEX(Nutrition!$E$2:$E$300,MATCH($F389,Nutrition!$A$2:$A$300,0))*$I389/100,0))</f>
        <v>0</v>
      </c>
      <c r="L389" s="30">
        <f>IF(OR($F389="",$I389=""),0,IFERROR(INDEX(Nutrition!$F$2:$F$300,MATCH($F389,Nutrition!$A$2:$A$300,0))*$I389/100,0))</f>
        <v>0</v>
      </c>
      <c r="M389" s="30">
        <f>IF(OR($F389="",$I389=""),0,IFERROR(INDEX(Nutrition!$G$2:$G$300,MATCH($F389,Nutrition!$A$2:$A$300,0))*$I389/100,0))</f>
        <v>0</v>
      </c>
      <c r="N389" s="30">
        <f>IF(OR($F389="",$I389=""),0,IFERROR(INDEX(Nutrition!$H$2:$H$300,MATCH($F389,Nutrition!$A$2:$A$300,0))*$I389/100,0))</f>
        <v>0</v>
      </c>
      <c r="O389" s="30">
        <f>IF(OR($F389="",$I389=""),0,IFERROR(INDEX(Nutrition!$I$2:$I$300,MATCH($F389,Nutrition!$A$2:$A$300,0))*$I389/100,0))</f>
        <v>0</v>
      </c>
      <c r="P389" s="30">
        <f>IF(OR($F389="",$I389=""),0,IFERROR(INDEX(Nutrition!$J$2:$J$300,MATCH($F389,Nutrition!$A$2:$A$300,0))*$I389/100,0))</f>
        <v>0</v>
      </c>
      <c r="Q389" s="30">
        <f>IF(OR($F389="",$I389=""),0,IFERROR(INDEX(Nutrition!$K$2:$K$300,MATCH($F389,Nutrition!$A$2:$A$300,0))*$I389/100,0))</f>
        <v>0</v>
      </c>
      <c r="R389" s="30">
        <f>IF(OR($F389="",$I389=""),0,IFERROR(INDEX(Nutrition!$L$2:$L$300,MATCH($F389,Nutrition!$A$2:$A$300,0))*$I389/100,0))</f>
        <v>0</v>
      </c>
      <c r="S389" s="30">
        <f>IF(OR($F389="",$I389=""),0,IFERROR(INDEX(Nutrition!$M$2:$M$300,MATCH($F389,Nutrition!$A$2:$A$300,0))*$I389/100,0))</f>
        <v>0</v>
      </c>
    </row>
    <row r="390" spans="1:19" ht="15" customHeight="1" x14ac:dyDescent="0.25">
      <c r="A390" s="22" t="s">
        <v>1466</v>
      </c>
      <c r="B390" s="33" t="str">
        <f>IFERROR(INDEX(Recipes!$B$2:$B$500,MATCH(A390,Recipes!$A$2:$A$500,0)),"")</f>
        <v>Fish Tacos with Pineapple Salsa</v>
      </c>
      <c r="C390" s="7" t="s">
        <v>139</v>
      </c>
      <c r="D390" s="34">
        <v>1</v>
      </c>
      <c r="E390" s="22" t="s">
        <v>2748</v>
      </c>
      <c r="F390" s="22" t="s">
        <v>138</v>
      </c>
      <c r="G390" s="22" t="s">
        <v>2755</v>
      </c>
      <c r="H390" s="7" t="s">
        <v>2756</v>
      </c>
      <c r="I390" s="35">
        <v>165</v>
      </c>
      <c r="J390" s="30">
        <f>IF(OR($F390="",$I390=""),0,IFERROR(INDEX(Nutrition!$D$2:$D$300,MATCH($F390,Nutrition!$A$2:$A$300,0))*$I390/100,0))</f>
        <v>2.3099999999999996</v>
      </c>
      <c r="K390" s="30">
        <f>IF(OR($F390="",$I390=""),0,IFERROR(INDEX(Nutrition!$E$2:$E$300,MATCH($F390,Nutrition!$A$2:$A$300,0))*$I390/100,0))</f>
        <v>78.86999999999999</v>
      </c>
      <c r="L390" s="30">
        <f>IF(OR($F390="",$I390=""),0,IFERROR(INDEX(Nutrition!$F$2:$F$300,MATCH($F390,Nutrition!$A$2:$A$300,0))*$I390/100,0))</f>
        <v>4.95</v>
      </c>
      <c r="M390" s="30">
        <f>IF(OR($F390="",$I390=""),0,IFERROR(INDEX(Nutrition!$G$2:$G$300,MATCH($F390,Nutrition!$A$2:$A$300,0))*$I390/100,0))</f>
        <v>1.1549999999999998</v>
      </c>
      <c r="N390" s="30">
        <f>IF(OR($F390="",$I390=""),0,IFERROR(INDEX(Nutrition!$H$2:$H$300,MATCH($F390,Nutrition!$A$2:$A$300,0))*$I390/100,0))</f>
        <v>29.7</v>
      </c>
      <c r="O390" s="30">
        <f>IF(OR($F390="",$I390=""),0,IFERROR(INDEX(Nutrition!$I$2:$I$300,MATCH($F390,Nutrition!$A$2:$A$300,0))*$I390/100,0))</f>
        <v>179.85</v>
      </c>
      <c r="P390" s="30">
        <f>IF(OR($F390="",$I390=""),0,IFERROR(INDEX(Nutrition!$J$2:$J$300,MATCH($F390,Nutrition!$A$2:$A$300,0))*$I390/100,0))</f>
        <v>3.3000000000000002E-2</v>
      </c>
      <c r="Q390" s="30">
        <f>IF(OR($F390="",$I390=""),0,IFERROR(INDEX(Nutrition!$K$2:$K$300,MATCH($F390,Nutrition!$A$2:$A$300,0))*$I390/100,0))</f>
        <v>0.18479999999999999</v>
      </c>
      <c r="R390" s="30">
        <f>IF(OR($F390="",$I390=""),0,IFERROR(INDEX(Nutrition!$L$2:$L$300,MATCH($F390,Nutrition!$A$2:$A$300,0))*$I390/100,0))</f>
        <v>19.8</v>
      </c>
      <c r="S390" s="30">
        <f>IF(OR($F390="",$I390=""),0,IFERROR(INDEX(Nutrition!$M$2:$M$300,MATCH($F390,Nutrition!$A$2:$A$300,0))*$I390/100,0))</f>
        <v>0.47849999999999993</v>
      </c>
    </row>
    <row r="391" spans="1:19" ht="15" customHeight="1" x14ac:dyDescent="0.25">
      <c r="A391" s="22" t="s">
        <v>1466</v>
      </c>
      <c r="B391" s="33" t="str">
        <f>IFERROR(INDEX(Recipes!$B$2:$B$500,MATCH(A391,Recipes!$A$2:$A$500,0)),"")</f>
        <v>Fish Tacos with Pineapple Salsa</v>
      </c>
      <c r="C391" s="7" t="s">
        <v>482</v>
      </c>
      <c r="D391" s="34">
        <v>0.5</v>
      </c>
      <c r="E391" s="22" t="s">
        <v>2754</v>
      </c>
      <c r="F391" s="22" t="s">
        <v>481</v>
      </c>
      <c r="G391" s="22" t="s">
        <v>2755</v>
      </c>
      <c r="H391" s="7" t="s">
        <v>2784</v>
      </c>
      <c r="I391" s="35">
        <v>55</v>
      </c>
      <c r="J391" s="30">
        <f>IF(OR($F391="",$I391=""),0,IFERROR(INDEX(Nutrition!$D$2:$D$300,MATCH($F391,Nutrition!$A$2:$A$300,0))*$I391/100,0))</f>
        <v>0.93500000000000005</v>
      </c>
      <c r="K391" s="30">
        <f>IF(OR($F391="",$I391=""),0,IFERROR(INDEX(Nutrition!$E$2:$E$300,MATCH($F391,Nutrition!$A$2:$A$300,0))*$I391/100,0))</f>
        <v>4.07</v>
      </c>
      <c r="L391" s="30">
        <f>IF(OR($F391="",$I391=""),0,IFERROR(INDEX(Nutrition!$F$2:$F$300,MATCH($F391,Nutrition!$A$2:$A$300,0))*$I391/100,0))</f>
        <v>0</v>
      </c>
      <c r="M391" s="30">
        <f>IF(OR($F391="",$I391=""),0,IFERROR(INDEX(Nutrition!$G$2:$G$300,MATCH($F391,Nutrition!$A$2:$A$300,0))*$I391/100,0))</f>
        <v>0.22</v>
      </c>
      <c r="N391" s="30">
        <f>IF(OR($F391="",$I391=""),0,IFERROR(INDEX(Nutrition!$H$2:$H$300,MATCH($F391,Nutrition!$A$2:$A$300,0))*$I391/100,0))</f>
        <v>10.45</v>
      </c>
      <c r="O391" s="30">
        <f>IF(OR($F391="",$I391=""),0,IFERROR(INDEX(Nutrition!$I$2:$I$300,MATCH($F391,Nutrition!$A$2:$A$300,0))*$I391/100,0))</f>
        <v>80.3</v>
      </c>
      <c r="P391" s="30">
        <f>IF(OR($F391="",$I391=""),0,IFERROR(INDEX(Nutrition!$J$2:$J$300,MATCH($F391,Nutrition!$A$2:$A$300,0))*$I391/100,0))</f>
        <v>1.1000000000000001E-2</v>
      </c>
      <c r="Q391" s="30">
        <f>IF(OR($F391="",$I391=""),0,IFERROR(INDEX(Nutrition!$K$2:$K$300,MATCH($F391,Nutrition!$A$2:$A$300,0))*$I391/100,0))</f>
        <v>6.6000000000000003E-2</v>
      </c>
      <c r="R391" s="30">
        <f>IF(OR($F391="",$I391=""),0,IFERROR(INDEX(Nutrition!$L$2:$L$300,MATCH($F391,Nutrition!$A$2:$A$300,0))*$I391/100,0))</f>
        <v>5.5</v>
      </c>
      <c r="S391" s="30">
        <f>IF(OR($F391="",$I391=""),0,IFERROR(INDEX(Nutrition!$M$2:$M$300,MATCH($F391,Nutrition!$A$2:$A$300,0))*$I391/100,0))</f>
        <v>0.11549999999999999</v>
      </c>
    </row>
    <row r="392" spans="1:19" ht="15" customHeight="1" x14ac:dyDescent="0.25">
      <c r="A392" s="22" t="s">
        <v>1466</v>
      </c>
      <c r="B392" s="33" t="str">
        <f>IFERROR(INDEX(Recipes!$B$2:$B$500,MATCH(A392,Recipes!$A$2:$A$500,0)),"")</f>
        <v>Fish Tacos with Pineapple Salsa</v>
      </c>
      <c r="C392" s="7" t="s">
        <v>473</v>
      </c>
      <c r="D392" s="34">
        <v>0.25</v>
      </c>
      <c r="E392" s="22" t="s">
        <v>2754</v>
      </c>
      <c r="F392" s="22" t="s">
        <v>472</v>
      </c>
      <c r="G392" s="22" t="s">
        <v>2755</v>
      </c>
      <c r="H392" s="7"/>
      <c r="I392" s="35">
        <v>2</v>
      </c>
      <c r="J392" s="30">
        <f>IF(OR($F392="",$I392=""),0,IFERROR(INDEX(Nutrition!$D$2:$D$300,MATCH($F392,Nutrition!$A$2:$A$300,0))*$I392/100,0))</f>
        <v>0.03</v>
      </c>
      <c r="K392" s="30">
        <f>IF(OR($F392="",$I392=""),0,IFERROR(INDEX(Nutrition!$E$2:$E$300,MATCH($F392,Nutrition!$A$2:$A$300,0))*$I392/100,0))</f>
        <v>2.8739999999999997</v>
      </c>
      <c r="L392" s="30">
        <f>IF(OR($F392="",$I392=""),0,IFERROR(INDEX(Nutrition!$F$2:$F$300,MATCH($F392,Nutrition!$A$2:$A$300,0))*$I392/100,0))</f>
        <v>0.96</v>
      </c>
      <c r="M392" s="30">
        <f>IF(OR($F392="",$I392=""),0,IFERROR(INDEX(Nutrition!$G$2:$G$300,MATCH($F392,Nutrition!$A$2:$A$300,0))*$I392/100,0))</f>
        <v>0.28000000000000003</v>
      </c>
      <c r="N392" s="30">
        <f>IF(OR($F392="",$I392=""),0,IFERROR(INDEX(Nutrition!$H$2:$H$300,MATCH($F392,Nutrition!$A$2:$A$300,0))*$I392/100,0))</f>
        <v>0.46</v>
      </c>
      <c r="O392" s="30">
        <f>IF(OR($F392="",$I392=""),0,IFERROR(INDEX(Nutrition!$I$2:$I$300,MATCH($F392,Nutrition!$A$2:$A$300,0))*$I392/100,0))</f>
        <v>6.44</v>
      </c>
      <c r="P392" s="30">
        <f>IF(OR($F392="",$I392=""),0,IFERROR(INDEX(Nutrition!$J$2:$J$300,MATCH($F392,Nutrition!$A$2:$A$300,0))*$I392/100,0))</f>
        <v>1.38E-2</v>
      </c>
      <c r="Q392" s="30">
        <f>IF(OR($F392="",$I392=""),0,IFERROR(INDEX(Nutrition!$K$2:$K$300,MATCH($F392,Nutrition!$A$2:$A$300,0))*$I392/100,0))</f>
        <v>1.0120000000000001E-2</v>
      </c>
      <c r="R392" s="30">
        <f>IF(OR($F392="",$I392=""),0,IFERROR(INDEX(Nutrition!$L$2:$L$300,MATCH($F392,Nutrition!$A$2:$A$300,0))*$I392/100,0))</f>
        <v>0.46</v>
      </c>
      <c r="S392" s="30">
        <f>IF(OR($F392="",$I392=""),0,IFERROR(INDEX(Nutrition!$M$2:$M$300,MATCH($F392,Nutrition!$A$2:$A$300,0))*$I392/100,0))</f>
        <v>2.06E-2</v>
      </c>
    </row>
    <row r="393" spans="1:19" ht="15" customHeight="1" x14ac:dyDescent="0.25">
      <c r="A393" s="22" t="s">
        <v>1466</v>
      </c>
      <c r="B393" s="33" t="str">
        <f>IFERROR(INDEX(Recipes!$B$2:$B$500,MATCH(A393,Recipes!$A$2:$A$500,0)),"")</f>
        <v>Fish Tacos with Pineapple Salsa</v>
      </c>
      <c r="C393" s="7" t="s">
        <v>668</v>
      </c>
      <c r="D393" s="34">
        <v>1</v>
      </c>
      <c r="E393" s="22" t="s">
        <v>2809</v>
      </c>
      <c r="F393" s="22" t="s">
        <v>667</v>
      </c>
      <c r="G393" s="22" t="s">
        <v>2755</v>
      </c>
      <c r="H393" s="7"/>
      <c r="I393" s="35">
        <v>30</v>
      </c>
      <c r="J393" s="30">
        <f>IF(OR($F393="",$I393=""),0,IFERROR(INDEX(Nutrition!$D$2:$D$300,MATCH($F393,Nutrition!$A$2:$A$300,0))*$I393/100,0))</f>
        <v>0.84</v>
      </c>
      <c r="K393" s="30">
        <f>IF(OR($F393="",$I393=""),0,IFERROR(INDEX(Nutrition!$E$2:$E$300,MATCH($F393,Nutrition!$A$2:$A$300,0))*$I393/100,0))</f>
        <v>8.1</v>
      </c>
      <c r="L393" s="30">
        <f>IF(OR($F393="",$I393=""),0,IFERROR(INDEX(Nutrition!$F$2:$F$300,MATCH($F393,Nutrition!$A$2:$A$300,0))*$I393/100,0))</f>
        <v>101.1</v>
      </c>
      <c r="M393" s="30">
        <f>IF(OR($F393="",$I393=""),0,IFERROR(INDEX(Nutrition!$G$2:$G$300,MATCH($F393,Nutrition!$A$2:$A$300,0))*$I393/100,0))</f>
        <v>93</v>
      </c>
      <c r="N393" s="30">
        <f>IF(OR($F393="",$I393=""),0,IFERROR(INDEX(Nutrition!$H$2:$H$300,MATCH($F393,Nutrition!$A$2:$A$300,0))*$I393/100,0))</f>
        <v>18.600000000000001</v>
      </c>
      <c r="O393" s="30">
        <f>IF(OR($F393="",$I393=""),0,IFERROR(INDEX(Nutrition!$I$2:$I$300,MATCH($F393,Nutrition!$A$2:$A$300,0))*$I393/100,0))</f>
        <v>156.30000000000001</v>
      </c>
      <c r="P393" s="30">
        <f>IF(OR($F393="",$I393=""),0,IFERROR(INDEX(Nutrition!$J$2:$J$300,MATCH($F393,Nutrition!$A$2:$A$300,0))*$I393/100,0))</f>
        <v>0.75</v>
      </c>
      <c r="Q393" s="30">
        <f>IF(OR($F393="",$I393=""),0,IFERROR(INDEX(Nutrition!$K$2:$K$300,MATCH($F393,Nutrition!$A$2:$A$300,0))*$I393/100,0))</f>
        <v>4.4699999999999997E-2</v>
      </c>
      <c r="R393" s="30">
        <f>IF(OR($F393="",$I393=""),0,IFERROR(INDEX(Nutrition!$L$2:$L$300,MATCH($F393,Nutrition!$A$2:$A$300,0))*$I393/100,0))</f>
        <v>7.8</v>
      </c>
      <c r="S393" s="30">
        <f>IF(OR($F393="",$I393=""),0,IFERROR(INDEX(Nutrition!$M$2:$M$300,MATCH($F393,Nutrition!$A$2:$A$300,0))*$I393/100,0))</f>
        <v>0.53100000000000003</v>
      </c>
    </row>
    <row r="394" spans="1:19" ht="15" customHeight="1" x14ac:dyDescent="0.25">
      <c r="A394" s="22" t="s">
        <v>1466</v>
      </c>
      <c r="B394" s="33" t="str">
        <f>IFERROR(INDEX(Recipes!$B$2:$B$500,MATCH(A394,Recipes!$A$2:$A$500,0)),"")</f>
        <v>Fish Tacos with Pineapple Salsa</v>
      </c>
      <c r="C394" s="7" t="s">
        <v>537</v>
      </c>
      <c r="D394" s="34">
        <v>0.25</v>
      </c>
      <c r="E394" s="22" t="s">
        <v>2808</v>
      </c>
      <c r="F394" s="22" t="s">
        <v>536</v>
      </c>
      <c r="G394" s="22" t="s">
        <v>2755</v>
      </c>
      <c r="H394" s="7"/>
      <c r="I394" s="35">
        <v>227</v>
      </c>
      <c r="J394" s="30">
        <f>IF(OR($F394="",$I394=""),0,IFERROR(INDEX(Nutrition!$D$2:$D$300,MATCH($F394,Nutrition!$A$2:$A$300,0))*$I394/100,0))</f>
        <v>5.6749999999999998</v>
      </c>
      <c r="K394" s="30">
        <f>IF(OR($F394="",$I394=""),0,IFERROR(INDEX(Nutrition!$E$2:$E$300,MATCH($F394,Nutrition!$A$2:$A$300,0))*$I394/100,0))</f>
        <v>83.082000000000008</v>
      </c>
      <c r="L394" s="30">
        <f>IF(OR($F394="",$I394=""),0,IFERROR(INDEX(Nutrition!$F$2:$F$300,MATCH($F394,Nutrition!$A$2:$A$300,0))*$I394/100,0))</f>
        <v>11.35</v>
      </c>
      <c r="M394" s="30">
        <f>IF(OR($F394="",$I394=""),0,IFERROR(INDEX(Nutrition!$G$2:$G$300,MATCH($F394,Nutrition!$A$2:$A$300,0))*$I394/100,0))</f>
        <v>172.52</v>
      </c>
      <c r="N394" s="30">
        <f>IF(OR($F394="",$I394=""),0,IFERROR(INDEX(Nutrition!$H$2:$H$300,MATCH($F394,Nutrition!$A$2:$A$300,0))*$I394/100,0))</f>
        <v>97.61</v>
      </c>
      <c r="O394" s="30">
        <f>IF(OR($F394="",$I394=""),0,IFERROR(INDEX(Nutrition!$I$2:$I$300,MATCH($F394,Nutrition!$A$2:$A$300,0))*$I394/100,0))</f>
        <v>385.9</v>
      </c>
      <c r="P394" s="30">
        <f>IF(OR($F394="",$I394=""),0,IFERROR(INDEX(Nutrition!$J$2:$J$300,MATCH($F394,Nutrition!$A$2:$A$300,0))*$I394/100,0))</f>
        <v>0.34049999999999997</v>
      </c>
      <c r="Q394" s="30">
        <f>IF(OR($F394="",$I394=""),0,IFERROR(INDEX(Nutrition!$K$2:$K$300,MATCH($F394,Nutrition!$A$2:$A$300,0))*$I394/100,0))</f>
        <v>0.28148000000000001</v>
      </c>
      <c r="R394" s="30">
        <f>IF(OR($F394="",$I394=""),0,IFERROR(INDEX(Nutrition!$L$2:$L$300,MATCH($F394,Nutrition!$A$2:$A$300,0))*$I394/100,0))</f>
        <v>27.24</v>
      </c>
      <c r="S394" s="30">
        <f>IF(OR($F394="",$I394=""),0,IFERROR(INDEX(Nutrition!$M$2:$M$300,MATCH($F394,Nutrition!$A$2:$A$300,0))*$I394/100,0))</f>
        <v>1.0669</v>
      </c>
    </row>
    <row r="395" spans="1:19" ht="15" customHeight="1" x14ac:dyDescent="0.25">
      <c r="A395" s="22" t="s">
        <v>1466</v>
      </c>
      <c r="B395" s="33" t="str">
        <f>IFERROR(INDEX(Recipes!$B$2:$B$500,MATCH(A395,Recipes!$A$2:$A$500,0)),"")</f>
        <v>Fish Tacos with Pineapple Salsa</v>
      </c>
      <c r="C395" s="7" t="s">
        <v>213</v>
      </c>
      <c r="D395" s="34">
        <v>2</v>
      </c>
      <c r="E395" s="22" t="s">
        <v>2754</v>
      </c>
      <c r="F395" s="22" t="s">
        <v>212</v>
      </c>
      <c r="G395" s="22" t="s">
        <v>2755</v>
      </c>
      <c r="H395" s="7"/>
      <c r="I395" s="35">
        <v>134</v>
      </c>
      <c r="J395" s="30">
        <f>IF(OR($F395="",$I395=""),0,IFERROR(INDEX(Nutrition!$D$2:$D$300,MATCH($F395,Nutrition!$A$2:$A$300,0))*$I395/100,0))</f>
        <v>3.7519999999999998</v>
      </c>
      <c r="K395" s="30">
        <f>IF(OR($F395="",$I395=""),0,IFERROR(INDEX(Nutrition!$E$2:$E$300,MATCH($F395,Nutrition!$A$2:$A$300,0))*$I395/100,0))</f>
        <v>38.994</v>
      </c>
      <c r="L395" s="30">
        <f>IF(OR($F395="",$I395=""),0,IFERROR(INDEX(Nutrition!$F$2:$F$300,MATCH($F395,Nutrition!$A$2:$A$300,0))*$I395/100,0))</f>
        <v>2.68</v>
      </c>
      <c r="M395" s="30">
        <f>IF(OR($F395="",$I395=""),0,IFERROR(INDEX(Nutrition!$G$2:$G$300,MATCH($F395,Nutrition!$A$2:$A$300,0))*$I395/100,0))</f>
        <v>0.80399999999999994</v>
      </c>
      <c r="N395" s="30">
        <f>IF(OR($F395="",$I395=""),0,IFERROR(INDEX(Nutrition!$H$2:$H$300,MATCH($F395,Nutrition!$A$2:$A$300,0))*$I395/100,0))</f>
        <v>10.72</v>
      </c>
      <c r="O395" s="30">
        <f>IF(OR($F395="",$I395=""),0,IFERROR(INDEX(Nutrition!$I$2:$I$300,MATCH($F395,Nutrition!$A$2:$A$300,0))*$I395/100,0))</f>
        <v>136.68</v>
      </c>
      <c r="P395" s="30">
        <f>IF(OR($F395="",$I395=""),0,IFERROR(INDEX(Nutrition!$J$2:$J$300,MATCH($F395,Nutrition!$A$2:$A$300,0))*$I395/100,0))</f>
        <v>0.29480000000000001</v>
      </c>
      <c r="Q395" s="30">
        <f>IF(OR($F395="",$I395=""),0,IFERROR(INDEX(Nutrition!$K$2:$K$300,MATCH($F395,Nutrition!$A$2:$A$300,0))*$I395/100,0))</f>
        <v>5.7619999999999998E-2</v>
      </c>
      <c r="R395" s="30">
        <f>IF(OR($F395="",$I395=""),0,IFERROR(INDEX(Nutrition!$L$2:$L$300,MATCH($F395,Nutrition!$A$2:$A$300,0))*$I395/100,0))</f>
        <v>8.0399999999999991</v>
      </c>
      <c r="S395" s="30">
        <f>IF(OR($F395="",$I395=""),0,IFERROR(INDEX(Nutrition!$M$2:$M$300,MATCH($F395,Nutrition!$A$2:$A$300,0))*$I395/100,0))</f>
        <v>0.80399999999999994</v>
      </c>
    </row>
    <row r="396" spans="1:19" ht="15" customHeight="1" x14ac:dyDescent="0.25">
      <c r="A396" s="22" t="s">
        <v>1466</v>
      </c>
      <c r="B396" s="33" t="str">
        <f>IFERROR(INDEX(Recipes!$B$2:$B$500,MATCH(A396,Recipes!$A$2:$A$500,0)),"")</f>
        <v>Fish Tacos with Pineapple Salsa</v>
      </c>
      <c r="C396" s="7" t="s">
        <v>227</v>
      </c>
      <c r="D396" s="34">
        <v>0.5</v>
      </c>
      <c r="E396" s="22" t="s">
        <v>2754</v>
      </c>
      <c r="F396" s="22" t="s">
        <v>226</v>
      </c>
      <c r="G396" s="22" t="s">
        <v>2755</v>
      </c>
      <c r="H396" s="7"/>
      <c r="I396" s="35">
        <v>100</v>
      </c>
      <c r="J396" s="30">
        <f>IF(OR($F396="",$I396=""),0,IFERROR(INDEX(Nutrition!$D$2:$D$300,MATCH($F396,Nutrition!$A$2:$A$300,0))*$I396/100,0))</f>
        <v>6.7</v>
      </c>
      <c r="K396" s="30">
        <f>IF(OR($F396="",$I396=""),0,IFERROR(INDEX(Nutrition!$E$2:$E$300,MATCH($F396,Nutrition!$A$2:$A$300,0))*$I396/100,0))</f>
        <v>10</v>
      </c>
      <c r="L396" s="30">
        <f>IF(OR($F396="",$I396=""),0,IFERROR(INDEX(Nutrition!$F$2:$F$300,MATCH($F396,Nutrition!$A$2:$A$300,0))*$I396/100,0))</f>
        <v>7</v>
      </c>
      <c r="M396" s="30">
        <f>IF(OR($F396="",$I396=""),0,IFERROR(INDEX(Nutrition!$G$2:$G$300,MATCH($F396,Nutrition!$A$2:$A$300,0))*$I396/100,0))</f>
        <v>21</v>
      </c>
      <c r="N396" s="30">
        <f>IF(OR($F396="",$I396=""),0,IFERROR(INDEX(Nutrition!$H$2:$H$300,MATCH($F396,Nutrition!$A$2:$A$300,0))*$I396/100,0))</f>
        <v>81</v>
      </c>
      <c r="O396" s="30">
        <f>IF(OR($F396="",$I396=""),0,IFERROR(INDEX(Nutrition!$I$2:$I$300,MATCH($F396,Nutrition!$A$2:$A$300,0))*$I396/100,0))</f>
        <v>485</v>
      </c>
      <c r="P396" s="30">
        <f>IF(OR($F396="",$I396=""),0,IFERROR(INDEX(Nutrition!$J$2:$J$300,MATCH($F396,Nutrition!$A$2:$A$300,0))*$I396/100,0))</f>
        <v>2.0699999999999998</v>
      </c>
      <c r="Q396" s="30">
        <f>IF(OR($F396="",$I396=""),0,IFERROR(INDEX(Nutrition!$K$2:$K$300,MATCH($F396,Nutrition!$A$2:$A$300,0))*$I396/100,0))</f>
        <v>0.25700000000000001</v>
      </c>
      <c r="R396" s="30">
        <f>IF(OR($F396="",$I396=""),0,IFERROR(INDEX(Nutrition!$L$2:$L$300,MATCH($F396,Nutrition!$A$2:$A$300,0))*$I396/100,0))</f>
        <v>29</v>
      </c>
      <c r="S396" s="30">
        <f>IF(OR($F396="",$I396=""),0,IFERROR(INDEX(Nutrition!$M$2:$M$300,MATCH($F396,Nutrition!$A$2:$A$300,0))*$I396/100,0))</f>
        <v>0.55000000000000004</v>
      </c>
    </row>
    <row r="397" spans="1:19" ht="15" customHeight="1" x14ac:dyDescent="0.25">
      <c r="A397" s="22" t="s">
        <v>1466</v>
      </c>
      <c r="B397" s="33" t="str">
        <f>IFERROR(INDEX(Recipes!$B$2:$B$500,MATCH(A397,Recipes!$A$2:$A$500,0)),"")</f>
        <v>Fish Tacos with Pineapple Salsa</v>
      </c>
      <c r="C397" s="7" t="s">
        <v>2789</v>
      </c>
      <c r="D397" s="34">
        <v>1</v>
      </c>
      <c r="E397" s="22" t="s">
        <v>2759</v>
      </c>
      <c r="F397" s="22"/>
      <c r="G397" s="22" t="s">
        <v>2749</v>
      </c>
      <c r="H397" s="7"/>
      <c r="I397" s="35"/>
      <c r="J397" s="30">
        <f>IF(OR($F397="",$I397=""),0,IFERROR(INDEX(Nutrition!$D$2:$D$300,MATCH($F397,Nutrition!$A$2:$A$300,0))*$I397/100,0))</f>
        <v>0</v>
      </c>
      <c r="K397" s="30">
        <f>IF(OR($F397="",$I397=""),0,IFERROR(INDEX(Nutrition!$E$2:$E$300,MATCH($F397,Nutrition!$A$2:$A$300,0))*$I397/100,0))</f>
        <v>0</v>
      </c>
      <c r="L397" s="30">
        <f>IF(OR($F397="",$I397=""),0,IFERROR(INDEX(Nutrition!$F$2:$F$300,MATCH($F397,Nutrition!$A$2:$A$300,0))*$I397/100,0))</f>
        <v>0</v>
      </c>
      <c r="M397" s="30">
        <f>IF(OR($F397="",$I397=""),0,IFERROR(INDEX(Nutrition!$G$2:$G$300,MATCH($F397,Nutrition!$A$2:$A$300,0))*$I397/100,0))</f>
        <v>0</v>
      </c>
      <c r="N397" s="30">
        <f>IF(OR($F397="",$I397=""),0,IFERROR(INDEX(Nutrition!$H$2:$H$300,MATCH($F397,Nutrition!$A$2:$A$300,0))*$I397/100,0))</f>
        <v>0</v>
      </c>
      <c r="O397" s="30">
        <f>IF(OR($F397="",$I397=""),0,IFERROR(INDEX(Nutrition!$I$2:$I$300,MATCH($F397,Nutrition!$A$2:$A$300,0))*$I397/100,0))</f>
        <v>0</v>
      </c>
      <c r="P397" s="30">
        <f>IF(OR($F397="",$I397=""),0,IFERROR(INDEX(Nutrition!$J$2:$J$300,MATCH($F397,Nutrition!$A$2:$A$300,0))*$I397/100,0))</f>
        <v>0</v>
      </c>
      <c r="Q397" s="30">
        <f>IF(OR($F397="",$I397=""),0,IFERROR(INDEX(Nutrition!$K$2:$K$300,MATCH($F397,Nutrition!$A$2:$A$300,0))*$I397/100,0))</f>
        <v>0</v>
      </c>
      <c r="R397" s="30">
        <f>IF(OR($F397="",$I397=""),0,IFERROR(INDEX(Nutrition!$L$2:$L$300,MATCH($F397,Nutrition!$A$2:$A$300,0))*$I397/100,0))</f>
        <v>0</v>
      </c>
      <c r="S397" s="30">
        <f>IF(OR($F397="",$I397=""),0,IFERROR(INDEX(Nutrition!$M$2:$M$300,MATCH($F397,Nutrition!$A$2:$A$300,0))*$I397/100,0))</f>
        <v>0</v>
      </c>
    </row>
    <row r="398" spans="1:19" ht="15" customHeight="1" x14ac:dyDescent="0.25">
      <c r="A398" s="22" t="s">
        <v>1466</v>
      </c>
      <c r="B398" s="33" t="str">
        <f>IFERROR(INDEX(Recipes!$B$2:$B$500,MATCH(A398,Recipes!$A$2:$A$500,0)),"")</f>
        <v>Fish Tacos with Pineapple Salsa</v>
      </c>
      <c r="C398" s="7" t="s">
        <v>2772</v>
      </c>
      <c r="D398" s="34">
        <v>1</v>
      </c>
      <c r="E398" s="22" t="s">
        <v>2753</v>
      </c>
      <c r="F398" s="22"/>
      <c r="G398" s="22" t="s">
        <v>2773</v>
      </c>
      <c r="H398" s="7"/>
      <c r="I398" s="35"/>
      <c r="J398" s="30">
        <f>IF(OR($F398="",$I398=""),0,IFERROR(INDEX(Nutrition!$D$2:$D$300,MATCH($F398,Nutrition!$A$2:$A$300,0))*$I398/100,0))</f>
        <v>0</v>
      </c>
      <c r="K398" s="30">
        <f>IF(OR($F398="",$I398=""),0,IFERROR(INDEX(Nutrition!$E$2:$E$300,MATCH($F398,Nutrition!$A$2:$A$300,0))*$I398/100,0))</f>
        <v>0</v>
      </c>
      <c r="L398" s="30">
        <f>IF(OR($F398="",$I398=""),0,IFERROR(INDEX(Nutrition!$F$2:$F$300,MATCH($F398,Nutrition!$A$2:$A$300,0))*$I398/100,0))</f>
        <v>0</v>
      </c>
      <c r="M398" s="30">
        <f>IF(OR($F398="",$I398=""),0,IFERROR(INDEX(Nutrition!$G$2:$G$300,MATCH($F398,Nutrition!$A$2:$A$300,0))*$I398/100,0))</f>
        <v>0</v>
      </c>
      <c r="N398" s="30">
        <f>IF(OR($F398="",$I398=""),0,IFERROR(INDEX(Nutrition!$H$2:$H$300,MATCH($F398,Nutrition!$A$2:$A$300,0))*$I398/100,0))</f>
        <v>0</v>
      </c>
      <c r="O398" s="30">
        <f>IF(OR($F398="",$I398=""),0,IFERROR(INDEX(Nutrition!$I$2:$I$300,MATCH($F398,Nutrition!$A$2:$A$300,0))*$I398/100,0))</f>
        <v>0</v>
      </c>
      <c r="P398" s="30">
        <f>IF(OR($F398="",$I398=""),0,IFERROR(INDEX(Nutrition!$J$2:$J$300,MATCH($F398,Nutrition!$A$2:$A$300,0))*$I398/100,0))</f>
        <v>0</v>
      </c>
      <c r="Q398" s="30">
        <f>IF(OR($F398="",$I398=""),0,IFERROR(INDEX(Nutrition!$K$2:$K$300,MATCH($F398,Nutrition!$A$2:$A$300,0))*$I398/100,0))</f>
        <v>0</v>
      </c>
      <c r="R398" s="30">
        <f>IF(OR($F398="",$I398=""),0,IFERROR(INDEX(Nutrition!$L$2:$L$300,MATCH($F398,Nutrition!$A$2:$A$300,0))*$I398/100,0))</f>
        <v>0</v>
      </c>
      <c r="S398" s="30">
        <f>IF(OR($F398="",$I398=""),0,IFERROR(INDEX(Nutrition!$M$2:$M$300,MATCH($F398,Nutrition!$A$2:$A$300,0))*$I398/100,0))</f>
        <v>0</v>
      </c>
    </row>
    <row r="399" spans="1:19" ht="15" customHeight="1" x14ac:dyDescent="0.25">
      <c r="A399" s="22" t="s">
        <v>1477</v>
      </c>
      <c r="B399" s="33" t="str">
        <f>IFERROR(INDEX(Recipes!$B$2:$B$500,MATCH(A399,Recipes!$A$2:$A$500,0)),"")</f>
        <v>Chicken Lettuce Cups</v>
      </c>
      <c r="C399" s="7" t="s">
        <v>2863</v>
      </c>
      <c r="D399" s="34">
        <v>300</v>
      </c>
      <c r="E399" s="22" t="s">
        <v>2813</v>
      </c>
      <c r="F399" s="22"/>
      <c r="G399" s="22" t="s">
        <v>2768</v>
      </c>
      <c r="H399" s="7"/>
      <c r="I399" s="35"/>
      <c r="J399" s="30">
        <f>IF(OR($F399="",$I399=""),0,IFERROR(INDEX(Nutrition!$D$2:$D$300,MATCH($F399,Nutrition!$A$2:$A$300,0))*$I399/100,0))</f>
        <v>0</v>
      </c>
      <c r="K399" s="30">
        <f>IF(OR($F399="",$I399=""),0,IFERROR(INDEX(Nutrition!$E$2:$E$300,MATCH($F399,Nutrition!$A$2:$A$300,0))*$I399/100,0))</f>
        <v>0</v>
      </c>
      <c r="L399" s="30">
        <f>IF(OR($F399="",$I399=""),0,IFERROR(INDEX(Nutrition!$F$2:$F$300,MATCH($F399,Nutrition!$A$2:$A$300,0))*$I399/100,0))</f>
        <v>0</v>
      </c>
      <c r="M399" s="30">
        <f>IF(OR($F399="",$I399=""),0,IFERROR(INDEX(Nutrition!$G$2:$G$300,MATCH($F399,Nutrition!$A$2:$A$300,0))*$I399/100,0))</f>
        <v>0</v>
      </c>
      <c r="N399" s="30">
        <f>IF(OR($F399="",$I399=""),0,IFERROR(INDEX(Nutrition!$H$2:$H$300,MATCH($F399,Nutrition!$A$2:$A$300,0))*$I399/100,0))</f>
        <v>0</v>
      </c>
      <c r="O399" s="30">
        <f>IF(OR($F399="",$I399=""),0,IFERROR(INDEX(Nutrition!$I$2:$I$300,MATCH($F399,Nutrition!$A$2:$A$300,0))*$I399/100,0))</f>
        <v>0</v>
      </c>
      <c r="P399" s="30">
        <f>IF(OR($F399="",$I399=""),0,IFERROR(INDEX(Nutrition!$J$2:$J$300,MATCH($F399,Nutrition!$A$2:$A$300,0))*$I399/100,0))</f>
        <v>0</v>
      </c>
      <c r="Q399" s="30">
        <f>IF(OR($F399="",$I399=""),0,IFERROR(INDEX(Nutrition!$K$2:$K$300,MATCH($F399,Nutrition!$A$2:$A$300,0))*$I399/100,0))</f>
        <v>0</v>
      </c>
      <c r="R399" s="30">
        <f>IF(OR($F399="",$I399=""),0,IFERROR(INDEX(Nutrition!$L$2:$L$300,MATCH($F399,Nutrition!$A$2:$A$300,0))*$I399/100,0))</f>
        <v>0</v>
      </c>
      <c r="S399" s="30">
        <f>IF(OR($F399="",$I399=""),0,IFERROR(INDEX(Nutrition!$M$2:$M$300,MATCH($F399,Nutrition!$A$2:$A$300,0))*$I399/100,0))</f>
        <v>0</v>
      </c>
    </row>
    <row r="400" spans="1:19" ht="15" customHeight="1" x14ac:dyDescent="0.25">
      <c r="A400" s="22" t="s">
        <v>1477</v>
      </c>
      <c r="B400" s="33" t="str">
        <f>IFERROR(INDEX(Recipes!$B$2:$B$500,MATCH(A400,Recipes!$A$2:$A$500,0)),"")</f>
        <v>Chicken Lettuce Cups</v>
      </c>
      <c r="C400" s="7" t="s">
        <v>546</v>
      </c>
      <c r="D400" s="34">
        <v>1</v>
      </c>
      <c r="E400" s="22" t="s">
        <v>2808</v>
      </c>
      <c r="F400" s="22" t="s">
        <v>545</v>
      </c>
      <c r="G400" s="22" t="s">
        <v>2755</v>
      </c>
      <c r="H400" s="7" t="s">
        <v>2864</v>
      </c>
      <c r="I400" s="35">
        <v>626</v>
      </c>
      <c r="J400" s="30">
        <f>IF(OR($F400="",$I400=""),0,IFERROR(INDEX(Nutrition!$D$2:$D$300,MATCH($F400,Nutrition!$A$2:$A$300,0))*$I400/100,0))</f>
        <v>13.146000000000001</v>
      </c>
      <c r="K400" s="30">
        <f>IF(OR($F400="",$I400=""),0,IFERROR(INDEX(Nutrition!$E$2:$E$300,MATCH($F400,Nutrition!$A$2:$A$300,0))*$I400/100,0))</f>
        <v>25.04</v>
      </c>
      <c r="L400" s="30">
        <f>IF(OR($F400="",$I400=""),0,IFERROR(INDEX(Nutrition!$F$2:$F$300,MATCH($F400,Nutrition!$A$2:$A$300,0))*$I400/100,0))</f>
        <v>2729.36</v>
      </c>
      <c r="M400" s="30">
        <f>IF(OR($F400="",$I400=""),0,IFERROR(INDEX(Nutrition!$G$2:$G$300,MATCH($F400,Nutrition!$A$2:$A$300,0))*$I400/100,0))</f>
        <v>641.65</v>
      </c>
      <c r="N400" s="30">
        <f>IF(OR($F400="",$I400=""),0,IFERROR(INDEX(Nutrition!$H$2:$H$300,MATCH($F400,Nutrition!$A$2:$A$300,0))*$I400/100,0))</f>
        <v>851.36</v>
      </c>
      <c r="O400" s="30">
        <f>IF(OR($F400="",$I400=""),0,IFERROR(INDEX(Nutrition!$I$2:$I$300,MATCH($F400,Nutrition!$A$2:$A$300,0))*$I400/100,0))</f>
        <v>1546.22</v>
      </c>
      <c r="P400" s="30">
        <f>IF(OR($F400="",$I400=""),0,IFERROR(INDEX(Nutrition!$J$2:$J$300,MATCH($F400,Nutrition!$A$2:$A$300,0))*$I400/100,0))</f>
        <v>0.81380000000000008</v>
      </c>
      <c r="Q400" s="30">
        <f>IF(OR($F400="",$I400=""),0,IFERROR(INDEX(Nutrition!$K$2:$K$300,MATCH($F400,Nutrition!$A$2:$A$300,0))*$I400/100,0))</f>
        <v>0.46323999999999999</v>
      </c>
      <c r="R400" s="30">
        <f>IF(OR($F400="",$I400=""),0,IFERROR(INDEX(Nutrition!$L$2:$L$300,MATCH($F400,Nutrition!$A$2:$A$300,0))*$I400/100,0))</f>
        <v>87.64</v>
      </c>
      <c r="S400" s="30">
        <f>IF(OR($F400="",$I400=""),0,IFERROR(INDEX(Nutrition!$M$2:$M$300,MATCH($F400,Nutrition!$A$2:$A$300,0))*$I400/100,0))</f>
        <v>6.0722000000000005</v>
      </c>
    </row>
    <row r="401" spans="1:19" ht="15" customHeight="1" x14ac:dyDescent="0.25">
      <c r="A401" s="22" t="s">
        <v>1477</v>
      </c>
      <c r="B401" s="33" t="str">
        <f>IFERROR(INDEX(Recipes!$B$2:$B$500,MATCH(A401,Recipes!$A$2:$A$500,0)),"")</f>
        <v>Chicken Lettuce Cups</v>
      </c>
      <c r="C401" s="7" t="s">
        <v>529</v>
      </c>
      <c r="D401" s="34">
        <v>1</v>
      </c>
      <c r="E401" s="22" t="s">
        <v>2754</v>
      </c>
      <c r="F401" s="22" t="s">
        <v>528</v>
      </c>
      <c r="G401" s="22" t="s">
        <v>2755</v>
      </c>
      <c r="H401" s="7"/>
      <c r="I401" s="35">
        <v>61</v>
      </c>
      <c r="J401" s="30">
        <f>IF(OR($F401="",$I401=""),0,IFERROR(INDEX(Nutrition!$D$2:$D$300,MATCH($F401,Nutrition!$A$2:$A$300,0))*$I401/100,0))</f>
        <v>1.7079999999999997</v>
      </c>
      <c r="K401" s="30">
        <f>IF(OR($F401="",$I401=""),0,IFERROR(INDEX(Nutrition!$E$2:$E$300,MATCH($F401,Nutrition!$A$2:$A$300,0))*$I401/100,0))</f>
        <v>3.5990000000000002</v>
      </c>
      <c r="L401" s="30">
        <f>IF(OR($F401="",$I401=""),0,IFERROR(INDEX(Nutrition!$F$2:$F$300,MATCH($F401,Nutrition!$A$2:$A$300,0))*$I401/100,0))</f>
        <v>509.35</v>
      </c>
      <c r="M401" s="30">
        <f>IF(OR($F401="",$I401=""),0,IFERROR(INDEX(Nutrition!$G$2:$G$300,MATCH($F401,Nutrition!$A$2:$A$300,0))*$I401/100,0))</f>
        <v>8.0519999999999996</v>
      </c>
      <c r="N401" s="30">
        <f>IF(OR($F401="",$I401=""),0,IFERROR(INDEX(Nutrition!$H$2:$H$300,MATCH($F401,Nutrition!$A$2:$A$300,0))*$I401/100,0))</f>
        <v>11.59</v>
      </c>
      <c r="O401" s="30">
        <f>IF(OR($F401="",$I401=""),0,IFERROR(INDEX(Nutrition!$I$2:$I$300,MATCH($F401,Nutrition!$A$2:$A$300,0))*$I401/100,0))</f>
        <v>195.2</v>
      </c>
      <c r="P401" s="30">
        <f>IF(OR($F401="",$I401=""),0,IFERROR(INDEX(Nutrition!$J$2:$J$300,MATCH($F401,Nutrition!$A$2:$A$300,0))*$I401/100,0))</f>
        <v>0.40260000000000007</v>
      </c>
      <c r="Q401" s="30">
        <f>IF(OR($F401="",$I401=""),0,IFERROR(INDEX(Nutrition!$K$2:$K$300,MATCH($F401,Nutrition!$A$2:$A$300,0))*$I401/100,0))</f>
        <v>8.4180000000000005E-2</v>
      </c>
      <c r="R401" s="30">
        <f>IF(OR($F401="",$I401=""),0,IFERROR(INDEX(Nutrition!$L$2:$L$300,MATCH($F401,Nutrition!$A$2:$A$300,0))*$I401/100,0))</f>
        <v>7.32</v>
      </c>
      <c r="S401" s="30">
        <f>IF(OR($F401="",$I401=""),0,IFERROR(INDEX(Nutrition!$M$2:$M$300,MATCH($F401,Nutrition!$A$2:$A$300,0))*$I401/100,0))</f>
        <v>0.183</v>
      </c>
    </row>
    <row r="402" spans="1:19" ht="15" customHeight="1" x14ac:dyDescent="0.25">
      <c r="A402" s="22" t="s">
        <v>1477</v>
      </c>
      <c r="B402" s="33" t="str">
        <f>IFERROR(INDEX(Recipes!$B$2:$B$500,MATCH(A402,Recipes!$A$2:$A$500,0)),"")</f>
        <v>Chicken Lettuce Cups</v>
      </c>
      <c r="C402" s="7" t="s">
        <v>462</v>
      </c>
      <c r="D402" s="34">
        <v>0.5</v>
      </c>
      <c r="E402" s="22" t="s">
        <v>2754</v>
      </c>
      <c r="F402" s="22" t="s">
        <v>461</v>
      </c>
      <c r="G402" s="22" t="s">
        <v>2755</v>
      </c>
      <c r="H402" s="7"/>
      <c r="I402" s="35">
        <v>60</v>
      </c>
      <c r="J402" s="30">
        <f>IF(OR($F402="",$I402=""),0,IFERROR(INDEX(Nutrition!$D$2:$D$300,MATCH($F402,Nutrition!$A$2:$A$300,0))*$I402/100,0))</f>
        <v>1.26</v>
      </c>
      <c r="K402" s="30">
        <f>IF(OR($F402="",$I402=""),0,IFERROR(INDEX(Nutrition!$E$2:$E$300,MATCH($F402,Nutrition!$A$2:$A$300,0))*$I402/100,0))</f>
        <v>76.62</v>
      </c>
      <c r="L402" s="30">
        <f>IF(OR($F402="",$I402=""),0,IFERROR(INDEX(Nutrition!$F$2:$F$300,MATCH($F402,Nutrition!$A$2:$A$300,0))*$I402/100,0))</f>
        <v>94.2</v>
      </c>
      <c r="M402" s="30">
        <f>IF(OR($F402="",$I402=""),0,IFERROR(INDEX(Nutrition!$G$2:$G$300,MATCH($F402,Nutrition!$A$2:$A$300,0))*$I402/100,0))</f>
        <v>2.94</v>
      </c>
      <c r="N402" s="30">
        <f>IF(OR($F402="",$I402=""),0,IFERROR(INDEX(Nutrition!$H$2:$H$300,MATCH($F402,Nutrition!$A$2:$A$300,0))*$I402/100,0))</f>
        <v>27.6</v>
      </c>
      <c r="O402" s="30">
        <f>IF(OR($F402="",$I402=""),0,IFERROR(INDEX(Nutrition!$I$2:$I$300,MATCH($F402,Nutrition!$A$2:$A$300,0))*$I402/100,0))</f>
        <v>126.6</v>
      </c>
      <c r="P402" s="30">
        <f>IF(OR($F402="",$I402=""),0,IFERROR(INDEX(Nutrition!$J$2:$J$300,MATCH($F402,Nutrition!$A$2:$A$300,0))*$I402/100,0))</f>
        <v>0.94800000000000006</v>
      </c>
      <c r="Q402" s="30">
        <f>IF(OR($F402="",$I402=""),0,IFERROR(INDEX(Nutrition!$K$2:$K$300,MATCH($F402,Nutrition!$A$2:$A$300,0))*$I402/100,0))</f>
        <v>0.17459999999999998</v>
      </c>
      <c r="R402" s="30">
        <f>IF(OR($F402="",$I402=""),0,IFERROR(INDEX(Nutrition!$L$2:$L$300,MATCH($F402,Nutrition!$A$2:$A$300,0))*$I402/100,0))</f>
        <v>7.2</v>
      </c>
      <c r="S402" s="30">
        <f>IF(OR($F402="",$I402=""),0,IFERROR(INDEX(Nutrition!$M$2:$M$300,MATCH($F402,Nutrition!$A$2:$A$300,0))*$I402/100,0))</f>
        <v>0.25800000000000001</v>
      </c>
    </row>
    <row r="403" spans="1:19" ht="15" customHeight="1" x14ac:dyDescent="0.25">
      <c r="A403" s="22" t="s">
        <v>1477</v>
      </c>
      <c r="B403" s="33" t="str">
        <f>IFERROR(INDEX(Recipes!$B$2:$B$500,MATCH(A403,Recipes!$A$2:$A$500,0)),"")</f>
        <v>Chicken Lettuce Cups</v>
      </c>
      <c r="C403" s="7" t="s">
        <v>490</v>
      </c>
      <c r="D403" s="34">
        <v>2</v>
      </c>
      <c r="E403" s="22" t="s">
        <v>2820</v>
      </c>
      <c r="F403" s="22" t="s">
        <v>489</v>
      </c>
      <c r="G403" s="22" t="s">
        <v>2755</v>
      </c>
      <c r="H403" s="7"/>
      <c r="I403" s="35">
        <v>30</v>
      </c>
      <c r="J403" s="30">
        <f>IF(OR($F403="",$I403=""),0,IFERROR(INDEX(Nutrition!$D$2:$D$300,MATCH($F403,Nutrition!$A$2:$A$300,0))*$I403/100,0))</f>
        <v>0.78</v>
      </c>
      <c r="K403" s="30">
        <f>IF(OR($F403="",$I403=""),0,IFERROR(INDEX(Nutrition!$E$2:$E$300,MATCH($F403,Nutrition!$A$2:$A$300,0))*$I403/100,0))</f>
        <v>5.64</v>
      </c>
      <c r="L403" s="30">
        <f>IF(OR($F403="",$I403=""),0,IFERROR(INDEX(Nutrition!$F$2:$F$300,MATCH($F403,Nutrition!$A$2:$A$300,0))*$I403/100,0))</f>
        <v>15</v>
      </c>
      <c r="M403" s="30">
        <f>IF(OR($F403="",$I403=""),0,IFERROR(INDEX(Nutrition!$G$2:$G$300,MATCH($F403,Nutrition!$A$2:$A$300,0))*$I403/100,0))</f>
        <v>62.1</v>
      </c>
      <c r="N403" s="30">
        <f>IF(OR($F403="",$I403=""),0,IFERROR(INDEX(Nutrition!$H$2:$H$300,MATCH($F403,Nutrition!$A$2:$A$300,0))*$I403/100,0))</f>
        <v>19.2</v>
      </c>
      <c r="O403" s="30">
        <f>IF(OR($F403="",$I403=""),0,IFERROR(INDEX(Nutrition!$I$2:$I$300,MATCH($F403,Nutrition!$A$2:$A$300,0))*$I403/100,0))</f>
        <v>82.8</v>
      </c>
      <c r="P403" s="30">
        <f>IF(OR($F403="",$I403=""),0,IFERROR(INDEX(Nutrition!$J$2:$J$300,MATCH($F403,Nutrition!$A$2:$A$300,0))*$I403/100,0))</f>
        <v>0.16500000000000001</v>
      </c>
      <c r="Q403" s="30">
        <f>IF(OR($F403="",$I403=""),0,IFERROR(INDEX(Nutrition!$K$2:$K$300,MATCH($F403,Nutrition!$A$2:$A$300,0))*$I403/100,0))</f>
        <v>1.83E-2</v>
      </c>
      <c r="R403" s="30">
        <f>IF(OR($F403="",$I403=""),0,IFERROR(INDEX(Nutrition!$L$2:$L$300,MATCH($F403,Nutrition!$A$2:$A$300,0))*$I403/100,0))</f>
        <v>6</v>
      </c>
      <c r="S403" s="30">
        <f>IF(OR($F403="",$I403=""),0,IFERROR(INDEX(Nutrition!$M$2:$M$300,MATCH($F403,Nutrition!$A$2:$A$300,0))*$I403/100,0))</f>
        <v>0.44400000000000001</v>
      </c>
    </row>
    <row r="404" spans="1:19" ht="15" customHeight="1" x14ac:dyDescent="0.25">
      <c r="A404" s="22" t="s">
        <v>1477</v>
      </c>
      <c r="B404" s="33" t="str">
        <f>IFERROR(INDEX(Recipes!$B$2:$B$500,MATCH(A404,Recipes!$A$2:$A$500,0)),"")</f>
        <v>Chicken Lettuce Cups</v>
      </c>
      <c r="C404" s="7" t="s">
        <v>500</v>
      </c>
      <c r="D404" s="34">
        <v>2</v>
      </c>
      <c r="E404" s="22" t="s">
        <v>2776</v>
      </c>
      <c r="F404" s="22" t="s">
        <v>499</v>
      </c>
      <c r="G404" s="22" t="s">
        <v>2755</v>
      </c>
      <c r="H404" s="7"/>
      <c r="I404" s="35">
        <v>6</v>
      </c>
      <c r="J404" s="30">
        <f>IF(OR($F404="",$I404=""),0,IFERROR(INDEX(Nutrition!$D$2:$D$300,MATCH($F404,Nutrition!$A$2:$A$300,0))*$I404/100,0))</f>
        <v>0.126</v>
      </c>
      <c r="K404" s="30">
        <f>IF(OR($F404="",$I404=""),0,IFERROR(INDEX(Nutrition!$E$2:$E$300,MATCH($F404,Nutrition!$A$2:$A$300,0))*$I404/100,0))</f>
        <v>1.8719999999999999</v>
      </c>
      <c r="L404" s="30">
        <f>IF(OR($F404="",$I404=""),0,IFERROR(INDEX(Nutrition!$F$2:$F$300,MATCH($F404,Nutrition!$A$2:$A$300,0))*$I404/100,0))</f>
        <v>0</v>
      </c>
      <c r="M404" s="30">
        <f>IF(OR($F404="",$I404=""),0,IFERROR(INDEX(Nutrition!$G$2:$G$300,MATCH($F404,Nutrition!$A$2:$A$300,0))*$I404/100,0))</f>
        <v>0.10199999999999999</v>
      </c>
      <c r="N404" s="30">
        <f>IF(OR($F404="",$I404=""),0,IFERROR(INDEX(Nutrition!$H$2:$H$300,MATCH($F404,Nutrition!$A$2:$A$300,0))*$I404/100,0))</f>
        <v>0.18</v>
      </c>
      <c r="O404" s="30">
        <f>IF(OR($F404="",$I404=""),0,IFERROR(INDEX(Nutrition!$I$2:$I$300,MATCH($F404,Nutrition!$A$2:$A$300,0))*$I404/100,0))</f>
        <v>24.06</v>
      </c>
      <c r="P404" s="30">
        <f>IF(OR($F404="",$I404=""),0,IFERROR(INDEX(Nutrition!$J$2:$J$300,MATCH($F404,Nutrition!$A$2:$A$300,0))*$I404/100,0))</f>
        <v>4.7999999999999996E-3</v>
      </c>
      <c r="Q404" s="30">
        <f>IF(OR($F404="",$I404=""),0,IFERROR(INDEX(Nutrition!$K$2:$K$300,MATCH($F404,Nutrition!$A$2:$A$300,0))*$I404/100,0))</f>
        <v>7.4099999999999999E-2</v>
      </c>
      <c r="R404" s="30">
        <f>IF(OR($F404="",$I404=""),0,IFERROR(INDEX(Nutrition!$L$2:$L$300,MATCH($F404,Nutrition!$A$2:$A$300,0))*$I404/100,0))</f>
        <v>1.5</v>
      </c>
      <c r="S404" s="30">
        <f>IF(OR($F404="",$I404=""),0,IFERROR(INDEX(Nutrition!$M$2:$M$300,MATCH($F404,Nutrition!$A$2:$A$300,0))*$I404/100,0))</f>
        <v>0.10199999999999999</v>
      </c>
    </row>
    <row r="405" spans="1:19" ht="15" customHeight="1" x14ac:dyDescent="0.25">
      <c r="A405" s="22" t="s">
        <v>1477</v>
      </c>
      <c r="B405" s="33" t="str">
        <f>IFERROR(INDEX(Recipes!$B$2:$B$500,MATCH(A405,Recipes!$A$2:$A$500,0)),"")</f>
        <v>Chicken Lettuce Cups</v>
      </c>
      <c r="C405" s="7" t="s">
        <v>508</v>
      </c>
      <c r="D405" s="34">
        <v>1</v>
      </c>
      <c r="E405" s="22" t="s">
        <v>2821</v>
      </c>
      <c r="F405" s="22" t="s">
        <v>507</v>
      </c>
      <c r="G405" s="22" t="s">
        <v>2755</v>
      </c>
      <c r="H405" s="7"/>
      <c r="I405" s="35">
        <v>15</v>
      </c>
      <c r="J405" s="30">
        <f>IF(OR($F405="",$I405=""),0,IFERROR(INDEX(Nutrition!$D$2:$D$300,MATCH($F405,Nutrition!$A$2:$A$300,0))*$I405/100,0))</f>
        <v>0.3</v>
      </c>
      <c r="K405" s="30">
        <f>IF(OR($F405="",$I405=""),0,IFERROR(INDEX(Nutrition!$E$2:$E$300,MATCH($F405,Nutrition!$A$2:$A$300,0))*$I405/100,0))</f>
        <v>0.75</v>
      </c>
      <c r="L405" s="30">
        <f>IF(OR($F405="",$I405=""),0,IFERROR(INDEX(Nutrition!$F$2:$F$300,MATCH($F405,Nutrition!$A$2:$A$300,0))*$I405/100,0))</f>
        <v>0</v>
      </c>
      <c r="M405" s="30">
        <f>IF(OR($F405="",$I405=""),0,IFERROR(INDEX(Nutrition!$G$2:$G$300,MATCH($F405,Nutrition!$A$2:$A$300,0))*$I405/100,0))</f>
        <v>1.4999999999999999E-2</v>
      </c>
      <c r="N405" s="30">
        <f>IF(OR($F405="",$I405=""),0,IFERROR(INDEX(Nutrition!$H$2:$H$300,MATCH($F405,Nutrition!$A$2:$A$300,0))*$I405/100,0))</f>
        <v>1.65</v>
      </c>
      <c r="O405" s="30">
        <f>IF(OR($F405="",$I405=""),0,IFERROR(INDEX(Nutrition!$I$2:$I$300,MATCH($F405,Nutrition!$A$2:$A$300,0))*$I405/100,0))</f>
        <v>62.25</v>
      </c>
      <c r="P405" s="30">
        <f>IF(OR($F405="",$I405=""),0,IFERROR(INDEX(Nutrition!$J$2:$J$300,MATCH($F405,Nutrition!$A$2:$A$300,0))*$I405/100,0))</f>
        <v>3.9000000000000007E-2</v>
      </c>
      <c r="Q405" s="30">
        <f>IF(OR($F405="",$I405=""),0,IFERROR(INDEX(Nutrition!$K$2:$K$300,MATCH($F405,Nutrition!$A$2:$A$300,0))*$I405/100,0))</f>
        <v>2.4E-2</v>
      </c>
      <c r="R405" s="30">
        <f>IF(OR($F405="",$I405=""),0,IFERROR(INDEX(Nutrition!$L$2:$L$300,MATCH($F405,Nutrition!$A$2:$A$300,0))*$I405/100,0))</f>
        <v>6.45</v>
      </c>
      <c r="S405" s="30">
        <f>IF(OR($F405="",$I405=""),0,IFERROR(INDEX(Nutrition!$M$2:$M$300,MATCH($F405,Nutrition!$A$2:$A$300,0))*$I405/100,0))</f>
        <v>0.09</v>
      </c>
    </row>
    <row r="406" spans="1:19" ht="15" customHeight="1" x14ac:dyDescent="0.25">
      <c r="A406" s="22" t="s">
        <v>1477</v>
      </c>
      <c r="B406" s="33" t="str">
        <f>IFERROR(INDEX(Recipes!$B$2:$B$500,MATCH(A406,Recipes!$A$2:$A$500,0)),"")</f>
        <v>Chicken Lettuce Cups</v>
      </c>
      <c r="C406" s="7" t="s">
        <v>428</v>
      </c>
      <c r="D406" s="34">
        <v>2</v>
      </c>
      <c r="E406" s="22" t="s">
        <v>2753</v>
      </c>
      <c r="F406" s="22" t="s">
        <v>427</v>
      </c>
      <c r="G406" s="22" t="s">
        <v>2755</v>
      </c>
      <c r="H406" s="7" t="s">
        <v>2800</v>
      </c>
      <c r="I406" s="35">
        <v>30</v>
      </c>
      <c r="J406" s="30">
        <f>IF(OR($F406="",$I406=""),0,IFERROR(INDEX(Nutrition!$D$2:$D$300,MATCH($F406,Nutrition!$A$2:$A$300,0))*$I406/100,0))</f>
        <v>2.5499999999999998</v>
      </c>
      <c r="K406" s="30">
        <f>IF(OR($F406="",$I406=""),0,IFERROR(INDEX(Nutrition!$E$2:$E$300,MATCH($F406,Nutrition!$A$2:$A$300,0))*$I406/100,0))</f>
        <v>0</v>
      </c>
      <c r="L406" s="30">
        <f>IF(OR($F406="",$I406=""),0,IFERROR(INDEX(Nutrition!$F$2:$F$300,MATCH($F406,Nutrition!$A$2:$A$300,0))*$I406/100,0))</f>
        <v>0</v>
      </c>
      <c r="M406" s="30">
        <f>IF(OR($F406="",$I406=""),0,IFERROR(INDEX(Nutrition!$G$2:$G$300,MATCH($F406,Nutrition!$A$2:$A$300,0))*$I406/100,0))</f>
        <v>0</v>
      </c>
      <c r="N406" s="30">
        <f>IF(OR($F406="",$I406=""),0,IFERROR(INDEX(Nutrition!$H$2:$H$300,MATCH($F406,Nutrition!$A$2:$A$300,0))*$I406/100,0))</f>
        <v>72</v>
      </c>
      <c r="O406" s="30">
        <f>IF(OR($F406="",$I406=""),0,IFERROR(INDEX(Nutrition!$I$2:$I$300,MATCH($F406,Nutrition!$A$2:$A$300,0))*$I406/100,0))</f>
        <v>211.5</v>
      </c>
      <c r="P406" s="30">
        <f>IF(OR($F406="",$I406=""),0,IFERROR(INDEX(Nutrition!$J$2:$J$300,MATCH($F406,Nutrition!$A$2:$A$300,0))*$I406/100,0))</f>
        <v>2.4990000000000001</v>
      </c>
      <c r="Q406" s="30">
        <f>IF(OR($F406="",$I406=""),0,IFERROR(INDEX(Nutrition!$K$2:$K$300,MATCH($F406,Nutrition!$A$2:$A$300,0))*$I406/100,0))</f>
        <v>0.10439999999999999</v>
      </c>
      <c r="R406" s="30">
        <f>IF(OR($F406="",$I406=""),0,IFERROR(INDEX(Nutrition!$L$2:$L$300,MATCH($F406,Nutrition!$A$2:$A$300,0))*$I406/100,0))</f>
        <v>50.4</v>
      </c>
      <c r="S406" s="30">
        <f>IF(OR($F406="",$I406=""),0,IFERROR(INDEX(Nutrition!$M$2:$M$300,MATCH($F406,Nutrition!$A$2:$A$300,0))*$I406/100,0))</f>
        <v>1.3740000000000001</v>
      </c>
    </row>
    <row r="407" spans="1:19" ht="15" customHeight="1" x14ac:dyDescent="0.25">
      <c r="A407" s="22" t="s">
        <v>1477</v>
      </c>
      <c r="B407" s="33" t="str">
        <f>IFERROR(INDEX(Recipes!$B$2:$B$500,MATCH(A407,Recipes!$A$2:$A$500,0)),"")</f>
        <v>Chicken Lettuce Cups</v>
      </c>
      <c r="C407" s="7" t="s">
        <v>213</v>
      </c>
      <c r="D407" s="34">
        <v>1</v>
      </c>
      <c r="E407" s="22" t="s">
        <v>2754</v>
      </c>
      <c r="F407" s="22" t="s">
        <v>212</v>
      </c>
      <c r="G407" s="22" t="s">
        <v>2755</v>
      </c>
      <c r="H407" s="7"/>
      <c r="I407" s="35">
        <v>67</v>
      </c>
      <c r="J407" s="30">
        <f>IF(OR($F407="",$I407=""),0,IFERROR(INDEX(Nutrition!$D$2:$D$300,MATCH($F407,Nutrition!$A$2:$A$300,0))*$I407/100,0))</f>
        <v>1.8759999999999999</v>
      </c>
      <c r="K407" s="30">
        <f>IF(OR($F407="",$I407=""),0,IFERROR(INDEX(Nutrition!$E$2:$E$300,MATCH($F407,Nutrition!$A$2:$A$300,0))*$I407/100,0))</f>
        <v>19.497</v>
      </c>
      <c r="L407" s="30">
        <f>IF(OR($F407="",$I407=""),0,IFERROR(INDEX(Nutrition!$F$2:$F$300,MATCH($F407,Nutrition!$A$2:$A$300,0))*$I407/100,0))</f>
        <v>1.34</v>
      </c>
      <c r="M407" s="30">
        <f>IF(OR($F407="",$I407=""),0,IFERROR(INDEX(Nutrition!$G$2:$G$300,MATCH($F407,Nutrition!$A$2:$A$300,0))*$I407/100,0))</f>
        <v>0.40199999999999997</v>
      </c>
      <c r="N407" s="30">
        <f>IF(OR($F407="",$I407=""),0,IFERROR(INDEX(Nutrition!$H$2:$H$300,MATCH($F407,Nutrition!$A$2:$A$300,0))*$I407/100,0))</f>
        <v>5.36</v>
      </c>
      <c r="O407" s="30">
        <f>IF(OR($F407="",$I407=""),0,IFERROR(INDEX(Nutrition!$I$2:$I$300,MATCH($F407,Nutrition!$A$2:$A$300,0))*$I407/100,0))</f>
        <v>68.34</v>
      </c>
      <c r="P407" s="30">
        <f>IF(OR($F407="",$I407=""),0,IFERROR(INDEX(Nutrition!$J$2:$J$300,MATCH($F407,Nutrition!$A$2:$A$300,0))*$I407/100,0))</f>
        <v>0.1474</v>
      </c>
      <c r="Q407" s="30">
        <f>IF(OR($F407="",$I407=""),0,IFERROR(INDEX(Nutrition!$K$2:$K$300,MATCH($F407,Nutrition!$A$2:$A$300,0))*$I407/100,0))</f>
        <v>2.8809999999999999E-2</v>
      </c>
      <c r="R407" s="30">
        <f>IF(OR($F407="",$I407=""),0,IFERROR(INDEX(Nutrition!$L$2:$L$300,MATCH($F407,Nutrition!$A$2:$A$300,0))*$I407/100,0))</f>
        <v>4.0199999999999996</v>
      </c>
      <c r="S407" s="30">
        <f>IF(OR($F407="",$I407=""),0,IFERROR(INDEX(Nutrition!$M$2:$M$300,MATCH($F407,Nutrition!$A$2:$A$300,0))*$I407/100,0))</f>
        <v>0.40199999999999997</v>
      </c>
    </row>
    <row r="408" spans="1:19" ht="15" customHeight="1" x14ac:dyDescent="0.25">
      <c r="A408" s="22" t="s">
        <v>1477</v>
      </c>
      <c r="B408" s="33" t="str">
        <f>IFERROR(INDEX(Recipes!$B$2:$B$500,MATCH(A408,Recipes!$A$2:$A$500,0)),"")</f>
        <v>Chicken Lettuce Cups</v>
      </c>
      <c r="C408" s="7" t="s">
        <v>2823</v>
      </c>
      <c r="D408" s="34">
        <v>2</v>
      </c>
      <c r="E408" s="22" t="s">
        <v>2753</v>
      </c>
      <c r="F408" s="22"/>
      <c r="G408" s="22" t="s">
        <v>2749</v>
      </c>
      <c r="H408" s="7"/>
      <c r="I408" s="35"/>
      <c r="J408" s="30">
        <f>IF(OR($F408="",$I408=""),0,IFERROR(INDEX(Nutrition!$D$2:$D$300,MATCH($F408,Nutrition!$A$2:$A$300,0))*$I408/100,0))</f>
        <v>0</v>
      </c>
      <c r="K408" s="30">
        <f>IF(OR($F408="",$I408=""),0,IFERROR(INDEX(Nutrition!$E$2:$E$300,MATCH($F408,Nutrition!$A$2:$A$300,0))*$I408/100,0))</f>
        <v>0</v>
      </c>
      <c r="L408" s="30">
        <f>IF(OR($F408="",$I408=""),0,IFERROR(INDEX(Nutrition!$F$2:$F$300,MATCH($F408,Nutrition!$A$2:$A$300,0))*$I408/100,0))</f>
        <v>0</v>
      </c>
      <c r="M408" s="30">
        <f>IF(OR($F408="",$I408=""),0,IFERROR(INDEX(Nutrition!$G$2:$G$300,MATCH($F408,Nutrition!$A$2:$A$300,0))*$I408/100,0))</f>
        <v>0</v>
      </c>
      <c r="N408" s="30">
        <f>IF(OR($F408="",$I408=""),0,IFERROR(INDEX(Nutrition!$H$2:$H$300,MATCH($F408,Nutrition!$A$2:$A$300,0))*$I408/100,0))</f>
        <v>0</v>
      </c>
      <c r="O408" s="30">
        <f>IF(OR($F408="",$I408=""),0,IFERROR(INDEX(Nutrition!$I$2:$I$300,MATCH($F408,Nutrition!$A$2:$A$300,0))*$I408/100,0))</f>
        <v>0</v>
      </c>
      <c r="P408" s="30">
        <f>IF(OR($F408="",$I408=""),0,IFERROR(INDEX(Nutrition!$J$2:$J$300,MATCH($F408,Nutrition!$A$2:$A$300,0))*$I408/100,0))</f>
        <v>0</v>
      </c>
      <c r="Q408" s="30">
        <f>IF(OR($F408="",$I408=""),0,IFERROR(INDEX(Nutrition!$K$2:$K$300,MATCH($F408,Nutrition!$A$2:$A$300,0))*$I408/100,0))</f>
        <v>0</v>
      </c>
      <c r="R408" s="30">
        <f>IF(OR($F408="",$I408=""),0,IFERROR(INDEX(Nutrition!$L$2:$L$300,MATCH($F408,Nutrition!$A$2:$A$300,0))*$I408/100,0))</f>
        <v>0</v>
      </c>
      <c r="S408" s="30">
        <f>IF(OR($F408="",$I408=""),0,IFERROR(INDEX(Nutrition!$M$2:$M$300,MATCH($F408,Nutrition!$A$2:$A$300,0))*$I408/100,0))</f>
        <v>0</v>
      </c>
    </row>
    <row r="409" spans="1:19" ht="15" customHeight="1" x14ac:dyDescent="0.25">
      <c r="A409" s="22" t="s">
        <v>1477</v>
      </c>
      <c r="B409" s="33" t="str">
        <f>IFERROR(INDEX(Recipes!$B$2:$B$500,MATCH(A409,Recipes!$A$2:$A$500,0)),"")</f>
        <v>Chicken Lettuce Cups</v>
      </c>
      <c r="C409" s="7" t="s">
        <v>2772</v>
      </c>
      <c r="D409" s="34">
        <v>1</v>
      </c>
      <c r="E409" s="22" t="s">
        <v>2753</v>
      </c>
      <c r="F409" s="22"/>
      <c r="G409" s="22" t="s">
        <v>2773</v>
      </c>
      <c r="H409" s="7"/>
      <c r="I409" s="35"/>
      <c r="J409" s="30">
        <f>IF(OR($F409="",$I409=""),0,IFERROR(INDEX(Nutrition!$D$2:$D$300,MATCH($F409,Nutrition!$A$2:$A$300,0))*$I409/100,0))</f>
        <v>0</v>
      </c>
      <c r="K409" s="30">
        <f>IF(OR($F409="",$I409=""),0,IFERROR(INDEX(Nutrition!$E$2:$E$300,MATCH($F409,Nutrition!$A$2:$A$300,0))*$I409/100,0))</f>
        <v>0</v>
      </c>
      <c r="L409" s="30">
        <f>IF(OR($F409="",$I409=""),0,IFERROR(INDEX(Nutrition!$F$2:$F$300,MATCH($F409,Nutrition!$A$2:$A$300,0))*$I409/100,0))</f>
        <v>0</v>
      </c>
      <c r="M409" s="30">
        <f>IF(OR($F409="",$I409=""),0,IFERROR(INDEX(Nutrition!$G$2:$G$300,MATCH($F409,Nutrition!$A$2:$A$300,0))*$I409/100,0))</f>
        <v>0</v>
      </c>
      <c r="N409" s="30">
        <f>IF(OR($F409="",$I409=""),0,IFERROR(INDEX(Nutrition!$H$2:$H$300,MATCH($F409,Nutrition!$A$2:$A$300,0))*$I409/100,0))</f>
        <v>0</v>
      </c>
      <c r="O409" s="30">
        <f>IF(OR($F409="",$I409=""),0,IFERROR(INDEX(Nutrition!$I$2:$I$300,MATCH($F409,Nutrition!$A$2:$A$300,0))*$I409/100,0))</f>
        <v>0</v>
      </c>
      <c r="P409" s="30">
        <f>IF(OR($F409="",$I409=""),0,IFERROR(INDEX(Nutrition!$J$2:$J$300,MATCH($F409,Nutrition!$A$2:$A$300,0))*$I409/100,0))</f>
        <v>0</v>
      </c>
      <c r="Q409" s="30">
        <f>IF(OR($F409="",$I409=""),0,IFERROR(INDEX(Nutrition!$K$2:$K$300,MATCH($F409,Nutrition!$A$2:$A$300,0))*$I409/100,0))</f>
        <v>0</v>
      </c>
      <c r="R409" s="30">
        <f>IF(OR($F409="",$I409=""),0,IFERROR(INDEX(Nutrition!$L$2:$L$300,MATCH($F409,Nutrition!$A$2:$A$300,0))*$I409/100,0))</f>
        <v>0</v>
      </c>
      <c r="S409" s="30">
        <f>IF(OR($F409="",$I409=""),0,IFERROR(INDEX(Nutrition!$M$2:$M$300,MATCH($F409,Nutrition!$A$2:$A$300,0))*$I409/100,0))</f>
        <v>0</v>
      </c>
    </row>
    <row r="410" spans="1:19" ht="15" customHeight="1" x14ac:dyDescent="0.25">
      <c r="A410" s="22" t="s">
        <v>1489</v>
      </c>
      <c r="B410" s="33" t="str">
        <f>IFERROR(INDEX(Recipes!$B$2:$B$500,MATCH(A410,Recipes!$A$2:$A$500,0)),"")</f>
        <v>Suya Beef Lettuce Wraps</v>
      </c>
      <c r="C410" s="7" t="s">
        <v>2865</v>
      </c>
      <c r="D410" s="34">
        <v>300</v>
      </c>
      <c r="E410" s="22" t="s">
        <v>2813</v>
      </c>
      <c r="F410" s="22"/>
      <c r="G410" s="22" t="s">
        <v>2768</v>
      </c>
      <c r="H410" s="7"/>
      <c r="I410" s="35"/>
      <c r="J410" s="30">
        <f>IF(OR($F410="",$I410=""),0,IFERROR(INDEX(Nutrition!$D$2:$D$300,MATCH($F410,Nutrition!$A$2:$A$300,0))*$I410/100,0))</f>
        <v>0</v>
      </c>
      <c r="K410" s="30">
        <f>IF(OR($F410="",$I410=""),0,IFERROR(INDEX(Nutrition!$E$2:$E$300,MATCH($F410,Nutrition!$A$2:$A$300,0))*$I410/100,0))</f>
        <v>0</v>
      </c>
      <c r="L410" s="30">
        <f>IF(OR($F410="",$I410=""),0,IFERROR(INDEX(Nutrition!$F$2:$F$300,MATCH($F410,Nutrition!$A$2:$A$300,0))*$I410/100,0))</f>
        <v>0</v>
      </c>
      <c r="M410" s="30">
        <f>IF(OR($F410="",$I410=""),0,IFERROR(INDEX(Nutrition!$G$2:$G$300,MATCH($F410,Nutrition!$A$2:$A$300,0))*$I410/100,0))</f>
        <v>0</v>
      </c>
      <c r="N410" s="30">
        <f>IF(OR($F410="",$I410=""),0,IFERROR(INDEX(Nutrition!$H$2:$H$300,MATCH($F410,Nutrition!$A$2:$A$300,0))*$I410/100,0))</f>
        <v>0</v>
      </c>
      <c r="O410" s="30">
        <f>IF(OR($F410="",$I410=""),0,IFERROR(INDEX(Nutrition!$I$2:$I$300,MATCH($F410,Nutrition!$A$2:$A$300,0))*$I410/100,0))</f>
        <v>0</v>
      </c>
      <c r="P410" s="30">
        <f>IF(OR($F410="",$I410=""),0,IFERROR(INDEX(Nutrition!$J$2:$J$300,MATCH($F410,Nutrition!$A$2:$A$300,0))*$I410/100,0))</f>
        <v>0</v>
      </c>
      <c r="Q410" s="30">
        <f>IF(OR($F410="",$I410=""),0,IFERROR(INDEX(Nutrition!$K$2:$K$300,MATCH($F410,Nutrition!$A$2:$A$300,0))*$I410/100,0))</f>
        <v>0</v>
      </c>
      <c r="R410" s="30">
        <f>IF(OR($F410="",$I410=""),0,IFERROR(INDEX(Nutrition!$L$2:$L$300,MATCH($F410,Nutrition!$A$2:$A$300,0))*$I410/100,0))</f>
        <v>0</v>
      </c>
      <c r="S410" s="30">
        <f>IF(OR($F410="",$I410=""),0,IFERROR(INDEX(Nutrition!$M$2:$M$300,MATCH($F410,Nutrition!$A$2:$A$300,0))*$I410/100,0))</f>
        <v>0</v>
      </c>
    </row>
    <row r="411" spans="1:19" ht="15" customHeight="1" x14ac:dyDescent="0.25">
      <c r="A411" s="22" t="s">
        <v>1489</v>
      </c>
      <c r="B411" s="33" t="str">
        <f>IFERROR(INDEX(Recipes!$B$2:$B$500,MATCH(A411,Recipes!$A$2:$A$500,0)),"")</f>
        <v>Suya Beef Lettuce Wraps</v>
      </c>
      <c r="C411" s="7" t="s">
        <v>546</v>
      </c>
      <c r="D411" s="34">
        <v>1</v>
      </c>
      <c r="E411" s="22" t="s">
        <v>2808</v>
      </c>
      <c r="F411" s="22" t="s">
        <v>545</v>
      </c>
      <c r="G411" s="22" t="s">
        <v>2755</v>
      </c>
      <c r="H411" s="7"/>
      <c r="I411" s="35">
        <v>626</v>
      </c>
      <c r="J411" s="30">
        <f>IF(OR($F411="",$I411=""),0,IFERROR(INDEX(Nutrition!$D$2:$D$300,MATCH($F411,Nutrition!$A$2:$A$300,0))*$I411/100,0))</f>
        <v>13.146000000000001</v>
      </c>
      <c r="K411" s="30">
        <f>IF(OR($F411="",$I411=""),0,IFERROR(INDEX(Nutrition!$E$2:$E$300,MATCH($F411,Nutrition!$A$2:$A$300,0))*$I411/100,0))</f>
        <v>25.04</v>
      </c>
      <c r="L411" s="30">
        <f>IF(OR($F411="",$I411=""),0,IFERROR(INDEX(Nutrition!$F$2:$F$300,MATCH($F411,Nutrition!$A$2:$A$300,0))*$I411/100,0))</f>
        <v>2729.36</v>
      </c>
      <c r="M411" s="30">
        <f>IF(OR($F411="",$I411=""),0,IFERROR(INDEX(Nutrition!$G$2:$G$300,MATCH($F411,Nutrition!$A$2:$A$300,0))*$I411/100,0))</f>
        <v>641.65</v>
      </c>
      <c r="N411" s="30">
        <f>IF(OR($F411="",$I411=""),0,IFERROR(INDEX(Nutrition!$H$2:$H$300,MATCH($F411,Nutrition!$A$2:$A$300,0))*$I411/100,0))</f>
        <v>851.36</v>
      </c>
      <c r="O411" s="30">
        <f>IF(OR($F411="",$I411=""),0,IFERROR(INDEX(Nutrition!$I$2:$I$300,MATCH($F411,Nutrition!$A$2:$A$300,0))*$I411/100,0))</f>
        <v>1546.22</v>
      </c>
      <c r="P411" s="30">
        <f>IF(OR($F411="",$I411=""),0,IFERROR(INDEX(Nutrition!$J$2:$J$300,MATCH($F411,Nutrition!$A$2:$A$300,0))*$I411/100,0))</f>
        <v>0.81380000000000008</v>
      </c>
      <c r="Q411" s="30">
        <f>IF(OR($F411="",$I411=""),0,IFERROR(INDEX(Nutrition!$K$2:$K$300,MATCH($F411,Nutrition!$A$2:$A$300,0))*$I411/100,0))</f>
        <v>0.46323999999999999</v>
      </c>
      <c r="R411" s="30">
        <f>IF(OR($F411="",$I411=""),0,IFERROR(INDEX(Nutrition!$L$2:$L$300,MATCH($F411,Nutrition!$A$2:$A$300,0))*$I411/100,0))</f>
        <v>87.64</v>
      </c>
      <c r="S411" s="30">
        <f>IF(OR($F411="",$I411=""),0,IFERROR(INDEX(Nutrition!$M$2:$M$300,MATCH($F411,Nutrition!$A$2:$A$300,0))*$I411/100,0))</f>
        <v>6.0722000000000005</v>
      </c>
    </row>
    <row r="412" spans="1:19" ht="15" customHeight="1" x14ac:dyDescent="0.25">
      <c r="A412" s="22" t="s">
        <v>1489</v>
      </c>
      <c r="B412" s="33" t="str">
        <f>IFERROR(INDEX(Recipes!$B$2:$B$500,MATCH(A412,Recipes!$A$2:$A$500,0)),"")</f>
        <v>Suya Beef Lettuce Wraps</v>
      </c>
      <c r="C412" s="7" t="s">
        <v>482</v>
      </c>
      <c r="D412" s="34">
        <v>1</v>
      </c>
      <c r="E412" s="22" t="s">
        <v>2754</v>
      </c>
      <c r="F412" s="22" t="s">
        <v>481</v>
      </c>
      <c r="G412" s="22" t="s">
        <v>2755</v>
      </c>
      <c r="H412" s="7" t="s">
        <v>2784</v>
      </c>
      <c r="I412" s="35">
        <v>110</v>
      </c>
      <c r="J412" s="30">
        <f>IF(OR($F412="",$I412=""),0,IFERROR(INDEX(Nutrition!$D$2:$D$300,MATCH($F412,Nutrition!$A$2:$A$300,0))*$I412/100,0))</f>
        <v>1.87</v>
      </c>
      <c r="K412" s="30">
        <f>IF(OR($F412="",$I412=""),0,IFERROR(INDEX(Nutrition!$E$2:$E$300,MATCH($F412,Nutrition!$A$2:$A$300,0))*$I412/100,0))</f>
        <v>8.14</v>
      </c>
      <c r="L412" s="30">
        <f>IF(OR($F412="",$I412=""),0,IFERROR(INDEX(Nutrition!$F$2:$F$300,MATCH($F412,Nutrition!$A$2:$A$300,0))*$I412/100,0))</f>
        <v>0</v>
      </c>
      <c r="M412" s="30">
        <f>IF(OR($F412="",$I412=""),0,IFERROR(INDEX(Nutrition!$G$2:$G$300,MATCH($F412,Nutrition!$A$2:$A$300,0))*$I412/100,0))</f>
        <v>0.44</v>
      </c>
      <c r="N412" s="30">
        <f>IF(OR($F412="",$I412=""),0,IFERROR(INDEX(Nutrition!$H$2:$H$300,MATCH($F412,Nutrition!$A$2:$A$300,0))*$I412/100,0))</f>
        <v>20.9</v>
      </c>
      <c r="O412" s="30">
        <f>IF(OR($F412="",$I412=""),0,IFERROR(INDEX(Nutrition!$I$2:$I$300,MATCH($F412,Nutrition!$A$2:$A$300,0))*$I412/100,0))</f>
        <v>160.6</v>
      </c>
      <c r="P412" s="30">
        <f>IF(OR($F412="",$I412=""),0,IFERROR(INDEX(Nutrition!$J$2:$J$300,MATCH($F412,Nutrition!$A$2:$A$300,0))*$I412/100,0))</f>
        <v>2.2000000000000002E-2</v>
      </c>
      <c r="Q412" s="30">
        <f>IF(OR($F412="",$I412=""),0,IFERROR(INDEX(Nutrition!$K$2:$K$300,MATCH($F412,Nutrition!$A$2:$A$300,0))*$I412/100,0))</f>
        <v>0.13200000000000001</v>
      </c>
      <c r="R412" s="30">
        <f>IF(OR($F412="",$I412=""),0,IFERROR(INDEX(Nutrition!$L$2:$L$300,MATCH($F412,Nutrition!$A$2:$A$300,0))*$I412/100,0))</f>
        <v>11</v>
      </c>
      <c r="S412" s="30">
        <f>IF(OR($F412="",$I412=""),0,IFERROR(INDEX(Nutrition!$M$2:$M$300,MATCH($F412,Nutrition!$A$2:$A$300,0))*$I412/100,0))</f>
        <v>0.23099999999999998</v>
      </c>
    </row>
    <row r="413" spans="1:19" ht="15" customHeight="1" x14ac:dyDescent="0.25">
      <c r="A413" s="22" t="s">
        <v>1489</v>
      </c>
      <c r="B413" s="33" t="str">
        <f>IFERROR(INDEX(Recipes!$B$2:$B$500,MATCH(A413,Recipes!$A$2:$A$500,0)),"")</f>
        <v>Suya Beef Lettuce Wraps</v>
      </c>
      <c r="C413" s="7" t="s">
        <v>446</v>
      </c>
      <c r="D413" s="34">
        <v>2</v>
      </c>
      <c r="E413" s="22" t="s">
        <v>2754</v>
      </c>
      <c r="F413" s="22" t="s">
        <v>445</v>
      </c>
      <c r="G413" s="22" t="s">
        <v>2755</v>
      </c>
      <c r="H413" s="7"/>
      <c r="I413" s="35">
        <v>124</v>
      </c>
      <c r="J413" s="30">
        <f>IF(OR($F413="",$I413=""),0,IFERROR(INDEX(Nutrition!$D$2:$D$300,MATCH($F413,Nutrition!$A$2:$A$300,0))*$I413/100,0))</f>
        <v>1.4879999999999998</v>
      </c>
      <c r="K413" s="30">
        <f>IF(OR($F413="",$I413=""),0,IFERROR(INDEX(Nutrition!$E$2:$E$300,MATCH($F413,Nutrition!$A$2:$A$300,0))*$I413/100,0))</f>
        <v>16.988</v>
      </c>
      <c r="L413" s="30">
        <f>IF(OR($F413="",$I413=""),0,IFERROR(INDEX(Nutrition!$F$2:$F$300,MATCH($F413,Nutrition!$A$2:$A$300,0))*$I413/100,0))</f>
        <v>52.08</v>
      </c>
      <c r="M413" s="30">
        <f>IF(OR($F413="",$I413=""),0,IFERROR(INDEX(Nutrition!$G$2:$G$300,MATCH($F413,Nutrition!$A$2:$A$300,0))*$I413/100,0))</f>
        <v>9.7959999999999994</v>
      </c>
      <c r="N413" s="30">
        <f>IF(OR($F413="",$I413=""),0,IFERROR(INDEX(Nutrition!$H$2:$H$300,MATCH($F413,Nutrition!$A$2:$A$300,0))*$I413/100,0))</f>
        <v>18.600000000000001</v>
      </c>
      <c r="O413" s="30">
        <f>IF(OR($F413="",$I413=""),0,IFERROR(INDEX(Nutrition!$I$2:$I$300,MATCH($F413,Nutrition!$A$2:$A$300,0))*$I413/100,0))</f>
        <v>293.88</v>
      </c>
      <c r="P413" s="30">
        <f>IF(OR($F413="",$I413=""),0,IFERROR(INDEX(Nutrition!$J$2:$J$300,MATCH($F413,Nutrition!$A$2:$A$300,0))*$I413/100,0))</f>
        <v>0.66960000000000008</v>
      </c>
      <c r="Q413" s="30">
        <f>IF(OR($F413="",$I413=""),0,IFERROR(INDEX(Nutrition!$K$2:$K$300,MATCH($F413,Nutrition!$A$2:$A$300,0))*$I413/100,0))</f>
        <v>9.9199999999999997E-2</v>
      </c>
      <c r="R413" s="30">
        <f>IF(OR($F413="",$I413=""),0,IFERROR(INDEX(Nutrition!$L$2:$L$300,MATCH($F413,Nutrition!$A$2:$A$300,0))*$I413/100,0))</f>
        <v>13.64</v>
      </c>
      <c r="S413" s="30">
        <f>IF(OR($F413="",$I413=""),0,IFERROR(INDEX(Nutrition!$M$2:$M$300,MATCH($F413,Nutrition!$A$2:$A$300,0))*$I413/100,0))</f>
        <v>0.33480000000000004</v>
      </c>
    </row>
    <row r="414" spans="1:19" ht="15" customHeight="1" x14ac:dyDescent="0.25">
      <c r="A414" s="22" t="s">
        <v>1489</v>
      </c>
      <c r="B414" s="33" t="str">
        <f>IFERROR(INDEX(Recipes!$B$2:$B$500,MATCH(A414,Recipes!$A$2:$A$500,0)),"")</f>
        <v>Suya Beef Lettuce Wraps</v>
      </c>
      <c r="C414" s="7" t="s">
        <v>523</v>
      </c>
      <c r="D414" s="34">
        <v>1</v>
      </c>
      <c r="E414" s="22" t="s">
        <v>2754</v>
      </c>
      <c r="F414" s="22" t="s">
        <v>522</v>
      </c>
      <c r="G414" s="22" t="s">
        <v>2755</v>
      </c>
      <c r="H414" s="7"/>
      <c r="I414" s="35">
        <v>301</v>
      </c>
      <c r="J414" s="30">
        <f>IF(OR($F414="",$I414=""),0,IFERROR(INDEX(Nutrition!$D$2:$D$300,MATCH($F414,Nutrition!$A$2:$A$300,0))*$I414/100,0))</f>
        <v>1.5049999999999999</v>
      </c>
      <c r="K414" s="30">
        <f>IF(OR($F414="",$I414=""),0,IFERROR(INDEX(Nutrition!$E$2:$E$300,MATCH($F414,Nutrition!$A$2:$A$300,0))*$I414/100,0))</f>
        <v>8.427999999999999</v>
      </c>
      <c r="L414" s="30">
        <f>IF(OR($F414="",$I414=""),0,IFERROR(INDEX(Nutrition!$F$2:$F$300,MATCH($F414,Nutrition!$A$2:$A$300,0))*$I414/100,0))</f>
        <v>15.05</v>
      </c>
      <c r="M414" s="30">
        <f>IF(OR($F414="",$I414=""),0,IFERROR(INDEX(Nutrition!$G$2:$G$300,MATCH($F414,Nutrition!$A$2:$A$300,0))*$I414/100,0))</f>
        <v>49.363999999999997</v>
      </c>
      <c r="N414" s="30">
        <f>IF(OR($F414="",$I414=""),0,IFERROR(INDEX(Nutrition!$H$2:$H$300,MATCH($F414,Nutrition!$A$2:$A$300,0))*$I414/100,0))</f>
        <v>21.07</v>
      </c>
      <c r="O414" s="30">
        <f>IF(OR($F414="",$I414=""),0,IFERROR(INDEX(Nutrition!$I$2:$I$300,MATCH($F414,Nutrition!$A$2:$A$300,0))*$I414/100,0))</f>
        <v>442.47</v>
      </c>
      <c r="P414" s="30">
        <f>IF(OR($F414="",$I414=""),0,IFERROR(INDEX(Nutrition!$J$2:$J$300,MATCH($F414,Nutrition!$A$2:$A$300,0))*$I414/100,0))</f>
        <v>9.0299999999999991E-2</v>
      </c>
      <c r="Q414" s="30">
        <f>IF(OR($F414="",$I414=""),0,IFERROR(INDEX(Nutrition!$K$2:$K$300,MATCH($F414,Nutrition!$A$2:$A$300,0))*$I414/100,0))</f>
        <v>0.12040000000000001</v>
      </c>
      <c r="R414" s="30">
        <f>IF(OR($F414="",$I414=""),0,IFERROR(INDEX(Nutrition!$L$2:$L$300,MATCH($F414,Nutrition!$A$2:$A$300,0))*$I414/100,0))</f>
        <v>39.130000000000003</v>
      </c>
      <c r="S414" s="30">
        <f>IF(OR($F414="",$I414=""),0,IFERROR(INDEX(Nutrition!$M$2:$M$300,MATCH($F414,Nutrition!$A$2:$A$300,0))*$I414/100,0))</f>
        <v>0.84279999999999999</v>
      </c>
    </row>
    <row r="415" spans="1:19" ht="15" customHeight="1" x14ac:dyDescent="0.25">
      <c r="A415" s="22" t="s">
        <v>1489</v>
      </c>
      <c r="B415" s="33" t="str">
        <f>IFERROR(INDEX(Recipes!$B$2:$B$500,MATCH(A415,Recipes!$A$2:$A$500,0)),"")</f>
        <v>Suya Beef Lettuce Wraps</v>
      </c>
      <c r="C415" s="7" t="s">
        <v>213</v>
      </c>
      <c r="D415" s="34">
        <v>1</v>
      </c>
      <c r="E415" s="22" t="s">
        <v>2754</v>
      </c>
      <c r="F415" s="22" t="s">
        <v>212</v>
      </c>
      <c r="G415" s="22" t="s">
        <v>2755</v>
      </c>
      <c r="H415" s="7"/>
      <c r="I415" s="35">
        <v>67</v>
      </c>
      <c r="J415" s="30">
        <f>IF(OR($F415="",$I415=""),0,IFERROR(INDEX(Nutrition!$D$2:$D$300,MATCH($F415,Nutrition!$A$2:$A$300,0))*$I415/100,0))</f>
        <v>1.8759999999999999</v>
      </c>
      <c r="K415" s="30">
        <f>IF(OR($F415="",$I415=""),0,IFERROR(INDEX(Nutrition!$E$2:$E$300,MATCH($F415,Nutrition!$A$2:$A$300,0))*$I415/100,0))</f>
        <v>19.497</v>
      </c>
      <c r="L415" s="30">
        <f>IF(OR($F415="",$I415=""),0,IFERROR(INDEX(Nutrition!$F$2:$F$300,MATCH($F415,Nutrition!$A$2:$A$300,0))*$I415/100,0))</f>
        <v>1.34</v>
      </c>
      <c r="M415" s="30">
        <f>IF(OR($F415="",$I415=""),0,IFERROR(INDEX(Nutrition!$G$2:$G$300,MATCH($F415,Nutrition!$A$2:$A$300,0))*$I415/100,0))</f>
        <v>0.40199999999999997</v>
      </c>
      <c r="N415" s="30">
        <f>IF(OR($F415="",$I415=""),0,IFERROR(INDEX(Nutrition!$H$2:$H$300,MATCH($F415,Nutrition!$A$2:$A$300,0))*$I415/100,0))</f>
        <v>5.36</v>
      </c>
      <c r="O415" s="30">
        <f>IF(OR($F415="",$I415=""),0,IFERROR(INDEX(Nutrition!$I$2:$I$300,MATCH($F415,Nutrition!$A$2:$A$300,0))*$I415/100,0))</f>
        <v>68.34</v>
      </c>
      <c r="P415" s="30">
        <f>IF(OR($F415="",$I415=""),0,IFERROR(INDEX(Nutrition!$J$2:$J$300,MATCH($F415,Nutrition!$A$2:$A$300,0))*$I415/100,0))</f>
        <v>0.1474</v>
      </c>
      <c r="Q415" s="30">
        <f>IF(OR($F415="",$I415=""),0,IFERROR(INDEX(Nutrition!$K$2:$K$300,MATCH($F415,Nutrition!$A$2:$A$300,0))*$I415/100,0))</f>
        <v>2.8809999999999999E-2</v>
      </c>
      <c r="R415" s="30">
        <f>IF(OR($F415="",$I415=""),0,IFERROR(INDEX(Nutrition!$L$2:$L$300,MATCH($F415,Nutrition!$A$2:$A$300,0))*$I415/100,0))</f>
        <v>4.0199999999999996</v>
      </c>
      <c r="S415" s="30">
        <f>IF(OR($F415="",$I415=""),0,IFERROR(INDEX(Nutrition!$M$2:$M$300,MATCH($F415,Nutrition!$A$2:$A$300,0))*$I415/100,0))</f>
        <v>0.40199999999999997</v>
      </c>
    </row>
    <row r="416" spans="1:19" ht="15" customHeight="1" x14ac:dyDescent="0.25">
      <c r="A416" s="22" t="s">
        <v>1489</v>
      </c>
      <c r="B416" s="33" t="str">
        <f>IFERROR(INDEX(Recipes!$B$2:$B$500,MATCH(A416,Recipes!$A$2:$A$500,0)),"")</f>
        <v>Suya Beef Lettuce Wraps</v>
      </c>
      <c r="C416" s="7" t="s">
        <v>2798</v>
      </c>
      <c r="D416" s="34">
        <v>2</v>
      </c>
      <c r="E416" s="22" t="s">
        <v>2753</v>
      </c>
      <c r="F416" s="22"/>
      <c r="G416" s="22" t="s">
        <v>2749</v>
      </c>
      <c r="H416" s="7"/>
      <c r="I416" s="35"/>
      <c r="J416" s="30">
        <f>IF(OR($F416="",$I416=""),0,IFERROR(INDEX(Nutrition!$D$2:$D$300,MATCH($F416,Nutrition!$A$2:$A$300,0))*$I416/100,0))</f>
        <v>0</v>
      </c>
      <c r="K416" s="30">
        <f>IF(OR($F416="",$I416=""),0,IFERROR(INDEX(Nutrition!$E$2:$E$300,MATCH($F416,Nutrition!$A$2:$A$300,0))*$I416/100,0))</f>
        <v>0</v>
      </c>
      <c r="L416" s="30">
        <f>IF(OR($F416="",$I416=""),0,IFERROR(INDEX(Nutrition!$F$2:$F$300,MATCH($F416,Nutrition!$A$2:$A$300,0))*$I416/100,0))</f>
        <v>0</v>
      </c>
      <c r="M416" s="30">
        <f>IF(OR($F416="",$I416=""),0,IFERROR(INDEX(Nutrition!$G$2:$G$300,MATCH($F416,Nutrition!$A$2:$A$300,0))*$I416/100,0))</f>
        <v>0</v>
      </c>
      <c r="N416" s="30">
        <f>IF(OR($F416="",$I416=""),0,IFERROR(INDEX(Nutrition!$H$2:$H$300,MATCH($F416,Nutrition!$A$2:$A$300,0))*$I416/100,0))</f>
        <v>0</v>
      </c>
      <c r="O416" s="30">
        <f>IF(OR($F416="",$I416=""),0,IFERROR(INDEX(Nutrition!$I$2:$I$300,MATCH($F416,Nutrition!$A$2:$A$300,0))*$I416/100,0))</f>
        <v>0</v>
      </c>
      <c r="P416" s="30">
        <f>IF(OR($F416="",$I416=""),0,IFERROR(INDEX(Nutrition!$J$2:$J$300,MATCH($F416,Nutrition!$A$2:$A$300,0))*$I416/100,0))</f>
        <v>0</v>
      </c>
      <c r="Q416" s="30">
        <f>IF(OR($F416="",$I416=""),0,IFERROR(INDEX(Nutrition!$K$2:$K$300,MATCH($F416,Nutrition!$A$2:$A$300,0))*$I416/100,0))</f>
        <v>0</v>
      </c>
      <c r="R416" s="30">
        <f>IF(OR($F416="",$I416=""),0,IFERROR(INDEX(Nutrition!$L$2:$L$300,MATCH($F416,Nutrition!$A$2:$A$300,0))*$I416/100,0))</f>
        <v>0</v>
      </c>
      <c r="S416" s="30">
        <f>IF(OR($F416="",$I416=""),0,IFERROR(INDEX(Nutrition!$M$2:$M$300,MATCH($F416,Nutrition!$A$2:$A$300,0))*$I416/100,0))</f>
        <v>0</v>
      </c>
    </row>
    <row r="417" spans="1:19" ht="15" customHeight="1" x14ac:dyDescent="0.25">
      <c r="A417" s="22" t="s">
        <v>1489</v>
      </c>
      <c r="B417" s="33" t="str">
        <f>IFERROR(INDEX(Recipes!$B$2:$B$500,MATCH(A417,Recipes!$A$2:$A$500,0)),"")</f>
        <v>Suya Beef Lettuce Wraps</v>
      </c>
      <c r="C417" s="7" t="s">
        <v>2772</v>
      </c>
      <c r="D417" s="34">
        <v>1</v>
      </c>
      <c r="E417" s="22" t="s">
        <v>2753</v>
      </c>
      <c r="F417" s="22"/>
      <c r="G417" s="22" t="s">
        <v>2773</v>
      </c>
      <c r="H417" s="7"/>
      <c r="I417" s="35"/>
      <c r="J417" s="30">
        <f>IF(OR($F417="",$I417=""),0,IFERROR(INDEX(Nutrition!$D$2:$D$300,MATCH($F417,Nutrition!$A$2:$A$300,0))*$I417/100,0))</f>
        <v>0</v>
      </c>
      <c r="K417" s="30">
        <f>IF(OR($F417="",$I417=""),0,IFERROR(INDEX(Nutrition!$E$2:$E$300,MATCH($F417,Nutrition!$A$2:$A$300,0))*$I417/100,0))</f>
        <v>0</v>
      </c>
      <c r="L417" s="30">
        <f>IF(OR($F417="",$I417=""),0,IFERROR(INDEX(Nutrition!$F$2:$F$300,MATCH($F417,Nutrition!$A$2:$A$300,0))*$I417/100,0))</f>
        <v>0</v>
      </c>
      <c r="M417" s="30">
        <f>IF(OR($F417="",$I417=""),0,IFERROR(INDEX(Nutrition!$G$2:$G$300,MATCH($F417,Nutrition!$A$2:$A$300,0))*$I417/100,0))</f>
        <v>0</v>
      </c>
      <c r="N417" s="30">
        <f>IF(OR($F417="",$I417=""),0,IFERROR(INDEX(Nutrition!$H$2:$H$300,MATCH($F417,Nutrition!$A$2:$A$300,0))*$I417/100,0))</f>
        <v>0</v>
      </c>
      <c r="O417" s="30">
        <f>IF(OR($F417="",$I417=""),0,IFERROR(INDEX(Nutrition!$I$2:$I$300,MATCH($F417,Nutrition!$A$2:$A$300,0))*$I417/100,0))</f>
        <v>0</v>
      </c>
      <c r="P417" s="30">
        <f>IF(OR($F417="",$I417=""),0,IFERROR(INDEX(Nutrition!$J$2:$J$300,MATCH($F417,Nutrition!$A$2:$A$300,0))*$I417/100,0))</f>
        <v>0</v>
      </c>
      <c r="Q417" s="30">
        <f>IF(OR($F417="",$I417=""),0,IFERROR(INDEX(Nutrition!$K$2:$K$300,MATCH($F417,Nutrition!$A$2:$A$300,0))*$I417/100,0))</f>
        <v>0</v>
      </c>
      <c r="R417" s="30">
        <f>IF(OR($F417="",$I417=""),0,IFERROR(INDEX(Nutrition!$L$2:$L$300,MATCH($F417,Nutrition!$A$2:$A$300,0))*$I417/100,0))</f>
        <v>0</v>
      </c>
      <c r="S417" s="30">
        <f>IF(OR($F417="",$I417=""),0,IFERROR(INDEX(Nutrition!$M$2:$M$300,MATCH($F417,Nutrition!$A$2:$A$300,0))*$I417/100,0))</f>
        <v>0</v>
      </c>
    </row>
    <row r="418" spans="1:19" ht="15" customHeight="1" x14ac:dyDescent="0.25">
      <c r="A418" s="22" t="s">
        <v>1499</v>
      </c>
      <c r="B418" s="33" t="str">
        <f>IFERROR(INDEX(Recipes!$B$2:$B$500,MATCH(A418,Recipes!$A$2:$A$500,0)),"")</f>
        <v>Corn, Tatashe &amp; Efo Quesadilla</v>
      </c>
      <c r="C418" s="7" t="s">
        <v>2866</v>
      </c>
      <c r="D418" s="34">
        <v>4</v>
      </c>
      <c r="E418" s="22" t="s">
        <v>2754</v>
      </c>
      <c r="F418" s="22"/>
      <c r="G418" s="22" t="s">
        <v>2749</v>
      </c>
      <c r="H418" s="7"/>
      <c r="I418" s="35"/>
      <c r="J418" s="30">
        <f>IF(OR($F418="",$I418=""),0,IFERROR(INDEX(Nutrition!$D$2:$D$300,MATCH($F418,Nutrition!$A$2:$A$300,0))*$I418/100,0))</f>
        <v>0</v>
      </c>
      <c r="K418" s="30">
        <f>IF(OR($F418="",$I418=""),0,IFERROR(INDEX(Nutrition!$E$2:$E$300,MATCH($F418,Nutrition!$A$2:$A$300,0))*$I418/100,0))</f>
        <v>0</v>
      </c>
      <c r="L418" s="30">
        <f>IF(OR($F418="",$I418=""),0,IFERROR(INDEX(Nutrition!$F$2:$F$300,MATCH($F418,Nutrition!$A$2:$A$300,0))*$I418/100,0))</f>
        <v>0</v>
      </c>
      <c r="M418" s="30">
        <f>IF(OR($F418="",$I418=""),0,IFERROR(INDEX(Nutrition!$G$2:$G$300,MATCH($F418,Nutrition!$A$2:$A$300,0))*$I418/100,0))</f>
        <v>0</v>
      </c>
      <c r="N418" s="30">
        <f>IF(OR($F418="",$I418=""),0,IFERROR(INDEX(Nutrition!$H$2:$H$300,MATCH($F418,Nutrition!$A$2:$A$300,0))*$I418/100,0))</f>
        <v>0</v>
      </c>
      <c r="O418" s="30">
        <f>IF(OR($F418="",$I418=""),0,IFERROR(INDEX(Nutrition!$I$2:$I$300,MATCH($F418,Nutrition!$A$2:$A$300,0))*$I418/100,0))</f>
        <v>0</v>
      </c>
      <c r="P418" s="30">
        <f>IF(OR($F418="",$I418=""),0,IFERROR(INDEX(Nutrition!$J$2:$J$300,MATCH($F418,Nutrition!$A$2:$A$300,0))*$I418/100,0))</f>
        <v>0</v>
      </c>
      <c r="Q418" s="30">
        <f>IF(OR($F418="",$I418=""),0,IFERROR(INDEX(Nutrition!$K$2:$K$300,MATCH($F418,Nutrition!$A$2:$A$300,0))*$I418/100,0))</f>
        <v>0</v>
      </c>
      <c r="R418" s="30">
        <f>IF(OR($F418="",$I418=""),0,IFERROR(INDEX(Nutrition!$L$2:$L$300,MATCH($F418,Nutrition!$A$2:$A$300,0))*$I418/100,0))</f>
        <v>0</v>
      </c>
      <c r="S418" s="30">
        <f>IF(OR($F418="",$I418=""),0,IFERROR(INDEX(Nutrition!$M$2:$M$300,MATCH($F418,Nutrition!$A$2:$A$300,0))*$I418/100,0))</f>
        <v>0</v>
      </c>
    </row>
    <row r="419" spans="1:19" ht="15" customHeight="1" x14ac:dyDescent="0.25">
      <c r="A419" s="22" t="s">
        <v>1499</v>
      </c>
      <c r="B419" s="33" t="str">
        <f>IFERROR(INDEX(Recipes!$B$2:$B$500,MATCH(A419,Recipes!$A$2:$A$500,0)),"")</f>
        <v>Corn, Tatashe &amp; Efo Quesadilla</v>
      </c>
      <c r="C419" s="7" t="s">
        <v>556</v>
      </c>
      <c r="D419" s="34">
        <v>1</v>
      </c>
      <c r="E419" s="22" t="s">
        <v>2834</v>
      </c>
      <c r="F419" s="22" t="s">
        <v>555</v>
      </c>
      <c r="G419" s="22" t="s">
        <v>2755</v>
      </c>
      <c r="H419" s="7"/>
      <c r="I419" s="35">
        <v>90</v>
      </c>
      <c r="J419" s="30">
        <f>IF(OR($F419="",$I419=""),0,IFERROR(INDEX(Nutrition!$D$2:$D$300,MATCH($F419,Nutrition!$A$2:$A$300,0))*$I419/100,0))</f>
        <v>2.4300000000000002</v>
      </c>
      <c r="K419" s="30">
        <f>IF(OR($F419="",$I419=""),0,IFERROR(INDEX(Nutrition!$E$2:$E$300,MATCH($F419,Nutrition!$A$2:$A$300,0))*$I419/100,0))</f>
        <v>6.12</v>
      </c>
      <c r="L419" s="30">
        <f>IF(OR($F419="",$I419=""),0,IFERROR(INDEX(Nutrition!$F$2:$F$300,MATCH($F419,Nutrition!$A$2:$A$300,0))*$I419/100,0))</f>
        <v>8.1</v>
      </c>
      <c r="M419" s="30">
        <f>IF(OR($F419="",$I419=""),0,IFERROR(INDEX(Nutrition!$G$2:$G$300,MATCH($F419,Nutrition!$A$2:$A$300,0))*$I419/100,0))</f>
        <v>0.27</v>
      </c>
      <c r="N419" s="30">
        <f>IF(OR($F419="",$I419=""),0,IFERROR(INDEX(Nutrition!$H$2:$H$300,MATCH($F419,Nutrition!$A$2:$A$300,0))*$I419/100,0))</f>
        <v>37.799999999999997</v>
      </c>
      <c r="O419" s="30">
        <f>IF(OR($F419="",$I419=""),0,IFERROR(INDEX(Nutrition!$I$2:$I$300,MATCH($F419,Nutrition!$A$2:$A$300,0))*$I419/100,0))</f>
        <v>243</v>
      </c>
      <c r="P419" s="30">
        <f>IF(OR($F419="",$I419=""),0,IFERROR(INDEX(Nutrition!$J$2:$J$300,MATCH($F419,Nutrition!$A$2:$A$300,0))*$I419/100,0))</f>
        <v>6.3E-2</v>
      </c>
      <c r="Q419" s="30">
        <f>IF(OR($F419="",$I419=""),0,IFERROR(INDEX(Nutrition!$K$2:$K$300,MATCH($F419,Nutrition!$A$2:$A$300,0))*$I419/100,0))</f>
        <v>8.3699999999999997E-2</v>
      </c>
      <c r="R419" s="30">
        <f>IF(OR($F419="",$I419=""),0,IFERROR(INDEX(Nutrition!$L$2:$L$300,MATCH($F419,Nutrition!$A$2:$A$300,0))*$I419/100,0))</f>
        <v>33.299999999999997</v>
      </c>
      <c r="S419" s="30">
        <f>IF(OR($F419="",$I419=""),0,IFERROR(INDEX(Nutrition!$M$2:$M$300,MATCH($F419,Nutrition!$A$2:$A$300,0))*$I419/100,0))</f>
        <v>0.46800000000000003</v>
      </c>
    </row>
    <row r="420" spans="1:19" ht="15" customHeight="1" x14ac:dyDescent="0.25">
      <c r="A420" s="22" t="s">
        <v>1499</v>
      </c>
      <c r="B420" s="33" t="str">
        <f>IFERROR(INDEX(Recipes!$B$2:$B$500,MATCH(A420,Recipes!$A$2:$A$500,0)),"")</f>
        <v>Corn, Tatashe &amp; Efo Quesadilla</v>
      </c>
      <c r="C420" s="7" t="s">
        <v>462</v>
      </c>
      <c r="D420" s="34">
        <v>1</v>
      </c>
      <c r="E420" s="22" t="s">
        <v>2754</v>
      </c>
      <c r="F420" s="22" t="s">
        <v>461</v>
      </c>
      <c r="G420" s="22" t="s">
        <v>2755</v>
      </c>
      <c r="H420" s="7"/>
      <c r="I420" s="35">
        <v>119</v>
      </c>
      <c r="J420" s="30">
        <f>IF(OR($F420="",$I420=""),0,IFERROR(INDEX(Nutrition!$D$2:$D$300,MATCH($F420,Nutrition!$A$2:$A$300,0))*$I420/100,0))</f>
        <v>2.4990000000000001</v>
      </c>
      <c r="K420" s="30">
        <f>IF(OR($F420="",$I420=""),0,IFERROR(INDEX(Nutrition!$E$2:$E$300,MATCH($F420,Nutrition!$A$2:$A$300,0))*$I420/100,0))</f>
        <v>151.96300000000002</v>
      </c>
      <c r="L420" s="30">
        <f>IF(OR($F420="",$I420=""),0,IFERROR(INDEX(Nutrition!$F$2:$F$300,MATCH($F420,Nutrition!$A$2:$A$300,0))*$I420/100,0))</f>
        <v>186.83</v>
      </c>
      <c r="M420" s="30">
        <f>IF(OR($F420="",$I420=""),0,IFERROR(INDEX(Nutrition!$G$2:$G$300,MATCH($F420,Nutrition!$A$2:$A$300,0))*$I420/100,0))</f>
        <v>5.8310000000000004</v>
      </c>
      <c r="N420" s="30">
        <f>IF(OR($F420="",$I420=""),0,IFERROR(INDEX(Nutrition!$H$2:$H$300,MATCH($F420,Nutrition!$A$2:$A$300,0))*$I420/100,0))</f>
        <v>54.74</v>
      </c>
      <c r="O420" s="30">
        <f>IF(OR($F420="",$I420=""),0,IFERROR(INDEX(Nutrition!$I$2:$I$300,MATCH($F420,Nutrition!$A$2:$A$300,0))*$I420/100,0))</f>
        <v>251.09</v>
      </c>
      <c r="P420" s="30">
        <f>IF(OR($F420="",$I420=""),0,IFERROR(INDEX(Nutrition!$J$2:$J$300,MATCH($F420,Nutrition!$A$2:$A$300,0))*$I420/100,0))</f>
        <v>1.8802000000000001</v>
      </c>
      <c r="Q420" s="30">
        <f>IF(OR($F420="",$I420=""),0,IFERROR(INDEX(Nutrition!$K$2:$K$300,MATCH($F420,Nutrition!$A$2:$A$300,0))*$I420/100,0))</f>
        <v>0.34628999999999999</v>
      </c>
      <c r="R420" s="30">
        <f>IF(OR($F420="",$I420=""),0,IFERROR(INDEX(Nutrition!$L$2:$L$300,MATCH($F420,Nutrition!$A$2:$A$300,0))*$I420/100,0))</f>
        <v>14.28</v>
      </c>
      <c r="S420" s="30">
        <f>IF(OR($F420="",$I420=""),0,IFERROR(INDEX(Nutrition!$M$2:$M$300,MATCH($F420,Nutrition!$A$2:$A$300,0))*$I420/100,0))</f>
        <v>0.51170000000000004</v>
      </c>
    </row>
    <row r="421" spans="1:19" ht="15" customHeight="1" x14ac:dyDescent="0.25">
      <c r="A421" s="22" t="s">
        <v>1499</v>
      </c>
      <c r="B421" s="33" t="str">
        <f>IFERROR(INDEX(Recipes!$B$2:$B$500,MATCH(A421,Recipes!$A$2:$A$500,0)),"")</f>
        <v>Corn, Tatashe &amp; Efo Quesadilla</v>
      </c>
      <c r="C421" s="7" t="s">
        <v>482</v>
      </c>
      <c r="D421" s="34">
        <v>0.5</v>
      </c>
      <c r="E421" s="22" t="s">
        <v>2754</v>
      </c>
      <c r="F421" s="22" t="s">
        <v>481</v>
      </c>
      <c r="G421" s="22" t="s">
        <v>2755</v>
      </c>
      <c r="H421" s="7"/>
      <c r="I421" s="35">
        <v>55</v>
      </c>
      <c r="J421" s="30">
        <f>IF(OR($F421="",$I421=""),0,IFERROR(INDEX(Nutrition!$D$2:$D$300,MATCH($F421,Nutrition!$A$2:$A$300,0))*$I421/100,0))</f>
        <v>0.93500000000000005</v>
      </c>
      <c r="K421" s="30">
        <f>IF(OR($F421="",$I421=""),0,IFERROR(INDEX(Nutrition!$E$2:$E$300,MATCH($F421,Nutrition!$A$2:$A$300,0))*$I421/100,0))</f>
        <v>4.07</v>
      </c>
      <c r="L421" s="30">
        <f>IF(OR($F421="",$I421=""),0,IFERROR(INDEX(Nutrition!$F$2:$F$300,MATCH($F421,Nutrition!$A$2:$A$300,0))*$I421/100,0))</f>
        <v>0</v>
      </c>
      <c r="M421" s="30">
        <f>IF(OR($F421="",$I421=""),0,IFERROR(INDEX(Nutrition!$G$2:$G$300,MATCH($F421,Nutrition!$A$2:$A$300,0))*$I421/100,0))</f>
        <v>0.22</v>
      </c>
      <c r="N421" s="30">
        <f>IF(OR($F421="",$I421=""),0,IFERROR(INDEX(Nutrition!$H$2:$H$300,MATCH($F421,Nutrition!$A$2:$A$300,0))*$I421/100,0))</f>
        <v>10.45</v>
      </c>
      <c r="O421" s="30">
        <f>IF(OR($F421="",$I421=""),0,IFERROR(INDEX(Nutrition!$I$2:$I$300,MATCH($F421,Nutrition!$A$2:$A$300,0))*$I421/100,0))</f>
        <v>80.3</v>
      </c>
      <c r="P421" s="30">
        <f>IF(OR($F421="",$I421=""),0,IFERROR(INDEX(Nutrition!$J$2:$J$300,MATCH($F421,Nutrition!$A$2:$A$300,0))*$I421/100,0))</f>
        <v>1.1000000000000001E-2</v>
      </c>
      <c r="Q421" s="30">
        <f>IF(OR($F421="",$I421=""),0,IFERROR(INDEX(Nutrition!$K$2:$K$300,MATCH($F421,Nutrition!$A$2:$A$300,0))*$I421/100,0))</f>
        <v>6.6000000000000003E-2</v>
      </c>
      <c r="R421" s="30">
        <f>IF(OR($F421="",$I421=""),0,IFERROR(INDEX(Nutrition!$L$2:$L$300,MATCH($F421,Nutrition!$A$2:$A$300,0))*$I421/100,0))</f>
        <v>5.5</v>
      </c>
      <c r="S421" s="30">
        <f>IF(OR($F421="",$I421=""),0,IFERROR(INDEX(Nutrition!$M$2:$M$300,MATCH($F421,Nutrition!$A$2:$A$300,0))*$I421/100,0))</f>
        <v>0.11549999999999999</v>
      </c>
    </row>
    <row r="422" spans="1:19" ht="15" customHeight="1" x14ac:dyDescent="0.25">
      <c r="A422" s="22" t="s">
        <v>1499</v>
      </c>
      <c r="B422" s="33" t="str">
        <f>IFERROR(INDEX(Recipes!$B$2:$B$500,MATCH(A422,Recipes!$A$2:$A$500,0)),"")</f>
        <v>Corn, Tatashe &amp; Efo Quesadilla</v>
      </c>
      <c r="C422" s="7" t="s">
        <v>633</v>
      </c>
      <c r="D422" s="34">
        <v>1</v>
      </c>
      <c r="E422" s="22" t="s">
        <v>2748</v>
      </c>
      <c r="F422" s="22" t="s">
        <v>632</v>
      </c>
      <c r="G422" s="22" t="s">
        <v>2755</v>
      </c>
      <c r="H422" s="7"/>
      <c r="I422" s="35">
        <v>28</v>
      </c>
      <c r="J422" s="30">
        <f>IF(OR($F422="",$I422=""),0,IFERROR(INDEX(Nutrition!$D$2:$D$300,MATCH($F422,Nutrition!$A$2:$A$300,0))*$I422/100,0))</f>
        <v>0.56000000000000005</v>
      </c>
      <c r="K422" s="30">
        <f>IF(OR($F422="",$I422=""),0,IFERROR(INDEX(Nutrition!$E$2:$E$300,MATCH($F422,Nutrition!$A$2:$A$300,0))*$I422/100,0))</f>
        <v>12.123999999999999</v>
      </c>
      <c r="L422" s="30">
        <f>IF(OR($F422="",$I422=""),0,IFERROR(INDEX(Nutrition!$F$2:$F$300,MATCH($F422,Nutrition!$A$2:$A$300,0))*$I422/100,0))</f>
        <v>40.880000000000003</v>
      </c>
      <c r="M422" s="30">
        <f>IF(OR($F422="",$I422=""),0,IFERROR(INDEX(Nutrition!$G$2:$G$300,MATCH($F422,Nutrition!$A$2:$A$300,0))*$I422/100,0))</f>
        <v>319.2</v>
      </c>
      <c r="N422" s="30">
        <f>IF(OR($F422="",$I422=""),0,IFERROR(INDEX(Nutrition!$H$2:$H$300,MATCH($F422,Nutrition!$A$2:$A$300,0))*$I422/100,0))</f>
        <v>23.8</v>
      </c>
      <c r="O422" s="30">
        <f>IF(OR($F422="",$I422=""),0,IFERROR(INDEX(Nutrition!$I$2:$I$300,MATCH($F422,Nutrition!$A$2:$A$300,0))*$I422/100,0))</f>
        <v>171.08</v>
      </c>
      <c r="P422" s="30">
        <f>IF(OR($F422="",$I422=""),0,IFERROR(INDEX(Nutrition!$J$2:$J$300,MATCH($F422,Nutrition!$A$2:$A$300,0))*$I422/100,0))</f>
        <v>0</v>
      </c>
      <c r="Q422" s="30">
        <f>IF(OR($F422="",$I422=""),0,IFERROR(INDEX(Nutrition!$K$2:$K$300,MATCH($F422,Nutrition!$A$2:$A$300,0))*$I422/100,0))</f>
        <v>5.3760000000000002E-2</v>
      </c>
      <c r="R422" s="30">
        <f>IF(OR($F422="",$I422=""),0,IFERROR(INDEX(Nutrition!$L$2:$L$300,MATCH($F422,Nutrition!$A$2:$A$300,0))*$I422/100,0))</f>
        <v>15.4</v>
      </c>
      <c r="S422" s="30">
        <f>IF(OR($F422="",$I422=""),0,IFERROR(INDEX(Nutrition!$M$2:$M$300,MATCH($F422,Nutrition!$A$2:$A$300,0))*$I422/100,0))</f>
        <v>0.64959999999999996</v>
      </c>
    </row>
    <row r="423" spans="1:19" ht="15" customHeight="1" x14ac:dyDescent="0.25">
      <c r="A423" s="22" t="s">
        <v>1499</v>
      </c>
      <c r="B423" s="33" t="str">
        <f>IFERROR(INDEX(Recipes!$B$2:$B$500,MATCH(A423,Recipes!$A$2:$A$500,0)),"")</f>
        <v>Corn, Tatashe &amp; Efo Quesadilla</v>
      </c>
      <c r="C423" s="7" t="s">
        <v>473</v>
      </c>
      <c r="D423" s="34">
        <v>0.25</v>
      </c>
      <c r="E423" s="22" t="s">
        <v>2754</v>
      </c>
      <c r="F423" s="22" t="s">
        <v>472</v>
      </c>
      <c r="G423" s="22" t="s">
        <v>2755</v>
      </c>
      <c r="H423" s="7"/>
      <c r="I423" s="35">
        <v>2</v>
      </c>
      <c r="J423" s="30">
        <f>IF(OR($F423="",$I423=""),0,IFERROR(INDEX(Nutrition!$D$2:$D$300,MATCH($F423,Nutrition!$A$2:$A$300,0))*$I423/100,0))</f>
        <v>0.03</v>
      </c>
      <c r="K423" s="30">
        <f>IF(OR($F423="",$I423=""),0,IFERROR(INDEX(Nutrition!$E$2:$E$300,MATCH($F423,Nutrition!$A$2:$A$300,0))*$I423/100,0))</f>
        <v>2.8739999999999997</v>
      </c>
      <c r="L423" s="30">
        <f>IF(OR($F423="",$I423=""),0,IFERROR(INDEX(Nutrition!$F$2:$F$300,MATCH($F423,Nutrition!$A$2:$A$300,0))*$I423/100,0))</f>
        <v>0.96</v>
      </c>
      <c r="M423" s="30">
        <f>IF(OR($F423="",$I423=""),0,IFERROR(INDEX(Nutrition!$G$2:$G$300,MATCH($F423,Nutrition!$A$2:$A$300,0))*$I423/100,0))</f>
        <v>0.28000000000000003</v>
      </c>
      <c r="N423" s="30">
        <f>IF(OR($F423="",$I423=""),0,IFERROR(INDEX(Nutrition!$H$2:$H$300,MATCH($F423,Nutrition!$A$2:$A$300,0))*$I423/100,0))</f>
        <v>0.46</v>
      </c>
      <c r="O423" s="30">
        <f>IF(OR($F423="",$I423=""),0,IFERROR(INDEX(Nutrition!$I$2:$I$300,MATCH($F423,Nutrition!$A$2:$A$300,0))*$I423/100,0))</f>
        <v>6.44</v>
      </c>
      <c r="P423" s="30">
        <f>IF(OR($F423="",$I423=""),0,IFERROR(INDEX(Nutrition!$J$2:$J$300,MATCH($F423,Nutrition!$A$2:$A$300,0))*$I423/100,0))</f>
        <v>1.38E-2</v>
      </c>
      <c r="Q423" s="30">
        <f>IF(OR($F423="",$I423=""),0,IFERROR(INDEX(Nutrition!$K$2:$K$300,MATCH($F423,Nutrition!$A$2:$A$300,0))*$I423/100,0))</f>
        <v>1.0120000000000001E-2</v>
      </c>
      <c r="R423" s="30">
        <f>IF(OR($F423="",$I423=""),0,IFERROR(INDEX(Nutrition!$L$2:$L$300,MATCH($F423,Nutrition!$A$2:$A$300,0))*$I423/100,0))</f>
        <v>0.46</v>
      </c>
      <c r="S423" s="30">
        <f>IF(OR($F423="",$I423=""),0,IFERROR(INDEX(Nutrition!$M$2:$M$300,MATCH($F423,Nutrition!$A$2:$A$300,0))*$I423/100,0))</f>
        <v>2.06E-2</v>
      </c>
    </row>
    <row r="424" spans="1:19" ht="15" customHeight="1" x14ac:dyDescent="0.25">
      <c r="A424" s="22" t="s">
        <v>1499</v>
      </c>
      <c r="B424" s="33" t="str">
        <f>IFERROR(INDEX(Recipes!$B$2:$B$500,MATCH(A424,Recipes!$A$2:$A$500,0)),"")</f>
        <v>Corn, Tatashe &amp; Efo Quesadilla</v>
      </c>
      <c r="C424" s="7" t="s">
        <v>227</v>
      </c>
      <c r="D424" s="34">
        <v>0.5</v>
      </c>
      <c r="E424" s="22" t="s">
        <v>2754</v>
      </c>
      <c r="F424" s="22" t="s">
        <v>226</v>
      </c>
      <c r="G424" s="22" t="s">
        <v>2755</v>
      </c>
      <c r="H424" s="7" t="s">
        <v>2780</v>
      </c>
      <c r="I424" s="35">
        <v>100</v>
      </c>
      <c r="J424" s="30">
        <f>IF(OR($F424="",$I424=""),0,IFERROR(INDEX(Nutrition!$D$2:$D$300,MATCH($F424,Nutrition!$A$2:$A$300,0))*$I424/100,0))</f>
        <v>6.7</v>
      </c>
      <c r="K424" s="30">
        <f>IF(OR($F424="",$I424=""),0,IFERROR(INDEX(Nutrition!$E$2:$E$300,MATCH($F424,Nutrition!$A$2:$A$300,0))*$I424/100,0))</f>
        <v>10</v>
      </c>
      <c r="L424" s="30">
        <f>IF(OR($F424="",$I424=""),0,IFERROR(INDEX(Nutrition!$F$2:$F$300,MATCH($F424,Nutrition!$A$2:$A$300,0))*$I424/100,0))</f>
        <v>7</v>
      </c>
      <c r="M424" s="30">
        <f>IF(OR($F424="",$I424=""),0,IFERROR(INDEX(Nutrition!$G$2:$G$300,MATCH($F424,Nutrition!$A$2:$A$300,0))*$I424/100,0))</f>
        <v>21</v>
      </c>
      <c r="N424" s="30">
        <f>IF(OR($F424="",$I424=""),0,IFERROR(INDEX(Nutrition!$H$2:$H$300,MATCH($F424,Nutrition!$A$2:$A$300,0))*$I424/100,0))</f>
        <v>81</v>
      </c>
      <c r="O424" s="30">
        <f>IF(OR($F424="",$I424=""),0,IFERROR(INDEX(Nutrition!$I$2:$I$300,MATCH($F424,Nutrition!$A$2:$A$300,0))*$I424/100,0))</f>
        <v>485</v>
      </c>
      <c r="P424" s="30">
        <f>IF(OR($F424="",$I424=""),0,IFERROR(INDEX(Nutrition!$J$2:$J$300,MATCH($F424,Nutrition!$A$2:$A$300,0))*$I424/100,0))</f>
        <v>2.0699999999999998</v>
      </c>
      <c r="Q424" s="30">
        <f>IF(OR($F424="",$I424=""),0,IFERROR(INDEX(Nutrition!$K$2:$K$300,MATCH($F424,Nutrition!$A$2:$A$300,0))*$I424/100,0))</f>
        <v>0.25700000000000001</v>
      </c>
      <c r="R424" s="30">
        <f>IF(OR($F424="",$I424=""),0,IFERROR(INDEX(Nutrition!$L$2:$L$300,MATCH($F424,Nutrition!$A$2:$A$300,0))*$I424/100,0))</f>
        <v>29</v>
      </c>
      <c r="S424" s="30">
        <f>IF(OR($F424="",$I424=""),0,IFERROR(INDEX(Nutrition!$M$2:$M$300,MATCH($F424,Nutrition!$A$2:$A$300,0))*$I424/100,0))</f>
        <v>0.55000000000000004</v>
      </c>
    </row>
    <row r="425" spans="1:19" ht="15" customHeight="1" x14ac:dyDescent="0.25">
      <c r="A425" s="22" t="s">
        <v>1499</v>
      </c>
      <c r="B425" s="33" t="str">
        <f>IFERROR(INDEX(Recipes!$B$2:$B$500,MATCH(A425,Recipes!$A$2:$A$500,0)),"")</f>
        <v>Corn, Tatashe &amp; Efo Quesadilla</v>
      </c>
      <c r="C425" s="7" t="s">
        <v>2867</v>
      </c>
      <c r="D425" s="34">
        <v>1</v>
      </c>
      <c r="E425" s="22" t="s">
        <v>2748</v>
      </c>
      <c r="F425" s="22"/>
      <c r="G425" s="22" t="s">
        <v>2749</v>
      </c>
      <c r="H425" s="7"/>
      <c r="I425" s="35"/>
      <c r="J425" s="30">
        <f>IF(OR($F425="",$I425=""),0,IFERROR(INDEX(Nutrition!$D$2:$D$300,MATCH($F425,Nutrition!$A$2:$A$300,0))*$I425/100,0))</f>
        <v>0</v>
      </c>
      <c r="K425" s="30">
        <f>IF(OR($F425="",$I425=""),0,IFERROR(INDEX(Nutrition!$E$2:$E$300,MATCH($F425,Nutrition!$A$2:$A$300,0))*$I425/100,0))</f>
        <v>0</v>
      </c>
      <c r="L425" s="30">
        <f>IF(OR($F425="",$I425=""),0,IFERROR(INDEX(Nutrition!$F$2:$F$300,MATCH($F425,Nutrition!$A$2:$A$300,0))*$I425/100,0))</f>
        <v>0</v>
      </c>
      <c r="M425" s="30">
        <f>IF(OR($F425="",$I425=""),0,IFERROR(INDEX(Nutrition!$G$2:$G$300,MATCH($F425,Nutrition!$A$2:$A$300,0))*$I425/100,0))</f>
        <v>0</v>
      </c>
      <c r="N425" s="30">
        <f>IF(OR($F425="",$I425=""),0,IFERROR(INDEX(Nutrition!$H$2:$H$300,MATCH($F425,Nutrition!$A$2:$A$300,0))*$I425/100,0))</f>
        <v>0</v>
      </c>
      <c r="O425" s="30">
        <f>IF(OR($F425="",$I425=""),0,IFERROR(INDEX(Nutrition!$I$2:$I$300,MATCH($F425,Nutrition!$A$2:$A$300,0))*$I425/100,0))</f>
        <v>0</v>
      </c>
      <c r="P425" s="30">
        <f>IF(OR($F425="",$I425=""),0,IFERROR(INDEX(Nutrition!$J$2:$J$300,MATCH($F425,Nutrition!$A$2:$A$300,0))*$I425/100,0))</f>
        <v>0</v>
      </c>
      <c r="Q425" s="30">
        <f>IF(OR($F425="",$I425=""),0,IFERROR(INDEX(Nutrition!$K$2:$K$300,MATCH($F425,Nutrition!$A$2:$A$300,0))*$I425/100,0))</f>
        <v>0</v>
      </c>
      <c r="R425" s="30">
        <f>IF(OR($F425="",$I425=""),0,IFERROR(INDEX(Nutrition!$L$2:$L$300,MATCH($F425,Nutrition!$A$2:$A$300,0))*$I425/100,0))</f>
        <v>0</v>
      </c>
      <c r="S425" s="30">
        <f>IF(OR($F425="",$I425=""),0,IFERROR(INDEX(Nutrition!$M$2:$M$300,MATCH($F425,Nutrition!$A$2:$A$300,0))*$I425/100,0))</f>
        <v>0</v>
      </c>
    </row>
    <row r="426" spans="1:19" ht="15" customHeight="1" x14ac:dyDescent="0.25">
      <c r="A426" s="22" t="s">
        <v>1499</v>
      </c>
      <c r="B426" s="33" t="str">
        <f>IFERROR(INDEX(Recipes!$B$2:$B$500,MATCH(A426,Recipes!$A$2:$A$500,0)),"")</f>
        <v>Corn, Tatashe &amp; Efo Quesadilla</v>
      </c>
      <c r="C426" s="7" t="s">
        <v>2839</v>
      </c>
      <c r="D426" s="34">
        <v>1</v>
      </c>
      <c r="E426" s="22" t="s">
        <v>2759</v>
      </c>
      <c r="F426" s="22"/>
      <c r="G426" s="22" t="s">
        <v>2749</v>
      </c>
      <c r="H426" s="7"/>
      <c r="I426" s="35"/>
      <c r="J426" s="30">
        <f>IF(OR($F426="",$I426=""),0,IFERROR(INDEX(Nutrition!$D$2:$D$300,MATCH($F426,Nutrition!$A$2:$A$300,0))*$I426/100,0))</f>
        <v>0</v>
      </c>
      <c r="K426" s="30">
        <f>IF(OR($F426="",$I426=""),0,IFERROR(INDEX(Nutrition!$E$2:$E$300,MATCH($F426,Nutrition!$A$2:$A$300,0))*$I426/100,0))</f>
        <v>0</v>
      </c>
      <c r="L426" s="30">
        <f>IF(OR($F426="",$I426=""),0,IFERROR(INDEX(Nutrition!$F$2:$F$300,MATCH($F426,Nutrition!$A$2:$A$300,0))*$I426/100,0))</f>
        <v>0</v>
      </c>
      <c r="M426" s="30">
        <f>IF(OR($F426="",$I426=""),0,IFERROR(INDEX(Nutrition!$G$2:$G$300,MATCH($F426,Nutrition!$A$2:$A$300,0))*$I426/100,0))</f>
        <v>0</v>
      </c>
      <c r="N426" s="30">
        <f>IF(OR($F426="",$I426=""),0,IFERROR(INDEX(Nutrition!$H$2:$H$300,MATCH($F426,Nutrition!$A$2:$A$300,0))*$I426/100,0))</f>
        <v>0</v>
      </c>
      <c r="O426" s="30">
        <f>IF(OR($F426="",$I426=""),0,IFERROR(INDEX(Nutrition!$I$2:$I$300,MATCH($F426,Nutrition!$A$2:$A$300,0))*$I426/100,0))</f>
        <v>0</v>
      </c>
      <c r="P426" s="30">
        <f>IF(OR($F426="",$I426=""),0,IFERROR(INDEX(Nutrition!$J$2:$J$300,MATCH($F426,Nutrition!$A$2:$A$300,0))*$I426/100,0))</f>
        <v>0</v>
      </c>
      <c r="Q426" s="30">
        <f>IF(OR($F426="",$I426=""),0,IFERROR(INDEX(Nutrition!$K$2:$K$300,MATCH($F426,Nutrition!$A$2:$A$300,0))*$I426/100,0))</f>
        <v>0</v>
      </c>
      <c r="R426" s="30">
        <f>IF(OR($F426="",$I426=""),0,IFERROR(INDEX(Nutrition!$L$2:$L$300,MATCH($F426,Nutrition!$A$2:$A$300,0))*$I426/100,0))</f>
        <v>0</v>
      </c>
      <c r="S426" s="30">
        <f>IF(OR($F426="",$I426=""),0,IFERROR(INDEX(Nutrition!$M$2:$M$300,MATCH($F426,Nutrition!$A$2:$A$300,0))*$I426/100,0))</f>
        <v>0</v>
      </c>
    </row>
    <row r="427" spans="1:19" ht="15" customHeight="1" x14ac:dyDescent="0.25">
      <c r="A427" s="22" t="s">
        <v>1499</v>
      </c>
      <c r="B427" s="33" t="str">
        <f>IFERROR(INDEX(Recipes!$B$2:$B$500,MATCH(A427,Recipes!$A$2:$A$500,0)),"")</f>
        <v>Corn, Tatashe &amp; Efo Quesadilla</v>
      </c>
      <c r="C427" s="7" t="s">
        <v>2772</v>
      </c>
      <c r="D427" s="34">
        <v>1</v>
      </c>
      <c r="E427" s="22" t="s">
        <v>2759</v>
      </c>
      <c r="F427" s="22"/>
      <c r="G427" s="22" t="s">
        <v>2773</v>
      </c>
      <c r="H427" s="7"/>
      <c r="I427" s="35"/>
      <c r="J427" s="30">
        <f>IF(OR($F427="",$I427=""),0,IFERROR(INDEX(Nutrition!$D$2:$D$300,MATCH($F427,Nutrition!$A$2:$A$300,0))*$I427/100,0))</f>
        <v>0</v>
      </c>
      <c r="K427" s="30">
        <f>IF(OR($F427="",$I427=""),0,IFERROR(INDEX(Nutrition!$E$2:$E$300,MATCH($F427,Nutrition!$A$2:$A$300,0))*$I427/100,0))</f>
        <v>0</v>
      </c>
      <c r="L427" s="30">
        <f>IF(OR($F427="",$I427=""),0,IFERROR(INDEX(Nutrition!$F$2:$F$300,MATCH($F427,Nutrition!$A$2:$A$300,0))*$I427/100,0))</f>
        <v>0</v>
      </c>
      <c r="M427" s="30">
        <f>IF(OR($F427="",$I427=""),0,IFERROR(INDEX(Nutrition!$G$2:$G$300,MATCH($F427,Nutrition!$A$2:$A$300,0))*$I427/100,0))</f>
        <v>0</v>
      </c>
      <c r="N427" s="30">
        <f>IF(OR($F427="",$I427=""),0,IFERROR(INDEX(Nutrition!$H$2:$H$300,MATCH($F427,Nutrition!$A$2:$A$300,0))*$I427/100,0))</f>
        <v>0</v>
      </c>
      <c r="O427" s="30">
        <f>IF(OR($F427="",$I427=""),0,IFERROR(INDEX(Nutrition!$I$2:$I$300,MATCH($F427,Nutrition!$A$2:$A$300,0))*$I427/100,0))</f>
        <v>0</v>
      </c>
      <c r="P427" s="30">
        <f>IF(OR($F427="",$I427=""),0,IFERROR(INDEX(Nutrition!$J$2:$J$300,MATCH($F427,Nutrition!$A$2:$A$300,0))*$I427/100,0))</f>
        <v>0</v>
      </c>
      <c r="Q427" s="30">
        <f>IF(OR($F427="",$I427=""),0,IFERROR(INDEX(Nutrition!$K$2:$K$300,MATCH($F427,Nutrition!$A$2:$A$300,0))*$I427/100,0))</f>
        <v>0</v>
      </c>
      <c r="R427" s="30">
        <f>IF(OR($F427="",$I427=""),0,IFERROR(INDEX(Nutrition!$L$2:$L$300,MATCH($F427,Nutrition!$A$2:$A$300,0))*$I427/100,0))</f>
        <v>0</v>
      </c>
      <c r="S427" s="30">
        <f>IF(OR($F427="",$I427=""),0,IFERROR(INDEX(Nutrition!$M$2:$M$300,MATCH($F427,Nutrition!$A$2:$A$300,0))*$I427/100,0))</f>
        <v>0</v>
      </c>
    </row>
    <row r="428" spans="1:19" ht="15" customHeight="1" x14ac:dyDescent="0.25">
      <c r="A428" s="22" t="s">
        <v>1508</v>
      </c>
      <c r="B428" s="33" t="str">
        <f>IFERROR(INDEX(Recipes!$B$2:$B$500,MATCH(A428,Recipes!$A$2:$A$500,0)),"")</f>
        <v>Stuffed Tatashe with Beef &amp; Corn</v>
      </c>
      <c r="C428" s="7" t="s">
        <v>462</v>
      </c>
      <c r="D428" s="34">
        <v>4</v>
      </c>
      <c r="E428" s="22" t="s">
        <v>2754</v>
      </c>
      <c r="F428" s="22" t="s">
        <v>461</v>
      </c>
      <c r="G428" s="22" t="s">
        <v>2755</v>
      </c>
      <c r="H428" s="7" t="s">
        <v>2868</v>
      </c>
      <c r="I428" s="35">
        <v>476</v>
      </c>
      <c r="J428" s="30">
        <f>IF(OR($F428="",$I428=""),0,IFERROR(INDEX(Nutrition!$D$2:$D$300,MATCH($F428,Nutrition!$A$2:$A$300,0))*$I428/100,0))</f>
        <v>9.9960000000000004</v>
      </c>
      <c r="K428" s="30">
        <f>IF(OR($F428="",$I428=""),0,IFERROR(INDEX(Nutrition!$E$2:$E$300,MATCH($F428,Nutrition!$A$2:$A$300,0))*$I428/100,0))</f>
        <v>607.85200000000009</v>
      </c>
      <c r="L428" s="30">
        <f>IF(OR($F428="",$I428=""),0,IFERROR(INDEX(Nutrition!$F$2:$F$300,MATCH($F428,Nutrition!$A$2:$A$300,0))*$I428/100,0))</f>
        <v>747.32</v>
      </c>
      <c r="M428" s="30">
        <f>IF(OR($F428="",$I428=""),0,IFERROR(INDEX(Nutrition!$G$2:$G$300,MATCH($F428,Nutrition!$A$2:$A$300,0))*$I428/100,0))</f>
        <v>23.324000000000002</v>
      </c>
      <c r="N428" s="30">
        <f>IF(OR($F428="",$I428=""),0,IFERROR(INDEX(Nutrition!$H$2:$H$300,MATCH($F428,Nutrition!$A$2:$A$300,0))*$I428/100,0))</f>
        <v>218.96</v>
      </c>
      <c r="O428" s="30">
        <f>IF(OR($F428="",$I428=""),0,IFERROR(INDEX(Nutrition!$I$2:$I$300,MATCH($F428,Nutrition!$A$2:$A$300,0))*$I428/100,0))</f>
        <v>1004.36</v>
      </c>
      <c r="P428" s="30">
        <f>IF(OR($F428="",$I428=""),0,IFERROR(INDEX(Nutrition!$J$2:$J$300,MATCH($F428,Nutrition!$A$2:$A$300,0))*$I428/100,0))</f>
        <v>7.5208000000000004</v>
      </c>
      <c r="Q428" s="30">
        <f>IF(OR($F428="",$I428=""),0,IFERROR(INDEX(Nutrition!$K$2:$K$300,MATCH($F428,Nutrition!$A$2:$A$300,0))*$I428/100,0))</f>
        <v>1.3851599999999999</v>
      </c>
      <c r="R428" s="30">
        <f>IF(OR($F428="",$I428=""),0,IFERROR(INDEX(Nutrition!$L$2:$L$300,MATCH($F428,Nutrition!$A$2:$A$300,0))*$I428/100,0))</f>
        <v>57.12</v>
      </c>
      <c r="S428" s="30">
        <f>IF(OR($F428="",$I428=""),0,IFERROR(INDEX(Nutrition!$M$2:$M$300,MATCH($F428,Nutrition!$A$2:$A$300,0))*$I428/100,0))</f>
        <v>2.0468000000000002</v>
      </c>
    </row>
    <row r="429" spans="1:19" ht="15" customHeight="1" x14ac:dyDescent="0.25">
      <c r="A429" s="22" t="s">
        <v>1508</v>
      </c>
      <c r="B429" s="33" t="str">
        <f>IFERROR(INDEX(Recipes!$B$2:$B$500,MATCH(A429,Recipes!$A$2:$A$500,0)),"")</f>
        <v>Stuffed Tatashe with Beef &amp; Corn</v>
      </c>
      <c r="C429" s="7" t="s">
        <v>2869</v>
      </c>
      <c r="D429" s="34">
        <v>200</v>
      </c>
      <c r="E429" s="22" t="s">
        <v>2813</v>
      </c>
      <c r="F429" s="22"/>
      <c r="G429" s="22" t="s">
        <v>2768</v>
      </c>
      <c r="H429" s="7"/>
      <c r="I429" s="35"/>
      <c r="J429" s="30">
        <f>IF(OR($F429="",$I429=""),0,IFERROR(INDEX(Nutrition!$D$2:$D$300,MATCH($F429,Nutrition!$A$2:$A$300,0))*$I429/100,0))</f>
        <v>0</v>
      </c>
      <c r="K429" s="30">
        <f>IF(OR($F429="",$I429=""),0,IFERROR(INDEX(Nutrition!$E$2:$E$300,MATCH($F429,Nutrition!$A$2:$A$300,0))*$I429/100,0))</f>
        <v>0</v>
      </c>
      <c r="L429" s="30">
        <f>IF(OR($F429="",$I429=""),0,IFERROR(INDEX(Nutrition!$F$2:$F$300,MATCH($F429,Nutrition!$A$2:$A$300,0))*$I429/100,0))</f>
        <v>0</v>
      </c>
      <c r="M429" s="30">
        <f>IF(OR($F429="",$I429=""),0,IFERROR(INDEX(Nutrition!$G$2:$G$300,MATCH($F429,Nutrition!$A$2:$A$300,0))*$I429/100,0))</f>
        <v>0</v>
      </c>
      <c r="N429" s="30">
        <f>IF(OR($F429="",$I429=""),0,IFERROR(INDEX(Nutrition!$H$2:$H$300,MATCH($F429,Nutrition!$A$2:$A$300,0))*$I429/100,0))</f>
        <v>0</v>
      </c>
      <c r="O429" s="30">
        <f>IF(OR($F429="",$I429=""),0,IFERROR(INDEX(Nutrition!$I$2:$I$300,MATCH($F429,Nutrition!$A$2:$A$300,0))*$I429/100,0))</f>
        <v>0</v>
      </c>
      <c r="P429" s="30">
        <f>IF(OR($F429="",$I429=""),0,IFERROR(INDEX(Nutrition!$J$2:$J$300,MATCH($F429,Nutrition!$A$2:$A$300,0))*$I429/100,0))</f>
        <v>0</v>
      </c>
      <c r="Q429" s="30">
        <f>IF(OR($F429="",$I429=""),0,IFERROR(INDEX(Nutrition!$K$2:$K$300,MATCH($F429,Nutrition!$A$2:$A$300,0))*$I429/100,0))</f>
        <v>0</v>
      </c>
      <c r="R429" s="30">
        <f>IF(OR($F429="",$I429=""),0,IFERROR(INDEX(Nutrition!$L$2:$L$300,MATCH($F429,Nutrition!$A$2:$A$300,0))*$I429/100,0))</f>
        <v>0</v>
      </c>
      <c r="S429" s="30">
        <f>IF(OR($F429="",$I429=""),0,IFERROR(INDEX(Nutrition!$M$2:$M$300,MATCH($F429,Nutrition!$A$2:$A$300,0))*$I429/100,0))</f>
        <v>0</v>
      </c>
    </row>
    <row r="430" spans="1:19" ht="15" customHeight="1" x14ac:dyDescent="0.25">
      <c r="A430" s="22" t="s">
        <v>1508</v>
      </c>
      <c r="B430" s="33" t="str">
        <f>IFERROR(INDEX(Recipes!$B$2:$B$500,MATCH(A430,Recipes!$A$2:$A$500,0)),"")</f>
        <v>Stuffed Tatashe with Beef &amp; Corn</v>
      </c>
      <c r="C430" s="7" t="s">
        <v>2801</v>
      </c>
      <c r="D430" s="34">
        <v>1</v>
      </c>
      <c r="E430" s="22" t="s">
        <v>2748</v>
      </c>
      <c r="F430" s="22"/>
      <c r="G430" s="22" t="s">
        <v>2749</v>
      </c>
      <c r="H430" s="7" t="s">
        <v>2833</v>
      </c>
      <c r="I430" s="35"/>
      <c r="J430" s="30">
        <f>IF(OR($F430="",$I430=""),0,IFERROR(INDEX(Nutrition!$D$2:$D$300,MATCH($F430,Nutrition!$A$2:$A$300,0))*$I430/100,0))</f>
        <v>0</v>
      </c>
      <c r="K430" s="30">
        <f>IF(OR($F430="",$I430=""),0,IFERROR(INDEX(Nutrition!$E$2:$E$300,MATCH($F430,Nutrition!$A$2:$A$300,0))*$I430/100,0))</f>
        <v>0</v>
      </c>
      <c r="L430" s="30">
        <f>IF(OR($F430="",$I430=""),0,IFERROR(INDEX(Nutrition!$F$2:$F$300,MATCH($F430,Nutrition!$A$2:$A$300,0))*$I430/100,0))</f>
        <v>0</v>
      </c>
      <c r="M430" s="30">
        <f>IF(OR($F430="",$I430=""),0,IFERROR(INDEX(Nutrition!$G$2:$G$300,MATCH($F430,Nutrition!$A$2:$A$300,0))*$I430/100,0))</f>
        <v>0</v>
      </c>
      <c r="N430" s="30">
        <f>IF(OR($F430="",$I430=""),0,IFERROR(INDEX(Nutrition!$H$2:$H$300,MATCH($F430,Nutrition!$A$2:$A$300,0))*$I430/100,0))</f>
        <v>0</v>
      </c>
      <c r="O430" s="30">
        <f>IF(OR($F430="",$I430=""),0,IFERROR(INDEX(Nutrition!$I$2:$I$300,MATCH($F430,Nutrition!$A$2:$A$300,0))*$I430/100,0))</f>
        <v>0</v>
      </c>
      <c r="P430" s="30">
        <f>IF(OR($F430="",$I430=""),0,IFERROR(INDEX(Nutrition!$J$2:$J$300,MATCH($F430,Nutrition!$A$2:$A$300,0))*$I430/100,0))</f>
        <v>0</v>
      </c>
      <c r="Q430" s="30">
        <f>IF(OR($F430="",$I430=""),0,IFERROR(INDEX(Nutrition!$K$2:$K$300,MATCH($F430,Nutrition!$A$2:$A$300,0))*$I430/100,0))</f>
        <v>0</v>
      </c>
      <c r="R430" s="30">
        <f>IF(OR($F430="",$I430=""),0,IFERROR(INDEX(Nutrition!$L$2:$L$300,MATCH($F430,Nutrition!$A$2:$A$300,0))*$I430/100,0))</f>
        <v>0</v>
      </c>
      <c r="S430" s="30">
        <f>IF(OR($F430="",$I430=""),0,IFERROR(INDEX(Nutrition!$M$2:$M$300,MATCH($F430,Nutrition!$A$2:$A$300,0))*$I430/100,0))</f>
        <v>0</v>
      </c>
    </row>
    <row r="431" spans="1:19" ht="15" customHeight="1" x14ac:dyDescent="0.25">
      <c r="A431" s="22" t="s">
        <v>1508</v>
      </c>
      <c r="B431" s="33" t="str">
        <f>IFERROR(INDEX(Recipes!$B$2:$B$500,MATCH(A431,Recipes!$A$2:$A$500,0)),"")</f>
        <v>Stuffed Tatashe with Beef &amp; Corn</v>
      </c>
      <c r="C431" s="7" t="s">
        <v>556</v>
      </c>
      <c r="D431" s="34">
        <v>1</v>
      </c>
      <c r="E431" s="22" t="s">
        <v>2834</v>
      </c>
      <c r="F431" s="22" t="s">
        <v>555</v>
      </c>
      <c r="G431" s="22" t="s">
        <v>2755</v>
      </c>
      <c r="H431" s="7"/>
      <c r="I431" s="35">
        <v>90</v>
      </c>
      <c r="J431" s="30">
        <f>IF(OR($F431="",$I431=""),0,IFERROR(INDEX(Nutrition!$D$2:$D$300,MATCH($F431,Nutrition!$A$2:$A$300,0))*$I431/100,0))</f>
        <v>2.4300000000000002</v>
      </c>
      <c r="K431" s="30">
        <f>IF(OR($F431="",$I431=""),0,IFERROR(INDEX(Nutrition!$E$2:$E$300,MATCH($F431,Nutrition!$A$2:$A$300,0))*$I431/100,0))</f>
        <v>6.12</v>
      </c>
      <c r="L431" s="30">
        <f>IF(OR($F431="",$I431=""),0,IFERROR(INDEX(Nutrition!$F$2:$F$300,MATCH($F431,Nutrition!$A$2:$A$300,0))*$I431/100,0))</f>
        <v>8.1</v>
      </c>
      <c r="M431" s="30">
        <f>IF(OR($F431="",$I431=""),0,IFERROR(INDEX(Nutrition!$G$2:$G$300,MATCH($F431,Nutrition!$A$2:$A$300,0))*$I431/100,0))</f>
        <v>0.27</v>
      </c>
      <c r="N431" s="30">
        <f>IF(OR($F431="",$I431=""),0,IFERROR(INDEX(Nutrition!$H$2:$H$300,MATCH($F431,Nutrition!$A$2:$A$300,0))*$I431/100,0))</f>
        <v>37.799999999999997</v>
      </c>
      <c r="O431" s="30">
        <f>IF(OR($F431="",$I431=""),0,IFERROR(INDEX(Nutrition!$I$2:$I$300,MATCH($F431,Nutrition!$A$2:$A$300,0))*$I431/100,0))</f>
        <v>243</v>
      </c>
      <c r="P431" s="30">
        <f>IF(OR($F431="",$I431=""),0,IFERROR(INDEX(Nutrition!$J$2:$J$300,MATCH($F431,Nutrition!$A$2:$A$300,0))*$I431/100,0))</f>
        <v>6.3E-2</v>
      </c>
      <c r="Q431" s="30">
        <f>IF(OR($F431="",$I431=""),0,IFERROR(INDEX(Nutrition!$K$2:$K$300,MATCH($F431,Nutrition!$A$2:$A$300,0))*$I431/100,0))</f>
        <v>8.3699999999999997E-2</v>
      </c>
      <c r="R431" s="30">
        <f>IF(OR($F431="",$I431=""),0,IFERROR(INDEX(Nutrition!$L$2:$L$300,MATCH($F431,Nutrition!$A$2:$A$300,0))*$I431/100,0))</f>
        <v>33.299999999999997</v>
      </c>
      <c r="S431" s="30">
        <f>IF(OR($F431="",$I431=""),0,IFERROR(INDEX(Nutrition!$M$2:$M$300,MATCH($F431,Nutrition!$A$2:$A$300,0))*$I431/100,0))</f>
        <v>0.46800000000000003</v>
      </c>
    </row>
    <row r="432" spans="1:19" ht="15" customHeight="1" x14ac:dyDescent="0.25">
      <c r="A432" s="22" t="s">
        <v>1508</v>
      </c>
      <c r="B432" s="33" t="str">
        <f>IFERROR(INDEX(Recipes!$B$2:$B$500,MATCH(A432,Recipes!$A$2:$A$500,0)),"")</f>
        <v>Stuffed Tatashe with Beef &amp; Corn</v>
      </c>
      <c r="C432" s="7" t="s">
        <v>446</v>
      </c>
      <c r="D432" s="34">
        <v>2</v>
      </c>
      <c r="E432" s="22" t="s">
        <v>2754</v>
      </c>
      <c r="F432" s="22" t="s">
        <v>445</v>
      </c>
      <c r="G432" s="22" t="s">
        <v>2755</v>
      </c>
      <c r="H432" s="7"/>
      <c r="I432" s="35">
        <v>124</v>
      </c>
      <c r="J432" s="30">
        <f>IF(OR($F432="",$I432=""),0,IFERROR(INDEX(Nutrition!$D$2:$D$300,MATCH($F432,Nutrition!$A$2:$A$300,0))*$I432/100,0))</f>
        <v>1.4879999999999998</v>
      </c>
      <c r="K432" s="30">
        <f>IF(OR($F432="",$I432=""),0,IFERROR(INDEX(Nutrition!$E$2:$E$300,MATCH($F432,Nutrition!$A$2:$A$300,0))*$I432/100,0))</f>
        <v>16.988</v>
      </c>
      <c r="L432" s="30">
        <f>IF(OR($F432="",$I432=""),0,IFERROR(INDEX(Nutrition!$F$2:$F$300,MATCH($F432,Nutrition!$A$2:$A$300,0))*$I432/100,0))</f>
        <v>52.08</v>
      </c>
      <c r="M432" s="30">
        <f>IF(OR($F432="",$I432=""),0,IFERROR(INDEX(Nutrition!$G$2:$G$300,MATCH($F432,Nutrition!$A$2:$A$300,0))*$I432/100,0))</f>
        <v>9.7959999999999994</v>
      </c>
      <c r="N432" s="30">
        <f>IF(OR($F432="",$I432=""),0,IFERROR(INDEX(Nutrition!$H$2:$H$300,MATCH($F432,Nutrition!$A$2:$A$300,0))*$I432/100,0))</f>
        <v>18.600000000000001</v>
      </c>
      <c r="O432" s="30">
        <f>IF(OR($F432="",$I432=""),0,IFERROR(INDEX(Nutrition!$I$2:$I$300,MATCH($F432,Nutrition!$A$2:$A$300,0))*$I432/100,0))</f>
        <v>293.88</v>
      </c>
      <c r="P432" s="30">
        <f>IF(OR($F432="",$I432=""),0,IFERROR(INDEX(Nutrition!$J$2:$J$300,MATCH($F432,Nutrition!$A$2:$A$300,0))*$I432/100,0))</f>
        <v>0.66960000000000008</v>
      </c>
      <c r="Q432" s="30">
        <f>IF(OR($F432="",$I432=""),0,IFERROR(INDEX(Nutrition!$K$2:$K$300,MATCH($F432,Nutrition!$A$2:$A$300,0))*$I432/100,0))</f>
        <v>9.9199999999999997E-2</v>
      </c>
      <c r="R432" s="30">
        <f>IF(OR($F432="",$I432=""),0,IFERROR(INDEX(Nutrition!$L$2:$L$300,MATCH($F432,Nutrition!$A$2:$A$300,0))*$I432/100,0))</f>
        <v>13.64</v>
      </c>
      <c r="S432" s="30">
        <f>IF(OR($F432="",$I432=""),0,IFERROR(INDEX(Nutrition!$M$2:$M$300,MATCH($F432,Nutrition!$A$2:$A$300,0))*$I432/100,0))</f>
        <v>0.33480000000000004</v>
      </c>
    </row>
    <row r="433" spans="1:19" ht="15" customHeight="1" x14ac:dyDescent="0.25">
      <c r="A433" s="22" t="s">
        <v>1508</v>
      </c>
      <c r="B433" s="33" t="str">
        <f>IFERROR(INDEX(Recipes!$B$2:$B$500,MATCH(A433,Recipes!$A$2:$A$500,0)),"")</f>
        <v>Stuffed Tatashe with Beef &amp; Corn</v>
      </c>
      <c r="C433" s="7" t="s">
        <v>482</v>
      </c>
      <c r="D433" s="34">
        <v>1</v>
      </c>
      <c r="E433" s="22" t="s">
        <v>2754</v>
      </c>
      <c r="F433" s="22" t="s">
        <v>481</v>
      </c>
      <c r="G433" s="22" t="s">
        <v>2755</v>
      </c>
      <c r="H433" s="7"/>
      <c r="I433" s="35">
        <v>110</v>
      </c>
      <c r="J433" s="30">
        <f>IF(OR($F433="",$I433=""),0,IFERROR(INDEX(Nutrition!$D$2:$D$300,MATCH($F433,Nutrition!$A$2:$A$300,0))*$I433/100,0))</f>
        <v>1.87</v>
      </c>
      <c r="K433" s="30">
        <f>IF(OR($F433="",$I433=""),0,IFERROR(INDEX(Nutrition!$E$2:$E$300,MATCH($F433,Nutrition!$A$2:$A$300,0))*$I433/100,0))</f>
        <v>8.14</v>
      </c>
      <c r="L433" s="30">
        <f>IF(OR($F433="",$I433=""),0,IFERROR(INDEX(Nutrition!$F$2:$F$300,MATCH($F433,Nutrition!$A$2:$A$300,0))*$I433/100,0))</f>
        <v>0</v>
      </c>
      <c r="M433" s="30">
        <f>IF(OR($F433="",$I433=""),0,IFERROR(INDEX(Nutrition!$G$2:$G$300,MATCH($F433,Nutrition!$A$2:$A$300,0))*$I433/100,0))</f>
        <v>0.44</v>
      </c>
      <c r="N433" s="30">
        <f>IF(OR($F433="",$I433=""),0,IFERROR(INDEX(Nutrition!$H$2:$H$300,MATCH($F433,Nutrition!$A$2:$A$300,0))*$I433/100,0))</f>
        <v>20.9</v>
      </c>
      <c r="O433" s="30">
        <f>IF(OR($F433="",$I433=""),0,IFERROR(INDEX(Nutrition!$I$2:$I$300,MATCH($F433,Nutrition!$A$2:$A$300,0))*$I433/100,0))</f>
        <v>160.6</v>
      </c>
      <c r="P433" s="30">
        <f>IF(OR($F433="",$I433=""),0,IFERROR(INDEX(Nutrition!$J$2:$J$300,MATCH($F433,Nutrition!$A$2:$A$300,0))*$I433/100,0))</f>
        <v>2.2000000000000002E-2</v>
      </c>
      <c r="Q433" s="30">
        <f>IF(OR($F433="",$I433=""),0,IFERROR(INDEX(Nutrition!$K$2:$K$300,MATCH($F433,Nutrition!$A$2:$A$300,0))*$I433/100,0))</f>
        <v>0.13200000000000001</v>
      </c>
      <c r="R433" s="30">
        <f>IF(OR($F433="",$I433=""),0,IFERROR(INDEX(Nutrition!$L$2:$L$300,MATCH($F433,Nutrition!$A$2:$A$300,0))*$I433/100,0))</f>
        <v>11</v>
      </c>
      <c r="S433" s="30">
        <f>IF(OR($F433="",$I433=""),0,IFERROR(INDEX(Nutrition!$M$2:$M$300,MATCH($F433,Nutrition!$A$2:$A$300,0))*$I433/100,0))</f>
        <v>0.23099999999999998</v>
      </c>
    </row>
    <row r="434" spans="1:19" ht="15" customHeight="1" x14ac:dyDescent="0.25">
      <c r="A434" s="22" t="s">
        <v>1508</v>
      </c>
      <c r="B434" s="33" t="str">
        <f>IFERROR(INDEX(Recipes!$B$2:$B$500,MATCH(A434,Recipes!$A$2:$A$500,0)),"")</f>
        <v>Stuffed Tatashe with Beef &amp; Corn</v>
      </c>
      <c r="C434" s="7" t="s">
        <v>500</v>
      </c>
      <c r="D434" s="34">
        <v>2</v>
      </c>
      <c r="E434" s="22" t="s">
        <v>2776</v>
      </c>
      <c r="F434" s="22" t="s">
        <v>499</v>
      </c>
      <c r="G434" s="22" t="s">
        <v>2755</v>
      </c>
      <c r="H434" s="7"/>
      <c r="I434" s="35">
        <v>6</v>
      </c>
      <c r="J434" s="30">
        <f>IF(OR($F434="",$I434=""),0,IFERROR(INDEX(Nutrition!$D$2:$D$300,MATCH($F434,Nutrition!$A$2:$A$300,0))*$I434/100,0))</f>
        <v>0.126</v>
      </c>
      <c r="K434" s="30">
        <f>IF(OR($F434="",$I434=""),0,IFERROR(INDEX(Nutrition!$E$2:$E$300,MATCH($F434,Nutrition!$A$2:$A$300,0))*$I434/100,0))</f>
        <v>1.8719999999999999</v>
      </c>
      <c r="L434" s="30">
        <f>IF(OR($F434="",$I434=""),0,IFERROR(INDEX(Nutrition!$F$2:$F$300,MATCH($F434,Nutrition!$A$2:$A$300,0))*$I434/100,0))</f>
        <v>0</v>
      </c>
      <c r="M434" s="30">
        <f>IF(OR($F434="",$I434=""),0,IFERROR(INDEX(Nutrition!$G$2:$G$300,MATCH($F434,Nutrition!$A$2:$A$300,0))*$I434/100,0))</f>
        <v>0.10199999999999999</v>
      </c>
      <c r="N434" s="30">
        <f>IF(OR($F434="",$I434=""),0,IFERROR(INDEX(Nutrition!$H$2:$H$300,MATCH($F434,Nutrition!$A$2:$A$300,0))*$I434/100,0))</f>
        <v>0.18</v>
      </c>
      <c r="O434" s="30">
        <f>IF(OR($F434="",$I434=""),0,IFERROR(INDEX(Nutrition!$I$2:$I$300,MATCH($F434,Nutrition!$A$2:$A$300,0))*$I434/100,0))</f>
        <v>24.06</v>
      </c>
      <c r="P434" s="30">
        <f>IF(OR($F434="",$I434=""),0,IFERROR(INDEX(Nutrition!$J$2:$J$300,MATCH($F434,Nutrition!$A$2:$A$300,0))*$I434/100,0))</f>
        <v>4.7999999999999996E-3</v>
      </c>
      <c r="Q434" s="30">
        <f>IF(OR($F434="",$I434=""),0,IFERROR(INDEX(Nutrition!$K$2:$K$300,MATCH($F434,Nutrition!$A$2:$A$300,0))*$I434/100,0))</f>
        <v>7.4099999999999999E-2</v>
      </c>
      <c r="R434" s="30">
        <f>IF(OR($F434="",$I434=""),0,IFERROR(INDEX(Nutrition!$L$2:$L$300,MATCH($F434,Nutrition!$A$2:$A$300,0))*$I434/100,0))</f>
        <v>1.5</v>
      </c>
      <c r="S434" s="30">
        <f>IF(OR($F434="",$I434=""),0,IFERROR(INDEX(Nutrition!$M$2:$M$300,MATCH($F434,Nutrition!$A$2:$A$300,0))*$I434/100,0))</f>
        <v>0.10199999999999999</v>
      </c>
    </row>
    <row r="435" spans="1:19" ht="15" customHeight="1" x14ac:dyDescent="0.25">
      <c r="A435" s="22" t="s">
        <v>1508</v>
      </c>
      <c r="B435" s="33" t="str">
        <f>IFERROR(INDEX(Recipes!$B$2:$B$500,MATCH(A435,Recipes!$A$2:$A$500,0)),"")</f>
        <v>Stuffed Tatashe with Beef &amp; Corn</v>
      </c>
      <c r="C435" s="7" t="s">
        <v>473</v>
      </c>
      <c r="D435" s="34">
        <v>0.25</v>
      </c>
      <c r="E435" s="22" t="s">
        <v>2754</v>
      </c>
      <c r="F435" s="22" t="s">
        <v>472</v>
      </c>
      <c r="G435" s="22" t="s">
        <v>2755</v>
      </c>
      <c r="H435" s="7"/>
      <c r="I435" s="35">
        <v>2</v>
      </c>
      <c r="J435" s="30">
        <f>IF(OR($F435="",$I435=""),0,IFERROR(INDEX(Nutrition!$D$2:$D$300,MATCH($F435,Nutrition!$A$2:$A$300,0))*$I435/100,0))</f>
        <v>0.03</v>
      </c>
      <c r="K435" s="30">
        <f>IF(OR($F435="",$I435=""),0,IFERROR(INDEX(Nutrition!$E$2:$E$300,MATCH($F435,Nutrition!$A$2:$A$300,0))*$I435/100,0))</f>
        <v>2.8739999999999997</v>
      </c>
      <c r="L435" s="30">
        <f>IF(OR($F435="",$I435=""),0,IFERROR(INDEX(Nutrition!$F$2:$F$300,MATCH($F435,Nutrition!$A$2:$A$300,0))*$I435/100,0))</f>
        <v>0.96</v>
      </c>
      <c r="M435" s="30">
        <f>IF(OR($F435="",$I435=""),0,IFERROR(INDEX(Nutrition!$G$2:$G$300,MATCH($F435,Nutrition!$A$2:$A$300,0))*$I435/100,0))</f>
        <v>0.28000000000000003</v>
      </c>
      <c r="N435" s="30">
        <f>IF(OR($F435="",$I435=""),0,IFERROR(INDEX(Nutrition!$H$2:$H$300,MATCH($F435,Nutrition!$A$2:$A$300,0))*$I435/100,0))</f>
        <v>0.46</v>
      </c>
      <c r="O435" s="30">
        <f>IF(OR($F435="",$I435=""),0,IFERROR(INDEX(Nutrition!$I$2:$I$300,MATCH($F435,Nutrition!$A$2:$A$300,0))*$I435/100,0))</f>
        <v>6.44</v>
      </c>
      <c r="P435" s="30">
        <f>IF(OR($F435="",$I435=""),0,IFERROR(INDEX(Nutrition!$J$2:$J$300,MATCH($F435,Nutrition!$A$2:$A$300,0))*$I435/100,0))</f>
        <v>1.38E-2</v>
      </c>
      <c r="Q435" s="30">
        <f>IF(OR($F435="",$I435=""),0,IFERROR(INDEX(Nutrition!$K$2:$K$300,MATCH($F435,Nutrition!$A$2:$A$300,0))*$I435/100,0))</f>
        <v>1.0120000000000001E-2</v>
      </c>
      <c r="R435" s="30">
        <f>IF(OR($F435="",$I435=""),0,IFERROR(INDEX(Nutrition!$L$2:$L$300,MATCH($F435,Nutrition!$A$2:$A$300,0))*$I435/100,0))</f>
        <v>0.46</v>
      </c>
      <c r="S435" s="30">
        <f>IF(OR($F435="",$I435=""),0,IFERROR(INDEX(Nutrition!$M$2:$M$300,MATCH($F435,Nutrition!$A$2:$A$300,0))*$I435/100,0))</f>
        <v>2.06E-2</v>
      </c>
    </row>
    <row r="436" spans="1:19" ht="15" customHeight="1" x14ac:dyDescent="0.25">
      <c r="A436" s="22" t="s">
        <v>1508</v>
      </c>
      <c r="B436" s="33" t="str">
        <f>IFERROR(INDEX(Recipes!$B$2:$B$500,MATCH(A436,Recipes!$A$2:$A$500,0)),"")</f>
        <v>Stuffed Tatashe with Beef &amp; Corn</v>
      </c>
      <c r="C436" s="7" t="s">
        <v>2870</v>
      </c>
      <c r="D436" s="34">
        <v>1</v>
      </c>
      <c r="E436" s="22" t="s">
        <v>2759</v>
      </c>
      <c r="F436" s="22"/>
      <c r="G436" s="22" t="s">
        <v>2749</v>
      </c>
      <c r="H436" s="7"/>
      <c r="I436" s="35"/>
      <c r="J436" s="30">
        <f>IF(OR($F436="",$I436=""),0,IFERROR(INDEX(Nutrition!$D$2:$D$300,MATCH($F436,Nutrition!$A$2:$A$300,0))*$I436/100,0))</f>
        <v>0</v>
      </c>
      <c r="K436" s="30">
        <f>IF(OR($F436="",$I436=""),0,IFERROR(INDEX(Nutrition!$E$2:$E$300,MATCH($F436,Nutrition!$A$2:$A$300,0))*$I436/100,0))</f>
        <v>0</v>
      </c>
      <c r="L436" s="30">
        <f>IF(OR($F436="",$I436=""),0,IFERROR(INDEX(Nutrition!$F$2:$F$300,MATCH($F436,Nutrition!$A$2:$A$300,0))*$I436/100,0))</f>
        <v>0</v>
      </c>
      <c r="M436" s="30">
        <f>IF(OR($F436="",$I436=""),0,IFERROR(INDEX(Nutrition!$G$2:$G$300,MATCH($F436,Nutrition!$A$2:$A$300,0))*$I436/100,0))</f>
        <v>0</v>
      </c>
      <c r="N436" s="30">
        <f>IF(OR($F436="",$I436=""),0,IFERROR(INDEX(Nutrition!$H$2:$H$300,MATCH($F436,Nutrition!$A$2:$A$300,0))*$I436/100,0))</f>
        <v>0</v>
      </c>
      <c r="O436" s="30">
        <f>IF(OR($F436="",$I436=""),0,IFERROR(INDEX(Nutrition!$I$2:$I$300,MATCH($F436,Nutrition!$A$2:$A$300,0))*$I436/100,0))</f>
        <v>0</v>
      </c>
      <c r="P436" s="30">
        <f>IF(OR($F436="",$I436=""),0,IFERROR(INDEX(Nutrition!$J$2:$J$300,MATCH($F436,Nutrition!$A$2:$A$300,0))*$I436/100,0))</f>
        <v>0</v>
      </c>
      <c r="Q436" s="30">
        <f>IF(OR($F436="",$I436=""),0,IFERROR(INDEX(Nutrition!$K$2:$K$300,MATCH($F436,Nutrition!$A$2:$A$300,0))*$I436/100,0))</f>
        <v>0</v>
      </c>
      <c r="R436" s="30">
        <f>IF(OR($F436="",$I436=""),0,IFERROR(INDEX(Nutrition!$L$2:$L$300,MATCH($F436,Nutrition!$A$2:$A$300,0))*$I436/100,0))</f>
        <v>0</v>
      </c>
      <c r="S436" s="30">
        <f>IF(OR($F436="",$I436=""),0,IFERROR(INDEX(Nutrition!$M$2:$M$300,MATCH($F436,Nutrition!$A$2:$A$300,0))*$I436/100,0))</f>
        <v>0</v>
      </c>
    </row>
    <row r="437" spans="1:19" ht="15" customHeight="1" x14ac:dyDescent="0.25">
      <c r="A437" s="22" t="s">
        <v>1508</v>
      </c>
      <c r="B437" s="33" t="str">
        <f>IFERROR(INDEX(Recipes!$B$2:$B$500,MATCH(A437,Recipes!$A$2:$A$500,0)),"")</f>
        <v>Stuffed Tatashe with Beef &amp; Corn</v>
      </c>
      <c r="C437" s="7" t="s">
        <v>2867</v>
      </c>
      <c r="D437" s="34">
        <v>0.5</v>
      </c>
      <c r="E437" s="22" t="s">
        <v>2748</v>
      </c>
      <c r="F437" s="22"/>
      <c r="G437" s="22" t="s">
        <v>2749</v>
      </c>
      <c r="H437" s="7"/>
      <c r="I437" s="35"/>
      <c r="J437" s="30">
        <f>IF(OR($F437="",$I437=""),0,IFERROR(INDEX(Nutrition!$D$2:$D$300,MATCH($F437,Nutrition!$A$2:$A$300,0))*$I437/100,0))</f>
        <v>0</v>
      </c>
      <c r="K437" s="30">
        <f>IF(OR($F437="",$I437=""),0,IFERROR(INDEX(Nutrition!$E$2:$E$300,MATCH($F437,Nutrition!$A$2:$A$300,0))*$I437/100,0))</f>
        <v>0</v>
      </c>
      <c r="L437" s="30">
        <f>IF(OR($F437="",$I437=""),0,IFERROR(INDEX(Nutrition!$F$2:$F$300,MATCH($F437,Nutrition!$A$2:$A$300,0))*$I437/100,0))</f>
        <v>0</v>
      </c>
      <c r="M437" s="30">
        <f>IF(OR($F437="",$I437=""),0,IFERROR(INDEX(Nutrition!$G$2:$G$300,MATCH($F437,Nutrition!$A$2:$A$300,0))*$I437/100,0))</f>
        <v>0</v>
      </c>
      <c r="N437" s="30">
        <f>IF(OR($F437="",$I437=""),0,IFERROR(INDEX(Nutrition!$H$2:$H$300,MATCH($F437,Nutrition!$A$2:$A$300,0))*$I437/100,0))</f>
        <v>0</v>
      </c>
      <c r="O437" s="30">
        <f>IF(OR($F437="",$I437=""),0,IFERROR(INDEX(Nutrition!$I$2:$I$300,MATCH($F437,Nutrition!$A$2:$A$300,0))*$I437/100,0))</f>
        <v>0</v>
      </c>
      <c r="P437" s="30">
        <f>IF(OR($F437="",$I437=""),0,IFERROR(INDEX(Nutrition!$J$2:$J$300,MATCH($F437,Nutrition!$A$2:$A$300,0))*$I437/100,0))</f>
        <v>0</v>
      </c>
      <c r="Q437" s="30">
        <f>IF(OR($F437="",$I437=""),0,IFERROR(INDEX(Nutrition!$K$2:$K$300,MATCH($F437,Nutrition!$A$2:$A$300,0))*$I437/100,0))</f>
        <v>0</v>
      </c>
      <c r="R437" s="30">
        <f>IF(OR($F437="",$I437=""),0,IFERROR(INDEX(Nutrition!$L$2:$L$300,MATCH($F437,Nutrition!$A$2:$A$300,0))*$I437/100,0))</f>
        <v>0</v>
      </c>
      <c r="S437" s="30">
        <f>IF(OR($F437="",$I437=""),0,IFERROR(INDEX(Nutrition!$M$2:$M$300,MATCH($F437,Nutrition!$A$2:$A$300,0))*$I437/100,0))</f>
        <v>0</v>
      </c>
    </row>
    <row r="438" spans="1:19" ht="15" customHeight="1" x14ac:dyDescent="0.25">
      <c r="A438" s="22" t="s">
        <v>1508</v>
      </c>
      <c r="B438" s="33" t="str">
        <f>IFERROR(INDEX(Recipes!$B$2:$B$500,MATCH(A438,Recipes!$A$2:$A$500,0)),"")</f>
        <v>Stuffed Tatashe with Beef &amp; Corn</v>
      </c>
      <c r="C438" s="7" t="s">
        <v>2772</v>
      </c>
      <c r="D438" s="34">
        <v>1</v>
      </c>
      <c r="E438" s="22" t="s">
        <v>2753</v>
      </c>
      <c r="F438" s="22"/>
      <c r="G438" s="22" t="s">
        <v>2773</v>
      </c>
      <c r="H438" s="7"/>
      <c r="I438" s="35"/>
      <c r="J438" s="30">
        <f>IF(OR($F438="",$I438=""),0,IFERROR(INDEX(Nutrition!$D$2:$D$300,MATCH($F438,Nutrition!$A$2:$A$300,0))*$I438/100,0))</f>
        <v>0</v>
      </c>
      <c r="K438" s="30">
        <f>IF(OR($F438="",$I438=""),0,IFERROR(INDEX(Nutrition!$E$2:$E$300,MATCH($F438,Nutrition!$A$2:$A$300,0))*$I438/100,0))</f>
        <v>0</v>
      </c>
      <c r="L438" s="30">
        <f>IF(OR($F438="",$I438=""),0,IFERROR(INDEX(Nutrition!$F$2:$F$300,MATCH($F438,Nutrition!$A$2:$A$300,0))*$I438/100,0))</f>
        <v>0</v>
      </c>
      <c r="M438" s="30">
        <f>IF(OR($F438="",$I438=""),0,IFERROR(INDEX(Nutrition!$G$2:$G$300,MATCH($F438,Nutrition!$A$2:$A$300,0))*$I438/100,0))</f>
        <v>0</v>
      </c>
      <c r="N438" s="30">
        <f>IF(OR($F438="",$I438=""),0,IFERROR(INDEX(Nutrition!$H$2:$H$300,MATCH($F438,Nutrition!$A$2:$A$300,0))*$I438/100,0))</f>
        <v>0</v>
      </c>
      <c r="O438" s="30">
        <f>IF(OR($F438="",$I438=""),0,IFERROR(INDEX(Nutrition!$I$2:$I$300,MATCH($F438,Nutrition!$A$2:$A$300,0))*$I438/100,0))</f>
        <v>0</v>
      </c>
      <c r="P438" s="30">
        <f>IF(OR($F438="",$I438=""),0,IFERROR(INDEX(Nutrition!$J$2:$J$300,MATCH($F438,Nutrition!$A$2:$A$300,0))*$I438/100,0))</f>
        <v>0</v>
      </c>
      <c r="Q438" s="30">
        <f>IF(OR($F438="",$I438=""),0,IFERROR(INDEX(Nutrition!$K$2:$K$300,MATCH($F438,Nutrition!$A$2:$A$300,0))*$I438/100,0))</f>
        <v>0</v>
      </c>
      <c r="R438" s="30">
        <f>IF(OR($F438="",$I438=""),0,IFERROR(INDEX(Nutrition!$L$2:$L$300,MATCH($F438,Nutrition!$A$2:$A$300,0))*$I438/100,0))</f>
        <v>0</v>
      </c>
      <c r="S438" s="30">
        <f>IF(OR($F438="",$I438=""),0,IFERROR(INDEX(Nutrition!$M$2:$M$300,MATCH($F438,Nutrition!$A$2:$A$300,0))*$I438/100,0))</f>
        <v>0</v>
      </c>
    </row>
    <row r="439" spans="1:19" ht="15" customHeight="1" x14ac:dyDescent="0.25">
      <c r="A439" s="22" t="s">
        <v>1519</v>
      </c>
      <c r="B439" s="33" t="str">
        <f>IFERROR(INDEX(Recipes!$B$2:$B$500,MATCH(A439,Recipes!$A$2:$A$500,0)),"")</f>
        <v>Guacamole with Garden Egg Crudites</v>
      </c>
      <c r="C439" s="7" t="s">
        <v>227</v>
      </c>
      <c r="D439" s="34">
        <v>2</v>
      </c>
      <c r="E439" s="22" t="s">
        <v>2754</v>
      </c>
      <c r="F439" s="22" t="s">
        <v>226</v>
      </c>
      <c r="G439" s="22" t="s">
        <v>2755</v>
      </c>
      <c r="H439" s="7"/>
      <c r="I439" s="35">
        <v>402</v>
      </c>
      <c r="J439" s="30">
        <f>IF(OR($F439="",$I439=""),0,IFERROR(INDEX(Nutrition!$D$2:$D$300,MATCH($F439,Nutrition!$A$2:$A$300,0))*$I439/100,0))</f>
        <v>26.934000000000001</v>
      </c>
      <c r="K439" s="30">
        <f>IF(OR($F439="",$I439=""),0,IFERROR(INDEX(Nutrition!$E$2:$E$300,MATCH($F439,Nutrition!$A$2:$A$300,0))*$I439/100,0))</f>
        <v>40.200000000000003</v>
      </c>
      <c r="L439" s="30">
        <f>IF(OR($F439="",$I439=""),0,IFERROR(INDEX(Nutrition!$F$2:$F$300,MATCH($F439,Nutrition!$A$2:$A$300,0))*$I439/100,0))</f>
        <v>28.14</v>
      </c>
      <c r="M439" s="30">
        <f>IF(OR($F439="",$I439=""),0,IFERROR(INDEX(Nutrition!$G$2:$G$300,MATCH($F439,Nutrition!$A$2:$A$300,0))*$I439/100,0))</f>
        <v>84.42</v>
      </c>
      <c r="N439" s="30">
        <f>IF(OR($F439="",$I439=""),0,IFERROR(INDEX(Nutrition!$H$2:$H$300,MATCH($F439,Nutrition!$A$2:$A$300,0))*$I439/100,0))</f>
        <v>325.62</v>
      </c>
      <c r="O439" s="30">
        <f>IF(OR($F439="",$I439=""),0,IFERROR(INDEX(Nutrition!$I$2:$I$300,MATCH($F439,Nutrition!$A$2:$A$300,0))*$I439/100,0))</f>
        <v>1949.7</v>
      </c>
      <c r="P439" s="30">
        <f>IF(OR($F439="",$I439=""),0,IFERROR(INDEX(Nutrition!$J$2:$J$300,MATCH($F439,Nutrition!$A$2:$A$300,0))*$I439/100,0))</f>
        <v>8.3214000000000006</v>
      </c>
      <c r="Q439" s="30">
        <f>IF(OR($F439="",$I439=""),0,IFERROR(INDEX(Nutrition!$K$2:$K$300,MATCH($F439,Nutrition!$A$2:$A$300,0))*$I439/100,0))</f>
        <v>1.0331400000000002</v>
      </c>
      <c r="R439" s="30">
        <f>IF(OR($F439="",$I439=""),0,IFERROR(INDEX(Nutrition!$L$2:$L$300,MATCH($F439,Nutrition!$A$2:$A$300,0))*$I439/100,0))</f>
        <v>116.58</v>
      </c>
      <c r="S439" s="30">
        <f>IF(OR($F439="",$I439=""),0,IFERROR(INDEX(Nutrition!$M$2:$M$300,MATCH($F439,Nutrition!$A$2:$A$300,0))*$I439/100,0))</f>
        <v>2.2110000000000003</v>
      </c>
    </row>
    <row r="440" spans="1:19" ht="15" customHeight="1" x14ac:dyDescent="0.25">
      <c r="A440" s="22" t="s">
        <v>1519</v>
      </c>
      <c r="B440" s="33" t="str">
        <f>IFERROR(INDEX(Recipes!$B$2:$B$500,MATCH(A440,Recipes!$A$2:$A$500,0)),"")</f>
        <v>Guacamole with Garden Egg Crudites</v>
      </c>
      <c r="C440" s="7" t="s">
        <v>446</v>
      </c>
      <c r="D440" s="34">
        <v>1</v>
      </c>
      <c r="E440" s="22" t="s">
        <v>2754</v>
      </c>
      <c r="F440" s="22" t="s">
        <v>445</v>
      </c>
      <c r="G440" s="22" t="s">
        <v>2755</v>
      </c>
      <c r="H440" s="7"/>
      <c r="I440" s="35">
        <v>62</v>
      </c>
      <c r="J440" s="30">
        <f>IF(OR($F440="",$I440=""),0,IFERROR(INDEX(Nutrition!$D$2:$D$300,MATCH($F440,Nutrition!$A$2:$A$300,0))*$I440/100,0))</f>
        <v>0.74399999999999988</v>
      </c>
      <c r="K440" s="30">
        <f>IF(OR($F440="",$I440=""),0,IFERROR(INDEX(Nutrition!$E$2:$E$300,MATCH($F440,Nutrition!$A$2:$A$300,0))*$I440/100,0))</f>
        <v>8.4939999999999998</v>
      </c>
      <c r="L440" s="30">
        <f>IF(OR($F440="",$I440=""),0,IFERROR(INDEX(Nutrition!$F$2:$F$300,MATCH($F440,Nutrition!$A$2:$A$300,0))*$I440/100,0))</f>
        <v>26.04</v>
      </c>
      <c r="M440" s="30">
        <f>IF(OR($F440="",$I440=""),0,IFERROR(INDEX(Nutrition!$G$2:$G$300,MATCH($F440,Nutrition!$A$2:$A$300,0))*$I440/100,0))</f>
        <v>4.8979999999999997</v>
      </c>
      <c r="N440" s="30">
        <f>IF(OR($F440="",$I440=""),0,IFERROR(INDEX(Nutrition!$H$2:$H$300,MATCH($F440,Nutrition!$A$2:$A$300,0))*$I440/100,0))</f>
        <v>9.3000000000000007</v>
      </c>
      <c r="O440" s="30">
        <f>IF(OR($F440="",$I440=""),0,IFERROR(INDEX(Nutrition!$I$2:$I$300,MATCH($F440,Nutrition!$A$2:$A$300,0))*$I440/100,0))</f>
        <v>146.94</v>
      </c>
      <c r="P440" s="30">
        <f>IF(OR($F440="",$I440=""),0,IFERROR(INDEX(Nutrition!$J$2:$J$300,MATCH($F440,Nutrition!$A$2:$A$300,0))*$I440/100,0))</f>
        <v>0.33480000000000004</v>
      </c>
      <c r="Q440" s="30">
        <f>IF(OR($F440="",$I440=""),0,IFERROR(INDEX(Nutrition!$K$2:$K$300,MATCH($F440,Nutrition!$A$2:$A$300,0))*$I440/100,0))</f>
        <v>4.9599999999999998E-2</v>
      </c>
      <c r="R440" s="30">
        <f>IF(OR($F440="",$I440=""),0,IFERROR(INDEX(Nutrition!$L$2:$L$300,MATCH($F440,Nutrition!$A$2:$A$300,0))*$I440/100,0))</f>
        <v>6.82</v>
      </c>
      <c r="S440" s="30">
        <f>IF(OR($F440="",$I440=""),0,IFERROR(INDEX(Nutrition!$M$2:$M$300,MATCH($F440,Nutrition!$A$2:$A$300,0))*$I440/100,0))</f>
        <v>0.16740000000000002</v>
      </c>
    </row>
    <row r="441" spans="1:19" ht="15" customHeight="1" x14ac:dyDescent="0.25">
      <c r="A441" s="22" t="s">
        <v>1519</v>
      </c>
      <c r="B441" s="33" t="str">
        <f>IFERROR(INDEX(Recipes!$B$2:$B$500,MATCH(A441,Recipes!$A$2:$A$500,0)),"")</f>
        <v>Guacamole with Garden Egg Crudites</v>
      </c>
      <c r="C441" s="7" t="s">
        <v>482</v>
      </c>
      <c r="D441" s="34">
        <v>0.25</v>
      </c>
      <c r="E441" s="22" t="s">
        <v>2754</v>
      </c>
      <c r="F441" s="22" t="s">
        <v>481</v>
      </c>
      <c r="G441" s="22" t="s">
        <v>2755</v>
      </c>
      <c r="H441" s="7" t="s">
        <v>2784</v>
      </c>
      <c r="I441" s="35">
        <v>28</v>
      </c>
      <c r="J441" s="30">
        <f>IF(OR($F441="",$I441=""),0,IFERROR(INDEX(Nutrition!$D$2:$D$300,MATCH($F441,Nutrition!$A$2:$A$300,0))*$I441/100,0))</f>
        <v>0.47600000000000003</v>
      </c>
      <c r="K441" s="30">
        <f>IF(OR($F441="",$I441=""),0,IFERROR(INDEX(Nutrition!$E$2:$E$300,MATCH($F441,Nutrition!$A$2:$A$300,0))*$I441/100,0))</f>
        <v>2.0720000000000001</v>
      </c>
      <c r="L441" s="30">
        <f>IF(OR($F441="",$I441=""),0,IFERROR(INDEX(Nutrition!$F$2:$F$300,MATCH($F441,Nutrition!$A$2:$A$300,0))*$I441/100,0))</f>
        <v>0</v>
      </c>
      <c r="M441" s="30">
        <f>IF(OR($F441="",$I441=""),0,IFERROR(INDEX(Nutrition!$G$2:$G$300,MATCH($F441,Nutrition!$A$2:$A$300,0))*$I441/100,0))</f>
        <v>0.11200000000000002</v>
      </c>
      <c r="N441" s="30">
        <f>IF(OR($F441="",$I441=""),0,IFERROR(INDEX(Nutrition!$H$2:$H$300,MATCH($F441,Nutrition!$A$2:$A$300,0))*$I441/100,0))</f>
        <v>5.32</v>
      </c>
      <c r="O441" s="30">
        <f>IF(OR($F441="",$I441=""),0,IFERROR(INDEX(Nutrition!$I$2:$I$300,MATCH($F441,Nutrition!$A$2:$A$300,0))*$I441/100,0))</f>
        <v>40.880000000000003</v>
      </c>
      <c r="P441" s="30">
        <f>IF(OR($F441="",$I441=""),0,IFERROR(INDEX(Nutrition!$J$2:$J$300,MATCH($F441,Nutrition!$A$2:$A$300,0))*$I441/100,0))</f>
        <v>5.6000000000000008E-3</v>
      </c>
      <c r="Q441" s="30">
        <f>IF(OR($F441="",$I441=""),0,IFERROR(INDEX(Nutrition!$K$2:$K$300,MATCH($F441,Nutrition!$A$2:$A$300,0))*$I441/100,0))</f>
        <v>3.3599999999999998E-2</v>
      </c>
      <c r="R441" s="30">
        <f>IF(OR($F441="",$I441=""),0,IFERROR(INDEX(Nutrition!$L$2:$L$300,MATCH($F441,Nutrition!$A$2:$A$300,0))*$I441/100,0))</f>
        <v>2.8</v>
      </c>
      <c r="S441" s="30">
        <f>IF(OR($F441="",$I441=""),0,IFERROR(INDEX(Nutrition!$M$2:$M$300,MATCH($F441,Nutrition!$A$2:$A$300,0))*$I441/100,0))</f>
        <v>5.8799999999999998E-2</v>
      </c>
    </row>
    <row r="442" spans="1:19" ht="15" customHeight="1" x14ac:dyDescent="0.25">
      <c r="A442" s="22" t="s">
        <v>1519</v>
      </c>
      <c r="B442" s="33" t="str">
        <f>IFERROR(INDEX(Recipes!$B$2:$B$500,MATCH(A442,Recipes!$A$2:$A$500,0)),"")</f>
        <v>Guacamole with Garden Egg Crudites</v>
      </c>
      <c r="C442" s="7" t="s">
        <v>473</v>
      </c>
      <c r="D442" s="34">
        <v>0.25</v>
      </c>
      <c r="E442" s="22" t="s">
        <v>2754</v>
      </c>
      <c r="F442" s="22" t="s">
        <v>472</v>
      </c>
      <c r="G442" s="22" t="s">
        <v>2755</v>
      </c>
      <c r="H442" s="7"/>
      <c r="I442" s="35">
        <v>2</v>
      </c>
      <c r="J442" s="30">
        <f>IF(OR($F442="",$I442=""),0,IFERROR(INDEX(Nutrition!$D$2:$D$300,MATCH($F442,Nutrition!$A$2:$A$300,0))*$I442/100,0))</f>
        <v>0.03</v>
      </c>
      <c r="K442" s="30">
        <f>IF(OR($F442="",$I442=""),0,IFERROR(INDEX(Nutrition!$E$2:$E$300,MATCH($F442,Nutrition!$A$2:$A$300,0))*$I442/100,0))</f>
        <v>2.8739999999999997</v>
      </c>
      <c r="L442" s="30">
        <f>IF(OR($F442="",$I442=""),0,IFERROR(INDEX(Nutrition!$F$2:$F$300,MATCH($F442,Nutrition!$A$2:$A$300,0))*$I442/100,0))</f>
        <v>0.96</v>
      </c>
      <c r="M442" s="30">
        <f>IF(OR($F442="",$I442=""),0,IFERROR(INDEX(Nutrition!$G$2:$G$300,MATCH($F442,Nutrition!$A$2:$A$300,0))*$I442/100,0))</f>
        <v>0.28000000000000003</v>
      </c>
      <c r="N442" s="30">
        <f>IF(OR($F442="",$I442=""),0,IFERROR(INDEX(Nutrition!$H$2:$H$300,MATCH($F442,Nutrition!$A$2:$A$300,0))*$I442/100,0))</f>
        <v>0.46</v>
      </c>
      <c r="O442" s="30">
        <f>IF(OR($F442="",$I442=""),0,IFERROR(INDEX(Nutrition!$I$2:$I$300,MATCH($F442,Nutrition!$A$2:$A$300,0))*$I442/100,0))</f>
        <v>6.44</v>
      </c>
      <c r="P442" s="30">
        <f>IF(OR($F442="",$I442=""),0,IFERROR(INDEX(Nutrition!$J$2:$J$300,MATCH($F442,Nutrition!$A$2:$A$300,0))*$I442/100,0))</f>
        <v>1.38E-2</v>
      </c>
      <c r="Q442" s="30">
        <f>IF(OR($F442="",$I442=""),0,IFERROR(INDEX(Nutrition!$K$2:$K$300,MATCH($F442,Nutrition!$A$2:$A$300,0))*$I442/100,0))</f>
        <v>1.0120000000000001E-2</v>
      </c>
      <c r="R442" s="30">
        <f>IF(OR($F442="",$I442=""),0,IFERROR(INDEX(Nutrition!$L$2:$L$300,MATCH($F442,Nutrition!$A$2:$A$300,0))*$I442/100,0))</f>
        <v>0.46</v>
      </c>
      <c r="S442" s="30">
        <f>IF(OR($F442="",$I442=""),0,IFERROR(INDEX(Nutrition!$M$2:$M$300,MATCH($F442,Nutrition!$A$2:$A$300,0))*$I442/100,0))</f>
        <v>2.06E-2</v>
      </c>
    </row>
    <row r="443" spans="1:19" ht="15" customHeight="1" x14ac:dyDescent="0.25">
      <c r="A443" s="22" t="s">
        <v>1519</v>
      </c>
      <c r="B443" s="33" t="str">
        <f>IFERROR(INDEX(Recipes!$B$2:$B$500,MATCH(A443,Recipes!$A$2:$A$500,0)),"")</f>
        <v>Guacamole with Garden Egg Crudites</v>
      </c>
      <c r="C443" s="7" t="s">
        <v>668</v>
      </c>
      <c r="D443" s="34">
        <v>1</v>
      </c>
      <c r="E443" s="22" t="s">
        <v>2809</v>
      </c>
      <c r="F443" s="22" t="s">
        <v>667</v>
      </c>
      <c r="G443" s="22" t="s">
        <v>2755</v>
      </c>
      <c r="H443" s="7"/>
      <c r="I443" s="35">
        <v>30</v>
      </c>
      <c r="J443" s="30">
        <f>IF(OR($F443="",$I443=""),0,IFERROR(INDEX(Nutrition!$D$2:$D$300,MATCH($F443,Nutrition!$A$2:$A$300,0))*$I443/100,0))</f>
        <v>0.84</v>
      </c>
      <c r="K443" s="30">
        <f>IF(OR($F443="",$I443=""),0,IFERROR(INDEX(Nutrition!$E$2:$E$300,MATCH($F443,Nutrition!$A$2:$A$300,0))*$I443/100,0))</f>
        <v>8.1</v>
      </c>
      <c r="L443" s="30">
        <f>IF(OR($F443="",$I443=""),0,IFERROR(INDEX(Nutrition!$F$2:$F$300,MATCH($F443,Nutrition!$A$2:$A$300,0))*$I443/100,0))</f>
        <v>101.1</v>
      </c>
      <c r="M443" s="30">
        <f>IF(OR($F443="",$I443=""),0,IFERROR(INDEX(Nutrition!$G$2:$G$300,MATCH($F443,Nutrition!$A$2:$A$300,0))*$I443/100,0))</f>
        <v>93</v>
      </c>
      <c r="N443" s="30">
        <f>IF(OR($F443="",$I443=""),0,IFERROR(INDEX(Nutrition!$H$2:$H$300,MATCH($F443,Nutrition!$A$2:$A$300,0))*$I443/100,0))</f>
        <v>18.600000000000001</v>
      </c>
      <c r="O443" s="30">
        <f>IF(OR($F443="",$I443=""),0,IFERROR(INDEX(Nutrition!$I$2:$I$300,MATCH($F443,Nutrition!$A$2:$A$300,0))*$I443/100,0))</f>
        <v>156.30000000000001</v>
      </c>
      <c r="P443" s="30">
        <f>IF(OR($F443="",$I443=""),0,IFERROR(INDEX(Nutrition!$J$2:$J$300,MATCH($F443,Nutrition!$A$2:$A$300,0))*$I443/100,0))</f>
        <v>0.75</v>
      </c>
      <c r="Q443" s="30">
        <f>IF(OR($F443="",$I443=""),0,IFERROR(INDEX(Nutrition!$K$2:$K$300,MATCH($F443,Nutrition!$A$2:$A$300,0))*$I443/100,0))</f>
        <v>4.4699999999999997E-2</v>
      </c>
      <c r="R443" s="30">
        <f>IF(OR($F443="",$I443=""),0,IFERROR(INDEX(Nutrition!$L$2:$L$300,MATCH($F443,Nutrition!$A$2:$A$300,0))*$I443/100,0))</f>
        <v>7.8</v>
      </c>
      <c r="S443" s="30">
        <f>IF(OR($F443="",$I443=""),0,IFERROR(INDEX(Nutrition!$M$2:$M$300,MATCH($F443,Nutrition!$A$2:$A$300,0))*$I443/100,0))</f>
        <v>0.53100000000000003</v>
      </c>
    </row>
    <row r="444" spans="1:19" ht="15" customHeight="1" x14ac:dyDescent="0.25">
      <c r="A444" s="22" t="s">
        <v>1519</v>
      </c>
      <c r="B444" s="33" t="str">
        <f>IFERROR(INDEX(Recipes!$B$2:$B$500,MATCH(A444,Recipes!$A$2:$A$500,0)),"")</f>
        <v>Guacamole with Garden Egg Crudites</v>
      </c>
      <c r="C444" s="7" t="s">
        <v>213</v>
      </c>
      <c r="D444" s="34">
        <v>2</v>
      </c>
      <c r="E444" s="22" t="s">
        <v>2754</v>
      </c>
      <c r="F444" s="22" t="s">
        <v>212</v>
      </c>
      <c r="G444" s="22" t="s">
        <v>2755</v>
      </c>
      <c r="H444" s="7"/>
      <c r="I444" s="35">
        <v>134</v>
      </c>
      <c r="J444" s="30">
        <f>IF(OR($F444="",$I444=""),0,IFERROR(INDEX(Nutrition!$D$2:$D$300,MATCH($F444,Nutrition!$A$2:$A$300,0))*$I444/100,0))</f>
        <v>3.7519999999999998</v>
      </c>
      <c r="K444" s="30">
        <f>IF(OR($F444="",$I444=""),0,IFERROR(INDEX(Nutrition!$E$2:$E$300,MATCH($F444,Nutrition!$A$2:$A$300,0))*$I444/100,0))</f>
        <v>38.994</v>
      </c>
      <c r="L444" s="30">
        <f>IF(OR($F444="",$I444=""),0,IFERROR(INDEX(Nutrition!$F$2:$F$300,MATCH($F444,Nutrition!$A$2:$A$300,0))*$I444/100,0))</f>
        <v>2.68</v>
      </c>
      <c r="M444" s="30">
        <f>IF(OR($F444="",$I444=""),0,IFERROR(INDEX(Nutrition!$G$2:$G$300,MATCH($F444,Nutrition!$A$2:$A$300,0))*$I444/100,0))</f>
        <v>0.80399999999999994</v>
      </c>
      <c r="N444" s="30">
        <f>IF(OR($F444="",$I444=""),0,IFERROR(INDEX(Nutrition!$H$2:$H$300,MATCH($F444,Nutrition!$A$2:$A$300,0))*$I444/100,0))</f>
        <v>10.72</v>
      </c>
      <c r="O444" s="30">
        <f>IF(OR($F444="",$I444=""),0,IFERROR(INDEX(Nutrition!$I$2:$I$300,MATCH($F444,Nutrition!$A$2:$A$300,0))*$I444/100,0))</f>
        <v>136.68</v>
      </c>
      <c r="P444" s="30">
        <f>IF(OR($F444="",$I444=""),0,IFERROR(INDEX(Nutrition!$J$2:$J$300,MATCH($F444,Nutrition!$A$2:$A$300,0))*$I444/100,0))</f>
        <v>0.29480000000000001</v>
      </c>
      <c r="Q444" s="30">
        <f>IF(OR($F444="",$I444=""),0,IFERROR(INDEX(Nutrition!$K$2:$K$300,MATCH($F444,Nutrition!$A$2:$A$300,0))*$I444/100,0))</f>
        <v>5.7619999999999998E-2</v>
      </c>
      <c r="R444" s="30">
        <f>IF(OR($F444="",$I444=""),0,IFERROR(INDEX(Nutrition!$L$2:$L$300,MATCH($F444,Nutrition!$A$2:$A$300,0))*$I444/100,0))</f>
        <v>8.0399999999999991</v>
      </c>
      <c r="S444" s="30">
        <f>IF(OR($F444="",$I444=""),0,IFERROR(INDEX(Nutrition!$M$2:$M$300,MATCH($F444,Nutrition!$A$2:$A$300,0))*$I444/100,0))</f>
        <v>0.80399999999999994</v>
      </c>
    </row>
    <row r="445" spans="1:19" ht="15" customHeight="1" x14ac:dyDescent="0.25">
      <c r="A445" s="22" t="s">
        <v>1519</v>
      </c>
      <c r="B445" s="33" t="str">
        <f>IFERROR(INDEX(Recipes!$B$2:$B$500,MATCH(A445,Recipes!$A$2:$A$500,0)),"")</f>
        <v>Guacamole with Garden Egg Crudites</v>
      </c>
      <c r="C445" s="7" t="s">
        <v>566</v>
      </c>
      <c r="D445" s="34">
        <v>4</v>
      </c>
      <c r="E445" s="22" t="s">
        <v>2754</v>
      </c>
      <c r="F445" s="22" t="s">
        <v>565</v>
      </c>
      <c r="G445" s="22" t="s">
        <v>2755</v>
      </c>
      <c r="H445" s="7"/>
      <c r="I445" s="35">
        <v>160</v>
      </c>
      <c r="J445" s="30">
        <f>IF(OR($F445="",$I445=""),0,IFERROR(INDEX(Nutrition!$D$2:$D$300,MATCH($F445,Nutrition!$A$2:$A$300,0))*$I445/100,0))</f>
        <v>5.6</v>
      </c>
      <c r="K445" s="30">
        <f>IF(OR($F445="",$I445=""),0,IFERROR(INDEX(Nutrition!$E$2:$E$300,MATCH($F445,Nutrition!$A$2:$A$300,0))*$I445/100,0))</f>
        <v>18.559999999999999</v>
      </c>
      <c r="L445" s="30">
        <f>IF(OR($F445="",$I445=""),0,IFERROR(INDEX(Nutrition!$F$2:$F$300,MATCH($F445,Nutrition!$A$2:$A$300,0))*$I445/100,0))</f>
        <v>3.2</v>
      </c>
      <c r="M445" s="30">
        <f>IF(OR($F445="",$I445=""),0,IFERROR(INDEX(Nutrition!$G$2:$G$300,MATCH($F445,Nutrition!$A$2:$A$300,0))*$I445/100,0))</f>
        <v>5.6</v>
      </c>
      <c r="N445" s="30">
        <f>IF(OR($F445="",$I445=""),0,IFERROR(INDEX(Nutrition!$H$2:$H$300,MATCH($F445,Nutrition!$A$2:$A$300,0))*$I445/100,0))</f>
        <v>35.200000000000003</v>
      </c>
      <c r="O445" s="30">
        <f>IF(OR($F445="",$I445=""),0,IFERROR(INDEX(Nutrition!$I$2:$I$300,MATCH($F445,Nutrition!$A$2:$A$300,0))*$I445/100,0))</f>
        <v>384</v>
      </c>
      <c r="P445" s="30">
        <f>IF(OR($F445="",$I445=""),0,IFERROR(INDEX(Nutrition!$J$2:$J$300,MATCH($F445,Nutrition!$A$2:$A$300,0))*$I445/100,0))</f>
        <v>0.48</v>
      </c>
      <c r="Q445" s="30">
        <f>IF(OR($F445="",$I445=""),0,IFERROR(INDEX(Nutrition!$K$2:$K$300,MATCH($F445,Nutrition!$A$2:$A$300,0))*$I445/100,0))</f>
        <v>0.128</v>
      </c>
      <c r="R445" s="30">
        <f>IF(OR($F445="",$I445=""),0,IFERROR(INDEX(Nutrition!$L$2:$L$300,MATCH($F445,Nutrition!$A$2:$A$300,0))*$I445/100,0))</f>
        <v>24</v>
      </c>
      <c r="S445" s="30">
        <f>IF(OR($F445="",$I445=""),0,IFERROR(INDEX(Nutrition!$M$2:$M$300,MATCH($F445,Nutrition!$A$2:$A$300,0))*$I445/100,0))</f>
        <v>0.8</v>
      </c>
    </row>
    <row r="446" spans="1:19" ht="15" customHeight="1" x14ac:dyDescent="0.25">
      <c r="A446" s="22" t="s">
        <v>1519</v>
      </c>
      <c r="B446" s="33" t="str">
        <f>IFERROR(INDEX(Recipes!$B$2:$B$500,MATCH(A446,Recipes!$A$2:$A$500,0)),"")</f>
        <v>Guacamole with Garden Egg Crudites</v>
      </c>
      <c r="C446" s="7" t="s">
        <v>523</v>
      </c>
      <c r="D446" s="34">
        <v>1</v>
      </c>
      <c r="E446" s="22" t="s">
        <v>2754</v>
      </c>
      <c r="F446" s="22" t="s">
        <v>522</v>
      </c>
      <c r="G446" s="22" t="s">
        <v>2755</v>
      </c>
      <c r="H446" s="7"/>
      <c r="I446" s="35">
        <v>301</v>
      </c>
      <c r="J446" s="30">
        <f>IF(OR($F446="",$I446=""),0,IFERROR(INDEX(Nutrition!$D$2:$D$300,MATCH($F446,Nutrition!$A$2:$A$300,0))*$I446/100,0))</f>
        <v>1.5049999999999999</v>
      </c>
      <c r="K446" s="30">
        <f>IF(OR($F446="",$I446=""),0,IFERROR(INDEX(Nutrition!$E$2:$E$300,MATCH($F446,Nutrition!$A$2:$A$300,0))*$I446/100,0))</f>
        <v>8.427999999999999</v>
      </c>
      <c r="L446" s="30">
        <f>IF(OR($F446="",$I446=""),0,IFERROR(INDEX(Nutrition!$F$2:$F$300,MATCH($F446,Nutrition!$A$2:$A$300,0))*$I446/100,0))</f>
        <v>15.05</v>
      </c>
      <c r="M446" s="30">
        <f>IF(OR($F446="",$I446=""),0,IFERROR(INDEX(Nutrition!$G$2:$G$300,MATCH($F446,Nutrition!$A$2:$A$300,0))*$I446/100,0))</f>
        <v>49.363999999999997</v>
      </c>
      <c r="N446" s="30">
        <f>IF(OR($F446="",$I446=""),0,IFERROR(INDEX(Nutrition!$H$2:$H$300,MATCH($F446,Nutrition!$A$2:$A$300,0))*$I446/100,0))</f>
        <v>21.07</v>
      </c>
      <c r="O446" s="30">
        <f>IF(OR($F446="",$I446=""),0,IFERROR(INDEX(Nutrition!$I$2:$I$300,MATCH($F446,Nutrition!$A$2:$A$300,0))*$I446/100,0))</f>
        <v>442.47</v>
      </c>
      <c r="P446" s="30">
        <f>IF(OR($F446="",$I446=""),0,IFERROR(INDEX(Nutrition!$J$2:$J$300,MATCH($F446,Nutrition!$A$2:$A$300,0))*$I446/100,0))</f>
        <v>9.0299999999999991E-2</v>
      </c>
      <c r="Q446" s="30">
        <f>IF(OR($F446="",$I446=""),0,IFERROR(INDEX(Nutrition!$K$2:$K$300,MATCH($F446,Nutrition!$A$2:$A$300,0))*$I446/100,0))</f>
        <v>0.12040000000000001</v>
      </c>
      <c r="R446" s="30">
        <f>IF(OR($F446="",$I446=""),0,IFERROR(INDEX(Nutrition!$L$2:$L$300,MATCH($F446,Nutrition!$A$2:$A$300,0))*$I446/100,0))</f>
        <v>39.130000000000003</v>
      </c>
      <c r="S446" s="30">
        <f>IF(OR($F446="",$I446=""),0,IFERROR(INDEX(Nutrition!$M$2:$M$300,MATCH($F446,Nutrition!$A$2:$A$300,0))*$I446/100,0))</f>
        <v>0.84279999999999999</v>
      </c>
    </row>
    <row r="447" spans="1:19" ht="15" customHeight="1" x14ac:dyDescent="0.25">
      <c r="A447" s="22" t="s">
        <v>1519</v>
      </c>
      <c r="B447" s="33" t="str">
        <f>IFERROR(INDEX(Recipes!$B$2:$B$500,MATCH(A447,Recipes!$A$2:$A$500,0)),"")</f>
        <v>Guacamole with Garden Egg Crudites</v>
      </c>
      <c r="C447" s="7" t="s">
        <v>529</v>
      </c>
      <c r="D447" s="34">
        <v>2</v>
      </c>
      <c r="E447" s="22" t="s">
        <v>2754</v>
      </c>
      <c r="F447" s="22" t="s">
        <v>528</v>
      </c>
      <c r="G447" s="22" t="s">
        <v>2755</v>
      </c>
      <c r="H447" s="7"/>
      <c r="I447" s="35">
        <v>122</v>
      </c>
      <c r="J447" s="30">
        <f>IF(OR($F447="",$I447=""),0,IFERROR(INDEX(Nutrition!$D$2:$D$300,MATCH($F447,Nutrition!$A$2:$A$300,0))*$I447/100,0))</f>
        <v>3.4159999999999995</v>
      </c>
      <c r="K447" s="30">
        <f>IF(OR($F447="",$I447=""),0,IFERROR(INDEX(Nutrition!$E$2:$E$300,MATCH($F447,Nutrition!$A$2:$A$300,0))*$I447/100,0))</f>
        <v>7.1980000000000004</v>
      </c>
      <c r="L447" s="30">
        <f>IF(OR($F447="",$I447=""),0,IFERROR(INDEX(Nutrition!$F$2:$F$300,MATCH($F447,Nutrition!$A$2:$A$300,0))*$I447/100,0))</f>
        <v>1018.7</v>
      </c>
      <c r="M447" s="30">
        <f>IF(OR($F447="",$I447=""),0,IFERROR(INDEX(Nutrition!$G$2:$G$300,MATCH($F447,Nutrition!$A$2:$A$300,0))*$I447/100,0))</f>
        <v>16.103999999999999</v>
      </c>
      <c r="N447" s="30">
        <f>IF(OR($F447="",$I447=""),0,IFERROR(INDEX(Nutrition!$H$2:$H$300,MATCH($F447,Nutrition!$A$2:$A$300,0))*$I447/100,0))</f>
        <v>23.18</v>
      </c>
      <c r="O447" s="30">
        <f>IF(OR($F447="",$I447=""),0,IFERROR(INDEX(Nutrition!$I$2:$I$300,MATCH($F447,Nutrition!$A$2:$A$300,0))*$I447/100,0))</f>
        <v>390.4</v>
      </c>
      <c r="P447" s="30">
        <f>IF(OR($F447="",$I447=""),0,IFERROR(INDEX(Nutrition!$J$2:$J$300,MATCH($F447,Nutrition!$A$2:$A$300,0))*$I447/100,0))</f>
        <v>0.80520000000000014</v>
      </c>
      <c r="Q447" s="30">
        <f>IF(OR($F447="",$I447=""),0,IFERROR(INDEX(Nutrition!$K$2:$K$300,MATCH($F447,Nutrition!$A$2:$A$300,0))*$I447/100,0))</f>
        <v>0.16836000000000001</v>
      </c>
      <c r="R447" s="30">
        <f>IF(OR($F447="",$I447=""),0,IFERROR(INDEX(Nutrition!$L$2:$L$300,MATCH($F447,Nutrition!$A$2:$A$300,0))*$I447/100,0))</f>
        <v>14.64</v>
      </c>
      <c r="S447" s="30">
        <f>IF(OR($F447="",$I447=""),0,IFERROR(INDEX(Nutrition!$M$2:$M$300,MATCH($F447,Nutrition!$A$2:$A$300,0))*$I447/100,0))</f>
        <v>0.36599999999999999</v>
      </c>
    </row>
    <row r="448" spans="1:19" ht="15" customHeight="1" x14ac:dyDescent="0.25">
      <c r="A448" s="22" t="s">
        <v>1519</v>
      </c>
      <c r="B448" s="33" t="str">
        <f>IFERROR(INDEX(Recipes!$B$2:$B$500,MATCH(A448,Recipes!$A$2:$A$500,0)),"")</f>
        <v>Guacamole with Garden Egg Crudites</v>
      </c>
      <c r="C448" s="7" t="s">
        <v>2781</v>
      </c>
      <c r="D448" s="34">
        <v>1</v>
      </c>
      <c r="E448" s="22" t="s">
        <v>2782</v>
      </c>
      <c r="F448" s="22"/>
      <c r="G448" s="22" t="s">
        <v>2773</v>
      </c>
      <c r="H448" s="7"/>
      <c r="I448" s="35"/>
      <c r="J448" s="30">
        <f>IF(OR($F448="",$I448=""),0,IFERROR(INDEX(Nutrition!$D$2:$D$300,MATCH($F448,Nutrition!$A$2:$A$300,0))*$I448/100,0))</f>
        <v>0</v>
      </c>
      <c r="K448" s="30">
        <f>IF(OR($F448="",$I448=""),0,IFERROR(INDEX(Nutrition!$E$2:$E$300,MATCH($F448,Nutrition!$A$2:$A$300,0))*$I448/100,0))</f>
        <v>0</v>
      </c>
      <c r="L448" s="30">
        <f>IF(OR($F448="",$I448=""),0,IFERROR(INDEX(Nutrition!$F$2:$F$300,MATCH($F448,Nutrition!$A$2:$A$300,0))*$I448/100,0))</f>
        <v>0</v>
      </c>
      <c r="M448" s="30">
        <f>IF(OR($F448="",$I448=""),0,IFERROR(INDEX(Nutrition!$G$2:$G$300,MATCH($F448,Nutrition!$A$2:$A$300,0))*$I448/100,0))</f>
        <v>0</v>
      </c>
      <c r="N448" s="30">
        <f>IF(OR($F448="",$I448=""),0,IFERROR(INDEX(Nutrition!$H$2:$H$300,MATCH($F448,Nutrition!$A$2:$A$300,0))*$I448/100,0))</f>
        <v>0</v>
      </c>
      <c r="O448" s="30">
        <f>IF(OR($F448="",$I448=""),0,IFERROR(INDEX(Nutrition!$I$2:$I$300,MATCH($F448,Nutrition!$A$2:$A$300,0))*$I448/100,0))</f>
        <v>0</v>
      </c>
      <c r="P448" s="30">
        <f>IF(OR($F448="",$I448=""),0,IFERROR(INDEX(Nutrition!$J$2:$J$300,MATCH($F448,Nutrition!$A$2:$A$300,0))*$I448/100,0))</f>
        <v>0</v>
      </c>
      <c r="Q448" s="30">
        <f>IF(OR($F448="",$I448=""),0,IFERROR(INDEX(Nutrition!$K$2:$K$300,MATCH($F448,Nutrition!$A$2:$A$300,0))*$I448/100,0))</f>
        <v>0</v>
      </c>
      <c r="R448" s="30">
        <f>IF(OR($F448="",$I448=""),0,IFERROR(INDEX(Nutrition!$L$2:$L$300,MATCH($F448,Nutrition!$A$2:$A$300,0))*$I448/100,0))</f>
        <v>0</v>
      </c>
      <c r="S448" s="30">
        <f>IF(OR($F448="",$I448=""),0,IFERROR(INDEX(Nutrition!$M$2:$M$300,MATCH($F448,Nutrition!$A$2:$A$300,0))*$I448/100,0))</f>
        <v>0</v>
      </c>
    </row>
    <row r="449" spans="1:19" ht="15" customHeight="1" x14ac:dyDescent="0.25">
      <c r="A449" s="22" t="s">
        <v>1529</v>
      </c>
      <c r="B449" s="33" t="str">
        <f>IFERROR(INDEX(Recipes!$B$2:$B$500,MATCH(A449,Recipes!$A$2:$A$500,0)),"")</f>
        <v>Garden Egg Baba Ganoush</v>
      </c>
      <c r="C449" s="7" t="s">
        <v>566</v>
      </c>
      <c r="D449" s="34">
        <v>8</v>
      </c>
      <c r="E449" s="22" t="s">
        <v>2754</v>
      </c>
      <c r="F449" s="22" t="s">
        <v>565</v>
      </c>
      <c r="G449" s="22" t="s">
        <v>2755</v>
      </c>
      <c r="H449" s="7"/>
      <c r="I449" s="35">
        <v>320</v>
      </c>
      <c r="J449" s="30">
        <f>IF(OR($F449="",$I449=""),0,IFERROR(INDEX(Nutrition!$D$2:$D$300,MATCH($F449,Nutrition!$A$2:$A$300,0))*$I449/100,0))</f>
        <v>11.2</v>
      </c>
      <c r="K449" s="30">
        <f>IF(OR($F449="",$I449=""),0,IFERROR(INDEX(Nutrition!$E$2:$E$300,MATCH($F449,Nutrition!$A$2:$A$300,0))*$I449/100,0))</f>
        <v>37.119999999999997</v>
      </c>
      <c r="L449" s="30">
        <f>IF(OR($F449="",$I449=""),0,IFERROR(INDEX(Nutrition!$F$2:$F$300,MATCH($F449,Nutrition!$A$2:$A$300,0))*$I449/100,0))</f>
        <v>6.4</v>
      </c>
      <c r="M449" s="30">
        <f>IF(OR($F449="",$I449=""),0,IFERROR(INDEX(Nutrition!$G$2:$G$300,MATCH($F449,Nutrition!$A$2:$A$300,0))*$I449/100,0))</f>
        <v>11.2</v>
      </c>
      <c r="N449" s="30">
        <f>IF(OR($F449="",$I449=""),0,IFERROR(INDEX(Nutrition!$H$2:$H$300,MATCH($F449,Nutrition!$A$2:$A$300,0))*$I449/100,0))</f>
        <v>70.400000000000006</v>
      </c>
      <c r="O449" s="30">
        <f>IF(OR($F449="",$I449=""),0,IFERROR(INDEX(Nutrition!$I$2:$I$300,MATCH($F449,Nutrition!$A$2:$A$300,0))*$I449/100,0))</f>
        <v>768</v>
      </c>
      <c r="P449" s="30">
        <f>IF(OR($F449="",$I449=""),0,IFERROR(INDEX(Nutrition!$J$2:$J$300,MATCH($F449,Nutrition!$A$2:$A$300,0))*$I449/100,0))</f>
        <v>0.96</v>
      </c>
      <c r="Q449" s="30">
        <f>IF(OR($F449="",$I449=""),0,IFERROR(INDEX(Nutrition!$K$2:$K$300,MATCH($F449,Nutrition!$A$2:$A$300,0))*$I449/100,0))</f>
        <v>0.25600000000000001</v>
      </c>
      <c r="R449" s="30">
        <f>IF(OR($F449="",$I449=""),0,IFERROR(INDEX(Nutrition!$L$2:$L$300,MATCH($F449,Nutrition!$A$2:$A$300,0))*$I449/100,0))</f>
        <v>48</v>
      </c>
      <c r="S449" s="30">
        <f>IF(OR($F449="",$I449=""),0,IFERROR(INDEX(Nutrition!$M$2:$M$300,MATCH($F449,Nutrition!$A$2:$A$300,0))*$I449/100,0))</f>
        <v>1.6</v>
      </c>
    </row>
    <row r="450" spans="1:19" ht="15" customHeight="1" x14ac:dyDescent="0.25">
      <c r="A450" s="22" t="s">
        <v>1529</v>
      </c>
      <c r="B450" s="33" t="str">
        <f>IFERROR(INDEX(Recipes!$B$2:$B$500,MATCH(A450,Recipes!$A$2:$A$500,0)),"")</f>
        <v>Garden Egg Baba Ganoush</v>
      </c>
      <c r="C450" s="7" t="s">
        <v>500</v>
      </c>
      <c r="D450" s="34">
        <v>2</v>
      </c>
      <c r="E450" s="22" t="s">
        <v>2776</v>
      </c>
      <c r="F450" s="22" t="s">
        <v>499</v>
      </c>
      <c r="G450" s="22" t="s">
        <v>2755</v>
      </c>
      <c r="H450" s="7"/>
      <c r="I450" s="35">
        <v>6</v>
      </c>
      <c r="J450" s="30">
        <f>IF(OR($F450="",$I450=""),0,IFERROR(INDEX(Nutrition!$D$2:$D$300,MATCH($F450,Nutrition!$A$2:$A$300,0))*$I450/100,0))</f>
        <v>0.126</v>
      </c>
      <c r="K450" s="30">
        <f>IF(OR($F450="",$I450=""),0,IFERROR(INDEX(Nutrition!$E$2:$E$300,MATCH($F450,Nutrition!$A$2:$A$300,0))*$I450/100,0))</f>
        <v>1.8719999999999999</v>
      </c>
      <c r="L450" s="30">
        <f>IF(OR($F450="",$I450=""),0,IFERROR(INDEX(Nutrition!$F$2:$F$300,MATCH($F450,Nutrition!$A$2:$A$300,0))*$I450/100,0))</f>
        <v>0</v>
      </c>
      <c r="M450" s="30">
        <f>IF(OR($F450="",$I450=""),0,IFERROR(INDEX(Nutrition!$G$2:$G$300,MATCH($F450,Nutrition!$A$2:$A$300,0))*$I450/100,0))</f>
        <v>0.10199999999999999</v>
      </c>
      <c r="N450" s="30">
        <f>IF(OR($F450="",$I450=""),0,IFERROR(INDEX(Nutrition!$H$2:$H$300,MATCH($F450,Nutrition!$A$2:$A$300,0))*$I450/100,0))</f>
        <v>0.18</v>
      </c>
      <c r="O450" s="30">
        <f>IF(OR($F450="",$I450=""),0,IFERROR(INDEX(Nutrition!$I$2:$I$300,MATCH($F450,Nutrition!$A$2:$A$300,0))*$I450/100,0))</f>
        <v>24.06</v>
      </c>
      <c r="P450" s="30">
        <f>IF(OR($F450="",$I450=""),0,IFERROR(INDEX(Nutrition!$J$2:$J$300,MATCH($F450,Nutrition!$A$2:$A$300,0))*$I450/100,0))</f>
        <v>4.7999999999999996E-3</v>
      </c>
      <c r="Q450" s="30">
        <f>IF(OR($F450="",$I450=""),0,IFERROR(INDEX(Nutrition!$K$2:$K$300,MATCH($F450,Nutrition!$A$2:$A$300,0))*$I450/100,0))</f>
        <v>7.4099999999999999E-2</v>
      </c>
      <c r="R450" s="30">
        <f>IF(OR($F450="",$I450=""),0,IFERROR(INDEX(Nutrition!$L$2:$L$300,MATCH($F450,Nutrition!$A$2:$A$300,0))*$I450/100,0))</f>
        <v>1.5</v>
      </c>
      <c r="S450" s="30">
        <f>IF(OR($F450="",$I450=""),0,IFERROR(INDEX(Nutrition!$M$2:$M$300,MATCH($F450,Nutrition!$A$2:$A$300,0))*$I450/100,0))</f>
        <v>0.10199999999999999</v>
      </c>
    </row>
    <row r="451" spans="1:19" ht="15" customHeight="1" x14ac:dyDescent="0.25">
      <c r="A451" s="22" t="s">
        <v>1529</v>
      </c>
      <c r="B451" s="33" t="str">
        <f>IFERROR(INDEX(Recipes!$B$2:$B$500,MATCH(A451,Recipes!$A$2:$A$500,0)),"")</f>
        <v>Garden Egg Baba Ganoush</v>
      </c>
      <c r="C451" s="7" t="s">
        <v>206</v>
      </c>
      <c r="D451" s="34">
        <v>1</v>
      </c>
      <c r="E451" s="22" t="s">
        <v>2754</v>
      </c>
      <c r="F451" s="22" t="s">
        <v>205</v>
      </c>
      <c r="G451" s="22" t="s">
        <v>2755</v>
      </c>
      <c r="H451" s="7"/>
      <c r="I451" s="35">
        <v>58</v>
      </c>
      <c r="J451" s="30">
        <f>IF(OR($F451="",$I451=""),0,IFERROR(INDEX(Nutrition!$D$2:$D$300,MATCH($F451,Nutrition!$A$2:$A$300,0))*$I451/100,0))</f>
        <v>1.6239999999999997</v>
      </c>
      <c r="K451" s="30">
        <f>IF(OR($F451="",$I451=""),0,IFERROR(INDEX(Nutrition!$E$2:$E$300,MATCH($F451,Nutrition!$A$2:$A$300,0))*$I451/100,0))</f>
        <v>30.74</v>
      </c>
      <c r="L451" s="30">
        <f>IF(OR($F451="",$I451=""),0,IFERROR(INDEX(Nutrition!$F$2:$F$300,MATCH($F451,Nutrition!$A$2:$A$300,0))*$I451/100,0))</f>
        <v>0.57999999999999996</v>
      </c>
      <c r="M451" s="30">
        <f>IF(OR($F451="",$I451=""),0,IFERROR(INDEX(Nutrition!$G$2:$G$300,MATCH($F451,Nutrition!$A$2:$A$300,0))*$I451/100,0))</f>
        <v>0</v>
      </c>
      <c r="N451" s="30">
        <f>IF(OR($F451="",$I451=""),0,IFERROR(INDEX(Nutrition!$H$2:$H$300,MATCH($F451,Nutrition!$A$2:$A$300,0))*$I451/100,0))</f>
        <v>6.38</v>
      </c>
      <c r="O451" s="30">
        <f>IF(OR($F451="",$I451=""),0,IFERROR(INDEX(Nutrition!$I$2:$I$300,MATCH($F451,Nutrition!$A$2:$A$300,0))*$I451/100,0))</f>
        <v>80.040000000000006</v>
      </c>
      <c r="P451" s="30">
        <f>IF(OR($F451="",$I451=""),0,IFERROR(INDEX(Nutrition!$J$2:$J$300,MATCH($F451,Nutrition!$A$2:$A$300,0))*$I451/100,0))</f>
        <v>8.6999999999999994E-2</v>
      </c>
      <c r="Q451" s="30">
        <f>IF(OR($F451="",$I451=""),0,IFERROR(INDEX(Nutrition!$K$2:$K$300,MATCH($F451,Nutrition!$A$2:$A$300,0))*$I451/100,0))</f>
        <v>4.6399999999999997E-2</v>
      </c>
      <c r="R451" s="30">
        <f>IF(OR($F451="",$I451=""),0,IFERROR(INDEX(Nutrition!$L$2:$L$300,MATCH($F451,Nutrition!$A$2:$A$300,0))*$I451/100,0))</f>
        <v>4.6399999999999997</v>
      </c>
      <c r="S451" s="30">
        <f>IF(OR($F451="",$I451=""),0,IFERROR(INDEX(Nutrition!$M$2:$M$300,MATCH($F451,Nutrition!$A$2:$A$300,0))*$I451/100,0))</f>
        <v>0.34799999999999998</v>
      </c>
    </row>
    <row r="452" spans="1:19" ht="15" customHeight="1" x14ac:dyDescent="0.25">
      <c r="A452" s="22" t="s">
        <v>1529</v>
      </c>
      <c r="B452" s="33" t="str">
        <f>IFERROR(INDEX(Recipes!$B$2:$B$500,MATCH(A452,Recipes!$A$2:$A$500,0)),"")</f>
        <v>Garden Egg Baba Ganoush</v>
      </c>
      <c r="C452" s="7" t="s">
        <v>671</v>
      </c>
      <c r="D452" s="34">
        <v>1</v>
      </c>
      <c r="E452" s="22" t="s">
        <v>2809</v>
      </c>
      <c r="F452" s="22" t="s">
        <v>670</v>
      </c>
      <c r="G452" s="22" t="s">
        <v>2755</v>
      </c>
      <c r="H452" s="7"/>
      <c r="I452" s="35">
        <v>30</v>
      </c>
      <c r="J452" s="30">
        <f>IF(OR($F452="",$I452=""),0,IFERROR(INDEX(Nutrition!$D$2:$D$300,MATCH($F452,Nutrition!$A$2:$A$300,0))*$I452/100,0))</f>
        <v>0.99</v>
      </c>
      <c r="K452" s="30">
        <f>IF(OR($F452="",$I452=""),0,IFERROR(INDEX(Nutrition!$E$2:$E$300,MATCH($F452,Nutrition!$A$2:$A$300,0))*$I452/100,0))</f>
        <v>39.9</v>
      </c>
      <c r="L452" s="30">
        <f>IF(OR($F452="",$I452=""),0,IFERROR(INDEX(Nutrition!$F$2:$F$300,MATCH($F452,Nutrition!$A$2:$A$300,0))*$I452/100,0))</f>
        <v>126.3</v>
      </c>
      <c r="M452" s="30">
        <f>IF(OR($F452="",$I452=""),0,IFERROR(INDEX(Nutrition!$G$2:$G$300,MATCH($F452,Nutrition!$A$2:$A$300,0))*$I452/100,0))</f>
        <v>492</v>
      </c>
      <c r="N452" s="30">
        <f>IF(OR($F452="",$I452=""),0,IFERROR(INDEX(Nutrition!$H$2:$H$300,MATCH($F452,Nutrition!$A$2:$A$300,0))*$I452/100,0))</f>
        <v>45.6</v>
      </c>
      <c r="O452" s="30">
        <f>IF(OR($F452="",$I452=""),0,IFERROR(INDEX(Nutrition!$I$2:$I$300,MATCH($F452,Nutrition!$A$2:$A$300,0))*$I452/100,0))</f>
        <v>166.2</v>
      </c>
      <c r="P452" s="30">
        <f>IF(OR($F452="",$I452=""),0,IFERROR(INDEX(Nutrition!$J$2:$J$300,MATCH($F452,Nutrition!$A$2:$A$300,0))*$I452/100,0))</f>
        <v>0.22500000000000001</v>
      </c>
      <c r="Q452" s="30">
        <f>IF(OR($F452="",$I452=""),0,IFERROR(INDEX(Nutrition!$K$2:$K$300,MATCH($F452,Nutrition!$A$2:$A$300,0))*$I452/100,0))</f>
        <v>2.6999999999999996E-2</v>
      </c>
      <c r="R452" s="30">
        <f>IF(OR($F452="",$I452=""),0,IFERROR(INDEX(Nutrition!$L$2:$L$300,MATCH($F452,Nutrition!$A$2:$A$300,0))*$I452/100,0))</f>
        <v>15</v>
      </c>
      <c r="S452" s="30">
        <f>IF(OR($F452="",$I452=""),0,IFERROR(INDEX(Nutrition!$M$2:$M$300,MATCH($F452,Nutrition!$A$2:$A$300,0))*$I452/100,0))</f>
        <v>1.86</v>
      </c>
    </row>
    <row r="453" spans="1:19" ht="15" customHeight="1" x14ac:dyDescent="0.25">
      <c r="A453" s="22" t="s">
        <v>1529</v>
      </c>
      <c r="B453" s="33" t="str">
        <f>IFERROR(INDEX(Recipes!$B$2:$B$500,MATCH(A453,Recipes!$A$2:$A$500,0)),"")</f>
        <v>Garden Egg Baba Ganoush</v>
      </c>
      <c r="C453" s="7" t="s">
        <v>529</v>
      </c>
      <c r="D453" s="34">
        <v>2</v>
      </c>
      <c r="E453" s="22" t="s">
        <v>2754</v>
      </c>
      <c r="F453" s="22" t="s">
        <v>528</v>
      </c>
      <c r="G453" s="22" t="s">
        <v>2755</v>
      </c>
      <c r="H453" s="7" t="s">
        <v>2871</v>
      </c>
      <c r="I453" s="35">
        <v>122</v>
      </c>
      <c r="J453" s="30">
        <f>IF(OR($F453="",$I453=""),0,IFERROR(INDEX(Nutrition!$D$2:$D$300,MATCH($F453,Nutrition!$A$2:$A$300,0))*$I453/100,0))</f>
        <v>3.4159999999999995</v>
      </c>
      <c r="K453" s="30">
        <f>IF(OR($F453="",$I453=""),0,IFERROR(INDEX(Nutrition!$E$2:$E$300,MATCH($F453,Nutrition!$A$2:$A$300,0))*$I453/100,0))</f>
        <v>7.1980000000000004</v>
      </c>
      <c r="L453" s="30">
        <f>IF(OR($F453="",$I453=""),0,IFERROR(INDEX(Nutrition!$F$2:$F$300,MATCH($F453,Nutrition!$A$2:$A$300,0))*$I453/100,0))</f>
        <v>1018.7</v>
      </c>
      <c r="M453" s="30">
        <f>IF(OR($F453="",$I453=""),0,IFERROR(INDEX(Nutrition!$G$2:$G$300,MATCH($F453,Nutrition!$A$2:$A$300,0))*$I453/100,0))</f>
        <v>16.103999999999999</v>
      </c>
      <c r="N453" s="30">
        <f>IF(OR($F453="",$I453=""),0,IFERROR(INDEX(Nutrition!$H$2:$H$300,MATCH($F453,Nutrition!$A$2:$A$300,0))*$I453/100,0))</f>
        <v>23.18</v>
      </c>
      <c r="O453" s="30">
        <f>IF(OR($F453="",$I453=""),0,IFERROR(INDEX(Nutrition!$I$2:$I$300,MATCH($F453,Nutrition!$A$2:$A$300,0))*$I453/100,0))</f>
        <v>390.4</v>
      </c>
      <c r="P453" s="30">
        <f>IF(OR($F453="",$I453=""),0,IFERROR(INDEX(Nutrition!$J$2:$J$300,MATCH($F453,Nutrition!$A$2:$A$300,0))*$I453/100,0))</f>
        <v>0.80520000000000014</v>
      </c>
      <c r="Q453" s="30">
        <f>IF(OR($F453="",$I453=""),0,IFERROR(INDEX(Nutrition!$K$2:$K$300,MATCH($F453,Nutrition!$A$2:$A$300,0))*$I453/100,0))</f>
        <v>0.16836000000000001</v>
      </c>
      <c r="R453" s="30">
        <f>IF(OR($F453="",$I453=""),0,IFERROR(INDEX(Nutrition!$L$2:$L$300,MATCH($F453,Nutrition!$A$2:$A$300,0))*$I453/100,0))</f>
        <v>14.64</v>
      </c>
      <c r="S453" s="30">
        <f>IF(OR($F453="",$I453=""),0,IFERROR(INDEX(Nutrition!$M$2:$M$300,MATCH($F453,Nutrition!$A$2:$A$300,0))*$I453/100,0))</f>
        <v>0.36599999999999999</v>
      </c>
    </row>
    <row r="454" spans="1:19" ht="15" customHeight="1" x14ac:dyDescent="0.25">
      <c r="A454" s="22" t="s">
        <v>1529</v>
      </c>
      <c r="B454" s="33" t="str">
        <f>IFERROR(INDEX(Recipes!$B$2:$B$500,MATCH(A454,Recipes!$A$2:$A$500,0)),"")</f>
        <v>Garden Egg Baba Ganoush</v>
      </c>
      <c r="C454" s="7" t="s">
        <v>2822</v>
      </c>
      <c r="D454" s="34">
        <v>2</v>
      </c>
      <c r="E454" s="22" t="s">
        <v>2753</v>
      </c>
      <c r="F454" s="22"/>
      <c r="G454" s="22" t="s">
        <v>2749</v>
      </c>
      <c r="H454" s="7"/>
      <c r="I454" s="35"/>
      <c r="J454" s="30">
        <f>IF(OR($F454="",$I454=""),0,IFERROR(INDEX(Nutrition!$D$2:$D$300,MATCH($F454,Nutrition!$A$2:$A$300,0))*$I454/100,0))</f>
        <v>0</v>
      </c>
      <c r="K454" s="30">
        <f>IF(OR($F454="",$I454=""),0,IFERROR(INDEX(Nutrition!$E$2:$E$300,MATCH($F454,Nutrition!$A$2:$A$300,0))*$I454/100,0))</f>
        <v>0</v>
      </c>
      <c r="L454" s="30">
        <f>IF(OR($F454="",$I454=""),0,IFERROR(INDEX(Nutrition!$F$2:$F$300,MATCH($F454,Nutrition!$A$2:$A$300,0))*$I454/100,0))</f>
        <v>0</v>
      </c>
      <c r="M454" s="30">
        <f>IF(OR($F454="",$I454=""),0,IFERROR(INDEX(Nutrition!$G$2:$G$300,MATCH($F454,Nutrition!$A$2:$A$300,0))*$I454/100,0))</f>
        <v>0</v>
      </c>
      <c r="N454" s="30">
        <f>IF(OR($F454="",$I454=""),0,IFERROR(INDEX(Nutrition!$H$2:$H$300,MATCH($F454,Nutrition!$A$2:$A$300,0))*$I454/100,0))</f>
        <v>0</v>
      </c>
      <c r="O454" s="30">
        <f>IF(OR($F454="",$I454=""),0,IFERROR(INDEX(Nutrition!$I$2:$I$300,MATCH($F454,Nutrition!$A$2:$A$300,0))*$I454/100,0))</f>
        <v>0</v>
      </c>
      <c r="P454" s="30">
        <f>IF(OR($F454="",$I454=""),0,IFERROR(INDEX(Nutrition!$J$2:$J$300,MATCH($F454,Nutrition!$A$2:$A$300,0))*$I454/100,0))</f>
        <v>0</v>
      </c>
      <c r="Q454" s="30">
        <f>IF(OR($F454="",$I454=""),0,IFERROR(INDEX(Nutrition!$K$2:$K$300,MATCH($F454,Nutrition!$A$2:$A$300,0))*$I454/100,0))</f>
        <v>0</v>
      </c>
      <c r="R454" s="30">
        <f>IF(OR($F454="",$I454=""),0,IFERROR(INDEX(Nutrition!$L$2:$L$300,MATCH($F454,Nutrition!$A$2:$A$300,0))*$I454/100,0))</f>
        <v>0</v>
      </c>
      <c r="S454" s="30">
        <f>IF(OR($F454="",$I454=""),0,IFERROR(INDEX(Nutrition!$M$2:$M$300,MATCH($F454,Nutrition!$A$2:$A$300,0))*$I454/100,0))</f>
        <v>0</v>
      </c>
    </row>
    <row r="455" spans="1:19" ht="15" customHeight="1" x14ac:dyDescent="0.25">
      <c r="A455" s="22" t="s">
        <v>1529</v>
      </c>
      <c r="B455" s="33" t="str">
        <f>IFERROR(INDEX(Recipes!$B$2:$B$500,MATCH(A455,Recipes!$A$2:$A$500,0)),"")</f>
        <v>Garden Egg Baba Ganoush</v>
      </c>
      <c r="C455" s="7" t="s">
        <v>2839</v>
      </c>
      <c r="D455" s="34">
        <v>1</v>
      </c>
      <c r="E455" s="22" t="s">
        <v>2759</v>
      </c>
      <c r="F455" s="22"/>
      <c r="G455" s="22" t="s">
        <v>2749</v>
      </c>
      <c r="H455" s="7"/>
      <c r="I455" s="35"/>
      <c r="J455" s="30">
        <f>IF(OR($F455="",$I455=""),0,IFERROR(INDEX(Nutrition!$D$2:$D$300,MATCH($F455,Nutrition!$A$2:$A$300,0))*$I455/100,0))</f>
        <v>0</v>
      </c>
      <c r="K455" s="30">
        <f>IF(OR($F455="",$I455=""),0,IFERROR(INDEX(Nutrition!$E$2:$E$300,MATCH($F455,Nutrition!$A$2:$A$300,0))*$I455/100,0))</f>
        <v>0</v>
      </c>
      <c r="L455" s="30">
        <f>IF(OR($F455="",$I455=""),0,IFERROR(INDEX(Nutrition!$F$2:$F$300,MATCH($F455,Nutrition!$A$2:$A$300,0))*$I455/100,0))</f>
        <v>0</v>
      </c>
      <c r="M455" s="30">
        <f>IF(OR($F455="",$I455=""),0,IFERROR(INDEX(Nutrition!$G$2:$G$300,MATCH($F455,Nutrition!$A$2:$A$300,0))*$I455/100,0))</f>
        <v>0</v>
      </c>
      <c r="N455" s="30">
        <f>IF(OR($F455="",$I455=""),0,IFERROR(INDEX(Nutrition!$H$2:$H$300,MATCH($F455,Nutrition!$A$2:$A$300,0))*$I455/100,0))</f>
        <v>0</v>
      </c>
      <c r="O455" s="30">
        <f>IF(OR($F455="",$I455=""),0,IFERROR(INDEX(Nutrition!$I$2:$I$300,MATCH($F455,Nutrition!$A$2:$A$300,0))*$I455/100,0))</f>
        <v>0</v>
      </c>
      <c r="P455" s="30">
        <f>IF(OR($F455="",$I455=""),0,IFERROR(INDEX(Nutrition!$J$2:$J$300,MATCH($F455,Nutrition!$A$2:$A$300,0))*$I455/100,0))</f>
        <v>0</v>
      </c>
      <c r="Q455" s="30">
        <f>IF(OR($F455="",$I455=""),0,IFERROR(INDEX(Nutrition!$K$2:$K$300,MATCH($F455,Nutrition!$A$2:$A$300,0))*$I455/100,0))</f>
        <v>0</v>
      </c>
      <c r="R455" s="30">
        <f>IF(OR($F455="",$I455=""),0,IFERROR(INDEX(Nutrition!$L$2:$L$300,MATCH($F455,Nutrition!$A$2:$A$300,0))*$I455/100,0))</f>
        <v>0</v>
      </c>
      <c r="S455" s="30">
        <f>IF(OR($F455="",$I455=""),0,IFERROR(INDEX(Nutrition!$M$2:$M$300,MATCH($F455,Nutrition!$A$2:$A$300,0))*$I455/100,0))</f>
        <v>0</v>
      </c>
    </row>
    <row r="456" spans="1:19" ht="15" customHeight="1" x14ac:dyDescent="0.25">
      <c r="A456" s="22" t="s">
        <v>1529</v>
      </c>
      <c r="B456" s="33" t="str">
        <f>IFERROR(INDEX(Recipes!$B$2:$B$500,MATCH(A456,Recipes!$A$2:$A$500,0)),"")</f>
        <v>Garden Egg Baba Ganoush</v>
      </c>
      <c r="C456" s="7" t="s">
        <v>2805</v>
      </c>
      <c r="D456" s="34">
        <v>2</v>
      </c>
      <c r="E456" s="22" t="s">
        <v>2753</v>
      </c>
      <c r="F456" s="22"/>
      <c r="G456" s="22" t="s">
        <v>2773</v>
      </c>
      <c r="H456" s="7"/>
      <c r="I456" s="35"/>
      <c r="J456" s="30">
        <f>IF(OR($F456="",$I456=""),0,IFERROR(INDEX(Nutrition!$D$2:$D$300,MATCH($F456,Nutrition!$A$2:$A$300,0))*$I456/100,0))</f>
        <v>0</v>
      </c>
      <c r="K456" s="30">
        <f>IF(OR($F456="",$I456=""),0,IFERROR(INDEX(Nutrition!$E$2:$E$300,MATCH($F456,Nutrition!$A$2:$A$300,0))*$I456/100,0))</f>
        <v>0</v>
      </c>
      <c r="L456" s="30">
        <f>IF(OR($F456="",$I456=""),0,IFERROR(INDEX(Nutrition!$F$2:$F$300,MATCH($F456,Nutrition!$A$2:$A$300,0))*$I456/100,0))</f>
        <v>0</v>
      </c>
      <c r="M456" s="30">
        <f>IF(OR($F456="",$I456=""),0,IFERROR(INDEX(Nutrition!$G$2:$G$300,MATCH($F456,Nutrition!$A$2:$A$300,0))*$I456/100,0))</f>
        <v>0</v>
      </c>
      <c r="N456" s="30">
        <f>IF(OR($F456="",$I456=""),0,IFERROR(INDEX(Nutrition!$H$2:$H$300,MATCH($F456,Nutrition!$A$2:$A$300,0))*$I456/100,0))</f>
        <v>0</v>
      </c>
      <c r="O456" s="30">
        <f>IF(OR($F456="",$I456=""),0,IFERROR(INDEX(Nutrition!$I$2:$I$300,MATCH($F456,Nutrition!$A$2:$A$300,0))*$I456/100,0))</f>
        <v>0</v>
      </c>
      <c r="P456" s="30">
        <f>IF(OR($F456="",$I456=""),0,IFERROR(INDEX(Nutrition!$J$2:$J$300,MATCH($F456,Nutrition!$A$2:$A$300,0))*$I456/100,0))</f>
        <v>0</v>
      </c>
      <c r="Q456" s="30">
        <f>IF(OR($F456="",$I456=""),0,IFERROR(INDEX(Nutrition!$K$2:$K$300,MATCH($F456,Nutrition!$A$2:$A$300,0))*$I456/100,0))</f>
        <v>0</v>
      </c>
      <c r="R456" s="30">
        <f>IF(OR($F456="",$I456=""),0,IFERROR(INDEX(Nutrition!$L$2:$L$300,MATCH($F456,Nutrition!$A$2:$A$300,0))*$I456/100,0))</f>
        <v>0</v>
      </c>
      <c r="S456" s="30">
        <f>IF(OR($F456="",$I456=""),0,IFERROR(INDEX(Nutrition!$M$2:$M$300,MATCH($F456,Nutrition!$A$2:$A$300,0))*$I456/100,0))</f>
        <v>0</v>
      </c>
    </row>
    <row r="457" spans="1:19" ht="15" customHeight="1" x14ac:dyDescent="0.25">
      <c r="A457" s="22" t="s">
        <v>1541</v>
      </c>
      <c r="B457" s="33" t="str">
        <f>IFERROR(INDEX(Recipes!$B$2:$B$500,MATCH(A457,Recipes!$A$2:$A$500,0)),"")</f>
        <v>Black-Eyed Bean Hummus with Veggie Sticks</v>
      </c>
      <c r="C457" s="7" t="s">
        <v>2832</v>
      </c>
      <c r="D457" s="34">
        <v>2</v>
      </c>
      <c r="E457" s="22" t="s">
        <v>2790</v>
      </c>
      <c r="F457" s="22"/>
      <c r="G457" s="22" t="s">
        <v>2749</v>
      </c>
      <c r="H457" s="7" t="s">
        <v>2833</v>
      </c>
      <c r="I457" s="35"/>
      <c r="J457" s="30">
        <f>IF(OR($F457="",$I457=""),0,IFERROR(INDEX(Nutrition!$D$2:$D$300,MATCH($F457,Nutrition!$A$2:$A$300,0))*$I457/100,0))</f>
        <v>0</v>
      </c>
      <c r="K457" s="30">
        <f>IF(OR($F457="",$I457=""),0,IFERROR(INDEX(Nutrition!$E$2:$E$300,MATCH($F457,Nutrition!$A$2:$A$300,0))*$I457/100,0))</f>
        <v>0</v>
      </c>
      <c r="L457" s="30">
        <f>IF(OR($F457="",$I457=""),0,IFERROR(INDEX(Nutrition!$F$2:$F$300,MATCH($F457,Nutrition!$A$2:$A$300,0))*$I457/100,0))</f>
        <v>0</v>
      </c>
      <c r="M457" s="30">
        <f>IF(OR($F457="",$I457=""),0,IFERROR(INDEX(Nutrition!$G$2:$G$300,MATCH($F457,Nutrition!$A$2:$A$300,0))*$I457/100,0))</f>
        <v>0</v>
      </c>
      <c r="N457" s="30">
        <f>IF(OR($F457="",$I457=""),0,IFERROR(INDEX(Nutrition!$H$2:$H$300,MATCH($F457,Nutrition!$A$2:$A$300,0))*$I457/100,0))</f>
        <v>0</v>
      </c>
      <c r="O457" s="30">
        <f>IF(OR($F457="",$I457=""),0,IFERROR(INDEX(Nutrition!$I$2:$I$300,MATCH($F457,Nutrition!$A$2:$A$300,0))*$I457/100,0))</f>
        <v>0</v>
      </c>
      <c r="P457" s="30">
        <f>IF(OR($F457="",$I457=""),0,IFERROR(INDEX(Nutrition!$J$2:$J$300,MATCH($F457,Nutrition!$A$2:$A$300,0))*$I457/100,0))</f>
        <v>0</v>
      </c>
      <c r="Q457" s="30">
        <f>IF(OR($F457="",$I457=""),0,IFERROR(INDEX(Nutrition!$K$2:$K$300,MATCH($F457,Nutrition!$A$2:$A$300,0))*$I457/100,0))</f>
        <v>0</v>
      </c>
      <c r="R457" s="30">
        <f>IF(OR($F457="",$I457=""),0,IFERROR(INDEX(Nutrition!$L$2:$L$300,MATCH($F457,Nutrition!$A$2:$A$300,0))*$I457/100,0))</f>
        <v>0</v>
      </c>
      <c r="S457" s="30">
        <f>IF(OR($F457="",$I457=""),0,IFERROR(INDEX(Nutrition!$M$2:$M$300,MATCH($F457,Nutrition!$A$2:$A$300,0))*$I457/100,0))</f>
        <v>0</v>
      </c>
    </row>
    <row r="458" spans="1:19" ht="15" customHeight="1" x14ac:dyDescent="0.25">
      <c r="A458" s="22" t="s">
        <v>1541</v>
      </c>
      <c r="B458" s="33" t="str">
        <f>IFERROR(INDEX(Recipes!$B$2:$B$500,MATCH(A458,Recipes!$A$2:$A$500,0)),"")</f>
        <v>Black-Eyed Bean Hummus with Veggie Sticks</v>
      </c>
      <c r="C458" s="7" t="s">
        <v>2822</v>
      </c>
      <c r="D458" s="34">
        <v>2</v>
      </c>
      <c r="E458" s="22" t="s">
        <v>2753</v>
      </c>
      <c r="F458" s="22"/>
      <c r="G458" s="22" t="s">
        <v>2749</v>
      </c>
      <c r="H458" s="7"/>
      <c r="I458" s="35"/>
      <c r="J458" s="30">
        <f>IF(OR($F458="",$I458=""),0,IFERROR(INDEX(Nutrition!$D$2:$D$300,MATCH($F458,Nutrition!$A$2:$A$300,0))*$I458/100,0))</f>
        <v>0</v>
      </c>
      <c r="K458" s="30">
        <f>IF(OR($F458="",$I458=""),0,IFERROR(INDEX(Nutrition!$E$2:$E$300,MATCH($F458,Nutrition!$A$2:$A$300,0))*$I458/100,0))</f>
        <v>0</v>
      </c>
      <c r="L458" s="30">
        <f>IF(OR($F458="",$I458=""),0,IFERROR(INDEX(Nutrition!$F$2:$F$300,MATCH($F458,Nutrition!$A$2:$A$300,0))*$I458/100,0))</f>
        <v>0</v>
      </c>
      <c r="M458" s="30">
        <f>IF(OR($F458="",$I458=""),0,IFERROR(INDEX(Nutrition!$G$2:$G$300,MATCH($F458,Nutrition!$A$2:$A$300,0))*$I458/100,0))</f>
        <v>0</v>
      </c>
      <c r="N458" s="30">
        <f>IF(OR($F458="",$I458=""),0,IFERROR(INDEX(Nutrition!$H$2:$H$300,MATCH($F458,Nutrition!$A$2:$A$300,0))*$I458/100,0))</f>
        <v>0</v>
      </c>
      <c r="O458" s="30">
        <f>IF(OR($F458="",$I458=""),0,IFERROR(INDEX(Nutrition!$I$2:$I$300,MATCH($F458,Nutrition!$A$2:$A$300,0))*$I458/100,0))</f>
        <v>0</v>
      </c>
      <c r="P458" s="30">
        <f>IF(OR($F458="",$I458=""),0,IFERROR(INDEX(Nutrition!$J$2:$J$300,MATCH($F458,Nutrition!$A$2:$A$300,0))*$I458/100,0))</f>
        <v>0</v>
      </c>
      <c r="Q458" s="30">
        <f>IF(OR($F458="",$I458=""),0,IFERROR(INDEX(Nutrition!$K$2:$K$300,MATCH($F458,Nutrition!$A$2:$A$300,0))*$I458/100,0))</f>
        <v>0</v>
      </c>
      <c r="R458" s="30">
        <f>IF(OR($F458="",$I458=""),0,IFERROR(INDEX(Nutrition!$L$2:$L$300,MATCH($F458,Nutrition!$A$2:$A$300,0))*$I458/100,0))</f>
        <v>0</v>
      </c>
      <c r="S458" s="30">
        <f>IF(OR($F458="",$I458=""),0,IFERROR(INDEX(Nutrition!$M$2:$M$300,MATCH($F458,Nutrition!$A$2:$A$300,0))*$I458/100,0))</f>
        <v>0</v>
      </c>
    </row>
    <row r="459" spans="1:19" ht="15" customHeight="1" x14ac:dyDescent="0.25">
      <c r="A459" s="22" t="s">
        <v>1541</v>
      </c>
      <c r="B459" s="33" t="str">
        <f>IFERROR(INDEX(Recipes!$B$2:$B$500,MATCH(A459,Recipes!$A$2:$A$500,0)),"")</f>
        <v>Black-Eyed Bean Hummus with Veggie Sticks</v>
      </c>
      <c r="C459" s="7" t="s">
        <v>500</v>
      </c>
      <c r="D459" s="34">
        <v>2</v>
      </c>
      <c r="E459" s="22" t="s">
        <v>2776</v>
      </c>
      <c r="F459" s="22" t="s">
        <v>499</v>
      </c>
      <c r="G459" s="22" t="s">
        <v>2755</v>
      </c>
      <c r="H459" s="7"/>
      <c r="I459" s="35">
        <v>6</v>
      </c>
      <c r="J459" s="30">
        <f>IF(OR($F459="",$I459=""),0,IFERROR(INDEX(Nutrition!$D$2:$D$300,MATCH($F459,Nutrition!$A$2:$A$300,0))*$I459/100,0))</f>
        <v>0.126</v>
      </c>
      <c r="K459" s="30">
        <f>IF(OR($F459="",$I459=""),0,IFERROR(INDEX(Nutrition!$E$2:$E$300,MATCH($F459,Nutrition!$A$2:$A$300,0))*$I459/100,0))</f>
        <v>1.8719999999999999</v>
      </c>
      <c r="L459" s="30">
        <f>IF(OR($F459="",$I459=""),0,IFERROR(INDEX(Nutrition!$F$2:$F$300,MATCH($F459,Nutrition!$A$2:$A$300,0))*$I459/100,0))</f>
        <v>0</v>
      </c>
      <c r="M459" s="30">
        <f>IF(OR($F459="",$I459=""),0,IFERROR(INDEX(Nutrition!$G$2:$G$300,MATCH($F459,Nutrition!$A$2:$A$300,0))*$I459/100,0))</f>
        <v>0.10199999999999999</v>
      </c>
      <c r="N459" s="30">
        <f>IF(OR($F459="",$I459=""),0,IFERROR(INDEX(Nutrition!$H$2:$H$300,MATCH($F459,Nutrition!$A$2:$A$300,0))*$I459/100,0))</f>
        <v>0.18</v>
      </c>
      <c r="O459" s="30">
        <f>IF(OR($F459="",$I459=""),0,IFERROR(INDEX(Nutrition!$I$2:$I$300,MATCH($F459,Nutrition!$A$2:$A$300,0))*$I459/100,0))</f>
        <v>24.06</v>
      </c>
      <c r="P459" s="30">
        <f>IF(OR($F459="",$I459=""),0,IFERROR(INDEX(Nutrition!$J$2:$J$300,MATCH($F459,Nutrition!$A$2:$A$300,0))*$I459/100,0))</f>
        <v>4.7999999999999996E-3</v>
      </c>
      <c r="Q459" s="30">
        <f>IF(OR($F459="",$I459=""),0,IFERROR(INDEX(Nutrition!$K$2:$K$300,MATCH($F459,Nutrition!$A$2:$A$300,0))*$I459/100,0))</f>
        <v>7.4099999999999999E-2</v>
      </c>
      <c r="R459" s="30">
        <f>IF(OR($F459="",$I459=""),0,IFERROR(INDEX(Nutrition!$L$2:$L$300,MATCH($F459,Nutrition!$A$2:$A$300,0))*$I459/100,0))</f>
        <v>1.5</v>
      </c>
      <c r="S459" s="30">
        <f>IF(OR($F459="",$I459=""),0,IFERROR(INDEX(Nutrition!$M$2:$M$300,MATCH($F459,Nutrition!$A$2:$A$300,0))*$I459/100,0))</f>
        <v>0.10199999999999999</v>
      </c>
    </row>
    <row r="460" spans="1:19" ht="15" customHeight="1" x14ac:dyDescent="0.25">
      <c r="A460" s="22" t="s">
        <v>1541</v>
      </c>
      <c r="B460" s="33" t="str">
        <f>IFERROR(INDEX(Recipes!$B$2:$B$500,MATCH(A460,Recipes!$A$2:$A$500,0)),"")</f>
        <v>Black-Eyed Bean Hummus with Veggie Sticks</v>
      </c>
      <c r="C460" s="7" t="s">
        <v>206</v>
      </c>
      <c r="D460" s="34">
        <v>1</v>
      </c>
      <c r="E460" s="22" t="s">
        <v>2754</v>
      </c>
      <c r="F460" s="22" t="s">
        <v>205</v>
      </c>
      <c r="G460" s="22" t="s">
        <v>2755</v>
      </c>
      <c r="H460" s="7"/>
      <c r="I460" s="35">
        <v>58</v>
      </c>
      <c r="J460" s="30">
        <f>IF(OR($F460="",$I460=""),0,IFERROR(INDEX(Nutrition!$D$2:$D$300,MATCH($F460,Nutrition!$A$2:$A$300,0))*$I460/100,0))</f>
        <v>1.6239999999999997</v>
      </c>
      <c r="K460" s="30">
        <f>IF(OR($F460="",$I460=""),0,IFERROR(INDEX(Nutrition!$E$2:$E$300,MATCH($F460,Nutrition!$A$2:$A$300,0))*$I460/100,0))</f>
        <v>30.74</v>
      </c>
      <c r="L460" s="30">
        <f>IF(OR($F460="",$I460=""),0,IFERROR(INDEX(Nutrition!$F$2:$F$300,MATCH($F460,Nutrition!$A$2:$A$300,0))*$I460/100,0))</f>
        <v>0.57999999999999996</v>
      </c>
      <c r="M460" s="30">
        <f>IF(OR($F460="",$I460=""),0,IFERROR(INDEX(Nutrition!$G$2:$G$300,MATCH($F460,Nutrition!$A$2:$A$300,0))*$I460/100,0))</f>
        <v>0</v>
      </c>
      <c r="N460" s="30">
        <f>IF(OR($F460="",$I460=""),0,IFERROR(INDEX(Nutrition!$H$2:$H$300,MATCH($F460,Nutrition!$A$2:$A$300,0))*$I460/100,0))</f>
        <v>6.38</v>
      </c>
      <c r="O460" s="30">
        <f>IF(OR($F460="",$I460=""),0,IFERROR(INDEX(Nutrition!$I$2:$I$300,MATCH($F460,Nutrition!$A$2:$A$300,0))*$I460/100,0))</f>
        <v>80.040000000000006</v>
      </c>
      <c r="P460" s="30">
        <f>IF(OR($F460="",$I460=""),0,IFERROR(INDEX(Nutrition!$J$2:$J$300,MATCH($F460,Nutrition!$A$2:$A$300,0))*$I460/100,0))</f>
        <v>8.6999999999999994E-2</v>
      </c>
      <c r="Q460" s="30">
        <f>IF(OR($F460="",$I460=""),0,IFERROR(INDEX(Nutrition!$K$2:$K$300,MATCH($F460,Nutrition!$A$2:$A$300,0))*$I460/100,0))</f>
        <v>4.6399999999999997E-2</v>
      </c>
      <c r="R460" s="30">
        <f>IF(OR($F460="",$I460=""),0,IFERROR(INDEX(Nutrition!$L$2:$L$300,MATCH($F460,Nutrition!$A$2:$A$300,0))*$I460/100,0))</f>
        <v>4.6399999999999997</v>
      </c>
      <c r="S460" s="30">
        <f>IF(OR($F460="",$I460=""),0,IFERROR(INDEX(Nutrition!$M$2:$M$300,MATCH($F460,Nutrition!$A$2:$A$300,0))*$I460/100,0))</f>
        <v>0.34799999999999998</v>
      </c>
    </row>
    <row r="461" spans="1:19" ht="15" customHeight="1" x14ac:dyDescent="0.25">
      <c r="A461" s="22" t="s">
        <v>1541</v>
      </c>
      <c r="B461" s="33" t="str">
        <f>IFERROR(INDEX(Recipes!$B$2:$B$500,MATCH(A461,Recipes!$A$2:$A$500,0)),"")</f>
        <v>Black-Eyed Bean Hummus with Veggie Sticks</v>
      </c>
      <c r="C461" s="7" t="s">
        <v>2839</v>
      </c>
      <c r="D461" s="34">
        <v>1</v>
      </c>
      <c r="E461" s="22" t="s">
        <v>2759</v>
      </c>
      <c r="F461" s="22"/>
      <c r="G461" s="22" t="s">
        <v>2749</v>
      </c>
      <c r="H461" s="7"/>
      <c r="I461" s="35"/>
      <c r="J461" s="30">
        <f>IF(OR($F461="",$I461=""),0,IFERROR(INDEX(Nutrition!$D$2:$D$300,MATCH($F461,Nutrition!$A$2:$A$300,0))*$I461/100,0))</f>
        <v>0</v>
      </c>
      <c r="K461" s="30">
        <f>IF(OR($F461="",$I461=""),0,IFERROR(INDEX(Nutrition!$E$2:$E$300,MATCH($F461,Nutrition!$A$2:$A$300,0))*$I461/100,0))</f>
        <v>0</v>
      </c>
      <c r="L461" s="30">
        <f>IF(OR($F461="",$I461=""),0,IFERROR(INDEX(Nutrition!$F$2:$F$300,MATCH($F461,Nutrition!$A$2:$A$300,0))*$I461/100,0))</f>
        <v>0</v>
      </c>
      <c r="M461" s="30">
        <f>IF(OR($F461="",$I461=""),0,IFERROR(INDEX(Nutrition!$G$2:$G$300,MATCH($F461,Nutrition!$A$2:$A$300,0))*$I461/100,0))</f>
        <v>0</v>
      </c>
      <c r="N461" s="30">
        <f>IF(OR($F461="",$I461=""),0,IFERROR(INDEX(Nutrition!$H$2:$H$300,MATCH($F461,Nutrition!$A$2:$A$300,0))*$I461/100,0))</f>
        <v>0</v>
      </c>
      <c r="O461" s="30">
        <f>IF(OR($F461="",$I461=""),0,IFERROR(INDEX(Nutrition!$I$2:$I$300,MATCH($F461,Nutrition!$A$2:$A$300,0))*$I461/100,0))</f>
        <v>0</v>
      </c>
      <c r="P461" s="30">
        <f>IF(OR($F461="",$I461=""),0,IFERROR(INDEX(Nutrition!$J$2:$J$300,MATCH($F461,Nutrition!$A$2:$A$300,0))*$I461/100,0))</f>
        <v>0</v>
      </c>
      <c r="Q461" s="30">
        <f>IF(OR($F461="",$I461=""),0,IFERROR(INDEX(Nutrition!$K$2:$K$300,MATCH($F461,Nutrition!$A$2:$A$300,0))*$I461/100,0))</f>
        <v>0</v>
      </c>
      <c r="R461" s="30">
        <f>IF(OR($F461="",$I461=""),0,IFERROR(INDEX(Nutrition!$L$2:$L$300,MATCH($F461,Nutrition!$A$2:$A$300,0))*$I461/100,0))</f>
        <v>0</v>
      </c>
      <c r="S461" s="30">
        <f>IF(OR($F461="",$I461=""),0,IFERROR(INDEX(Nutrition!$M$2:$M$300,MATCH($F461,Nutrition!$A$2:$A$300,0))*$I461/100,0))</f>
        <v>0</v>
      </c>
    </row>
    <row r="462" spans="1:19" ht="15" customHeight="1" x14ac:dyDescent="0.25">
      <c r="A462" s="22" t="s">
        <v>1541</v>
      </c>
      <c r="B462" s="33" t="str">
        <f>IFERROR(INDEX(Recipes!$B$2:$B$500,MATCH(A462,Recipes!$A$2:$A$500,0)),"")</f>
        <v>Black-Eyed Bean Hummus with Veggie Sticks</v>
      </c>
      <c r="C462" s="7" t="s">
        <v>529</v>
      </c>
      <c r="D462" s="34">
        <v>2</v>
      </c>
      <c r="E462" s="22" t="s">
        <v>2754</v>
      </c>
      <c r="F462" s="22" t="s">
        <v>528</v>
      </c>
      <c r="G462" s="22" t="s">
        <v>2755</v>
      </c>
      <c r="H462" s="7"/>
      <c r="I462" s="35">
        <v>122</v>
      </c>
      <c r="J462" s="30">
        <f>IF(OR($F462="",$I462=""),0,IFERROR(INDEX(Nutrition!$D$2:$D$300,MATCH($F462,Nutrition!$A$2:$A$300,0))*$I462/100,0))</f>
        <v>3.4159999999999995</v>
      </c>
      <c r="K462" s="30">
        <f>IF(OR($F462="",$I462=""),0,IFERROR(INDEX(Nutrition!$E$2:$E$300,MATCH($F462,Nutrition!$A$2:$A$300,0))*$I462/100,0))</f>
        <v>7.1980000000000004</v>
      </c>
      <c r="L462" s="30">
        <f>IF(OR($F462="",$I462=""),0,IFERROR(INDEX(Nutrition!$F$2:$F$300,MATCH($F462,Nutrition!$A$2:$A$300,0))*$I462/100,0))</f>
        <v>1018.7</v>
      </c>
      <c r="M462" s="30">
        <f>IF(OR($F462="",$I462=""),0,IFERROR(INDEX(Nutrition!$G$2:$G$300,MATCH($F462,Nutrition!$A$2:$A$300,0))*$I462/100,0))</f>
        <v>16.103999999999999</v>
      </c>
      <c r="N462" s="30">
        <f>IF(OR($F462="",$I462=""),0,IFERROR(INDEX(Nutrition!$H$2:$H$300,MATCH($F462,Nutrition!$A$2:$A$300,0))*$I462/100,0))</f>
        <v>23.18</v>
      </c>
      <c r="O462" s="30">
        <f>IF(OR($F462="",$I462=""),0,IFERROR(INDEX(Nutrition!$I$2:$I$300,MATCH($F462,Nutrition!$A$2:$A$300,0))*$I462/100,0))</f>
        <v>390.4</v>
      </c>
      <c r="P462" s="30">
        <f>IF(OR($F462="",$I462=""),0,IFERROR(INDEX(Nutrition!$J$2:$J$300,MATCH($F462,Nutrition!$A$2:$A$300,0))*$I462/100,0))</f>
        <v>0.80520000000000014</v>
      </c>
      <c r="Q462" s="30">
        <f>IF(OR($F462="",$I462=""),0,IFERROR(INDEX(Nutrition!$K$2:$K$300,MATCH($F462,Nutrition!$A$2:$A$300,0))*$I462/100,0))</f>
        <v>0.16836000000000001</v>
      </c>
      <c r="R462" s="30">
        <f>IF(OR($F462="",$I462=""),0,IFERROR(INDEX(Nutrition!$L$2:$L$300,MATCH($F462,Nutrition!$A$2:$A$300,0))*$I462/100,0))</f>
        <v>14.64</v>
      </c>
      <c r="S462" s="30">
        <f>IF(OR($F462="",$I462=""),0,IFERROR(INDEX(Nutrition!$M$2:$M$300,MATCH($F462,Nutrition!$A$2:$A$300,0))*$I462/100,0))</f>
        <v>0.36599999999999999</v>
      </c>
    </row>
    <row r="463" spans="1:19" ht="15" customHeight="1" x14ac:dyDescent="0.25">
      <c r="A463" s="22" t="s">
        <v>1541</v>
      </c>
      <c r="B463" s="33" t="str">
        <f>IFERROR(INDEX(Recipes!$B$2:$B$500,MATCH(A463,Recipes!$A$2:$A$500,0)),"")</f>
        <v>Black-Eyed Bean Hummus with Veggie Sticks</v>
      </c>
      <c r="C463" s="7" t="s">
        <v>523</v>
      </c>
      <c r="D463" s="34">
        <v>1</v>
      </c>
      <c r="E463" s="22" t="s">
        <v>2754</v>
      </c>
      <c r="F463" s="22" t="s">
        <v>522</v>
      </c>
      <c r="G463" s="22" t="s">
        <v>2755</v>
      </c>
      <c r="H463" s="7"/>
      <c r="I463" s="35">
        <v>301</v>
      </c>
      <c r="J463" s="30">
        <f>IF(OR($F463="",$I463=""),0,IFERROR(INDEX(Nutrition!$D$2:$D$300,MATCH($F463,Nutrition!$A$2:$A$300,0))*$I463/100,0))</f>
        <v>1.5049999999999999</v>
      </c>
      <c r="K463" s="30">
        <f>IF(OR($F463="",$I463=""),0,IFERROR(INDEX(Nutrition!$E$2:$E$300,MATCH($F463,Nutrition!$A$2:$A$300,0))*$I463/100,0))</f>
        <v>8.427999999999999</v>
      </c>
      <c r="L463" s="30">
        <f>IF(OR($F463="",$I463=""),0,IFERROR(INDEX(Nutrition!$F$2:$F$300,MATCH($F463,Nutrition!$A$2:$A$300,0))*$I463/100,0))</f>
        <v>15.05</v>
      </c>
      <c r="M463" s="30">
        <f>IF(OR($F463="",$I463=""),0,IFERROR(INDEX(Nutrition!$G$2:$G$300,MATCH($F463,Nutrition!$A$2:$A$300,0))*$I463/100,0))</f>
        <v>49.363999999999997</v>
      </c>
      <c r="N463" s="30">
        <f>IF(OR($F463="",$I463=""),0,IFERROR(INDEX(Nutrition!$H$2:$H$300,MATCH($F463,Nutrition!$A$2:$A$300,0))*$I463/100,0))</f>
        <v>21.07</v>
      </c>
      <c r="O463" s="30">
        <f>IF(OR($F463="",$I463=""),0,IFERROR(INDEX(Nutrition!$I$2:$I$300,MATCH($F463,Nutrition!$A$2:$A$300,0))*$I463/100,0))</f>
        <v>442.47</v>
      </c>
      <c r="P463" s="30">
        <f>IF(OR($F463="",$I463=""),0,IFERROR(INDEX(Nutrition!$J$2:$J$300,MATCH($F463,Nutrition!$A$2:$A$300,0))*$I463/100,0))</f>
        <v>9.0299999999999991E-2</v>
      </c>
      <c r="Q463" s="30">
        <f>IF(OR($F463="",$I463=""),0,IFERROR(INDEX(Nutrition!$K$2:$K$300,MATCH($F463,Nutrition!$A$2:$A$300,0))*$I463/100,0))</f>
        <v>0.12040000000000001</v>
      </c>
      <c r="R463" s="30">
        <f>IF(OR($F463="",$I463=""),0,IFERROR(INDEX(Nutrition!$L$2:$L$300,MATCH($F463,Nutrition!$A$2:$A$300,0))*$I463/100,0))</f>
        <v>39.130000000000003</v>
      </c>
      <c r="S463" s="30">
        <f>IF(OR($F463="",$I463=""),0,IFERROR(INDEX(Nutrition!$M$2:$M$300,MATCH($F463,Nutrition!$A$2:$A$300,0))*$I463/100,0))</f>
        <v>0.84279999999999999</v>
      </c>
    </row>
    <row r="464" spans="1:19" ht="15" customHeight="1" x14ac:dyDescent="0.25">
      <c r="A464" s="22" t="s">
        <v>1541</v>
      </c>
      <c r="B464" s="33" t="str">
        <f>IFERROR(INDEX(Recipes!$B$2:$B$500,MATCH(A464,Recipes!$A$2:$A$500,0)),"")</f>
        <v>Black-Eyed Bean Hummus with Veggie Sticks</v>
      </c>
      <c r="C464" s="7" t="s">
        <v>462</v>
      </c>
      <c r="D464" s="34">
        <v>1</v>
      </c>
      <c r="E464" s="22" t="s">
        <v>2754</v>
      </c>
      <c r="F464" s="22" t="s">
        <v>461</v>
      </c>
      <c r="G464" s="22" t="s">
        <v>2755</v>
      </c>
      <c r="H464" s="7"/>
      <c r="I464" s="35">
        <v>119</v>
      </c>
      <c r="J464" s="30">
        <f>IF(OR($F464="",$I464=""),0,IFERROR(INDEX(Nutrition!$D$2:$D$300,MATCH($F464,Nutrition!$A$2:$A$300,0))*$I464/100,0))</f>
        <v>2.4990000000000001</v>
      </c>
      <c r="K464" s="30">
        <f>IF(OR($F464="",$I464=""),0,IFERROR(INDEX(Nutrition!$E$2:$E$300,MATCH($F464,Nutrition!$A$2:$A$300,0))*$I464/100,0))</f>
        <v>151.96300000000002</v>
      </c>
      <c r="L464" s="30">
        <f>IF(OR($F464="",$I464=""),0,IFERROR(INDEX(Nutrition!$F$2:$F$300,MATCH($F464,Nutrition!$A$2:$A$300,0))*$I464/100,0))</f>
        <v>186.83</v>
      </c>
      <c r="M464" s="30">
        <f>IF(OR($F464="",$I464=""),0,IFERROR(INDEX(Nutrition!$G$2:$G$300,MATCH($F464,Nutrition!$A$2:$A$300,0))*$I464/100,0))</f>
        <v>5.8310000000000004</v>
      </c>
      <c r="N464" s="30">
        <f>IF(OR($F464="",$I464=""),0,IFERROR(INDEX(Nutrition!$H$2:$H$300,MATCH($F464,Nutrition!$A$2:$A$300,0))*$I464/100,0))</f>
        <v>54.74</v>
      </c>
      <c r="O464" s="30">
        <f>IF(OR($F464="",$I464=""),0,IFERROR(INDEX(Nutrition!$I$2:$I$300,MATCH($F464,Nutrition!$A$2:$A$300,0))*$I464/100,0))</f>
        <v>251.09</v>
      </c>
      <c r="P464" s="30">
        <f>IF(OR($F464="",$I464=""),0,IFERROR(INDEX(Nutrition!$J$2:$J$300,MATCH($F464,Nutrition!$A$2:$A$300,0))*$I464/100,0))</f>
        <v>1.8802000000000001</v>
      </c>
      <c r="Q464" s="30">
        <f>IF(OR($F464="",$I464=""),0,IFERROR(INDEX(Nutrition!$K$2:$K$300,MATCH($F464,Nutrition!$A$2:$A$300,0))*$I464/100,0))</f>
        <v>0.34628999999999999</v>
      </c>
      <c r="R464" s="30">
        <f>IF(OR($F464="",$I464=""),0,IFERROR(INDEX(Nutrition!$L$2:$L$300,MATCH($F464,Nutrition!$A$2:$A$300,0))*$I464/100,0))</f>
        <v>14.28</v>
      </c>
      <c r="S464" s="30">
        <f>IF(OR($F464="",$I464=""),0,IFERROR(INDEX(Nutrition!$M$2:$M$300,MATCH($F464,Nutrition!$A$2:$A$300,0))*$I464/100,0))</f>
        <v>0.51170000000000004</v>
      </c>
    </row>
    <row r="465" spans="1:19" ht="15" customHeight="1" x14ac:dyDescent="0.25">
      <c r="A465" s="22" t="s">
        <v>1541</v>
      </c>
      <c r="B465" s="33" t="str">
        <f>IFERROR(INDEX(Recipes!$B$2:$B$500,MATCH(A465,Recipes!$A$2:$A$500,0)),"")</f>
        <v>Black-Eyed Bean Hummus with Veggie Sticks</v>
      </c>
      <c r="C465" s="7" t="s">
        <v>566</v>
      </c>
      <c r="D465" s="34">
        <v>2</v>
      </c>
      <c r="E465" s="22" t="s">
        <v>2754</v>
      </c>
      <c r="F465" s="22" t="s">
        <v>565</v>
      </c>
      <c r="G465" s="22" t="s">
        <v>2755</v>
      </c>
      <c r="H465" s="7"/>
      <c r="I465" s="35">
        <v>80</v>
      </c>
      <c r="J465" s="30">
        <f>IF(OR($F465="",$I465=""),0,IFERROR(INDEX(Nutrition!$D$2:$D$300,MATCH($F465,Nutrition!$A$2:$A$300,0))*$I465/100,0))</f>
        <v>2.8</v>
      </c>
      <c r="K465" s="30">
        <f>IF(OR($F465="",$I465=""),0,IFERROR(INDEX(Nutrition!$E$2:$E$300,MATCH($F465,Nutrition!$A$2:$A$300,0))*$I465/100,0))</f>
        <v>9.2799999999999994</v>
      </c>
      <c r="L465" s="30">
        <f>IF(OR($F465="",$I465=""),0,IFERROR(INDEX(Nutrition!$F$2:$F$300,MATCH($F465,Nutrition!$A$2:$A$300,0))*$I465/100,0))</f>
        <v>1.6</v>
      </c>
      <c r="M465" s="30">
        <f>IF(OR($F465="",$I465=""),0,IFERROR(INDEX(Nutrition!$G$2:$G$300,MATCH($F465,Nutrition!$A$2:$A$300,0))*$I465/100,0))</f>
        <v>2.8</v>
      </c>
      <c r="N465" s="30">
        <f>IF(OR($F465="",$I465=""),0,IFERROR(INDEX(Nutrition!$H$2:$H$300,MATCH($F465,Nutrition!$A$2:$A$300,0))*$I465/100,0))</f>
        <v>17.600000000000001</v>
      </c>
      <c r="O465" s="30">
        <f>IF(OR($F465="",$I465=""),0,IFERROR(INDEX(Nutrition!$I$2:$I$300,MATCH($F465,Nutrition!$A$2:$A$300,0))*$I465/100,0))</f>
        <v>192</v>
      </c>
      <c r="P465" s="30">
        <f>IF(OR($F465="",$I465=""),0,IFERROR(INDEX(Nutrition!$J$2:$J$300,MATCH($F465,Nutrition!$A$2:$A$300,0))*$I465/100,0))</f>
        <v>0.24</v>
      </c>
      <c r="Q465" s="30">
        <f>IF(OR($F465="",$I465=""),0,IFERROR(INDEX(Nutrition!$K$2:$K$300,MATCH($F465,Nutrition!$A$2:$A$300,0))*$I465/100,0))</f>
        <v>6.4000000000000001E-2</v>
      </c>
      <c r="R465" s="30">
        <f>IF(OR($F465="",$I465=""),0,IFERROR(INDEX(Nutrition!$L$2:$L$300,MATCH($F465,Nutrition!$A$2:$A$300,0))*$I465/100,0))</f>
        <v>12</v>
      </c>
      <c r="S465" s="30">
        <f>IF(OR($F465="",$I465=""),0,IFERROR(INDEX(Nutrition!$M$2:$M$300,MATCH($F465,Nutrition!$A$2:$A$300,0))*$I465/100,0))</f>
        <v>0.4</v>
      </c>
    </row>
    <row r="466" spans="1:19" ht="15" customHeight="1" x14ac:dyDescent="0.25">
      <c r="A466" s="22" t="s">
        <v>1541</v>
      </c>
      <c r="B466" s="33" t="str">
        <f>IFERROR(INDEX(Recipes!$B$2:$B$500,MATCH(A466,Recipes!$A$2:$A$500,0)),"")</f>
        <v>Black-Eyed Bean Hummus with Veggie Sticks</v>
      </c>
      <c r="C466" s="7" t="s">
        <v>2805</v>
      </c>
      <c r="D466" s="34">
        <v>3</v>
      </c>
      <c r="E466" s="22" t="s">
        <v>2753</v>
      </c>
      <c r="F466" s="22"/>
      <c r="G466" s="22" t="s">
        <v>2773</v>
      </c>
      <c r="H466" s="7"/>
      <c r="I466" s="35"/>
      <c r="J466" s="30">
        <f>IF(OR($F466="",$I466=""),0,IFERROR(INDEX(Nutrition!$D$2:$D$300,MATCH($F466,Nutrition!$A$2:$A$300,0))*$I466/100,0))</f>
        <v>0</v>
      </c>
      <c r="K466" s="30">
        <f>IF(OR($F466="",$I466=""),0,IFERROR(INDEX(Nutrition!$E$2:$E$300,MATCH($F466,Nutrition!$A$2:$A$300,0))*$I466/100,0))</f>
        <v>0</v>
      </c>
      <c r="L466" s="30">
        <f>IF(OR($F466="",$I466=""),0,IFERROR(INDEX(Nutrition!$F$2:$F$300,MATCH($F466,Nutrition!$A$2:$A$300,0))*$I466/100,0))</f>
        <v>0</v>
      </c>
      <c r="M466" s="30">
        <f>IF(OR($F466="",$I466=""),0,IFERROR(INDEX(Nutrition!$G$2:$G$300,MATCH($F466,Nutrition!$A$2:$A$300,0))*$I466/100,0))</f>
        <v>0</v>
      </c>
      <c r="N466" s="30">
        <f>IF(OR($F466="",$I466=""),0,IFERROR(INDEX(Nutrition!$H$2:$H$300,MATCH($F466,Nutrition!$A$2:$A$300,0))*$I466/100,0))</f>
        <v>0</v>
      </c>
      <c r="O466" s="30">
        <f>IF(OR($F466="",$I466=""),0,IFERROR(INDEX(Nutrition!$I$2:$I$300,MATCH($F466,Nutrition!$A$2:$A$300,0))*$I466/100,0))</f>
        <v>0</v>
      </c>
      <c r="P466" s="30">
        <f>IF(OR($F466="",$I466=""),0,IFERROR(INDEX(Nutrition!$J$2:$J$300,MATCH($F466,Nutrition!$A$2:$A$300,0))*$I466/100,0))</f>
        <v>0</v>
      </c>
      <c r="Q466" s="30">
        <f>IF(OR($F466="",$I466=""),0,IFERROR(INDEX(Nutrition!$K$2:$K$300,MATCH($F466,Nutrition!$A$2:$A$300,0))*$I466/100,0))</f>
        <v>0</v>
      </c>
      <c r="R466" s="30">
        <f>IF(OR($F466="",$I466=""),0,IFERROR(INDEX(Nutrition!$L$2:$L$300,MATCH($F466,Nutrition!$A$2:$A$300,0))*$I466/100,0))</f>
        <v>0</v>
      </c>
      <c r="S466" s="30">
        <f>IF(OR($F466="",$I466=""),0,IFERROR(INDEX(Nutrition!$M$2:$M$300,MATCH($F466,Nutrition!$A$2:$A$300,0))*$I466/100,0))</f>
        <v>0</v>
      </c>
    </row>
    <row r="467" spans="1:19" ht="15" customHeight="1" x14ac:dyDescent="0.25">
      <c r="A467" s="22" t="s">
        <v>1551</v>
      </c>
      <c r="B467" s="33" t="str">
        <f>IFERROR(INDEX(Recipes!$B$2:$B$500,MATCH(A467,Recipes!$A$2:$A$500,0)),"")</f>
        <v>Roasted Corn with Lime &amp; Yaji Butter</v>
      </c>
      <c r="C467" s="7" t="s">
        <v>556</v>
      </c>
      <c r="D467" s="34">
        <v>4</v>
      </c>
      <c r="E467" s="22" t="s">
        <v>2841</v>
      </c>
      <c r="F467" s="22" t="s">
        <v>555</v>
      </c>
      <c r="G467" s="22" t="s">
        <v>2755</v>
      </c>
      <c r="H467" s="7"/>
      <c r="I467" s="35">
        <v>360</v>
      </c>
      <c r="J467" s="30">
        <f>IF(OR($F467="",$I467=""),0,IFERROR(INDEX(Nutrition!$D$2:$D$300,MATCH($F467,Nutrition!$A$2:$A$300,0))*$I467/100,0))</f>
        <v>9.7200000000000006</v>
      </c>
      <c r="K467" s="30">
        <f>IF(OR($F467="",$I467=""),0,IFERROR(INDEX(Nutrition!$E$2:$E$300,MATCH($F467,Nutrition!$A$2:$A$300,0))*$I467/100,0))</f>
        <v>24.48</v>
      </c>
      <c r="L467" s="30">
        <f>IF(OR($F467="",$I467=""),0,IFERROR(INDEX(Nutrition!$F$2:$F$300,MATCH($F467,Nutrition!$A$2:$A$300,0))*$I467/100,0))</f>
        <v>32.4</v>
      </c>
      <c r="M467" s="30">
        <f>IF(OR($F467="",$I467=""),0,IFERROR(INDEX(Nutrition!$G$2:$G$300,MATCH($F467,Nutrition!$A$2:$A$300,0))*$I467/100,0))</f>
        <v>1.08</v>
      </c>
      <c r="N467" s="30">
        <f>IF(OR($F467="",$I467=""),0,IFERROR(INDEX(Nutrition!$H$2:$H$300,MATCH($F467,Nutrition!$A$2:$A$300,0))*$I467/100,0))</f>
        <v>151.19999999999999</v>
      </c>
      <c r="O467" s="30">
        <f>IF(OR($F467="",$I467=""),0,IFERROR(INDEX(Nutrition!$I$2:$I$300,MATCH($F467,Nutrition!$A$2:$A$300,0))*$I467/100,0))</f>
        <v>972</v>
      </c>
      <c r="P467" s="30">
        <f>IF(OR($F467="",$I467=""),0,IFERROR(INDEX(Nutrition!$J$2:$J$300,MATCH($F467,Nutrition!$A$2:$A$300,0))*$I467/100,0))</f>
        <v>0.252</v>
      </c>
      <c r="Q467" s="30">
        <f>IF(OR($F467="",$I467=""),0,IFERROR(INDEX(Nutrition!$K$2:$K$300,MATCH($F467,Nutrition!$A$2:$A$300,0))*$I467/100,0))</f>
        <v>0.33479999999999999</v>
      </c>
      <c r="R467" s="30">
        <f>IF(OR($F467="",$I467=""),0,IFERROR(INDEX(Nutrition!$L$2:$L$300,MATCH($F467,Nutrition!$A$2:$A$300,0))*$I467/100,0))</f>
        <v>133.19999999999999</v>
      </c>
      <c r="S467" s="30">
        <f>IF(OR($F467="",$I467=""),0,IFERROR(INDEX(Nutrition!$M$2:$M$300,MATCH($F467,Nutrition!$A$2:$A$300,0))*$I467/100,0))</f>
        <v>1.8720000000000001</v>
      </c>
    </row>
    <row r="468" spans="1:19" ht="15" customHeight="1" x14ac:dyDescent="0.25">
      <c r="A468" s="22" t="s">
        <v>1551</v>
      </c>
      <c r="B468" s="33" t="str">
        <f>IFERROR(INDEX(Recipes!$B$2:$B$500,MATCH(A468,Recipes!$A$2:$A$500,0)),"")</f>
        <v>Roasted Corn with Lime &amp; Yaji Butter</v>
      </c>
      <c r="C468" s="7" t="s">
        <v>213</v>
      </c>
      <c r="D468" s="34">
        <v>1</v>
      </c>
      <c r="E468" s="22" t="s">
        <v>2754</v>
      </c>
      <c r="F468" s="22" t="s">
        <v>212</v>
      </c>
      <c r="G468" s="22" t="s">
        <v>2755</v>
      </c>
      <c r="H468" s="7"/>
      <c r="I468" s="35">
        <v>67</v>
      </c>
      <c r="J468" s="30">
        <f>IF(OR($F468="",$I468=""),0,IFERROR(INDEX(Nutrition!$D$2:$D$300,MATCH($F468,Nutrition!$A$2:$A$300,0))*$I468/100,0))</f>
        <v>1.8759999999999999</v>
      </c>
      <c r="K468" s="30">
        <f>IF(OR($F468="",$I468=""),0,IFERROR(INDEX(Nutrition!$E$2:$E$300,MATCH($F468,Nutrition!$A$2:$A$300,0))*$I468/100,0))</f>
        <v>19.497</v>
      </c>
      <c r="L468" s="30">
        <f>IF(OR($F468="",$I468=""),0,IFERROR(INDEX(Nutrition!$F$2:$F$300,MATCH($F468,Nutrition!$A$2:$A$300,0))*$I468/100,0))</f>
        <v>1.34</v>
      </c>
      <c r="M468" s="30">
        <f>IF(OR($F468="",$I468=""),0,IFERROR(INDEX(Nutrition!$G$2:$G$300,MATCH($F468,Nutrition!$A$2:$A$300,0))*$I468/100,0))</f>
        <v>0.40199999999999997</v>
      </c>
      <c r="N468" s="30">
        <f>IF(OR($F468="",$I468=""),0,IFERROR(INDEX(Nutrition!$H$2:$H$300,MATCH($F468,Nutrition!$A$2:$A$300,0))*$I468/100,0))</f>
        <v>5.36</v>
      </c>
      <c r="O468" s="30">
        <f>IF(OR($F468="",$I468=""),0,IFERROR(INDEX(Nutrition!$I$2:$I$300,MATCH($F468,Nutrition!$A$2:$A$300,0))*$I468/100,0))</f>
        <v>68.34</v>
      </c>
      <c r="P468" s="30">
        <f>IF(OR($F468="",$I468=""),0,IFERROR(INDEX(Nutrition!$J$2:$J$300,MATCH($F468,Nutrition!$A$2:$A$300,0))*$I468/100,0))</f>
        <v>0.1474</v>
      </c>
      <c r="Q468" s="30">
        <f>IF(OR($F468="",$I468=""),0,IFERROR(INDEX(Nutrition!$K$2:$K$300,MATCH($F468,Nutrition!$A$2:$A$300,0))*$I468/100,0))</f>
        <v>2.8809999999999999E-2</v>
      </c>
      <c r="R468" s="30">
        <f>IF(OR($F468="",$I468=""),0,IFERROR(INDEX(Nutrition!$L$2:$L$300,MATCH($F468,Nutrition!$A$2:$A$300,0))*$I468/100,0))</f>
        <v>4.0199999999999996</v>
      </c>
      <c r="S468" s="30">
        <f>IF(OR($F468="",$I468=""),0,IFERROR(INDEX(Nutrition!$M$2:$M$300,MATCH($F468,Nutrition!$A$2:$A$300,0))*$I468/100,0))</f>
        <v>0.40199999999999997</v>
      </c>
    </row>
    <row r="469" spans="1:19" ht="15" customHeight="1" x14ac:dyDescent="0.25">
      <c r="A469" s="22" t="s">
        <v>1551</v>
      </c>
      <c r="B469" s="33" t="str">
        <f>IFERROR(INDEX(Recipes!$B$2:$B$500,MATCH(A469,Recipes!$A$2:$A$500,0)),"")</f>
        <v>Roasted Corn with Lime &amp; Yaji Butter</v>
      </c>
      <c r="C469" s="7" t="s">
        <v>668</v>
      </c>
      <c r="D469" s="34">
        <v>1</v>
      </c>
      <c r="E469" s="22" t="s">
        <v>2809</v>
      </c>
      <c r="F469" s="22" t="s">
        <v>667</v>
      </c>
      <c r="G469" s="22" t="s">
        <v>2755</v>
      </c>
      <c r="H469" s="7"/>
      <c r="I469" s="35">
        <v>30</v>
      </c>
      <c r="J469" s="30">
        <f>IF(OR($F469="",$I469=""),0,IFERROR(INDEX(Nutrition!$D$2:$D$300,MATCH($F469,Nutrition!$A$2:$A$300,0))*$I469/100,0))</f>
        <v>0.84</v>
      </c>
      <c r="K469" s="30">
        <f>IF(OR($F469="",$I469=""),0,IFERROR(INDEX(Nutrition!$E$2:$E$300,MATCH($F469,Nutrition!$A$2:$A$300,0))*$I469/100,0))</f>
        <v>8.1</v>
      </c>
      <c r="L469" s="30">
        <f>IF(OR($F469="",$I469=""),0,IFERROR(INDEX(Nutrition!$F$2:$F$300,MATCH($F469,Nutrition!$A$2:$A$300,0))*$I469/100,0))</f>
        <v>101.1</v>
      </c>
      <c r="M469" s="30">
        <f>IF(OR($F469="",$I469=""),0,IFERROR(INDEX(Nutrition!$G$2:$G$300,MATCH($F469,Nutrition!$A$2:$A$300,0))*$I469/100,0))</f>
        <v>93</v>
      </c>
      <c r="N469" s="30">
        <f>IF(OR($F469="",$I469=""),0,IFERROR(INDEX(Nutrition!$H$2:$H$300,MATCH($F469,Nutrition!$A$2:$A$300,0))*$I469/100,0))</f>
        <v>18.600000000000001</v>
      </c>
      <c r="O469" s="30">
        <f>IF(OR($F469="",$I469=""),0,IFERROR(INDEX(Nutrition!$I$2:$I$300,MATCH($F469,Nutrition!$A$2:$A$300,0))*$I469/100,0))</f>
        <v>156.30000000000001</v>
      </c>
      <c r="P469" s="30">
        <f>IF(OR($F469="",$I469=""),0,IFERROR(INDEX(Nutrition!$J$2:$J$300,MATCH($F469,Nutrition!$A$2:$A$300,0))*$I469/100,0))</f>
        <v>0.75</v>
      </c>
      <c r="Q469" s="30">
        <f>IF(OR($F469="",$I469=""),0,IFERROR(INDEX(Nutrition!$K$2:$K$300,MATCH($F469,Nutrition!$A$2:$A$300,0))*$I469/100,0))</f>
        <v>4.4699999999999997E-2</v>
      </c>
      <c r="R469" s="30">
        <f>IF(OR($F469="",$I469=""),0,IFERROR(INDEX(Nutrition!$L$2:$L$300,MATCH($F469,Nutrition!$A$2:$A$300,0))*$I469/100,0))</f>
        <v>7.8</v>
      </c>
      <c r="S469" s="30">
        <f>IF(OR($F469="",$I469=""),0,IFERROR(INDEX(Nutrition!$M$2:$M$300,MATCH($F469,Nutrition!$A$2:$A$300,0))*$I469/100,0))</f>
        <v>0.53100000000000003</v>
      </c>
    </row>
    <row r="470" spans="1:19" ht="15" customHeight="1" x14ac:dyDescent="0.25">
      <c r="A470" s="22" t="s">
        <v>1551</v>
      </c>
      <c r="B470" s="33" t="str">
        <f>IFERROR(INDEX(Recipes!$B$2:$B$500,MATCH(A470,Recipes!$A$2:$A$500,0)),"")</f>
        <v>Roasted Corn with Lime &amp; Yaji Butter</v>
      </c>
      <c r="C470" s="7" t="s">
        <v>2842</v>
      </c>
      <c r="D470" s="34">
        <v>2</v>
      </c>
      <c r="E470" s="22" t="s">
        <v>2753</v>
      </c>
      <c r="F470" s="22"/>
      <c r="G470" s="22" t="s">
        <v>2749</v>
      </c>
      <c r="H470" s="7"/>
      <c r="I470" s="35"/>
      <c r="J470" s="30">
        <f>IF(OR($F470="",$I470=""),0,IFERROR(INDEX(Nutrition!$D$2:$D$300,MATCH($F470,Nutrition!$A$2:$A$300,0))*$I470/100,0))</f>
        <v>0</v>
      </c>
      <c r="K470" s="30">
        <f>IF(OR($F470="",$I470=""),0,IFERROR(INDEX(Nutrition!$E$2:$E$300,MATCH($F470,Nutrition!$A$2:$A$300,0))*$I470/100,0))</f>
        <v>0</v>
      </c>
      <c r="L470" s="30">
        <f>IF(OR($F470="",$I470=""),0,IFERROR(INDEX(Nutrition!$F$2:$F$300,MATCH($F470,Nutrition!$A$2:$A$300,0))*$I470/100,0))</f>
        <v>0</v>
      </c>
      <c r="M470" s="30">
        <f>IF(OR($F470="",$I470=""),0,IFERROR(INDEX(Nutrition!$G$2:$G$300,MATCH($F470,Nutrition!$A$2:$A$300,0))*$I470/100,0))</f>
        <v>0</v>
      </c>
      <c r="N470" s="30">
        <f>IF(OR($F470="",$I470=""),0,IFERROR(INDEX(Nutrition!$H$2:$H$300,MATCH($F470,Nutrition!$A$2:$A$300,0))*$I470/100,0))</f>
        <v>0</v>
      </c>
      <c r="O470" s="30">
        <f>IF(OR($F470="",$I470=""),0,IFERROR(INDEX(Nutrition!$I$2:$I$300,MATCH($F470,Nutrition!$A$2:$A$300,0))*$I470/100,0))</f>
        <v>0</v>
      </c>
      <c r="P470" s="30">
        <f>IF(OR($F470="",$I470=""),0,IFERROR(INDEX(Nutrition!$J$2:$J$300,MATCH($F470,Nutrition!$A$2:$A$300,0))*$I470/100,0))</f>
        <v>0</v>
      </c>
      <c r="Q470" s="30">
        <f>IF(OR($F470="",$I470=""),0,IFERROR(INDEX(Nutrition!$K$2:$K$300,MATCH($F470,Nutrition!$A$2:$A$300,0))*$I470/100,0))</f>
        <v>0</v>
      </c>
      <c r="R470" s="30">
        <f>IF(OR($F470="",$I470=""),0,IFERROR(INDEX(Nutrition!$L$2:$L$300,MATCH($F470,Nutrition!$A$2:$A$300,0))*$I470/100,0))</f>
        <v>0</v>
      </c>
      <c r="S470" s="30">
        <f>IF(OR($F470="",$I470=""),0,IFERROR(INDEX(Nutrition!$M$2:$M$300,MATCH($F470,Nutrition!$A$2:$A$300,0))*$I470/100,0))</f>
        <v>0</v>
      </c>
    </row>
    <row r="471" spans="1:19" ht="15" customHeight="1" x14ac:dyDescent="0.25">
      <c r="A471" s="22" t="s">
        <v>1551</v>
      </c>
      <c r="B471" s="33" t="str">
        <f>IFERROR(INDEX(Recipes!$B$2:$B$500,MATCH(A471,Recipes!$A$2:$A$500,0)),"")</f>
        <v>Roasted Corn with Lime &amp; Yaji Butter</v>
      </c>
      <c r="C471" s="7" t="s">
        <v>2798</v>
      </c>
      <c r="D471" s="34">
        <v>1</v>
      </c>
      <c r="E471" s="22" t="s">
        <v>2759</v>
      </c>
      <c r="F471" s="22"/>
      <c r="G471" s="22" t="s">
        <v>2749</v>
      </c>
      <c r="H471" s="7"/>
      <c r="I471" s="35"/>
      <c r="J471" s="30">
        <f>IF(OR($F471="",$I471=""),0,IFERROR(INDEX(Nutrition!$D$2:$D$300,MATCH($F471,Nutrition!$A$2:$A$300,0))*$I471/100,0))</f>
        <v>0</v>
      </c>
      <c r="K471" s="30">
        <f>IF(OR($F471="",$I471=""),0,IFERROR(INDEX(Nutrition!$E$2:$E$300,MATCH($F471,Nutrition!$A$2:$A$300,0))*$I471/100,0))</f>
        <v>0</v>
      </c>
      <c r="L471" s="30">
        <f>IF(OR($F471="",$I471=""),0,IFERROR(INDEX(Nutrition!$F$2:$F$300,MATCH($F471,Nutrition!$A$2:$A$300,0))*$I471/100,0))</f>
        <v>0</v>
      </c>
      <c r="M471" s="30">
        <f>IF(OR($F471="",$I471=""),0,IFERROR(INDEX(Nutrition!$G$2:$G$300,MATCH($F471,Nutrition!$A$2:$A$300,0))*$I471/100,0))</f>
        <v>0</v>
      </c>
      <c r="N471" s="30">
        <f>IF(OR($F471="",$I471=""),0,IFERROR(INDEX(Nutrition!$H$2:$H$300,MATCH($F471,Nutrition!$A$2:$A$300,0))*$I471/100,0))</f>
        <v>0</v>
      </c>
      <c r="O471" s="30">
        <f>IF(OR($F471="",$I471=""),0,IFERROR(INDEX(Nutrition!$I$2:$I$300,MATCH($F471,Nutrition!$A$2:$A$300,0))*$I471/100,0))</f>
        <v>0</v>
      </c>
      <c r="P471" s="30">
        <f>IF(OR($F471="",$I471=""),0,IFERROR(INDEX(Nutrition!$J$2:$J$300,MATCH($F471,Nutrition!$A$2:$A$300,0))*$I471/100,0))</f>
        <v>0</v>
      </c>
      <c r="Q471" s="30">
        <f>IF(OR($F471="",$I471=""),0,IFERROR(INDEX(Nutrition!$K$2:$K$300,MATCH($F471,Nutrition!$A$2:$A$300,0))*$I471/100,0))</f>
        <v>0</v>
      </c>
      <c r="R471" s="30">
        <f>IF(OR($F471="",$I471=""),0,IFERROR(INDEX(Nutrition!$L$2:$L$300,MATCH($F471,Nutrition!$A$2:$A$300,0))*$I471/100,0))</f>
        <v>0</v>
      </c>
      <c r="S471" s="30">
        <f>IF(OR($F471="",$I471=""),0,IFERROR(INDEX(Nutrition!$M$2:$M$300,MATCH($F471,Nutrition!$A$2:$A$300,0))*$I471/100,0))</f>
        <v>0</v>
      </c>
    </row>
    <row r="472" spans="1:19" ht="15" customHeight="1" x14ac:dyDescent="0.25">
      <c r="A472" s="22" t="s">
        <v>1551</v>
      </c>
      <c r="B472" s="33" t="str">
        <f>IFERROR(INDEX(Recipes!$B$2:$B$500,MATCH(A472,Recipes!$A$2:$A$500,0)),"")</f>
        <v>Roasted Corn with Lime &amp; Yaji Butter</v>
      </c>
      <c r="C472" s="7" t="s">
        <v>2867</v>
      </c>
      <c r="D472" s="34">
        <v>2</v>
      </c>
      <c r="E472" s="22" t="s">
        <v>2753</v>
      </c>
      <c r="F472" s="22"/>
      <c r="G472" s="22" t="s">
        <v>2749</v>
      </c>
      <c r="H472" s="7" t="s">
        <v>2760</v>
      </c>
      <c r="I472" s="35"/>
      <c r="J472" s="30">
        <f>IF(OR($F472="",$I472=""),0,IFERROR(INDEX(Nutrition!$D$2:$D$300,MATCH($F472,Nutrition!$A$2:$A$300,0))*$I472/100,0))</f>
        <v>0</v>
      </c>
      <c r="K472" s="30">
        <f>IF(OR($F472="",$I472=""),0,IFERROR(INDEX(Nutrition!$E$2:$E$300,MATCH($F472,Nutrition!$A$2:$A$300,0))*$I472/100,0))</f>
        <v>0</v>
      </c>
      <c r="L472" s="30">
        <f>IF(OR($F472="",$I472=""),0,IFERROR(INDEX(Nutrition!$F$2:$F$300,MATCH($F472,Nutrition!$A$2:$A$300,0))*$I472/100,0))</f>
        <v>0</v>
      </c>
      <c r="M472" s="30">
        <f>IF(OR($F472="",$I472=""),0,IFERROR(INDEX(Nutrition!$G$2:$G$300,MATCH($F472,Nutrition!$A$2:$A$300,0))*$I472/100,0))</f>
        <v>0</v>
      </c>
      <c r="N472" s="30">
        <f>IF(OR($F472="",$I472=""),0,IFERROR(INDEX(Nutrition!$H$2:$H$300,MATCH($F472,Nutrition!$A$2:$A$300,0))*$I472/100,0))</f>
        <v>0</v>
      </c>
      <c r="O472" s="30">
        <f>IF(OR($F472="",$I472=""),0,IFERROR(INDEX(Nutrition!$I$2:$I$300,MATCH($F472,Nutrition!$A$2:$A$300,0))*$I472/100,0))</f>
        <v>0</v>
      </c>
      <c r="P472" s="30">
        <f>IF(OR($F472="",$I472=""),0,IFERROR(INDEX(Nutrition!$J$2:$J$300,MATCH($F472,Nutrition!$A$2:$A$300,0))*$I472/100,0))</f>
        <v>0</v>
      </c>
      <c r="Q472" s="30">
        <f>IF(OR($F472="",$I472=""),0,IFERROR(INDEX(Nutrition!$K$2:$K$300,MATCH($F472,Nutrition!$A$2:$A$300,0))*$I472/100,0))</f>
        <v>0</v>
      </c>
      <c r="R472" s="30">
        <f>IF(OR($F472="",$I472=""),0,IFERROR(INDEX(Nutrition!$L$2:$L$300,MATCH($F472,Nutrition!$A$2:$A$300,0))*$I472/100,0))</f>
        <v>0</v>
      </c>
      <c r="S472" s="30">
        <f>IF(OR($F472="",$I472=""),0,IFERROR(INDEX(Nutrition!$M$2:$M$300,MATCH($F472,Nutrition!$A$2:$A$300,0))*$I472/100,0))</f>
        <v>0</v>
      </c>
    </row>
    <row r="473" spans="1:19" ht="15" customHeight="1" x14ac:dyDescent="0.25">
      <c r="A473" s="22" t="s">
        <v>1564</v>
      </c>
      <c r="B473" s="33" t="str">
        <f>IFERROR(INDEX(Recipes!$B$2:$B$500,MATCH(A473,Recipes!$A$2:$A$500,0)),"")</f>
        <v>Ginger Chicken &amp; Veg Stir-Fry</v>
      </c>
      <c r="C473" s="7" t="s">
        <v>2806</v>
      </c>
      <c r="D473" s="34">
        <v>2</v>
      </c>
      <c r="E473" s="22" t="s">
        <v>2754</v>
      </c>
      <c r="F473" s="22"/>
      <c r="G473" s="22" t="s">
        <v>2768</v>
      </c>
      <c r="H473" s="7"/>
      <c r="I473" s="35"/>
      <c r="J473" s="30">
        <f>IF(OR($F473="",$I473=""),0,IFERROR(INDEX(Nutrition!$D$2:$D$300,MATCH($F473,Nutrition!$A$2:$A$300,0))*$I473/100,0))</f>
        <v>0</v>
      </c>
      <c r="K473" s="30">
        <f>IF(OR($F473="",$I473=""),0,IFERROR(INDEX(Nutrition!$E$2:$E$300,MATCH($F473,Nutrition!$A$2:$A$300,0))*$I473/100,0))</f>
        <v>0</v>
      </c>
      <c r="L473" s="30">
        <f>IF(OR($F473="",$I473=""),0,IFERROR(INDEX(Nutrition!$F$2:$F$300,MATCH($F473,Nutrition!$A$2:$A$300,0))*$I473/100,0))</f>
        <v>0</v>
      </c>
      <c r="M473" s="30">
        <f>IF(OR($F473="",$I473=""),0,IFERROR(INDEX(Nutrition!$G$2:$G$300,MATCH($F473,Nutrition!$A$2:$A$300,0))*$I473/100,0))</f>
        <v>0</v>
      </c>
      <c r="N473" s="30">
        <f>IF(OR($F473="",$I473=""),0,IFERROR(INDEX(Nutrition!$H$2:$H$300,MATCH($F473,Nutrition!$A$2:$A$300,0))*$I473/100,0))</f>
        <v>0</v>
      </c>
      <c r="O473" s="30">
        <f>IF(OR($F473="",$I473=""),0,IFERROR(INDEX(Nutrition!$I$2:$I$300,MATCH($F473,Nutrition!$A$2:$A$300,0))*$I473/100,0))</f>
        <v>0</v>
      </c>
      <c r="P473" s="30">
        <f>IF(OR($F473="",$I473=""),0,IFERROR(INDEX(Nutrition!$J$2:$J$300,MATCH($F473,Nutrition!$A$2:$A$300,0))*$I473/100,0))</f>
        <v>0</v>
      </c>
      <c r="Q473" s="30">
        <f>IF(OR($F473="",$I473=""),0,IFERROR(INDEX(Nutrition!$K$2:$K$300,MATCH($F473,Nutrition!$A$2:$A$300,0))*$I473/100,0))</f>
        <v>0</v>
      </c>
      <c r="R473" s="30">
        <f>IF(OR($F473="",$I473=""),0,IFERROR(INDEX(Nutrition!$L$2:$L$300,MATCH($F473,Nutrition!$A$2:$A$300,0))*$I473/100,0))</f>
        <v>0</v>
      </c>
      <c r="S473" s="30">
        <f>IF(OR($F473="",$I473=""),0,IFERROR(INDEX(Nutrition!$M$2:$M$300,MATCH($F473,Nutrition!$A$2:$A$300,0))*$I473/100,0))</f>
        <v>0</v>
      </c>
    </row>
    <row r="474" spans="1:19" ht="15" customHeight="1" x14ac:dyDescent="0.25">
      <c r="A474" s="22" t="s">
        <v>1564</v>
      </c>
      <c r="B474" s="33" t="str">
        <f>IFERROR(INDEX(Recipes!$B$2:$B$500,MATCH(A474,Recipes!$A$2:$A$500,0)),"")</f>
        <v>Ginger Chicken &amp; Veg Stir-Fry</v>
      </c>
      <c r="C474" s="7" t="s">
        <v>576</v>
      </c>
      <c r="D474" s="34">
        <v>1</v>
      </c>
      <c r="E474" s="22" t="s">
        <v>2808</v>
      </c>
      <c r="F474" s="22" t="s">
        <v>575</v>
      </c>
      <c r="G474" s="22" t="s">
        <v>2755</v>
      </c>
      <c r="H474" s="7" t="s">
        <v>2850</v>
      </c>
      <c r="I474" s="35">
        <v>400</v>
      </c>
      <c r="J474" s="30">
        <f>IF(OR($F474="",$I474=""),0,IFERROR(INDEX(Nutrition!$D$2:$D$300,MATCH($F474,Nutrition!$A$2:$A$300,0))*$I474/100,0))</f>
        <v>10.4</v>
      </c>
      <c r="K474" s="30">
        <f>IF(OR($F474="",$I474=""),0,IFERROR(INDEX(Nutrition!$E$2:$E$300,MATCH($F474,Nutrition!$A$2:$A$300,0))*$I474/100,0))</f>
        <v>356.8</v>
      </c>
      <c r="L474" s="30">
        <f>IF(OR($F474="",$I474=""),0,IFERROR(INDEX(Nutrition!$F$2:$F$300,MATCH($F474,Nutrition!$A$2:$A$300,0))*$I474/100,0))</f>
        <v>124</v>
      </c>
      <c r="M474" s="30">
        <f>IF(OR($F474="",$I474=""),0,IFERROR(INDEX(Nutrition!$G$2:$G$300,MATCH($F474,Nutrition!$A$2:$A$300,0))*$I474/100,0))</f>
        <v>406.4</v>
      </c>
      <c r="N474" s="30">
        <f>IF(OR($F474="",$I474=""),0,IFERROR(INDEX(Nutrition!$H$2:$H$300,MATCH($F474,Nutrition!$A$2:$A$300,0))*$I474/100,0))</f>
        <v>252</v>
      </c>
      <c r="O474" s="30">
        <f>IF(OR($F474="",$I474=""),0,IFERROR(INDEX(Nutrition!$I$2:$I$300,MATCH($F474,Nutrition!$A$2:$A$300,0))*$I474/100,0))</f>
        <v>1264</v>
      </c>
      <c r="P474" s="30">
        <f>IF(OR($F474="",$I474=""),0,IFERROR(INDEX(Nutrition!$J$2:$J$300,MATCH($F474,Nutrition!$A$2:$A$300,0))*$I474/100,0))</f>
        <v>3.12</v>
      </c>
      <c r="Q474" s="30">
        <f>IF(OR($F474="",$I474=""),0,IFERROR(INDEX(Nutrition!$K$2:$K$300,MATCH($F474,Nutrition!$A$2:$A$300,0))*$I474/100,0))</f>
        <v>0.7</v>
      </c>
      <c r="R474" s="30">
        <f>IF(OR($F474="",$I474=""),0,IFERROR(INDEX(Nutrition!$L$2:$L$300,MATCH($F474,Nutrition!$A$2:$A$300,0))*$I474/100,0))</f>
        <v>84</v>
      </c>
      <c r="S474" s="30">
        <f>IF(OR($F474="",$I474=""),0,IFERROR(INDEX(Nutrition!$M$2:$M$300,MATCH($F474,Nutrition!$A$2:$A$300,0))*$I474/100,0))</f>
        <v>2.92</v>
      </c>
    </row>
    <row r="475" spans="1:19" ht="15" customHeight="1" x14ac:dyDescent="0.25">
      <c r="A475" s="22" t="s">
        <v>1564</v>
      </c>
      <c r="B475" s="33" t="str">
        <f>IFERROR(INDEX(Recipes!$B$2:$B$500,MATCH(A475,Recipes!$A$2:$A$500,0)),"")</f>
        <v>Ginger Chicken &amp; Veg Stir-Fry</v>
      </c>
      <c r="C475" s="7" t="s">
        <v>529</v>
      </c>
      <c r="D475" s="34">
        <v>2</v>
      </c>
      <c r="E475" s="22" t="s">
        <v>2754</v>
      </c>
      <c r="F475" s="22" t="s">
        <v>528</v>
      </c>
      <c r="G475" s="22" t="s">
        <v>2755</v>
      </c>
      <c r="H475" s="7"/>
      <c r="I475" s="35">
        <v>122</v>
      </c>
      <c r="J475" s="30">
        <f>IF(OR($F475="",$I475=""),0,IFERROR(INDEX(Nutrition!$D$2:$D$300,MATCH($F475,Nutrition!$A$2:$A$300,0))*$I475/100,0))</f>
        <v>3.4159999999999995</v>
      </c>
      <c r="K475" s="30">
        <f>IF(OR($F475="",$I475=""),0,IFERROR(INDEX(Nutrition!$E$2:$E$300,MATCH($F475,Nutrition!$A$2:$A$300,0))*$I475/100,0))</f>
        <v>7.1980000000000004</v>
      </c>
      <c r="L475" s="30">
        <f>IF(OR($F475="",$I475=""),0,IFERROR(INDEX(Nutrition!$F$2:$F$300,MATCH($F475,Nutrition!$A$2:$A$300,0))*$I475/100,0))</f>
        <v>1018.7</v>
      </c>
      <c r="M475" s="30">
        <f>IF(OR($F475="",$I475=""),0,IFERROR(INDEX(Nutrition!$G$2:$G$300,MATCH($F475,Nutrition!$A$2:$A$300,0))*$I475/100,0))</f>
        <v>16.103999999999999</v>
      </c>
      <c r="N475" s="30">
        <f>IF(OR($F475="",$I475=""),0,IFERROR(INDEX(Nutrition!$H$2:$H$300,MATCH($F475,Nutrition!$A$2:$A$300,0))*$I475/100,0))</f>
        <v>23.18</v>
      </c>
      <c r="O475" s="30">
        <f>IF(OR($F475="",$I475=""),0,IFERROR(INDEX(Nutrition!$I$2:$I$300,MATCH($F475,Nutrition!$A$2:$A$300,0))*$I475/100,0))</f>
        <v>390.4</v>
      </c>
      <c r="P475" s="30">
        <f>IF(OR($F475="",$I475=""),0,IFERROR(INDEX(Nutrition!$J$2:$J$300,MATCH($F475,Nutrition!$A$2:$A$300,0))*$I475/100,0))</f>
        <v>0.80520000000000014</v>
      </c>
      <c r="Q475" s="30">
        <f>IF(OR($F475="",$I475=""),0,IFERROR(INDEX(Nutrition!$K$2:$K$300,MATCH($F475,Nutrition!$A$2:$A$300,0))*$I475/100,0))</f>
        <v>0.16836000000000001</v>
      </c>
      <c r="R475" s="30">
        <f>IF(OR($F475="",$I475=""),0,IFERROR(INDEX(Nutrition!$L$2:$L$300,MATCH($F475,Nutrition!$A$2:$A$300,0))*$I475/100,0))</f>
        <v>14.64</v>
      </c>
      <c r="S475" s="30">
        <f>IF(OR($F475="",$I475=""),0,IFERROR(INDEX(Nutrition!$M$2:$M$300,MATCH($F475,Nutrition!$A$2:$A$300,0))*$I475/100,0))</f>
        <v>0.36599999999999999</v>
      </c>
    </row>
    <row r="476" spans="1:19" ht="15" customHeight="1" x14ac:dyDescent="0.25">
      <c r="A476" s="22" t="s">
        <v>1564</v>
      </c>
      <c r="B476" s="33" t="str">
        <f>IFERROR(INDEX(Recipes!$B$2:$B$500,MATCH(A476,Recipes!$A$2:$A$500,0)),"")</f>
        <v>Ginger Chicken &amp; Veg Stir-Fry</v>
      </c>
      <c r="C476" s="7" t="s">
        <v>462</v>
      </c>
      <c r="D476" s="34">
        <v>1</v>
      </c>
      <c r="E476" s="22" t="s">
        <v>2754</v>
      </c>
      <c r="F476" s="22" t="s">
        <v>461</v>
      </c>
      <c r="G476" s="22" t="s">
        <v>2755</v>
      </c>
      <c r="H476" s="7"/>
      <c r="I476" s="35">
        <v>119</v>
      </c>
      <c r="J476" s="30">
        <f>IF(OR($F476="",$I476=""),0,IFERROR(INDEX(Nutrition!$D$2:$D$300,MATCH($F476,Nutrition!$A$2:$A$300,0))*$I476/100,0))</f>
        <v>2.4990000000000001</v>
      </c>
      <c r="K476" s="30">
        <f>IF(OR($F476="",$I476=""),0,IFERROR(INDEX(Nutrition!$E$2:$E$300,MATCH($F476,Nutrition!$A$2:$A$300,0))*$I476/100,0))</f>
        <v>151.96300000000002</v>
      </c>
      <c r="L476" s="30">
        <f>IF(OR($F476="",$I476=""),0,IFERROR(INDEX(Nutrition!$F$2:$F$300,MATCH($F476,Nutrition!$A$2:$A$300,0))*$I476/100,0))</f>
        <v>186.83</v>
      </c>
      <c r="M476" s="30">
        <f>IF(OR($F476="",$I476=""),0,IFERROR(INDEX(Nutrition!$G$2:$G$300,MATCH($F476,Nutrition!$A$2:$A$300,0))*$I476/100,0))</f>
        <v>5.8310000000000004</v>
      </c>
      <c r="N476" s="30">
        <f>IF(OR($F476="",$I476=""),0,IFERROR(INDEX(Nutrition!$H$2:$H$300,MATCH($F476,Nutrition!$A$2:$A$300,0))*$I476/100,0))</f>
        <v>54.74</v>
      </c>
      <c r="O476" s="30">
        <f>IF(OR($F476="",$I476=""),0,IFERROR(INDEX(Nutrition!$I$2:$I$300,MATCH($F476,Nutrition!$A$2:$A$300,0))*$I476/100,0))</f>
        <v>251.09</v>
      </c>
      <c r="P476" s="30">
        <f>IF(OR($F476="",$I476=""),0,IFERROR(INDEX(Nutrition!$J$2:$J$300,MATCH($F476,Nutrition!$A$2:$A$300,0))*$I476/100,0))</f>
        <v>1.8802000000000001</v>
      </c>
      <c r="Q476" s="30">
        <f>IF(OR($F476="",$I476=""),0,IFERROR(INDEX(Nutrition!$K$2:$K$300,MATCH($F476,Nutrition!$A$2:$A$300,0))*$I476/100,0))</f>
        <v>0.34628999999999999</v>
      </c>
      <c r="R476" s="30">
        <f>IF(OR($F476="",$I476=""),0,IFERROR(INDEX(Nutrition!$L$2:$L$300,MATCH($F476,Nutrition!$A$2:$A$300,0))*$I476/100,0))</f>
        <v>14.28</v>
      </c>
      <c r="S476" s="30">
        <f>IF(OR($F476="",$I476=""),0,IFERROR(INDEX(Nutrition!$M$2:$M$300,MATCH($F476,Nutrition!$A$2:$A$300,0))*$I476/100,0))</f>
        <v>0.51170000000000004</v>
      </c>
    </row>
    <row r="477" spans="1:19" ht="15" customHeight="1" x14ac:dyDescent="0.25">
      <c r="A477" s="22" t="s">
        <v>1564</v>
      </c>
      <c r="B477" s="33" t="str">
        <f>IFERROR(INDEX(Recipes!$B$2:$B$500,MATCH(A477,Recipes!$A$2:$A$500,0)),"")</f>
        <v>Ginger Chicken &amp; Veg Stir-Fry</v>
      </c>
      <c r="C477" s="7" t="s">
        <v>468</v>
      </c>
      <c r="D477" s="34">
        <v>1</v>
      </c>
      <c r="E477" s="22" t="s">
        <v>2754</v>
      </c>
      <c r="F477" s="22" t="s">
        <v>467</v>
      </c>
      <c r="G477" s="22" t="s">
        <v>2755</v>
      </c>
      <c r="H477" s="7" t="s">
        <v>2825</v>
      </c>
      <c r="I477" s="35">
        <v>119</v>
      </c>
      <c r="J477" s="30">
        <f>IF(OR($F477="",$I477=""),0,IFERROR(INDEX(Nutrition!$D$2:$D$300,MATCH($F477,Nutrition!$A$2:$A$300,0))*$I477/100,0))</f>
        <v>2.0229999999999997</v>
      </c>
      <c r="K477" s="30">
        <f>IF(OR($F477="",$I477=""),0,IFERROR(INDEX(Nutrition!$E$2:$E$300,MATCH($F477,Nutrition!$A$2:$A$300,0))*$I477/100,0))</f>
        <v>95.676000000000002</v>
      </c>
      <c r="L477" s="30">
        <f>IF(OR($F477="",$I477=""),0,IFERROR(INDEX(Nutrition!$F$2:$F$300,MATCH($F477,Nutrition!$A$2:$A$300,0))*$I477/100,0))</f>
        <v>21.42</v>
      </c>
      <c r="M477" s="30">
        <f>IF(OR($F477="",$I477=""),0,IFERROR(INDEX(Nutrition!$G$2:$G$300,MATCH($F477,Nutrition!$A$2:$A$300,0))*$I477/100,0))</f>
        <v>8.8060000000000009</v>
      </c>
      <c r="N477" s="30">
        <f>IF(OR($F477="",$I477=""),0,IFERROR(INDEX(Nutrition!$H$2:$H$300,MATCH($F477,Nutrition!$A$2:$A$300,0))*$I477/100,0))</f>
        <v>11.9</v>
      </c>
      <c r="O477" s="30">
        <f>IF(OR($F477="",$I477=""),0,IFERROR(INDEX(Nutrition!$I$2:$I$300,MATCH($F477,Nutrition!$A$2:$A$300,0))*$I477/100,0))</f>
        <v>208.25</v>
      </c>
      <c r="P477" s="30">
        <f>IF(OR($F477="",$I477=""),0,IFERROR(INDEX(Nutrition!$J$2:$J$300,MATCH($F477,Nutrition!$A$2:$A$300,0))*$I477/100,0))</f>
        <v>0.44030000000000002</v>
      </c>
      <c r="Q477" s="30">
        <f>IF(OR($F477="",$I477=""),0,IFERROR(INDEX(Nutrition!$K$2:$K$300,MATCH($F477,Nutrition!$A$2:$A$300,0))*$I477/100,0))</f>
        <v>0.26655999999999996</v>
      </c>
      <c r="R477" s="30">
        <f>IF(OR($F477="",$I477=""),0,IFERROR(INDEX(Nutrition!$L$2:$L$300,MATCH($F477,Nutrition!$A$2:$A$300,0))*$I477/100,0))</f>
        <v>11.9</v>
      </c>
      <c r="S477" s="30">
        <f>IF(OR($F477="",$I477=""),0,IFERROR(INDEX(Nutrition!$M$2:$M$300,MATCH($F477,Nutrition!$A$2:$A$300,0))*$I477/100,0))</f>
        <v>0.40460000000000002</v>
      </c>
    </row>
    <row r="478" spans="1:19" ht="15" customHeight="1" x14ac:dyDescent="0.25">
      <c r="A478" s="22" t="s">
        <v>1564</v>
      </c>
      <c r="B478" s="33" t="str">
        <f>IFERROR(INDEX(Recipes!$B$2:$B$500,MATCH(A478,Recipes!$A$2:$A$500,0)),"")</f>
        <v>Ginger Chicken &amp; Veg Stir-Fry</v>
      </c>
      <c r="C478" s="7" t="s">
        <v>490</v>
      </c>
      <c r="D478" s="34">
        <v>3</v>
      </c>
      <c r="E478" s="22" t="s">
        <v>2820</v>
      </c>
      <c r="F478" s="22" t="s">
        <v>489</v>
      </c>
      <c r="G478" s="22" t="s">
        <v>2755</v>
      </c>
      <c r="H478" s="7"/>
      <c r="I478" s="35">
        <v>45</v>
      </c>
      <c r="J478" s="30">
        <f>IF(OR($F478="",$I478=""),0,IFERROR(INDEX(Nutrition!$D$2:$D$300,MATCH($F478,Nutrition!$A$2:$A$300,0))*$I478/100,0))</f>
        <v>1.17</v>
      </c>
      <c r="K478" s="30">
        <f>IF(OR($F478="",$I478=""),0,IFERROR(INDEX(Nutrition!$E$2:$E$300,MATCH($F478,Nutrition!$A$2:$A$300,0))*$I478/100,0))</f>
        <v>8.4600000000000009</v>
      </c>
      <c r="L478" s="30">
        <f>IF(OR($F478="",$I478=""),0,IFERROR(INDEX(Nutrition!$F$2:$F$300,MATCH($F478,Nutrition!$A$2:$A$300,0))*$I478/100,0))</f>
        <v>22.5</v>
      </c>
      <c r="M478" s="30">
        <f>IF(OR($F478="",$I478=""),0,IFERROR(INDEX(Nutrition!$G$2:$G$300,MATCH($F478,Nutrition!$A$2:$A$300,0))*$I478/100,0))</f>
        <v>93.15</v>
      </c>
      <c r="N478" s="30">
        <f>IF(OR($F478="",$I478=""),0,IFERROR(INDEX(Nutrition!$H$2:$H$300,MATCH($F478,Nutrition!$A$2:$A$300,0))*$I478/100,0))</f>
        <v>28.8</v>
      </c>
      <c r="O478" s="30">
        <f>IF(OR($F478="",$I478=""),0,IFERROR(INDEX(Nutrition!$I$2:$I$300,MATCH($F478,Nutrition!$A$2:$A$300,0))*$I478/100,0))</f>
        <v>124.2</v>
      </c>
      <c r="P478" s="30">
        <f>IF(OR($F478="",$I478=""),0,IFERROR(INDEX(Nutrition!$J$2:$J$300,MATCH($F478,Nutrition!$A$2:$A$300,0))*$I478/100,0))</f>
        <v>0.24750000000000003</v>
      </c>
      <c r="Q478" s="30">
        <f>IF(OR($F478="",$I478=""),0,IFERROR(INDEX(Nutrition!$K$2:$K$300,MATCH($F478,Nutrition!$A$2:$A$300,0))*$I478/100,0))</f>
        <v>2.7450000000000002E-2</v>
      </c>
      <c r="R478" s="30">
        <f>IF(OR($F478="",$I478=""),0,IFERROR(INDEX(Nutrition!$L$2:$L$300,MATCH($F478,Nutrition!$A$2:$A$300,0))*$I478/100,0))</f>
        <v>9</v>
      </c>
      <c r="S478" s="30">
        <f>IF(OR($F478="",$I478=""),0,IFERROR(INDEX(Nutrition!$M$2:$M$300,MATCH($F478,Nutrition!$A$2:$A$300,0))*$I478/100,0))</f>
        <v>0.66599999999999993</v>
      </c>
    </row>
    <row r="479" spans="1:19" ht="15" customHeight="1" x14ac:dyDescent="0.25">
      <c r="A479" s="22" t="s">
        <v>1564</v>
      </c>
      <c r="B479" s="33" t="str">
        <f>IFERROR(INDEX(Recipes!$B$2:$B$500,MATCH(A479,Recipes!$A$2:$A$500,0)),"")</f>
        <v>Ginger Chicken &amp; Veg Stir-Fry</v>
      </c>
      <c r="C479" s="7" t="s">
        <v>508</v>
      </c>
      <c r="D479" s="34">
        <v>1</v>
      </c>
      <c r="E479" s="22" t="s">
        <v>2821</v>
      </c>
      <c r="F479" s="22" t="s">
        <v>507</v>
      </c>
      <c r="G479" s="22" t="s">
        <v>2755</v>
      </c>
      <c r="H479" s="7"/>
      <c r="I479" s="35">
        <v>15</v>
      </c>
      <c r="J479" s="30">
        <f>IF(OR($F479="",$I479=""),0,IFERROR(INDEX(Nutrition!$D$2:$D$300,MATCH($F479,Nutrition!$A$2:$A$300,0))*$I479/100,0))</f>
        <v>0.3</v>
      </c>
      <c r="K479" s="30">
        <f>IF(OR($F479="",$I479=""),0,IFERROR(INDEX(Nutrition!$E$2:$E$300,MATCH($F479,Nutrition!$A$2:$A$300,0))*$I479/100,0))</f>
        <v>0.75</v>
      </c>
      <c r="L479" s="30">
        <f>IF(OR($F479="",$I479=""),0,IFERROR(INDEX(Nutrition!$F$2:$F$300,MATCH($F479,Nutrition!$A$2:$A$300,0))*$I479/100,0))</f>
        <v>0</v>
      </c>
      <c r="M479" s="30">
        <f>IF(OR($F479="",$I479=""),0,IFERROR(INDEX(Nutrition!$G$2:$G$300,MATCH($F479,Nutrition!$A$2:$A$300,0))*$I479/100,0))</f>
        <v>1.4999999999999999E-2</v>
      </c>
      <c r="N479" s="30">
        <f>IF(OR($F479="",$I479=""),0,IFERROR(INDEX(Nutrition!$H$2:$H$300,MATCH($F479,Nutrition!$A$2:$A$300,0))*$I479/100,0))</f>
        <v>1.65</v>
      </c>
      <c r="O479" s="30">
        <f>IF(OR($F479="",$I479=""),0,IFERROR(INDEX(Nutrition!$I$2:$I$300,MATCH($F479,Nutrition!$A$2:$A$300,0))*$I479/100,0))</f>
        <v>62.25</v>
      </c>
      <c r="P479" s="30">
        <f>IF(OR($F479="",$I479=""),0,IFERROR(INDEX(Nutrition!$J$2:$J$300,MATCH($F479,Nutrition!$A$2:$A$300,0))*$I479/100,0))</f>
        <v>3.9000000000000007E-2</v>
      </c>
      <c r="Q479" s="30">
        <f>IF(OR($F479="",$I479=""),0,IFERROR(INDEX(Nutrition!$K$2:$K$300,MATCH($F479,Nutrition!$A$2:$A$300,0))*$I479/100,0))</f>
        <v>2.4E-2</v>
      </c>
      <c r="R479" s="30">
        <f>IF(OR($F479="",$I479=""),0,IFERROR(INDEX(Nutrition!$L$2:$L$300,MATCH($F479,Nutrition!$A$2:$A$300,0))*$I479/100,0))</f>
        <v>6.45</v>
      </c>
      <c r="S479" s="30">
        <f>IF(OR($F479="",$I479=""),0,IFERROR(INDEX(Nutrition!$M$2:$M$300,MATCH($F479,Nutrition!$A$2:$A$300,0))*$I479/100,0))</f>
        <v>0.09</v>
      </c>
    </row>
    <row r="480" spans="1:19" ht="15" customHeight="1" x14ac:dyDescent="0.25">
      <c r="A480" s="22" t="s">
        <v>1564</v>
      </c>
      <c r="B480" s="33" t="str">
        <f>IFERROR(INDEX(Recipes!$B$2:$B$500,MATCH(A480,Recipes!$A$2:$A$500,0)),"")</f>
        <v>Ginger Chicken &amp; Veg Stir-Fry</v>
      </c>
      <c r="C480" s="7" t="s">
        <v>500</v>
      </c>
      <c r="D480" s="34">
        <v>3</v>
      </c>
      <c r="E480" s="22" t="s">
        <v>2776</v>
      </c>
      <c r="F480" s="22" t="s">
        <v>499</v>
      </c>
      <c r="G480" s="22" t="s">
        <v>2755</v>
      </c>
      <c r="H480" s="7"/>
      <c r="I480" s="35">
        <v>9</v>
      </c>
      <c r="J480" s="30">
        <f>IF(OR($F480="",$I480=""),0,IFERROR(INDEX(Nutrition!$D$2:$D$300,MATCH($F480,Nutrition!$A$2:$A$300,0))*$I480/100,0))</f>
        <v>0.18900000000000003</v>
      </c>
      <c r="K480" s="30">
        <f>IF(OR($F480="",$I480=""),0,IFERROR(INDEX(Nutrition!$E$2:$E$300,MATCH($F480,Nutrition!$A$2:$A$300,0))*$I480/100,0))</f>
        <v>2.8080000000000003</v>
      </c>
      <c r="L480" s="30">
        <f>IF(OR($F480="",$I480=""),0,IFERROR(INDEX(Nutrition!$F$2:$F$300,MATCH($F480,Nutrition!$A$2:$A$300,0))*$I480/100,0))</f>
        <v>0</v>
      </c>
      <c r="M480" s="30">
        <f>IF(OR($F480="",$I480=""),0,IFERROR(INDEX(Nutrition!$G$2:$G$300,MATCH($F480,Nutrition!$A$2:$A$300,0))*$I480/100,0))</f>
        <v>0.153</v>
      </c>
      <c r="N480" s="30">
        <f>IF(OR($F480="",$I480=""),0,IFERROR(INDEX(Nutrition!$H$2:$H$300,MATCH($F480,Nutrition!$A$2:$A$300,0))*$I480/100,0))</f>
        <v>0.27</v>
      </c>
      <c r="O480" s="30">
        <f>IF(OR($F480="",$I480=""),0,IFERROR(INDEX(Nutrition!$I$2:$I$300,MATCH($F480,Nutrition!$A$2:$A$300,0))*$I480/100,0))</f>
        <v>36.090000000000003</v>
      </c>
      <c r="P480" s="30">
        <f>IF(OR($F480="",$I480=""),0,IFERROR(INDEX(Nutrition!$J$2:$J$300,MATCH($F480,Nutrition!$A$2:$A$300,0))*$I480/100,0))</f>
        <v>7.1999999999999998E-3</v>
      </c>
      <c r="Q480" s="30">
        <f>IF(OR($F480="",$I480=""),0,IFERROR(INDEX(Nutrition!$K$2:$K$300,MATCH($F480,Nutrition!$A$2:$A$300,0))*$I480/100,0))</f>
        <v>0.11115</v>
      </c>
      <c r="R480" s="30">
        <f>IF(OR($F480="",$I480=""),0,IFERROR(INDEX(Nutrition!$L$2:$L$300,MATCH($F480,Nutrition!$A$2:$A$300,0))*$I480/100,0))</f>
        <v>2.25</v>
      </c>
      <c r="S480" s="30">
        <f>IF(OR($F480="",$I480=""),0,IFERROR(INDEX(Nutrition!$M$2:$M$300,MATCH($F480,Nutrition!$A$2:$A$300,0))*$I480/100,0))</f>
        <v>0.153</v>
      </c>
    </row>
    <row r="481" spans="1:19" ht="15" customHeight="1" x14ac:dyDescent="0.25">
      <c r="A481" s="22" t="s">
        <v>1564</v>
      </c>
      <c r="B481" s="33" t="str">
        <f>IFERROR(INDEX(Recipes!$B$2:$B$500,MATCH(A481,Recipes!$A$2:$A$500,0)),"")</f>
        <v>Ginger Chicken &amp; Veg Stir-Fry</v>
      </c>
      <c r="C481" s="7" t="s">
        <v>2823</v>
      </c>
      <c r="D481" s="34">
        <v>3</v>
      </c>
      <c r="E481" s="22" t="s">
        <v>2753</v>
      </c>
      <c r="F481" s="22"/>
      <c r="G481" s="22" t="s">
        <v>2749</v>
      </c>
      <c r="H481" s="7"/>
      <c r="I481" s="35"/>
      <c r="J481" s="30">
        <f>IF(OR($F481="",$I481=""),0,IFERROR(INDEX(Nutrition!$D$2:$D$300,MATCH($F481,Nutrition!$A$2:$A$300,0))*$I481/100,0))</f>
        <v>0</v>
      </c>
      <c r="K481" s="30">
        <f>IF(OR($F481="",$I481=""),0,IFERROR(INDEX(Nutrition!$E$2:$E$300,MATCH($F481,Nutrition!$A$2:$A$300,0))*$I481/100,0))</f>
        <v>0</v>
      </c>
      <c r="L481" s="30">
        <f>IF(OR($F481="",$I481=""),0,IFERROR(INDEX(Nutrition!$F$2:$F$300,MATCH($F481,Nutrition!$A$2:$A$300,0))*$I481/100,0))</f>
        <v>0</v>
      </c>
      <c r="M481" s="30">
        <f>IF(OR($F481="",$I481=""),0,IFERROR(INDEX(Nutrition!$G$2:$G$300,MATCH($F481,Nutrition!$A$2:$A$300,0))*$I481/100,0))</f>
        <v>0</v>
      </c>
      <c r="N481" s="30">
        <f>IF(OR($F481="",$I481=""),0,IFERROR(INDEX(Nutrition!$H$2:$H$300,MATCH($F481,Nutrition!$A$2:$A$300,0))*$I481/100,0))</f>
        <v>0</v>
      </c>
      <c r="O481" s="30">
        <f>IF(OR($F481="",$I481=""),0,IFERROR(INDEX(Nutrition!$I$2:$I$300,MATCH($F481,Nutrition!$A$2:$A$300,0))*$I481/100,0))</f>
        <v>0</v>
      </c>
      <c r="P481" s="30">
        <f>IF(OR($F481="",$I481=""),0,IFERROR(INDEX(Nutrition!$J$2:$J$300,MATCH($F481,Nutrition!$A$2:$A$300,0))*$I481/100,0))</f>
        <v>0</v>
      </c>
      <c r="Q481" s="30">
        <f>IF(OR($F481="",$I481=""),0,IFERROR(INDEX(Nutrition!$K$2:$K$300,MATCH($F481,Nutrition!$A$2:$A$300,0))*$I481/100,0))</f>
        <v>0</v>
      </c>
      <c r="R481" s="30">
        <f>IF(OR($F481="",$I481=""),0,IFERROR(INDEX(Nutrition!$L$2:$L$300,MATCH($F481,Nutrition!$A$2:$A$300,0))*$I481/100,0))</f>
        <v>0</v>
      </c>
      <c r="S481" s="30">
        <f>IF(OR($F481="",$I481=""),0,IFERROR(INDEX(Nutrition!$M$2:$M$300,MATCH($F481,Nutrition!$A$2:$A$300,0))*$I481/100,0))</f>
        <v>0</v>
      </c>
    </row>
    <row r="482" spans="1:19" ht="15" customHeight="1" x14ac:dyDescent="0.25">
      <c r="A482" s="22" t="s">
        <v>1564</v>
      </c>
      <c r="B482" s="33" t="str">
        <f>IFERROR(INDEX(Recipes!$B$2:$B$500,MATCH(A482,Recipes!$A$2:$A$500,0)),"")</f>
        <v>Ginger Chicken &amp; Veg Stir-Fry</v>
      </c>
      <c r="C482" s="7" t="s">
        <v>2872</v>
      </c>
      <c r="D482" s="34">
        <v>1</v>
      </c>
      <c r="E482" s="22" t="s">
        <v>2759</v>
      </c>
      <c r="F482" s="22"/>
      <c r="G482" s="22" t="s">
        <v>2749</v>
      </c>
      <c r="H482" s="7"/>
      <c r="I482" s="35"/>
      <c r="J482" s="30">
        <f>IF(OR($F482="",$I482=""),0,IFERROR(INDEX(Nutrition!$D$2:$D$300,MATCH($F482,Nutrition!$A$2:$A$300,0))*$I482/100,0))</f>
        <v>0</v>
      </c>
      <c r="K482" s="30">
        <f>IF(OR($F482="",$I482=""),0,IFERROR(INDEX(Nutrition!$E$2:$E$300,MATCH($F482,Nutrition!$A$2:$A$300,0))*$I482/100,0))</f>
        <v>0</v>
      </c>
      <c r="L482" s="30">
        <f>IF(OR($F482="",$I482=""),0,IFERROR(INDEX(Nutrition!$F$2:$F$300,MATCH($F482,Nutrition!$A$2:$A$300,0))*$I482/100,0))</f>
        <v>0</v>
      </c>
      <c r="M482" s="30">
        <f>IF(OR($F482="",$I482=""),0,IFERROR(INDEX(Nutrition!$G$2:$G$300,MATCH($F482,Nutrition!$A$2:$A$300,0))*$I482/100,0))</f>
        <v>0</v>
      </c>
      <c r="N482" s="30">
        <f>IF(OR($F482="",$I482=""),0,IFERROR(INDEX(Nutrition!$H$2:$H$300,MATCH($F482,Nutrition!$A$2:$A$300,0))*$I482/100,0))</f>
        <v>0</v>
      </c>
      <c r="O482" s="30">
        <f>IF(OR($F482="",$I482=""),0,IFERROR(INDEX(Nutrition!$I$2:$I$300,MATCH($F482,Nutrition!$A$2:$A$300,0))*$I482/100,0))</f>
        <v>0</v>
      </c>
      <c r="P482" s="30">
        <f>IF(OR($F482="",$I482=""),0,IFERROR(INDEX(Nutrition!$J$2:$J$300,MATCH($F482,Nutrition!$A$2:$A$300,0))*$I482/100,0))</f>
        <v>0</v>
      </c>
      <c r="Q482" s="30">
        <f>IF(OR($F482="",$I482=""),0,IFERROR(INDEX(Nutrition!$K$2:$K$300,MATCH($F482,Nutrition!$A$2:$A$300,0))*$I482/100,0))</f>
        <v>0</v>
      </c>
      <c r="R482" s="30">
        <f>IF(OR($F482="",$I482=""),0,IFERROR(INDEX(Nutrition!$L$2:$L$300,MATCH($F482,Nutrition!$A$2:$A$300,0))*$I482/100,0))</f>
        <v>0</v>
      </c>
      <c r="S482" s="30">
        <f>IF(OR($F482="",$I482=""),0,IFERROR(INDEX(Nutrition!$M$2:$M$300,MATCH($F482,Nutrition!$A$2:$A$300,0))*$I482/100,0))</f>
        <v>0</v>
      </c>
    </row>
    <row r="483" spans="1:19" ht="15" customHeight="1" x14ac:dyDescent="0.25">
      <c r="A483" s="22" t="s">
        <v>1564</v>
      </c>
      <c r="B483" s="33" t="str">
        <f>IFERROR(INDEX(Recipes!$B$2:$B$500,MATCH(A483,Recipes!$A$2:$A$500,0)),"")</f>
        <v>Ginger Chicken &amp; Veg Stir-Fry</v>
      </c>
      <c r="C483" s="7" t="s">
        <v>2857</v>
      </c>
      <c r="D483" s="34">
        <v>1</v>
      </c>
      <c r="E483" s="22" t="s">
        <v>2748</v>
      </c>
      <c r="F483" s="22"/>
      <c r="G483" s="22" t="s">
        <v>2749</v>
      </c>
      <c r="H483" s="7"/>
      <c r="I483" s="35"/>
      <c r="J483" s="30">
        <f>IF(OR($F483="",$I483=""),0,IFERROR(INDEX(Nutrition!$D$2:$D$300,MATCH($F483,Nutrition!$A$2:$A$300,0))*$I483/100,0))</f>
        <v>0</v>
      </c>
      <c r="K483" s="30">
        <f>IF(OR($F483="",$I483=""),0,IFERROR(INDEX(Nutrition!$E$2:$E$300,MATCH($F483,Nutrition!$A$2:$A$300,0))*$I483/100,0))</f>
        <v>0</v>
      </c>
      <c r="L483" s="30">
        <f>IF(OR($F483="",$I483=""),0,IFERROR(INDEX(Nutrition!$F$2:$F$300,MATCH($F483,Nutrition!$A$2:$A$300,0))*$I483/100,0))</f>
        <v>0</v>
      </c>
      <c r="M483" s="30">
        <f>IF(OR($F483="",$I483=""),0,IFERROR(INDEX(Nutrition!$G$2:$G$300,MATCH($F483,Nutrition!$A$2:$A$300,0))*$I483/100,0))</f>
        <v>0</v>
      </c>
      <c r="N483" s="30">
        <f>IF(OR($F483="",$I483=""),0,IFERROR(INDEX(Nutrition!$H$2:$H$300,MATCH($F483,Nutrition!$A$2:$A$300,0))*$I483/100,0))</f>
        <v>0</v>
      </c>
      <c r="O483" s="30">
        <f>IF(OR($F483="",$I483=""),0,IFERROR(INDEX(Nutrition!$I$2:$I$300,MATCH($F483,Nutrition!$A$2:$A$300,0))*$I483/100,0))</f>
        <v>0</v>
      </c>
      <c r="P483" s="30">
        <f>IF(OR($F483="",$I483=""),0,IFERROR(INDEX(Nutrition!$J$2:$J$300,MATCH($F483,Nutrition!$A$2:$A$300,0))*$I483/100,0))</f>
        <v>0</v>
      </c>
      <c r="Q483" s="30">
        <f>IF(OR($F483="",$I483=""),0,IFERROR(INDEX(Nutrition!$K$2:$K$300,MATCH($F483,Nutrition!$A$2:$A$300,0))*$I483/100,0))</f>
        <v>0</v>
      </c>
      <c r="R483" s="30">
        <f>IF(OR($F483="",$I483=""),0,IFERROR(INDEX(Nutrition!$L$2:$L$300,MATCH($F483,Nutrition!$A$2:$A$300,0))*$I483/100,0))</f>
        <v>0</v>
      </c>
      <c r="S483" s="30">
        <f>IF(OR($F483="",$I483=""),0,IFERROR(INDEX(Nutrition!$M$2:$M$300,MATCH($F483,Nutrition!$A$2:$A$300,0))*$I483/100,0))</f>
        <v>0</v>
      </c>
    </row>
    <row r="484" spans="1:19" ht="15" customHeight="1" x14ac:dyDescent="0.25">
      <c r="A484" s="22" t="s">
        <v>1564</v>
      </c>
      <c r="B484" s="33" t="str">
        <f>IFERROR(INDEX(Recipes!$B$2:$B$500,MATCH(A484,Recipes!$A$2:$A$500,0)),"")</f>
        <v>Ginger Chicken &amp; Veg Stir-Fry</v>
      </c>
      <c r="C484" s="7" t="s">
        <v>2772</v>
      </c>
      <c r="D484" s="34">
        <v>1</v>
      </c>
      <c r="E484" s="22" t="s">
        <v>2753</v>
      </c>
      <c r="F484" s="22"/>
      <c r="G484" s="22" t="s">
        <v>2773</v>
      </c>
      <c r="H484" s="7"/>
      <c r="I484" s="35"/>
      <c r="J484" s="30">
        <f>IF(OR($F484="",$I484=""),0,IFERROR(INDEX(Nutrition!$D$2:$D$300,MATCH($F484,Nutrition!$A$2:$A$300,0))*$I484/100,0))</f>
        <v>0</v>
      </c>
      <c r="K484" s="30">
        <f>IF(OR($F484="",$I484=""),0,IFERROR(INDEX(Nutrition!$E$2:$E$300,MATCH($F484,Nutrition!$A$2:$A$300,0))*$I484/100,0))</f>
        <v>0</v>
      </c>
      <c r="L484" s="30">
        <f>IF(OR($F484="",$I484=""),0,IFERROR(INDEX(Nutrition!$F$2:$F$300,MATCH($F484,Nutrition!$A$2:$A$300,0))*$I484/100,0))</f>
        <v>0</v>
      </c>
      <c r="M484" s="30">
        <f>IF(OR($F484="",$I484=""),0,IFERROR(INDEX(Nutrition!$G$2:$G$300,MATCH($F484,Nutrition!$A$2:$A$300,0))*$I484/100,0))</f>
        <v>0</v>
      </c>
      <c r="N484" s="30">
        <f>IF(OR($F484="",$I484=""),0,IFERROR(INDEX(Nutrition!$H$2:$H$300,MATCH($F484,Nutrition!$A$2:$A$300,0))*$I484/100,0))</f>
        <v>0</v>
      </c>
      <c r="O484" s="30">
        <f>IF(OR($F484="",$I484=""),0,IFERROR(INDEX(Nutrition!$I$2:$I$300,MATCH($F484,Nutrition!$A$2:$A$300,0))*$I484/100,0))</f>
        <v>0</v>
      </c>
      <c r="P484" s="30">
        <f>IF(OR($F484="",$I484=""),0,IFERROR(INDEX(Nutrition!$J$2:$J$300,MATCH($F484,Nutrition!$A$2:$A$300,0))*$I484/100,0))</f>
        <v>0</v>
      </c>
      <c r="Q484" s="30">
        <f>IF(OR($F484="",$I484=""),0,IFERROR(INDEX(Nutrition!$K$2:$K$300,MATCH($F484,Nutrition!$A$2:$A$300,0))*$I484/100,0))</f>
        <v>0</v>
      </c>
      <c r="R484" s="30">
        <f>IF(OR($F484="",$I484=""),0,IFERROR(INDEX(Nutrition!$L$2:$L$300,MATCH($F484,Nutrition!$A$2:$A$300,0))*$I484/100,0))</f>
        <v>0</v>
      </c>
      <c r="S484" s="30">
        <f>IF(OR($F484="",$I484=""),0,IFERROR(INDEX(Nutrition!$M$2:$M$300,MATCH($F484,Nutrition!$A$2:$A$300,0))*$I484/100,0))</f>
        <v>0</v>
      </c>
    </row>
    <row r="485" spans="1:19" ht="15" customHeight="1" x14ac:dyDescent="0.25">
      <c r="A485" s="22" t="s">
        <v>1575</v>
      </c>
      <c r="B485" s="33" t="str">
        <f>IFERROR(INDEX(Recipes!$B$2:$B$500,MATCH(A485,Recipes!$A$2:$A$500,0)),"")</f>
        <v>Thai Green Curry with Pumpkin &amp; Ugu</v>
      </c>
      <c r="C485" s="7" t="s">
        <v>2873</v>
      </c>
      <c r="D485" s="34">
        <v>400</v>
      </c>
      <c r="E485" s="22" t="s">
        <v>2813</v>
      </c>
      <c r="F485" s="22"/>
      <c r="G485" s="22" t="s">
        <v>2768</v>
      </c>
      <c r="H485" s="7"/>
      <c r="I485" s="35"/>
      <c r="J485" s="30">
        <f>IF(OR($F485="",$I485=""),0,IFERROR(INDEX(Nutrition!$D$2:$D$300,MATCH($F485,Nutrition!$A$2:$A$300,0))*$I485/100,0))</f>
        <v>0</v>
      </c>
      <c r="K485" s="30">
        <f>IF(OR($F485="",$I485=""),0,IFERROR(INDEX(Nutrition!$E$2:$E$300,MATCH($F485,Nutrition!$A$2:$A$300,0))*$I485/100,0))</f>
        <v>0</v>
      </c>
      <c r="L485" s="30">
        <f>IF(OR($F485="",$I485=""),0,IFERROR(INDEX(Nutrition!$F$2:$F$300,MATCH($F485,Nutrition!$A$2:$A$300,0))*$I485/100,0))</f>
        <v>0</v>
      </c>
      <c r="M485" s="30">
        <f>IF(OR($F485="",$I485=""),0,IFERROR(INDEX(Nutrition!$G$2:$G$300,MATCH($F485,Nutrition!$A$2:$A$300,0))*$I485/100,0))</f>
        <v>0</v>
      </c>
      <c r="N485" s="30">
        <f>IF(OR($F485="",$I485=""),0,IFERROR(INDEX(Nutrition!$H$2:$H$300,MATCH($F485,Nutrition!$A$2:$A$300,0))*$I485/100,0))</f>
        <v>0</v>
      </c>
      <c r="O485" s="30">
        <f>IF(OR($F485="",$I485=""),0,IFERROR(INDEX(Nutrition!$I$2:$I$300,MATCH($F485,Nutrition!$A$2:$A$300,0))*$I485/100,0))</f>
        <v>0</v>
      </c>
      <c r="P485" s="30">
        <f>IF(OR($F485="",$I485=""),0,IFERROR(INDEX(Nutrition!$J$2:$J$300,MATCH($F485,Nutrition!$A$2:$A$300,0))*$I485/100,0))</f>
        <v>0</v>
      </c>
      <c r="Q485" s="30">
        <f>IF(OR($F485="",$I485=""),0,IFERROR(INDEX(Nutrition!$K$2:$K$300,MATCH($F485,Nutrition!$A$2:$A$300,0))*$I485/100,0))</f>
        <v>0</v>
      </c>
      <c r="R485" s="30">
        <f>IF(OR($F485="",$I485=""),0,IFERROR(INDEX(Nutrition!$L$2:$L$300,MATCH($F485,Nutrition!$A$2:$A$300,0))*$I485/100,0))</f>
        <v>0</v>
      </c>
      <c r="S485" s="30">
        <f>IF(OR($F485="",$I485=""),0,IFERROR(INDEX(Nutrition!$M$2:$M$300,MATCH($F485,Nutrition!$A$2:$A$300,0))*$I485/100,0))</f>
        <v>0</v>
      </c>
    </row>
    <row r="486" spans="1:19" ht="15" customHeight="1" x14ac:dyDescent="0.25">
      <c r="A486" s="22" t="s">
        <v>1575</v>
      </c>
      <c r="B486" s="33" t="str">
        <f>IFERROR(INDEX(Recipes!$B$2:$B$500,MATCH(A486,Recipes!$A$2:$A$500,0)),"")</f>
        <v>Thai Green Curry with Pumpkin &amp; Ugu</v>
      </c>
      <c r="C486" s="7" t="s">
        <v>603</v>
      </c>
      <c r="D486" s="34">
        <v>2</v>
      </c>
      <c r="E486" s="22" t="s">
        <v>2790</v>
      </c>
      <c r="F486" s="22" t="s">
        <v>602</v>
      </c>
      <c r="G486" s="22" t="s">
        <v>2755</v>
      </c>
      <c r="H486" s="7" t="s">
        <v>2810</v>
      </c>
      <c r="I486" s="35">
        <v>232</v>
      </c>
      <c r="J486" s="30">
        <f>IF(OR($F486="",$I486=""),0,IFERROR(INDEX(Nutrition!$D$2:$D$300,MATCH($F486,Nutrition!$A$2:$A$300,0))*$I486/100,0))</f>
        <v>1.1599999999999999</v>
      </c>
      <c r="K486" s="30">
        <f>IF(OR($F486="",$I486=""),0,IFERROR(INDEX(Nutrition!$E$2:$E$300,MATCH($F486,Nutrition!$A$2:$A$300,0))*$I486/100,0))</f>
        <v>20.88</v>
      </c>
      <c r="L486" s="30">
        <f>IF(OR($F486="",$I486=""),0,IFERROR(INDEX(Nutrition!$F$2:$F$300,MATCH($F486,Nutrition!$A$2:$A$300,0))*$I486/100,0))</f>
        <v>988.32</v>
      </c>
      <c r="M486" s="30">
        <f>IF(OR($F486="",$I486=""),0,IFERROR(INDEX(Nutrition!$G$2:$G$300,MATCH($F486,Nutrition!$A$2:$A$300,0))*$I486/100,0))</f>
        <v>2.552</v>
      </c>
      <c r="N486" s="30">
        <f>IF(OR($F486="",$I486=""),0,IFERROR(INDEX(Nutrition!$H$2:$H$300,MATCH($F486,Nutrition!$A$2:$A$300,0))*$I486/100,0))</f>
        <v>37.119999999999997</v>
      </c>
      <c r="O486" s="30">
        <f>IF(OR($F486="",$I486=""),0,IFERROR(INDEX(Nutrition!$I$2:$I$300,MATCH($F486,Nutrition!$A$2:$A$300,0))*$I486/100,0))</f>
        <v>788.8</v>
      </c>
      <c r="P486" s="30">
        <f>IF(OR($F486="",$I486=""),0,IFERROR(INDEX(Nutrition!$J$2:$J$300,MATCH($F486,Nutrition!$A$2:$A$300,0))*$I486/100,0))</f>
        <v>2.4592000000000001</v>
      </c>
      <c r="Q486" s="30">
        <f>IF(OR($F486="",$I486=""),0,IFERROR(INDEX(Nutrition!$K$2:$K$300,MATCH($F486,Nutrition!$A$2:$A$300,0))*$I486/100,0))</f>
        <v>0.14151999999999998</v>
      </c>
      <c r="R486" s="30">
        <f>IF(OR($F486="",$I486=""),0,IFERROR(INDEX(Nutrition!$L$2:$L$300,MATCH($F486,Nutrition!$A$2:$A$300,0))*$I486/100,0))</f>
        <v>27.84</v>
      </c>
      <c r="S486" s="30">
        <f>IF(OR($F486="",$I486=""),0,IFERROR(INDEX(Nutrition!$M$2:$M$300,MATCH($F486,Nutrition!$A$2:$A$300,0))*$I486/100,0))</f>
        <v>1.8560000000000003</v>
      </c>
    </row>
    <row r="487" spans="1:19" ht="15" customHeight="1" x14ac:dyDescent="0.25">
      <c r="A487" s="22" t="s">
        <v>1575</v>
      </c>
      <c r="B487" s="33" t="str">
        <f>IFERROR(INDEX(Recipes!$B$2:$B$500,MATCH(A487,Recipes!$A$2:$A$500,0)),"")</f>
        <v>Thai Green Curry with Pumpkin &amp; Ugu</v>
      </c>
      <c r="C487" s="7" t="s">
        <v>554</v>
      </c>
      <c r="D487" s="34">
        <v>100</v>
      </c>
      <c r="E487" s="22" t="s">
        <v>2813</v>
      </c>
      <c r="F487" s="22" t="s">
        <v>553</v>
      </c>
      <c r="G487" s="22" t="s">
        <v>2755</v>
      </c>
      <c r="H487" s="7"/>
      <c r="I487" s="35">
        <v>100</v>
      </c>
      <c r="J487" s="30">
        <f>IF(OR($F487="",$I487=""),0,IFERROR(INDEX(Nutrition!$D$2:$D$300,MATCH($F487,Nutrition!$A$2:$A$300,0))*$I487/100,0))</f>
        <v>2.7</v>
      </c>
      <c r="K487" s="30">
        <f>IF(OR($F487="",$I487=""),0,IFERROR(INDEX(Nutrition!$E$2:$E$300,MATCH($F487,Nutrition!$A$2:$A$300,0))*$I487/100,0))</f>
        <v>12.2</v>
      </c>
      <c r="L487" s="30">
        <f>IF(OR($F487="",$I487=""),0,IFERROR(INDEX(Nutrition!$F$2:$F$300,MATCH($F487,Nutrition!$A$2:$A$300,0))*$I487/100,0))</f>
        <v>35</v>
      </c>
      <c r="M487" s="30">
        <f>IF(OR($F487="",$I487=""),0,IFERROR(INDEX(Nutrition!$G$2:$G$300,MATCH($F487,Nutrition!$A$2:$A$300,0))*$I487/100,0))</f>
        <v>43</v>
      </c>
      <c r="N487" s="30">
        <f>IF(OR($F487="",$I487=""),0,IFERROR(INDEX(Nutrition!$H$2:$H$300,MATCH($F487,Nutrition!$A$2:$A$300,0))*$I487/100,0))</f>
        <v>33</v>
      </c>
      <c r="O487" s="30">
        <f>IF(OR($F487="",$I487=""),0,IFERROR(INDEX(Nutrition!$I$2:$I$300,MATCH($F487,Nutrition!$A$2:$A$300,0))*$I487/100,0))</f>
        <v>211</v>
      </c>
      <c r="P487" s="30">
        <f>IF(OR($F487="",$I487=""),0,IFERROR(INDEX(Nutrition!$J$2:$J$300,MATCH($F487,Nutrition!$A$2:$A$300,0))*$I487/100,0))</f>
        <v>0.41</v>
      </c>
      <c r="Q487" s="30">
        <f>IF(OR($F487="",$I487=""),0,IFERROR(INDEX(Nutrition!$K$2:$K$300,MATCH($F487,Nutrition!$A$2:$A$300,0))*$I487/100,0))</f>
        <v>0.14099999999999999</v>
      </c>
      <c r="R487" s="30">
        <f>IF(OR($F487="",$I487=""),0,IFERROR(INDEX(Nutrition!$L$2:$L$300,MATCH($F487,Nutrition!$A$2:$A$300,0))*$I487/100,0))</f>
        <v>25</v>
      </c>
      <c r="S487" s="30">
        <f>IF(OR($F487="",$I487=""),0,IFERROR(INDEX(Nutrition!$M$2:$M$300,MATCH($F487,Nutrition!$A$2:$A$300,0))*$I487/100,0))</f>
        <v>1.03</v>
      </c>
    </row>
    <row r="488" spans="1:19" ht="15" customHeight="1" x14ac:dyDescent="0.25">
      <c r="A488" s="22" t="s">
        <v>1575</v>
      </c>
      <c r="B488" s="33" t="str">
        <f>IFERROR(INDEX(Recipes!$B$2:$B$500,MATCH(A488,Recipes!$A$2:$A$500,0)),"")</f>
        <v>Thai Green Curry with Pumpkin &amp; Ugu</v>
      </c>
      <c r="C488" s="7" t="s">
        <v>628</v>
      </c>
      <c r="D488" s="34">
        <v>2</v>
      </c>
      <c r="E488" s="22" t="s">
        <v>2790</v>
      </c>
      <c r="F488" s="22" t="s">
        <v>627</v>
      </c>
      <c r="G488" s="22" t="s">
        <v>2755</v>
      </c>
      <c r="H488" s="7"/>
      <c r="I488" s="35">
        <v>60</v>
      </c>
      <c r="J488" s="30">
        <f>IF(OR($F488="",$I488=""),0,IFERROR(INDEX(Nutrition!$D$2:$D$300,MATCH($F488,Nutrition!$A$2:$A$300,0))*$I488/100,0))</f>
        <v>1.56</v>
      </c>
      <c r="K488" s="30">
        <f>IF(OR($F488="",$I488=""),0,IFERROR(INDEX(Nutrition!$E$2:$E$300,MATCH($F488,Nutrition!$A$2:$A$300,0))*$I488/100,0))</f>
        <v>16.8</v>
      </c>
      <c r="L488" s="30">
        <f>IF(OR($F488="",$I488=""),0,IFERROR(INDEX(Nutrition!$F$2:$F$300,MATCH($F488,Nutrition!$A$2:$A$300,0))*$I488/100,0))</f>
        <v>168</v>
      </c>
      <c r="M488" s="30">
        <f>IF(OR($F488="",$I488=""),0,IFERROR(INDEX(Nutrition!$G$2:$G$300,MATCH($F488,Nutrition!$A$2:$A$300,0))*$I488/100,0))</f>
        <v>0</v>
      </c>
      <c r="N488" s="30">
        <f>IF(OR($F488="",$I488=""),0,IFERROR(INDEX(Nutrition!$H$2:$H$300,MATCH($F488,Nutrition!$A$2:$A$300,0))*$I488/100,0))</f>
        <v>51</v>
      </c>
      <c r="O488" s="30">
        <f>IF(OR($F488="",$I488=""),0,IFERROR(INDEX(Nutrition!$I$2:$I$300,MATCH($F488,Nutrition!$A$2:$A$300,0))*$I488/100,0))</f>
        <v>270</v>
      </c>
      <c r="P488" s="30">
        <f>IF(OR($F488="",$I488=""),0,IFERROR(INDEX(Nutrition!$J$2:$J$300,MATCH($F488,Nutrition!$A$2:$A$300,0))*$I488/100,0))</f>
        <v>0</v>
      </c>
      <c r="Q488" s="30">
        <f>IF(OR($F488="",$I488=""),0,IFERROR(INDEX(Nutrition!$K$2:$K$300,MATCH($F488,Nutrition!$A$2:$A$300,0))*$I488/100,0))</f>
        <v>0</v>
      </c>
      <c r="R488" s="30">
        <f>IF(OR($F488="",$I488=""),0,IFERROR(INDEX(Nutrition!$L$2:$L$300,MATCH($F488,Nutrition!$A$2:$A$300,0))*$I488/100,0))</f>
        <v>30</v>
      </c>
      <c r="S488" s="30">
        <f>IF(OR($F488="",$I488=""),0,IFERROR(INDEX(Nutrition!$M$2:$M$300,MATCH($F488,Nutrition!$A$2:$A$300,0))*$I488/100,0))</f>
        <v>1.5</v>
      </c>
    </row>
    <row r="489" spans="1:19" ht="15" customHeight="1" x14ac:dyDescent="0.25">
      <c r="A489" s="22" t="s">
        <v>1575</v>
      </c>
      <c r="B489" s="33" t="str">
        <f>IFERROR(INDEX(Recipes!$B$2:$B$500,MATCH(A489,Recipes!$A$2:$A$500,0)),"")</f>
        <v>Thai Green Curry with Pumpkin &amp; Ugu</v>
      </c>
      <c r="C489" s="7" t="s">
        <v>681</v>
      </c>
      <c r="D489" s="34">
        <v>1</v>
      </c>
      <c r="E489" s="22" t="s">
        <v>2788</v>
      </c>
      <c r="F489" s="22" t="s">
        <v>680</v>
      </c>
      <c r="G489" s="22" t="s">
        <v>2755</v>
      </c>
      <c r="H489" s="7"/>
      <c r="I489" s="35">
        <v>20</v>
      </c>
      <c r="J489" s="30">
        <f>IF(OR($F489="",$I489=""),0,IFERROR(INDEX(Nutrition!$D$2:$D$300,MATCH($F489,Nutrition!$A$2:$A$300,0))*$I489/100,0))</f>
        <v>0</v>
      </c>
      <c r="K489" s="30">
        <f>IF(OR($F489="",$I489=""),0,IFERROR(INDEX(Nutrition!$E$2:$E$300,MATCH($F489,Nutrition!$A$2:$A$300,0))*$I489/100,0))</f>
        <v>0.52</v>
      </c>
      <c r="L489" s="30">
        <f>IF(OR($F489="",$I489=""),0,IFERROR(INDEX(Nutrition!$F$2:$F$300,MATCH($F489,Nutrition!$A$2:$A$300,0))*$I489/100,0))</f>
        <v>0</v>
      </c>
      <c r="M489" s="30">
        <f>IF(OR($F489="",$I489=""),0,IFERROR(INDEX(Nutrition!$G$2:$G$300,MATCH($F489,Nutrition!$A$2:$A$300,0))*$I489/100,0))</f>
        <v>0</v>
      </c>
      <c r="N489" s="30">
        <f>IF(OR($F489="",$I489=""),0,IFERROR(INDEX(Nutrition!$H$2:$H$300,MATCH($F489,Nutrition!$A$2:$A$300,0))*$I489/100,0))</f>
        <v>15</v>
      </c>
      <c r="O489" s="30">
        <f>IF(OR($F489="",$I489=""),0,IFERROR(INDEX(Nutrition!$I$2:$I$300,MATCH($F489,Nutrition!$A$2:$A$300,0))*$I489/100,0))</f>
        <v>144.6</v>
      </c>
      <c r="P489" s="30">
        <f>IF(OR($F489="",$I489=""),0,IFERROR(INDEX(Nutrition!$J$2:$J$300,MATCH($F489,Nutrition!$A$2:$A$300,0))*$I489/100,0))</f>
        <v>0</v>
      </c>
      <c r="Q489" s="30">
        <f>IF(OR($F489="",$I489=""),0,IFERROR(INDEX(Nutrition!$K$2:$K$300,MATCH($F489,Nutrition!$A$2:$A$300,0))*$I489/100,0))</f>
        <v>1.6E-2</v>
      </c>
      <c r="R489" s="30">
        <f>IF(OR($F489="",$I489=""),0,IFERROR(INDEX(Nutrition!$L$2:$L$300,MATCH($F489,Nutrition!$A$2:$A$300,0))*$I489/100,0))</f>
        <v>12</v>
      </c>
      <c r="S489" s="30">
        <f>IF(OR($F489="",$I489=""),0,IFERROR(INDEX(Nutrition!$M$2:$M$300,MATCH($F489,Nutrition!$A$2:$A$300,0))*$I489/100,0))</f>
        <v>1.6340000000000001</v>
      </c>
    </row>
    <row r="490" spans="1:19" ht="15" customHeight="1" x14ac:dyDescent="0.25">
      <c r="A490" s="22" t="s">
        <v>1575</v>
      </c>
      <c r="B490" s="33" t="str">
        <f>IFERROR(INDEX(Recipes!$B$2:$B$500,MATCH(A490,Recipes!$A$2:$A$500,0)),"")</f>
        <v>Thai Green Curry with Pumpkin &amp; Ugu</v>
      </c>
      <c r="C490" s="7" t="s">
        <v>652</v>
      </c>
      <c r="D490" s="34">
        <v>1</v>
      </c>
      <c r="E490" s="22" t="s">
        <v>2809</v>
      </c>
      <c r="F490" s="22" t="s">
        <v>651</v>
      </c>
      <c r="G490" s="22" t="s">
        <v>2755</v>
      </c>
      <c r="H490" s="7"/>
      <c r="I490" s="35">
        <v>30</v>
      </c>
      <c r="J490" s="30">
        <f>IF(OR($F490="",$I490=""),0,IFERROR(INDEX(Nutrition!$D$2:$D$300,MATCH($F490,Nutrition!$A$2:$A$300,0))*$I490/100,0))</f>
        <v>0.48</v>
      </c>
      <c r="K490" s="30">
        <f>IF(OR($F490="",$I490=""),0,IFERROR(INDEX(Nutrition!$E$2:$E$300,MATCH($F490,Nutrition!$A$2:$A$300,0))*$I490/100,0))</f>
        <v>7.2</v>
      </c>
      <c r="L490" s="30">
        <f>IF(OR($F490="",$I490=""),0,IFERROR(INDEX(Nutrition!$F$2:$F$300,MATCH($F490,Nutrition!$A$2:$A$300,0))*$I490/100,0))</f>
        <v>79.2</v>
      </c>
      <c r="M490" s="30">
        <f>IF(OR($F490="",$I490=""),0,IFERROR(INDEX(Nutrition!$G$2:$G$300,MATCH($F490,Nutrition!$A$2:$A$300,0))*$I490/100,0))</f>
        <v>124.44</v>
      </c>
      <c r="N490" s="30">
        <f>IF(OR($F490="",$I490=""),0,IFERROR(INDEX(Nutrition!$H$2:$H$300,MATCH($F490,Nutrition!$A$2:$A$300,0))*$I490/100,0))</f>
        <v>20.399999999999999</v>
      </c>
      <c r="O490" s="30">
        <f>IF(OR($F490="",$I490=""),0,IFERROR(INDEX(Nutrition!$I$2:$I$300,MATCH($F490,Nutrition!$A$2:$A$300,0))*$I490/100,0))</f>
        <v>166.8</v>
      </c>
      <c r="P490" s="30">
        <f>IF(OR($F490="",$I490=""),0,IFERROR(INDEX(Nutrition!$J$2:$J$300,MATCH($F490,Nutrition!$A$2:$A$300,0))*$I490/100,0))</f>
        <v>0.24</v>
      </c>
      <c r="Q490" s="30">
        <f>IF(OR($F490="",$I490=""),0,IFERROR(INDEX(Nutrition!$K$2:$K$300,MATCH($F490,Nutrition!$A$2:$A$300,0))*$I490/100,0))</f>
        <v>4.6500000000000007E-2</v>
      </c>
      <c r="R490" s="30">
        <f>IF(OR($F490="",$I490=""),0,IFERROR(INDEX(Nutrition!$L$2:$L$300,MATCH($F490,Nutrition!$A$2:$A$300,0))*$I490/100,0))</f>
        <v>19.2</v>
      </c>
      <c r="S490" s="30">
        <f>IF(OR($F490="",$I490=""),0,IFERROR(INDEX(Nutrition!$M$2:$M$300,MATCH($F490,Nutrition!$A$2:$A$300,0))*$I490/100,0))</f>
        <v>0.96</v>
      </c>
    </row>
    <row r="491" spans="1:19" ht="15" customHeight="1" x14ac:dyDescent="0.25">
      <c r="A491" s="22" t="s">
        <v>1575</v>
      </c>
      <c r="B491" s="33" t="str">
        <f>IFERROR(INDEX(Recipes!$B$2:$B$500,MATCH(A491,Recipes!$A$2:$A$500,0)),"")</f>
        <v>Thai Green Curry with Pumpkin &amp; Ugu</v>
      </c>
      <c r="C491" s="7" t="s">
        <v>508</v>
      </c>
      <c r="D491" s="34">
        <v>1</v>
      </c>
      <c r="E491" s="22" t="s">
        <v>2821</v>
      </c>
      <c r="F491" s="22" t="s">
        <v>507</v>
      </c>
      <c r="G491" s="22" t="s">
        <v>2755</v>
      </c>
      <c r="H491" s="7"/>
      <c r="I491" s="35">
        <v>15</v>
      </c>
      <c r="J491" s="30">
        <f>IF(OR($F491="",$I491=""),0,IFERROR(INDEX(Nutrition!$D$2:$D$300,MATCH($F491,Nutrition!$A$2:$A$300,0))*$I491/100,0))</f>
        <v>0.3</v>
      </c>
      <c r="K491" s="30">
        <f>IF(OR($F491="",$I491=""),0,IFERROR(INDEX(Nutrition!$E$2:$E$300,MATCH($F491,Nutrition!$A$2:$A$300,0))*$I491/100,0))</f>
        <v>0.75</v>
      </c>
      <c r="L491" s="30">
        <f>IF(OR($F491="",$I491=""),0,IFERROR(INDEX(Nutrition!$F$2:$F$300,MATCH($F491,Nutrition!$A$2:$A$300,0))*$I491/100,0))</f>
        <v>0</v>
      </c>
      <c r="M491" s="30">
        <f>IF(OR($F491="",$I491=""),0,IFERROR(INDEX(Nutrition!$G$2:$G$300,MATCH($F491,Nutrition!$A$2:$A$300,0))*$I491/100,0))</f>
        <v>1.4999999999999999E-2</v>
      </c>
      <c r="N491" s="30">
        <f>IF(OR($F491="",$I491=""),0,IFERROR(INDEX(Nutrition!$H$2:$H$300,MATCH($F491,Nutrition!$A$2:$A$300,0))*$I491/100,0))</f>
        <v>1.65</v>
      </c>
      <c r="O491" s="30">
        <f>IF(OR($F491="",$I491=""),0,IFERROR(INDEX(Nutrition!$I$2:$I$300,MATCH($F491,Nutrition!$A$2:$A$300,0))*$I491/100,0))</f>
        <v>62.25</v>
      </c>
      <c r="P491" s="30">
        <f>IF(OR($F491="",$I491=""),0,IFERROR(INDEX(Nutrition!$J$2:$J$300,MATCH($F491,Nutrition!$A$2:$A$300,0))*$I491/100,0))</f>
        <v>3.9000000000000007E-2</v>
      </c>
      <c r="Q491" s="30">
        <f>IF(OR($F491="",$I491=""),0,IFERROR(INDEX(Nutrition!$K$2:$K$300,MATCH($F491,Nutrition!$A$2:$A$300,0))*$I491/100,0))</f>
        <v>2.4E-2</v>
      </c>
      <c r="R491" s="30">
        <f>IF(OR($F491="",$I491=""),0,IFERROR(INDEX(Nutrition!$L$2:$L$300,MATCH($F491,Nutrition!$A$2:$A$300,0))*$I491/100,0))</f>
        <v>6.45</v>
      </c>
      <c r="S491" s="30">
        <f>IF(OR($F491="",$I491=""),0,IFERROR(INDEX(Nutrition!$M$2:$M$300,MATCH($F491,Nutrition!$A$2:$A$300,0))*$I491/100,0))</f>
        <v>0.09</v>
      </c>
    </row>
    <row r="492" spans="1:19" ht="15" customHeight="1" x14ac:dyDescent="0.25">
      <c r="A492" s="22" t="s">
        <v>1575</v>
      </c>
      <c r="B492" s="33" t="str">
        <f>IFERROR(INDEX(Recipes!$B$2:$B$500,MATCH(A492,Recipes!$A$2:$A$500,0)),"")</f>
        <v>Thai Green Curry with Pumpkin &amp; Ugu</v>
      </c>
      <c r="C492" s="7" t="s">
        <v>500</v>
      </c>
      <c r="D492" s="34">
        <v>3</v>
      </c>
      <c r="E492" s="22" t="s">
        <v>2776</v>
      </c>
      <c r="F492" s="22" t="s">
        <v>499</v>
      </c>
      <c r="G492" s="22" t="s">
        <v>2755</v>
      </c>
      <c r="H492" s="7"/>
      <c r="I492" s="35">
        <v>9</v>
      </c>
      <c r="J492" s="30">
        <f>IF(OR($F492="",$I492=""),0,IFERROR(INDEX(Nutrition!$D$2:$D$300,MATCH($F492,Nutrition!$A$2:$A$300,0))*$I492/100,0))</f>
        <v>0.18900000000000003</v>
      </c>
      <c r="K492" s="30">
        <f>IF(OR($F492="",$I492=""),0,IFERROR(INDEX(Nutrition!$E$2:$E$300,MATCH($F492,Nutrition!$A$2:$A$300,0))*$I492/100,0))</f>
        <v>2.8080000000000003</v>
      </c>
      <c r="L492" s="30">
        <f>IF(OR($F492="",$I492=""),0,IFERROR(INDEX(Nutrition!$F$2:$F$300,MATCH($F492,Nutrition!$A$2:$A$300,0))*$I492/100,0))</f>
        <v>0</v>
      </c>
      <c r="M492" s="30">
        <f>IF(OR($F492="",$I492=""),0,IFERROR(INDEX(Nutrition!$G$2:$G$300,MATCH($F492,Nutrition!$A$2:$A$300,0))*$I492/100,0))</f>
        <v>0.153</v>
      </c>
      <c r="N492" s="30">
        <f>IF(OR($F492="",$I492=""),0,IFERROR(INDEX(Nutrition!$H$2:$H$300,MATCH($F492,Nutrition!$A$2:$A$300,0))*$I492/100,0))</f>
        <v>0.27</v>
      </c>
      <c r="O492" s="30">
        <f>IF(OR($F492="",$I492=""),0,IFERROR(INDEX(Nutrition!$I$2:$I$300,MATCH($F492,Nutrition!$A$2:$A$300,0))*$I492/100,0))</f>
        <v>36.090000000000003</v>
      </c>
      <c r="P492" s="30">
        <f>IF(OR($F492="",$I492=""),0,IFERROR(INDEX(Nutrition!$J$2:$J$300,MATCH($F492,Nutrition!$A$2:$A$300,0))*$I492/100,0))</f>
        <v>7.1999999999999998E-3</v>
      </c>
      <c r="Q492" s="30">
        <f>IF(OR($F492="",$I492=""),0,IFERROR(INDEX(Nutrition!$K$2:$K$300,MATCH($F492,Nutrition!$A$2:$A$300,0))*$I492/100,0))</f>
        <v>0.11115</v>
      </c>
      <c r="R492" s="30">
        <f>IF(OR($F492="",$I492=""),0,IFERROR(INDEX(Nutrition!$L$2:$L$300,MATCH($F492,Nutrition!$A$2:$A$300,0))*$I492/100,0))</f>
        <v>2.25</v>
      </c>
      <c r="S492" s="30">
        <f>IF(OR($F492="",$I492=""),0,IFERROR(INDEX(Nutrition!$M$2:$M$300,MATCH($F492,Nutrition!$A$2:$A$300,0))*$I492/100,0))</f>
        <v>0.153</v>
      </c>
    </row>
    <row r="493" spans="1:19" ht="15" customHeight="1" x14ac:dyDescent="0.25">
      <c r="A493" s="22" t="s">
        <v>1575</v>
      </c>
      <c r="B493" s="33" t="str">
        <f>IFERROR(INDEX(Recipes!$B$2:$B$500,MATCH(A493,Recipes!$A$2:$A$500,0)),"")</f>
        <v>Thai Green Curry with Pumpkin &amp; Ugu</v>
      </c>
      <c r="C493" s="7" t="s">
        <v>473</v>
      </c>
      <c r="D493" s="34">
        <v>0.5</v>
      </c>
      <c r="E493" s="22" t="s">
        <v>2754</v>
      </c>
      <c r="F493" s="22" t="s">
        <v>472</v>
      </c>
      <c r="G493" s="22" t="s">
        <v>2755</v>
      </c>
      <c r="H493" s="7"/>
      <c r="I493" s="35">
        <v>5</v>
      </c>
      <c r="J493" s="30">
        <f>IF(OR($F493="",$I493=""),0,IFERROR(INDEX(Nutrition!$D$2:$D$300,MATCH($F493,Nutrition!$A$2:$A$300,0))*$I493/100,0))</f>
        <v>7.4999999999999997E-2</v>
      </c>
      <c r="K493" s="30">
        <f>IF(OR($F493="",$I493=""),0,IFERROR(INDEX(Nutrition!$E$2:$E$300,MATCH($F493,Nutrition!$A$2:$A$300,0))*$I493/100,0))</f>
        <v>7.1849999999999996</v>
      </c>
      <c r="L493" s="30">
        <f>IF(OR($F493="",$I493=""),0,IFERROR(INDEX(Nutrition!$F$2:$F$300,MATCH($F493,Nutrition!$A$2:$A$300,0))*$I493/100,0))</f>
        <v>2.4</v>
      </c>
      <c r="M493" s="30">
        <f>IF(OR($F493="",$I493=""),0,IFERROR(INDEX(Nutrition!$G$2:$G$300,MATCH($F493,Nutrition!$A$2:$A$300,0))*$I493/100,0))</f>
        <v>0.7</v>
      </c>
      <c r="N493" s="30">
        <f>IF(OR($F493="",$I493=""),0,IFERROR(INDEX(Nutrition!$H$2:$H$300,MATCH($F493,Nutrition!$A$2:$A$300,0))*$I493/100,0))</f>
        <v>1.1499999999999999</v>
      </c>
      <c r="O493" s="30">
        <f>IF(OR($F493="",$I493=""),0,IFERROR(INDEX(Nutrition!$I$2:$I$300,MATCH($F493,Nutrition!$A$2:$A$300,0))*$I493/100,0))</f>
        <v>16.100000000000001</v>
      </c>
      <c r="P493" s="30">
        <f>IF(OR($F493="",$I493=""),0,IFERROR(INDEX(Nutrition!$J$2:$J$300,MATCH($F493,Nutrition!$A$2:$A$300,0))*$I493/100,0))</f>
        <v>3.4499999999999996E-2</v>
      </c>
      <c r="Q493" s="30">
        <f>IF(OR($F493="",$I493=""),0,IFERROR(INDEX(Nutrition!$K$2:$K$300,MATCH($F493,Nutrition!$A$2:$A$300,0))*$I493/100,0))</f>
        <v>2.5300000000000003E-2</v>
      </c>
      <c r="R493" s="30">
        <f>IF(OR($F493="",$I493=""),0,IFERROR(INDEX(Nutrition!$L$2:$L$300,MATCH($F493,Nutrition!$A$2:$A$300,0))*$I493/100,0))</f>
        <v>1.1499999999999999</v>
      </c>
      <c r="S493" s="30">
        <f>IF(OR($F493="",$I493=""),0,IFERROR(INDEX(Nutrition!$M$2:$M$300,MATCH($F493,Nutrition!$A$2:$A$300,0))*$I493/100,0))</f>
        <v>5.1500000000000004E-2</v>
      </c>
    </row>
    <row r="494" spans="1:19" ht="15" customHeight="1" x14ac:dyDescent="0.25">
      <c r="A494" s="22" t="s">
        <v>1575</v>
      </c>
      <c r="B494" s="33" t="str">
        <f>IFERROR(INDEX(Recipes!$B$2:$B$500,MATCH(A494,Recipes!$A$2:$A$500,0)),"")</f>
        <v>Thai Green Curry with Pumpkin &amp; Ugu</v>
      </c>
      <c r="C494" s="7" t="s">
        <v>262</v>
      </c>
      <c r="D494" s="34">
        <v>1</v>
      </c>
      <c r="E494" s="22" t="s">
        <v>2754</v>
      </c>
      <c r="F494" s="22" t="s">
        <v>261</v>
      </c>
      <c r="G494" s="22" t="s">
        <v>2755</v>
      </c>
      <c r="H494" s="7" t="s">
        <v>2874</v>
      </c>
      <c r="I494" s="35">
        <v>397</v>
      </c>
      <c r="J494" s="30">
        <f>IF(OR($F494="",$I494=""),0,IFERROR(INDEX(Nutrition!$D$2:$D$300,MATCH($F494,Nutrition!$A$2:$A$300,0))*$I494/100,0))</f>
        <v>35.729999999999997</v>
      </c>
      <c r="K494" s="30">
        <f>IF(OR($F494="",$I494=""),0,IFERROR(INDEX(Nutrition!$E$2:$E$300,MATCH($F494,Nutrition!$A$2:$A$300,0))*$I494/100,0))</f>
        <v>13.100999999999999</v>
      </c>
      <c r="L494" s="30">
        <f>IF(OR($F494="",$I494=""),0,IFERROR(INDEX(Nutrition!$F$2:$F$300,MATCH($F494,Nutrition!$A$2:$A$300,0))*$I494/100,0))</f>
        <v>0</v>
      </c>
      <c r="M494" s="30">
        <f>IF(OR($F494="",$I494=""),0,IFERROR(INDEX(Nutrition!$G$2:$G$300,MATCH($F494,Nutrition!$A$2:$A$300,0))*$I494/100,0))</f>
        <v>0.79400000000000004</v>
      </c>
      <c r="N494" s="30">
        <f>IF(OR($F494="",$I494=""),0,IFERROR(INDEX(Nutrition!$H$2:$H$300,MATCH($F494,Nutrition!$A$2:$A$300,0))*$I494/100,0))</f>
        <v>103.22</v>
      </c>
      <c r="O494" s="30">
        <f>IF(OR($F494="",$I494=""),0,IFERROR(INDEX(Nutrition!$I$2:$I$300,MATCH($F494,Nutrition!$A$2:$A$300,0))*$I494/100,0))</f>
        <v>1413.32</v>
      </c>
      <c r="P494" s="30">
        <f>IF(OR($F494="",$I494=""),0,IFERROR(INDEX(Nutrition!$J$2:$J$300,MATCH($F494,Nutrition!$A$2:$A$300,0))*$I494/100,0))</f>
        <v>0.95279999999999998</v>
      </c>
      <c r="Q494" s="30">
        <f>IF(OR($F494="",$I494=""),0,IFERROR(INDEX(Nutrition!$K$2:$K$300,MATCH($F494,Nutrition!$A$2:$A$300,0))*$I494/100,0))</f>
        <v>0.21437999999999999</v>
      </c>
      <c r="R494" s="30">
        <f>IF(OR($F494="",$I494=""),0,IFERROR(INDEX(Nutrition!$L$2:$L$300,MATCH($F494,Nutrition!$A$2:$A$300,0))*$I494/100,0))</f>
        <v>127.04</v>
      </c>
      <c r="S494" s="30">
        <f>IF(OR($F494="",$I494=""),0,IFERROR(INDEX(Nutrition!$M$2:$M$300,MATCH($F494,Nutrition!$A$2:$A$300,0))*$I494/100,0))</f>
        <v>9.6471</v>
      </c>
    </row>
    <row r="495" spans="1:19" ht="15" customHeight="1" x14ac:dyDescent="0.25">
      <c r="A495" s="22" t="s">
        <v>1575</v>
      </c>
      <c r="B495" s="33" t="str">
        <f>IFERROR(INDEX(Recipes!$B$2:$B$500,MATCH(A495,Recipes!$A$2:$A$500,0)),"")</f>
        <v>Thai Green Curry with Pumpkin &amp; Ugu</v>
      </c>
      <c r="C495" s="7" t="s">
        <v>213</v>
      </c>
      <c r="D495" s="34">
        <v>1</v>
      </c>
      <c r="E495" s="22" t="s">
        <v>2754</v>
      </c>
      <c r="F495" s="22" t="s">
        <v>212</v>
      </c>
      <c r="G495" s="22" t="s">
        <v>2755</v>
      </c>
      <c r="H495" s="7"/>
      <c r="I495" s="35">
        <v>67</v>
      </c>
      <c r="J495" s="30">
        <f>IF(OR($F495="",$I495=""),0,IFERROR(INDEX(Nutrition!$D$2:$D$300,MATCH($F495,Nutrition!$A$2:$A$300,0))*$I495/100,0))</f>
        <v>1.8759999999999999</v>
      </c>
      <c r="K495" s="30">
        <f>IF(OR($F495="",$I495=""),0,IFERROR(INDEX(Nutrition!$E$2:$E$300,MATCH($F495,Nutrition!$A$2:$A$300,0))*$I495/100,0))</f>
        <v>19.497</v>
      </c>
      <c r="L495" s="30">
        <f>IF(OR($F495="",$I495=""),0,IFERROR(INDEX(Nutrition!$F$2:$F$300,MATCH($F495,Nutrition!$A$2:$A$300,0))*$I495/100,0))</f>
        <v>1.34</v>
      </c>
      <c r="M495" s="30">
        <f>IF(OR($F495="",$I495=""),0,IFERROR(INDEX(Nutrition!$G$2:$G$300,MATCH($F495,Nutrition!$A$2:$A$300,0))*$I495/100,0))</f>
        <v>0.40199999999999997</v>
      </c>
      <c r="N495" s="30">
        <f>IF(OR($F495="",$I495=""),0,IFERROR(INDEX(Nutrition!$H$2:$H$300,MATCH($F495,Nutrition!$A$2:$A$300,0))*$I495/100,0))</f>
        <v>5.36</v>
      </c>
      <c r="O495" s="30">
        <f>IF(OR($F495="",$I495=""),0,IFERROR(INDEX(Nutrition!$I$2:$I$300,MATCH($F495,Nutrition!$A$2:$A$300,0))*$I495/100,0))</f>
        <v>68.34</v>
      </c>
      <c r="P495" s="30">
        <f>IF(OR($F495="",$I495=""),0,IFERROR(INDEX(Nutrition!$J$2:$J$300,MATCH($F495,Nutrition!$A$2:$A$300,0))*$I495/100,0))</f>
        <v>0.1474</v>
      </c>
      <c r="Q495" s="30">
        <f>IF(OR($F495="",$I495=""),0,IFERROR(INDEX(Nutrition!$K$2:$K$300,MATCH($F495,Nutrition!$A$2:$A$300,0))*$I495/100,0))</f>
        <v>2.8809999999999999E-2</v>
      </c>
      <c r="R495" s="30">
        <f>IF(OR($F495="",$I495=""),0,IFERROR(INDEX(Nutrition!$L$2:$L$300,MATCH($F495,Nutrition!$A$2:$A$300,0))*$I495/100,0))</f>
        <v>4.0199999999999996</v>
      </c>
      <c r="S495" s="30">
        <f>IF(OR($F495="",$I495=""),0,IFERROR(INDEX(Nutrition!$M$2:$M$300,MATCH($F495,Nutrition!$A$2:$A$300,0))*$I495/100,0))</f>
        <v>0.40199999999999997</v>
      </c>
    </row>
    <row r="496" spans="1:19" ht="15" customHeight="1" x14ac:dyDescent="0.25">
      <c r="A496" s="22" t="s">
        <v>1575</v>
      </c>
      <c r="B496" s="33" t="str">
        <f>IFERROR(INDEX(Recipes!$B$2:$B$500,MATCH(A496,Recipes!$A$2:$A$500,0)),"")</f>
        <v>Thai Green Curry with Pumpkin &amp; Ugu</v>
      </c>
      <c r="C496" s="7" t="s">
        <v>2875</v>
      </c>
      <c r="D496" s="34">
        <v>2</v>
      </c>
      <c r="E496" s="22" t="s">
        <v>2753</v>
      </c>
      <c r="F496" s="22"/>
      <c r="G496" s="22" t="s">
        <v>2749</v>
      </c>
      <c r="H496" s="7"/>
      <c r="I496" s="35"/>
      <c r="J496" s="30">
        <f>IF(OR($F496="",$I496=""),0,IFERROR(INDEX(Nutrition!$D$2:$D$300,MATCH($F496,Nutrition!$A$2:$A$300,0))*$I496/100,0))</f>
        <v>0</v>
      </c>
      <c r="K496" s="30">
        <f>IF(OR($F496="",$I496=""),0,IFERROR(INDEX(Nutrition!$E$2:$E$300,MATCH($F496,Nutrition!$A$2:$A$300,0))*$I496/100,0))</f>
        <v>0</v>
      </c>
      <c r="L496" s="30">
        <f>IF(OR($F496="",$I496=""),0,IFERROR(INDEX(Nutrition!$F$2:$F$300,MATCH($F496,Nutrition!$A$2:$A$300,0))*$I496/100,0))</f>
        <v>0</v>
      </c>
      <c r="M496" s="30">
        <f>IF(OR($F496="",$I496=""),0,IFERROR(INDEX(Nutrition!$G$2:$G$300,MATCH($F496,Nutrition!$A$2:$A$300,0))*$I496/100,0))</f>
        <v>0</v>
      </c>
      <c r="N496" s="30">
        <f>IF(OR($F496="",$I496=""),0,IFERROR(INDEX(Nutrition!$H$2:$H$300,MATCH($F496,Nutrition!$A$2:$A$300,0))*$I496/100,0))</f>
        <v>0</v>
      </c>
      <c r="O496" s="30">
        <f>IF(OR($F496="",$I496=""),0,IFERROR(INDEX(Nutrition!$I$2:$I$300,MATCH($F496,Nutrition!$A$2:$A$300,0))*$I496/100,0))</f>
        <v>0</v>
      </c>
      <c r="P496" s="30">
        <f>IF(OR($F496="",$I496=""),0,IFERROR(INDEX(Nutrition!$J$2:$J$300,MATCH($F496,Nutrition!$A$2:$A$300,0))*$I496/100,0))</f>
        <v>0</v>
      </c>
      <c r="Q496" s="30">
        <f>IF(OR($F496="",$I496=""),0,IFERROR(INDEX(Nutrition!$K$2:$K$300,MATCH($F496,Nutrition!$A$2:$A$300,0))*$I496/100,0))</f>
        <v>0</v>
      </c>
      <c r="R496" s="30">
        <f>IF(OR($F496="",$I496=""),0,IFERROR(INDEX(Nutrition!$L$2:$L$300,MATCH($F496,Nutrition!$A$2:$A$300,0))*$I496/100,0))</f>
        <v>0</v>
      </c>
      <c r="S496" s="30">
        <f>IF(OR($F496="",$I496=""),0,IFERROR(INDEX(Nutrition!$M$2:$M$300,MATCH($F496,Nutrition!$A$2:$A$300,0))*$I496/100,0))</f>
        <v>0</v>
      </c>
    </row>
    <row r="497" spans="1:19" ht="15" customHeight="1" x14ac:dyDescent="0.25">
      <c r="A497" s="22" t="s">
        <v>1575</v>
      </c>
      <c r="B497" s="33" t="str">
        <f>IFERROR(INDEX(Recipes!$B$2:$B$500,MATCH(A497,Recipes!$A$2:$A$500,0)),"")</f>
        <v>Thai Green Curry with Pumpkin &amp; Ugu</v>
      </c>
      <c r="C497" s="7" t="s">
        <v>2876</v>
      </c>
      <c r="D497" s="34">
        <v>1</v>
      </c>
      <c r="E497" s="22" t="s">
        <v>2753</v>
      </c>
      <c r="F497" s="22"/>
      <c r="G497" s="22" t="s">
        <v>2749</v>
      </c>
      <c r="H497" s="7"/>
      <c r="I497" s="35"/>
      <c r="J497" s="30">
        <f>IF(OR($F497="",$I497=""),0,IFERROR(INDEX(Nutrition!$D$2:$D$300,MATCH($F497,Nutrition!$A$2:$A$300,0))*$I497/100,0))</f>
        <v>0</v>
      </c>
      <c r="K497" s="30">
        <f>IF(OR($F497="",$I497=""),0,IFERROR(INDEX(Nutrition!$E$2:$E$300,MATCH($F497,Nutrition!$A$2:$A$300,0))*$I497/100,0))</f>
        <v>0</v>
      </c>
      <c r="L497" s="30">
        <f>IF(OR($F497="",$I497=""),0,IFERROR(INDEX(Nutrition!$F$2:$F$300,MATCH($F497,Nutrition!$A$2:$A$300,0))*$I497/100,0))</f>
        <v>0</v>
      </c>
      <c r="M497" s="30">
        <f>IF(OR($F497="",$I497=""),0,IFERROR(INDEX(Nutrition!$G$2:$G$300,MATCH($F497,Nutrition!$A$2:$A$300,0))*$I497/100,0))</f>
        <v>0</v>
      </c>
      <c r="N497" s="30">
        <f>IF(OR($F497="",$I497=""),0,IFERROR(INDEX(Nutrition!$H$2:$H$300,MATCH($F497,Nutrition!$A$2:$A$300,0))*$I497/100,0))</f>
        <v>0</v>
      </c>
      <c r="O497" s="30">
        <f>IF(OR($F497="",$I497=""),0,IFERROR(INDEX(Nutrition!$I$2:$I$300,MATCH($F497,Nutrition!$A$2:$A$300,0))*$I497/100,0))</f>
        <v>0</v>
      </c>
      <c r="P497" s="30">
        <f>IF(OR($F497="",$I497=""),0,IFERROR(INDEX(Nutrition!$J$2:$J$300,MATCH($F497,Nutrition!$A$2:$A$300,0))*$I497/100,0))</f>
        <v>0</v>
      </c>
      <c r="Q497" s="30">
        <f>IF(OR($F497="",$I497=""),0,IFERROR(INDEX(Nutrition!$K$2:$K$300,MATCH($F497,Nutrition!$A$2:$A$300,0))*$I497/100,0))</f>
        <v>0</v>
      </c>
      <c r="R497" s="30">
        <f>IF(OR($F497="",$I497=""),0,IFERROR(INDEX(Nutrition!$L$2:$L$300,MATCH($F497,Nutrition!$A$2:$A$300,0))*$I497/100,0))</f>
        <v>0</v>
      </c>
      <c r="S497" s="30">
        <f>IF(OR($F497="",$I497=""),0,IFERROR(INDEX(Nutrition!$M$2:$M$300,MATCH($F497,Nutrition!$A$2:$A$300,0))*$I497/100,0))</f>
        <v>0</v>
      </c>
    </row>
    <row r="498" spans="1:19" ht="15" customHeight="1" x14ac:dyDescent="0.25">
      <c r="A498" s="22" t="s">
        <v>1575</v>
      </c>
      <c r="B498" s="33" t="str">
        <f>IFERROR(INDEX(Recipes!$B$2:$B$500,MATCH(A498,Recipes!$A$2:$A$500,0)),"")</f>
        <v>Thai Green Curry with Pumpkin &amp; Ugu</v>
      </c>
      <c r="C498" s="7" t="s">
        <v>2801</v>
      </c>
      <c r="D498" s="34">
        <v>1.5</v>
      </c>
      <c r="E498" s="22" t="s">
        <v>2790</v>
      </c>
      <c r="F498" s="22"/>
      <c r="G498" s="22" t="s">
        <v>2749</v>
      </c>
      <c r="H498" s="7"/>
      <c r="I498" s="35"/>
      <c r="J498" s="30">
        <f>IF(OR($F498="",$I498=""),0,IFERROR(INDEX(Nutrition!$D$2:$D$300,MATCH($F498,Nutrition!$A$2:$A$300,0))*$I498/100,0))</f>
        <v>0</v>
      </c>
      <c r="K498" s="30">
        <f>IF(OR($F498="",$I498=""),0,IFERROR(INDEX(Nutrition!$E$2:$E$300,MATCH($F498,Nutrition!$A$2:$A$300,0))*$I498/100,0))</f>
        <v>0</v>
      </c>
      <c r="L498" s="30">
        <f>IF(OR($F498="",$I498=""),0,IFERROR(INDEX(Nutrition!$F$2:$F$300,MATCH($F498,Nutrition!$A$2:$A$300,0))*$I498/100,0))</f>
        <v>0</v>
      </c>
      <c r="M498" s="30">
        <f>IF(OR($F498="",$I498=""),0,IFERROR(INDEX(Nutrition!$G$2:$G$300,MATCH($F498,Nutrition!$A$2:$A$300,0))*$I498/100,0))</f>
        <v>0</v>
      </c>
      <c r="N498" s="30">
        <f>IF(OR($F498="",$I498=""),0,IFERROR(INDEX(Nutrition!$H$2:$H$300,MATCH($F498,Nutrition!$A$2:$A$300,0))*$I498/100,0))</f>
        <v>0</v>
      </c>
      <c r="O498" s="30">
        <f>IF(OR($F498="",$I498=""),0,IFERROR(INDEX(Nutrition!$I$2:$I$300,MATCH($F498,Nutrition!$A$2:$A$300,0))*$I498/100,0))</f>
        <v>0</v>
      </c>
      <c r="P498" s="30">
        <f>IF(OR($F498="",$I498=""),0,IFERROR(INDEX(Nutrition!$J$2:$J$300,MATCH($F498,Nutrition!$A$2:$A$300,0))*$I498/100,0))</f>
        <v>0</v>
      </c>
      <c r="Q498" s="30">
        <f>IF(OR($F498="",$I498=""),0,IFERROR(INDEX(Nutrition!$K$2:$K$300,MATCH($F498,Nutrition!$A$2:$A$300,0))*$I498/100,0))</f>
        <v>0</v>
      </c>
      <c r="R498" s="30">
        <f>IF(OR($F498="",$I498=""),0,IFERROR(INDEX(Nutrition!$L$2:$L$300,MATCH($F498,Nutrition!$A$2:$A$300,0))*$I498/100,0))</f>
        <v>0</v>
      </c>
      <c r="S498" s="30">
        <f>IF(OR($F498="",$I498=""),0,IFERROR(INDEX(Nutrition!$M$2:$M$300,MATCH($F498,Nutrition!$A$2:$A$300,0))*$I498/100,0))</f>
        <v>0</v>
      </c>
    </row>
    <row r="499" spans="1:19" ht="15" customHeight="1" x14ac:dyDescent="0.25">
      <c r="A499" s="22" t="s">
        <v>1586</v>
      </c>
      <c r="B499" s="33" t="str">
        <f>IFERROR(INDEX(Recipes!$B$2:$B$500,MATCH(A499,Recipes!$A$2:$A$500,0)),"")</f>
        <v>Pepper Steak Stir-Fry</v>
      </c>
      <c r="C499" s="7" t="s">
        <v>2877</v>
      </c>
      <c r="D499" s="34">
        <v>300</v>
      </c>
      <c r="E499" s="22" t="s">
        <v>2813</v>
      </c>
      <c r="F499" s="22"/>
      <c r="G499" s="22" t="s">
        <v>2768</v>
      </c>
      <c r="H499" s="7"/>
      <c r="I499" s="35"/>
      <c r="J499" s="30">
        <f>IF(OR($F499="",$I499=""),0,IFERROR(INDEX(Nutrition!$D$2:$D$300,MATCH($F499,Nutrition!$A$2:$A$300,0))*$I499/100,0))</f>
        <v>0</v>
      </c>
      <c r="K499" s="30">
        <f>IF(OR($F499="",$I499=""),0,IFERROR(INDEX(Nutrition!$E$2:$E$300,MATCH($F499,Nutrition!$A$2:$A$300,0))*$I499/100,0))</f>
        <v>0</v>
      </c>
      <c r="L499" s="30">
        <f>IF(OR($F499="",$I499=""),0,IFERROR(INDEX(Nutrition!$F$2:$F$300,MATCH($F499,Nutrition!$A$2:$A$300,0))*$I499/100,0))</f>
        <v>0</v>
      </c>
      <c r="M499" s="30">
        <f>IF(OR($F499="",$I499=""),0,IFERROR(INDEX(Nutrition!$G$2:$G$300,MATCH($F499,Nutrition!$A$2:$A$300,0))*$I499/100,0))</f>
        <v>0</v>
      </c>
      <c r="N499" s="30">
        <f>IF(OR($F499="",$I499=""),0,IFERROR(INDEX(Nutrition!$H$2:$H$300,MATCH($F499,Nutrition!$A$2:$A$300,0))*$I499/100,0))</f>
        <v>0</v>
      </c>
      <c r="O499" s="30">
        <f>IF(OR($F499="",$I499=""),0,IFERROR(INDEX(Nutrition!$I$2:$I$300,MATCH($F499,Nutrition!$A$2:$A$300,0))*$I499/100,0))</f>
        <v>0</v>
      </c>
      <c r="P499" s="30">
        <f>IF(OR($F499="",$I499=""),0,IFERROR(INDEX(Nutrition!$J$2:$J$300,MATCH($F499,Nutrition!$A$2:$A$300,0))*$I499/100,0))</f>
        <v>0</v>
      </c>
      <c r="Q499" s="30">
        <f>IF(OR($F499="",$I499=""),0,IFERROR(INDEX(Nutrition!$K$2:$K$300,MATCH($F499,Nutrition!$A$2:$A$300,0))*$I499/100,0))</f>
        <v>0</v>
      </c>
      <c r="R499" s="30">
        <f>IF(OR($F499="",$I499=""),0,IFERROR(INDEX(Nutrition!$L$2:$L$300,MATCH($F499,Nutrition!$A$2:$A$300,0))*$I499/100,0))</f>
        <v>0</v>
      </c>
      <c r="S499" s="30">
        <f>IF(OR($F499="",$I499=""),0,IFERROR(INDEX(Nutrition!$M$2:$M$300,MATCH($F499,Nutrition!$A$2:$A$300,0))*$I499/100,0))</f>
        <v>0</v>
      </c>
    </row>
    <row r="500" spans="1:19" ht="15" customHeight="1" x14ac:dyDescent="0.25">
      <c r="A500" s="22" t="s">
        <v>1586</v>
      </c>
      <c r="B500" s="33" t="str">
        <f>IFERROR(INDEX(Recipes!$B$2:$B$500,MATCH(A500,Recipes!$A$2:$A$500,0)),"")</f>
        <v>Pepper Steak Stir-Fry</v>
      </c>
      <c r="C500" s="7" t="s">
        <v>462</v>
      </c>
      <c r="D500" s="34">
        <v>1</v>
      </c>
      <c r="E500" s="22" t="s">
        <v>2754</v>
      </c>
      <c r="F500" s="22" t="s">
        <v>461</v>
      </c>
      <c r="G500" s="22" t="s">
        <v>2755</v>
      </c>
      <c r="H500" s="7"/>
      <c r="I500" s="35">
        <v>119</v>
      </c>
      <c r="J500" s="30">
        <f>IF(OR($F500="",$I500=""),0,IFERROR(INDEX(Nutrition!$D$2:$D$300,MATCH($F500,Nutrition!$A$2:$A$300,0))*$I500/100,0))</f>
        <v>2.4990000000000001</v>
      </c>
      <c r="K500" s="30">
        <f>IF(OR($F500="",$I500=""),0,IFERROR(INDEX(Nutrition!$E$2:$E$300,MATCH($F500,Nutrition!$A$2:$A$300,0))*$I500/100,0))</f>
        <v>151.96300000000002</v>
      </c>
      <c r="L500" s="30">
        <f>IF(OR($F500="",$I500=""),0,IFERROR(INDEX(Nutrition!$F$2:$F$300,MATCH($F500,Nutrition!$A$2:$A$300,0))*$I500/100,0))</f>
        <v>186.83</v>
      </c>
      <c r="M500" s="30">
        <f>IF(OR($F500="",$I500=""),0,IFERROR(INDEX(Nutrition!$G$2:$G$300,MATCH($F500,Nutrition!$A$2:$A$300,0))*$I500/100,0))</f>
        <v>5.8310000000000004</v>
      </c>
      <c r="N500" s="30">
        <f>IF(OR($F500="",$I500=""),0,IFERROR(INDEX(Nutrition!$H$2:$H$300,MATCH($F500,Nutrition!$A$2:$A$300,0))*$I500/100,0))</f>
        <v>54.74</v>
      </c>
      <c r="O500" s="30">
        <f>IF(OR($F500="",$I500=""),0,IFERROR(INDEX(Nutrition!$I$2:$I$300,MATCH($F500,Nutrition!$A$2:$A$300,0))*$I500/100,0))</f>
        <v>251.09</v>
      </c>
      <c r="P500" s="30">
        <f>IF(OR($F500="",$I500=""),0,IFERROR(INDEX(Nutrition!$J$2:$J$300,MATCH($F500,Nutrition!$A$2:$A$300,0))*$I500/100,0))</f>
        <v>1.8802000000000001</v>
      </c>
      <c r="Q500" s="30">
        <f>IF(OR($F500="",$I500=""),0,IFERROR(INDEX(Nutrition!$K$2:$K$300,MATCH($F500,Nutrition!$A$2:$A$300,0))*$I500/100,0))</f>
        <v>0.34628999999999999</v>
      </c>
      <c r="R500" s="30">
        <f>IF(OR($F500="",$I500=""),0,IFERROR(INDEX(Nutrition!$L$2:$L$300,MATCH($F500,Nutrition!$A$2:$A$300,0))*$I500/100,0))</f>
        <v>14.28</v>
      </c>
      <c r="S500" s="30">
        <f>IF(OR($F500="",$I500=""),0,IFERROR(INDEX(Nutrition!$M$2:$M$300,MATCH($F500,Nutrition!$A$2:$A$300,0))*$I500/100,0))</f>
        <v>0.51170000000000004</v>
      </c>
    </row>
    <row r="501" spans="1:19" ht="15" customHeight="1" x14ac:dyDescent="0.25">
      <c r="A501" s="22" t="s">
        <v>1586</v>
      </c>
      <c r="B501" s="33" t="str">
        <f>IFERROR(INDEX(Recipes!$B$2:$B$500,MATCH(A501,Recipes!$A$2:$A$500,0)),"")</f>
        <v>Pepper Steak Stir-Fry</v>
      </c>
      <c r="C501" s="7" t="s">
        <v>468</v>
      </c>
      <c r="D501" s="34">
        <v>1</v>
      </c>
      <c r="E501" s="22" t="s">
        <v>2754</v>
      </c>
      <c r="F501" s="22" t="s">
        <v>467</v>
      </c>
      <c r="G501" s="22" t="s">
        <v>2755</v>
      </c>
      <c r="H501" s="7" t="s">
        <v>2878</v>
      </c>
      <c r="I501" s="35">
        <v>119</v>
      </c>
      <c r="J501" s="30">
        <f>IF(OR($F501="",$I501=""),0,IFERROR(INDEX(Nutrition!$D$2:$D$300,MATCH($F501,Nutrition!$A$2:$A$300,0))*$I501/100,0))</f>
        <v>2.0229999999999997</v>
      </c>
      <c r="K501" s="30">
        <f>IF(OR($F501="",$I501=""),0,IFERROR(INDEX(Nutrition!$E$2:$E$300,MATCH($F501,Nutrition!$A$2:$A$300,0))*$I501/100,0))</f>
        <v>95.676000000000002</v>
      </c>
      <c r="L501" s="30">
        <f>IF(OR($F501="",$I501=""),0,IFERROR(INDEX(Nutrition!$F$2:$F$300,MATCH($F501,Nutrition!$A$2:$A$300,0))*$I501/100,0))</f>
        <v>21.42</v>
      </c>
      <c r="M501" s="30">
        <f>IF(OR($F501="",$I501=""),0,IFERROR(INDEX(Nutrition!$G$2:$G$300,MATCH($F501,Nutrition!$A$2:$A$300,0))*$I501/100,0))</f>
        <v>8.8060000000000009</v>
      </c>
      <c r="N501" s="30">
        <f>IF(OR($F501="",$I501=""),0,IFERROR(INDEX(Nutrition!$H$2:$H$300,MATCH($F501,Nutrition!$A$2:$A$300,0))*$I501/100,0))</f>
        <v>11.9</v>
      </c>
      <c r="O501" s="30">
        <f>IF(OR($F501="",$I501=""),0,IFERROR(INDEX(Nutrition!$I$2:$I$300,MATCH($F501,Nutrition!$A$2:$A$300,0))*$I501/100,0))</f>
        <v>208.25</v>
      </c>
      <c r="P501" s="30">
        <f>IF(OR($F501="",$I501=""),0,IFERROR(INDEX(Nutrition!$J$2:$J$300,MATCH($F501,Nutrition!$A$2:$A$300,0))*$I501/100,0))</f>
        <v>0.44030000000000002</v>
      </c>
      <c r="Q501" s="30">
        <f>IF(OR($F501="",$I501=""),0,IFERROR(INDEX(Nutrition!$K$2:$K$300,MATCH($F501,Nutrition!$A$2:$A$300,0))*$I501/100,0))</f>
        <v>0.26655999999999996</v>
      </c>
      <c r="R501" s="30">
        <f>IF(OR($F501="",$I501=""),0,IFERROR(INDEX(Nutrition!$L$2:$L$300,MATCH($F501,Nutrition!$A$2:$A$300,0))*$I501/100,0))</f>
        <v>11.9</v>
      </c>
      <c r="S501" s="30">
        <f>IF(OR($F501="",$I501=""),0,IFERROR(INDEX(Nutrition!$M$2:$M$300,MATCH($F501,Nutrition!$A$2:$A$300,0))*$I501/100,0))</f>
        <v>0.40460000000000002</v>
      </c>
    </row>
    <row r="502" spans="1:19" ht="15" customHeight="1" x14ac:dyDescent="0.25">
      <c r="A502" s="22" t="s">
        <v>1586</v>
      </c>
      <c r="B502" s="33" t="str">
        <f>IFERROR(INDEX(Recipes!$B$2:$B$500,MATCH(A502,Recipes!$A$2:$A$500,0)),"")</f>
        <v>Pepper Steak Stir-Fry</v>
      </c>
      <c r="C502" s="7" t="s">
        <v>482</v>
      </c>
      <c r="D502" s="34">
        <v>1</v>
      </c>
      <c r="E502" s="22" t="s">
        <v>2754</v>
      </c>
      <c r="F502" s="22" t="s">
        <v>481</v>
      </c>
      <c r="G502" s="22" t="s">
        <v>2755</v>
      </c>
      <c r="H502" s="7"/>
      <c r="I502" s="35">
        <v>110</v>
      </c>
      <c r="J502" s="30">
        <f>IF(OR($F502="",$I502=""),0,IFERROR(INDEX(Nutrition!$D$2:$D$300,MATCH($F502,Nutrition!$A$2:$A$300,0))*$I502/100,0))</f>
        <v>1.87</v>
      </c>
      <c r="K502" s="30">
        <f>IF(OR($F502="",$I502=""),0,IFERROR(INDEX(Nutrition!$E$2:$E$300,MATCH($F502,Nutrition!$A$2:$A$300,0))*$I502/100,0))</f>
        <v>8.14</v>
      </c>
      <c r="L502" s="30">
        <f>IF(OR($F502="",$I502=""),0,IFERROR(INDEX(Nutrition!$F$2:$F$300,MATCH($F502,Nutrition!$A$2:$A$300,0))*$I502/100,0))</f>
        <v>0</v>
      </c>
      <c r="M502" s="30">
        <f>IF(OR($F502="",$I502=""),0,IFERROR(INDEX(Nutrition!$G$2:$G$300,MATCH($F502,Nutrition!$A$2:$A$300,0))*$I502/100,0))</f>
        <v>0.44</v>
      </c>
      <c r="N502" s="30">
        <f>IF(OR($F502="",$I502=""),0,IFERROR(INDEX(Nutrition!$H$2:$H$300,MATCH($F502,Nutrition!$A$2:$A$300,0))*$I502/100,0))</f>
        <v>20.9</v>
      </c>
      <c r="O502" s="30">
        <f>IF(OR($F502="",$I502=""),0,IFERROR(INDEX(Nutrition!$I$2:$I$300,MATCH($F502,Nutrition!$A$2:$A$300,0))*$I502/100,0))</f>
        <v>160.6</v>
      </c>
      <c r="P502" s="30">
        <f>IF(OR($F502="",$I502=""),0,IFERROR(INDEX(Nutrition!$J$2:$J$300,MATCH($F502,Nutrition!$A$2:$A$300,0))*$I502/100,0))</f>
        <v>2.2000000000000002E-2</v>
      </c>
      <c r="Q502" s="30">
        <f>IF(OR($F502="",$I502=""),0,IFERROR(INDEX(Nutrition!$K$2:$K$300,MATCH($F502,Nutrition!$A$2:$A$300,0))*$I502/100,0))</f>
        <v>0.13200000000000001</v>
      </c>
      <c r="R502" s="30">
        <f>IF(OR($F502="",$I502=""),0,IFERROR(INDEX(Nutrition!$L$2:$L$300,MATCH($F502,Nutrition!$A$2:$A$300,0))*$I502/100,0))</f>
        <v>11</v>
      </c>
      <c r="S502" s="30">
        <f>IF(OR($F502="",$I502=""),0,IFERROR(INDEX(Nutrition!$M$2:$M$300,MATCH($F502,Nutrition!$A$2:$A$300,0))*$I502/100,0))</f>
        <v>0.23099999999999998</v>
      </c>
    </row>
    <row r="503" spans="1:19" ht="15" customHeight="1" x14ac:dyDescent="0.25">
      <c r="A503" s="22" t="s">
        <v>1586</v>
      </c>
      <c r="B503" s="33" t="str">
        <f>IFERROR(INDEX(Recipes!$B$2:$B$500,MATCH(A503,Recipes!$A$2:$A$500,0)),"")</f>
        <v>Pepper Steak Stir-Fry</v>
      </c>
      <c r="C503" s="7" t="s">
        <v>500</v>
      </c>
      <c r="D503" s="34">
        <v>2</v>
      </c>
      <c r="E503" s="22" t="s">
        <v>2776</v>
      </c>
      <c r="F503" s="22" t="s">
        <v>499</v>
      </c>
      <c r="G503" s="22" t="s">
        <v>2755</v>
      </c>
      <c r="H503" s="7"/>
      <c r="I503" s="35">
        <v>6</v>
      </c>
      <c r="J503" s="30">
        <f>IF(OR($F503="",$I503=""),0,IFERROR(INDEX(Nutrition!$D$2:$D$300,MATCH($F503,Nutrition!$A$2:$A$300,0))*$I503/100,0))</f>
        <v>0.126</v>
      </c>
      <c r="K503" s="30">
        <f>IF(OR($F503="",$I503=""),0,IFERROR(INDEX(Nutrition!$E$2:$E$300,MATCH($F503,Nutrition!$A$2:$A$300,0))*$I503/100,0))</f>
        <v>1.8719999999999999</v>
      </c>
      <c r="L503" s="30">
        <f>IF(OR($F503="",$I503=""),0,IFERROR(INDEX(Nutrition!$F$2:$F$300,MATCH($F503,Nutrition!$A$2:$A$300,0))*$I503/100,0))</f>
        <v>0</v>
      </c>
      <c r="M503" s="30">
        <f>IF(OR($F503="",$I503=""),0,IFERROR(INDEX(Nutrition!$G$2:$G$300,MATCH($F503,Nutrition!$A$2:$A$300,0))*$I503/100,0))</f>
        <v>0.10199999999999999</v>
      </c>
      <c r="N503" s="30">
        <f>IF(OR($F503="",$I503=""),0,IFERROR(INDEX(Nutrition!$H$2:$H$300,MATCH($F503,Nutrition!$A$2:$A$300,0))*$I503/100,0))</f>
        <v>0.18</v>
      </c>
      <c r="O503" s="30">
        <f>IF(OR($F503="",$I503=""),0,IFERROR(INDEX(Nutrition!$I$2:$I$300,MATCH($F503,Nutrition!$A$2:$A$300,0))*$I503/100,0))</f>
        <v>24.06</v>
      </c>
      <c r="P503" s="30">
        <f>IF(OR($F503="",$I503=""),0,IFERROR(INDEX(Nutrition!$J$2:$J$300,MATCH($F503,Nutrition!$A$2:$A$300,0))*$I503/100,0))</f>
        <v>4.7999999999999996E-3</v>
      </c>
      <c r="Q503" s="30">
        <f>IF(OR($F503="",$I503=""),0,IFERROR(INDEX(Nutrition!$K$2:$K$300,MATCH($F503,Nutrition!$A$2:$A$300,0))*$I503/100,0))</f>
        <v>7.4099999999999999E-2</v>
      </c>
      <c r="R503" s="30">
        <f>IF(OR($F503="",$I503=""),0,IFERROR(INDEX(Nutrition!$L$2:$L$300,MATCH($F503,Nutrition!$A$2:$A$300,0))*$I503/100,0))</f>
        <v>1.5</v>
      </c>
      <c r="S503" s="30">
        <f>IF(OR($F503="",$I503=""),0,IFERROR(INDEX(Nutrition!$M$2:$M$300,MATCH($F503,Nutrition!$A$2:$A$300,0))*$I503/100,0))</f>
        <v>0.10199999999999999</v>
      </c>
    </row>
    <row r="504" spans="1:19" ht="15" customHeight="1" x14ac:dyDescent="0.25">
      <c r="A504" s="22" t="s">
        <v>1586</v>
      </c>
      <c r="B504" s="33" t="str">
        <f>IFERROR(INDEX(Recipes!$B$2:$B$500,MATCH(A504,Recipes!$A$2:$A$500,0)),"")</f>
        <v>Pepper Steak Stir-Fry</v>
      </c>
      <c r="C504" s="7" t="s">
        <v>508</v>
      </c>
      <c r="D504" s="34">
        <v>1</v>
      </c>
      <c r="E504" s="22" t="s">
        <v>2821</v>
      </c>
      <c r="F504" s="22" t="s">
        <v>507</v>
      </c>
      <c r="G504" s="22" t="s">
        <v>2755</v>
      </c>
      <c r="H504" s="7"/>
      <c r="I504" s="35">
        <v>15</v>
      </c>
      <c r="J504" s="30">
        <f>IF(OR($F504="",$I504=""),0,IFERROR(INDEX(Nutrition!$D$2:$D$300,MATCH($F504,Nutrition!$A$2:$A$300,0))*$I504/100,0))</f>
        <v>0.3</v>
      </c>
      <c r="K504" s="30">
        <f>IF(OR($F504="",$I504=""),0,IFERROR(INDEX(Nutrition!$E$2:$E$300,MATCH($F504,Nutrition!$A$2:$A$300,0))*$I504/100,0))</f>
        <v>0.75</v>
      </c>
      <c r="L504" s="30">
        <f>IF(OR($F504="",$I504=""),0,IFERROR(INDEX(Nutrition!$F$2:$F$300,MATCH($F504,Nutrition!$A$2:$A$300,0))*$I504/100,0))</f>
        <v>0</v>
      </c>
      <c r="M504" s="30">
        <f>IF(OR($F504="",$I504=""),0,IFERROR(INDEX(Nutrition!$G$2:$G$300,MATCH($F504,Nutrition!$A$2:$A$300,0))*$I504/100,0))</f>
        <v>1.4999999999999999E-2</v>
      </c>
      <c r="N504" s="30">
        <f>IF(OR($F504="",$I504=""),0,IFERROR(INDEX(Nutrition!$H$2:$H$300,MATCH($F504,Nutrition!$A$2:$A$300,0))*$I504/100,0))</f>
        <v>1.65</v>
      </c>
      <c r="O504" s="30">
        <f>IF(OR($F504="",$I504=""),0,IFERROR(INDEX(Nutrition!$I$2:$I$300,MATCH($F504,Nutrition!$A$2:$A$300,0))*$I504/100,0))</f>
        <v>62.25</v>
      </c>
      <c r="P504" s="30">
        <f>IF(OR($F504="",$I504=""),0,IFERROR(INDEX(Nutrition!$J$2:$J$300,MATCH($F504,Nutrition!$A$2:$A$300,0))*$I504/100,0))</f>
        <v>3.9000000000000007E-2</v>
      </c>
      <c r="Q504" s="30">
        <f>IF(OR($F504="",$I504=""),0,IFERROR(INDEX(Nutrition!$K$2:$K$300,MATCH($F504,Nutrition!$A$2:$A$300,0))*$I504/100,0))</f>
        <v>2.4E-2</v>
      </c>
      <c r="R504" s="30">
        <f>IF(OR($F504="",$I504=""),0,IFERROR(INDEX(Nutrition!$L$2:$L$300,MATCH($F504,Nutrition!$A$2:$A$300,0))*$I504/100,0))</f>
        <v>6.45</v>
      </c>
      <c r="S504" s="30">
        <f>IF(OR($F504="",$I504=""),0,IFERROR(INDEX(Nutrition!$M$2:$M$300,MATCH($F504,Nutrition!$A$2:$A$300,0))*$I504/100,0))</f>
        <v>0.09</v>
      </c>
    </row>
    <row r="505" spans="1:19" ht="15" customHeight="1" x14ac:dyDescent="0.25">
      <c r="A505" s="22" t="s">
        <v>1586</v>
      </c>
      <c r="B505" s="33" t="str">
        <f>IFERROR(INDEX(Recipes!$B$2:$B$500,MATCH(A505,Recipes!$A$2:$A$500,0)),"")</f>
        <v>Pepper Steak Stir-Fry</v>
      </c>
      <c r="C505" s="7" t="s">
        <v>490</v>
      </c>
      <c r="D505" s="34">
        <v>2</v>
      </c>
      <c r="E505" s="22" t="s">
        <v>2820</v>
      </c>
      <c r="F505" s="22" t="s">
        <v>489</v>
      </c>
      <c r="G505" s="22" t="s">
        <v>2755</v>
      </c>
      <c r="H505" s="7"/>
      <c r="I505" s="35">
        <v>30</v>
      </c>
      <c r="J505" s="30">
        <f>IF(OR($F505="",$I505=""),0,IFERROR(INDEX(Nutrition!$D$2:$D$300,MATCH($F505,Nutrition!$A$2:$A$300,0))*$I505/100,0))</f>
        <v>0.78</v>
      </c>
      <c r="K505" s="30">
        <f>IF(OR($F505="",$I505=""),0,IFERROR(INDEX(Nutrition!$E$2:$E$300,MATCH($F505,Nutrition!$A$2:$A$300,0))*$I505/100,0))</f>
        <v>5.64</v>
      </c>
      <c r="L505" s="30">
        <f>IF(OR($F505="",$I505=""),0,IFERROR(INDEX(Nutrition!$F$2:$F$300,MATCH($F505,Nutrition!$A$2:$A$300,0))*$I505/100,0))</f>
        <v>15</v>
      </c>
      <c r="M505" s="30">
        <f>IF(OR($F505="",$I505=""),0,IFERROR(INDEX(Nutrition!$G$2:$G$300,MATCH($F505,Nutrition!$A$2:$A$300,0))*$I505/100,0))</f>
        <v>62.1</v>
      </c>
      <c r="N505" s="30">
        <f>IF(OR($F505="",$I505=""),0,IFERROR(INDEX(Nutrition!$H$2:$H$300,MATCH($F505,Nutrition!$A$2:$A$300,0))*$I505/100,0))</f>
        <v>19.2</v>
      </c>
      <c r="O505" s="30">
        <f>IF(OR($F505="",$I505=""),0,IFERROR(INDEX(Nutrition!$I$2:$I$300,MATCH($F505,Nutrition!$A$2:$A$300,0))*$I505/100,0))</f>
        <v>82.8</v>
      </c>
      <c r="P505" s="30">
        <f>IF(OR($F505="",$I505=""),0,IFERROR(INDEX(Nutrition!$J$2:$J$300,MATCH($F505,Nutrition!$A$2:$A$300,0))*$I505/100,0))</f>
        <v>0.16500000000000001</v>
      </c>
      <c r="Q505" s="30">
        <f>IF(OR($F505="",$I505=""),0,IFERROR(INDEX(Nutrition!$K$2:$K$300,MATCH($F505,Nutrition!$A$2:$A$300,0))*$I505/100,0))</f>
        <v>1.83E-2</v>
      </c>
      <c r="R505" s="30">
        <f>IF(OR($F505="",$I505=""),0,IFERROR(INDEX(Nutrition!$L$2:$L$300,MATCH($F505,Nutrition!$A$2:$A$300,0))*$I505/100,0))</f>
        <v>6</v>
      </c>
      <c r="S505" s="30">
        <f>IF(OR($F505="",$I505=""),0,IFERROR(INDEX(Nutrition!$M$2:$M$300,MATCH($F505,Nutrition!$A$2:$A$300,0))*$I505/100,0))</f>
        <v>0.44400000000000001</v>
      </c>
    </row>
    <row r="506" spans="1:19" ht="15" customHeight="1" x14ac:dyDescent="0.25">
      <c r="A506" s="22" t="s">
        <v>1586</v>
      </c>
      <c r="B506" s="33" t="str">
        <f>IFERROR(INDEX(Recipes!$B$2:$B$500,MATCH(A506,Recipes!$A$2:$A$500,0)),"")</f>
        <v>Pepper Steak Stir-Fry</v>
      </c>
      <c r="C506" s="7" t="s">
        <v>2823</v>
      </c>
      <c r="D506" s="34">
        <v>3</v>
      </c>
      <c r="E506" s="22" t="s">
        <v>2753</v>
      </c>
      <c r="F506" s="22"/>
      <c r="G506" s="22" t="s">
        <v>2749</v>
      </c>
      <c r="H506" s="7"/>
      <c r="I506" s="35"/>
      <c r="J506" s="30">
        <f>IF(OR($F506="",$I506=""),0,IFERROR(INDEX(Nutrition!$D$2:$D$300,MATCH($F506,Nutrition!$A$2:$A$300,0))*$I506/100,0))</f>
        <v>0</v>
      </c>
      <c r="K506" s="30">
        <f>IF(OR($F506="",$I506=""),0,IFERROR(INDEX(Nutrition!$E$2:$E$300,MATCH($F506,Nutrition!$A$2:$A$300,0))*$I506/100,0))</f>
        <v>0</v>
      </c>
      <c r="L506" s="30">
        <f>IF(OR($F506="",$I506=""),0,IFERROR(INDEX(Nutrition!$F$2:$F$300,MATCH($F506,Nutrition!$A$2:$A$300,0))*$I506/100,0))</f>
        <v>0</v>
      </c>
      <c r="M506" s="30">
        <f>IF(OR($F506="",$I506=""),0,IFERROR(INDEX(Nutrition!$G$2:$G$300,MATCH($F506,Nutrition!$A$2:$A$300,0))*$I506/100,0))</f>
        <v>0</v>
      </c>
      <c r="N506" s="30">
        <f>IF(OR($F506="",$I506=""),0,IFERROR(INDEX(Nutrition!$H$2:$H$300,MATCH($F506,Nutrition!$A$2:$A$300,0))*$I506/100,0))</f>
        <v>0</v>
      </c>
      <c r="O506" s="30">
        <f>IF(OR($F506="",$I506=""),0,IFERROR(INDEX(Nutrition!$I$2:$I$300,MATCH($F506,Nutrition!$A$2:$A$300,0))*$I506/100,0))</f>
        <v>0</v>
      </c>
      <c r="P506" s="30">
        <f>IF(OR($F506="",$I506=""),0,IFERROR(INDEX(Nutrition!$J$2:$J$300,MATCH($F506,Nutrition!$A$2:$A$300,0))*$I506/100,0))</f>
        <v>0</v>
      </c>
      <c r="Q506" s="30">
        <f>IF(OR($F506="",$I506=""),0,IFERROR(INDEX(Nutrition!$K$2:$K$300,MATCH($F506,Nutrition!$A$2:$A$300,0))*$I506/100,0))</f>
        <v>0</v>
      </c>
      <c r="R506" s="30">
        <f>IF(OR($F506="",$I506=""),0,IFERROR(INDEX(Nutrition!$L$2:$L$300,MATCH($F506,Nutrition!$A$2:$A$300,0))*$I506/100,0))</f>
        <v>0</v>
      </c>
      <c r="S506" s="30">
        <f>IF(OR($F506="",$I506=""),0,IFERROR(INDEX(Nutrition!$M$2:$M$300,MATCH($F506,Nutrition!$A$2:$A$300,0))*$I506/100,0))</f>
        <v>0</v>
      </c>
    </row>
    <row r="507" spans="1:19" ht="15" customHeight="1" x14ac:dyDescent="0.25">
      <c r="A507" s="22" t="s">
        <v>1586</v>
      </c>
      <c r="B507" s="33" t="str">
        <f>IFERROR(INDEX(Recipes!$B$2:$B$500,MATCH(A507,Recipes!$A$2:$A$500,0)),"")</f>
        <v>Pepper Steak Stir-Fry</v>
      </c>
      <c r="C507" s="7" t="s">
        <v>2872</v>
      </c>
      <c r="D507" s="34">
        <v>1</v>
      </c>
      <c r="E507" s="22" t="s">
        <v>2759</v>
      </c>
      <c r="F507" s="22"/>
      <c r="G507" s="22" t="s">
        <v>2749</v>
      </c>
      <c r="H507" s="7"/>
      <c r="I507" s="35"/>
      <c r="J507" s="30">
        <f>IF(OR($F507="",$I507=""),0,IFERROR(INDEX(Nutrition!$D$2:$D$300,MATCH($F507,Nutrition!$A$2:$A$300,0))*$I507/100,0))</f>
        <v>0</v>
      </c>
      <c r="K507" s="30">
        <f>IF(OR($F507="",$I507=""),0,IFERROR(INDEX(Nutrition!$E$2:$E$300,MATCH($F507,Nutrition!$A$2:$A$300,0))*$I507/100,0))</f>
        <v>0</v>
      </c>
      <c r="L507" s="30">
        <f>IF(OR($F507="",$I507=""),0,IFERROR(INDEX(Nutrition!$F$2:$F$300,MATCH($F507,Nutrition!$A$2:$A$300,0))*$I507/100,0))</f>
        <v>0</v>
      </c>
      <c r="M507" s="30">
        <f>IF(OR($F507="",$I507=""),0,IFERROR(INDEX(Nutrition!$G$2:$G$300,MATCH($F507,Nutrition!$A$2:$A$300,0))*$I507/100,0))</f>
        <v>0</v>
      </c>
      <c r="N507" s="30">
        <f>IF(OR($F507="",$I507=""),0,IFERROR(INDEX(Nutrition!$H$2:$H$300,MATCH($F507,Nutrition!$A$2:$A$300,0))*$I507/100,0))</f>
        <v>0</v>
      </c>
      <c r="O507" s="30">
        <f>IF(OR($F507="",$I507=""),0,IFERROR(INDEX(Nutrition!$I$2:$I$300,MATCH($F507,Nutrition!$A$2:$A$300,0))*$I507/100,0))</f>
        <v>0</v>
      </c>
      <c r="P507" s="30">
        <f>IF(OR($F507="",$I507=""),0,IFERROR(INDEX(Nutrition!$J$2:$J$300,MATCH($F507,Nutrition!$A$2:$A$300,0))*$I507/100,0))</f>
        <v>0</v>
      </c>
      <c r="Q507" s="30">
        <f>IF(OR($F507="",$I507=""),0,IFERROR(INDEX(Nutrition!$K$2:$K$300,MATCH($F507,Nutrition!$A$2:$A$300,0))*$I507/100,0))</f>
        <v>0</v>
      </c>
      <c r="R507" s="30">
        <f>IF(OR($F507="",$I507=""),0,IFERROR(INDEX(Nutrition!$L$2:$L$300,MATCH($F507,Nutrition!$A$2:$A$300,0))*$I507/100,0))</f>
        <v>0</v>
      </c>
      <c r="S507" s="30">
        <f>IF(OR($F507="",$I507=""),0,IFERROR(INDEX(Nutrition!$M$2:$M$300,MATCH($F507,Nutrition!$A$2:$A$300,0))*$I507/100,0))</f>
        <v>0</v>
      </c>
    </row>
    <row r="508" spans="1:19" ht="15" customHeight="1" x14ac:dyDescent="0.25">
      <c r="A508" s="22" t="s">
        <v>1586</v>
      </c>
      <c r="B508" s="33" t="str">
        <f>IFERROR(INDEX(Recipes!$B$2:$B$500,MATCH(A508,Recipes!$A$2:$A$500,0)),"")</f>
        <v>Pepper Steak Stir-Fry</v>
      </c>
      <c r="C508" s="7" t="s">
        <v>2801</v>
      </c>
      <c r="D508" s="34">
        <v>1</v>
      </c>
      <c r="E508" s="22" t="s">
        <v>2748</v>
      </c>
      <c r="F508" s="22"/>
      <c r="G508" s="22" t="s">
        <v>2749</v>
      </c>
      <c r="H508" s="7"/>
      <c r="I508" s="35"/>
      <c r="J508" s="30">
        <f>IF(OR($F508="",$I508=""),0,IFERROR(INDEX(Nutrition!$D$2:$D$300,MATCH($F508,Nutrition!$A$2:$A$300,0))*$I508/100,0))</f>
        <v>0</v>
      </c>
      <c r="K508" s="30">
        <f>IF(OR($F508="",$I508=""),0,IFERROR(INDEX(Nutrition!$E$2:$E$300,MATCH($F508,Nutrition!$A$2:$A$300,0))*$I508/100,0))</f>
        <v>0</v>
      </c>
      <c r="L508" s="30">
        <f>IF(OR($F508="",$I508=""),0,IFERROR(INDEX(Nutrition!$F$2:$F$300,MATCH($F508,Nutrition!$A$2:$A$300,0))*$I508/100,0))</f>
        <v>0</v>
      </c>
      <c r="M508" s="30">
        <f>IF(OR($F508="",$I508=""),0,IFERROR(INDEX(Nutrition!$G$2:$G$300,MATCH($F508,Nutrition!$A$2:$A$300,0))*$I508/100,0))</f>
        <v>0</v>
      </c>
      <c r="N508" s="30">
        <f>IF(OR($F508="",$I508=""),0,IFERROR(INDEX(Nutrition!$H$2:$H$300,MATCH($F508,Nutrition!$A$2:$A$300,0))*$I508/100,0))</f>
        <v>0</v>
      </c>
      <c r="O508" s="30">
        <f>IF(OR($F508="",$I508=""),0,IFERROR(INDEX(Nutrition!$I$2:$I$300,MATCH($F508,Nutrition!$A$2:$A$300,0))*$I508/100,0))</f>
        <v>0</v>
      </c>
      <c r="P508" s="30">
        <f>IF(OR($F508="",$I508=""),0,IFERROR(INDEX(Nutrition!$J$2:$J$300,MATCH($F508,Nutrition!$A$2:$A$300,0))*$I508/100,0))</f>
        <v>0</v>
      </c>
      <c r="Q508" s="30">
        <f>IF(OR($F508="",$I508=""),0,IFERROR(INDEX(Nutrition!$K$2:$K$300,MATCH($F508,Nutrition!$A$2:$A$300,0))*$I508/100,0))</f>
        <v>0</v>
      </c>
      <c r="R508" s="30">
        <f>IF(OR($F508="",$I508=""),0,IFERROR(INDEX(Nutrition!$L$2:$L$300,MATCH($F508,Nutrition!$A$2:$A$300,0))*$I508/100,0))</f>
        <v>0</v>
      </c>
      <c r="S508" s="30">
        <f>IF(OR($F508="",$I508=""),0,IFERROR(INDEX(Nutrition!$M$2:$M$300,MATCH($F508,Nutrition!$A$2:$A$300,0))*$I508/100,0))</f>
        <v>0</v>
      </c>
    </row>
    <row r="509" spans="1:19" ht="15" customHeight="1" x14ac:dyDescent="0.25">
      <c r="A509" s="22" t="s">
        <v>1586</v>
      </c>
      <c r="B509" s="33" t="str">
        <f>IFERROR(INDEX(Recipes!$B$2:$B$500,MATCH(A509,Recipes!$A$2:$A$500,0)),"")</f>
        <v>Pepper Steak Stir-Fry</v>
      </c>
      <c r="C509" s="7" t="s">
        <v>2772</v>
      </c>
      <c r="D509" s="34">
        <v>1</v>
      </c>
      <c r="E509" s="22" t="s">
        <v>2753</v>
      </c>
      <c r="F509" s="22"/>
      <c r="G509" s="22" t="s">
        <v>2773</v>
      </c>
      <c r="H509" s="7"/>
      <c r="I509" s="35"/>
      <c r="J509" s="30">
        <f>IF(OR($F509="",$I509=""),0,IFERROR(INDEX(Nutrition!$D$2:$D$300,MATCH($F509,Nutrition!$A$2:$A$300,0))*$I509/100,0))</f>
        <v>0</v>
      </c>
      <c r="K509" s="30">
        <f>IF(OR($F509="",$I509=""),0,IFERROR(INDEX(Nutrition!$E$2:$E$300,MATCH($F509,Nutrition!$A$2:$A$300,0))*$I509/100,0))</f>
        <v>0</v>
      </c>
      <c r="L509" s="30">
        <f>IF(OR($F509="",$I509=""),0,IFERROR(INDEX(Nutrition!$F$2:$F$300,MATCH($F509,Nutrition!$A$2:$A$300,0))*$I509/100,0))</f>
        <v>0</v>
      </c>
      <c r="M509" s="30">
        <f>IF(OR($F509="",$I509=""),0,IFERROR(INDEX(Nutrition!$G$2:$G$300,MATCH($F509,Nutrition!$A$2:$A$300,0))*$I509/100,0))</f>
        <v>0</v>
      </c>
      <c r="N509" s="30">
        <f>IF(OR($F509="",$I509=""),0,IFERROR(INDEX(Nutrition!$H$2:$H$300,MATCH($F509,Nutrition!$A$2:$A$300,0))*$I509/100,0))</f>
        <v>0</v>
      </c>
      <c r="O509" s="30">
        <f>IF(OR($F509="",$I509=""),0,IFERROR(INDEX(Nutrition!$I$2:$I$300,MATCH($F509,Nutrition!$A$2:$A$300,0))*$I509/100,0))</f>
        <v>0</v>
      </c>
      <c r="P509" s="30">
        <f>IF(OR($F509="",$I509=""),0,IFERROR(INDEX(Nutrition!$J$2:$J$300,MATCH($F509,Nutrition!$A$2:$A$300,0))*$I509/100,0))</f>
        <v>0</v>
      </c>
      <c r="Q509" s="30">
        <f>IF(OR($F509="",$I509=""),0,IFERROR(INDEX(Nutrition!$K$2:$K$300,MATCH($F509,Nutrition!$A$2:$A$300,0))*$I509/100,0))</f>
        <v>0</v>
      </c>
      <c r="R509" s="30">
        <f>IF(OR($F509="",$I509=""),0,IFERROR(INDEX(Nutrition!$L$2:$L$300,MATCH($F509,Nutrition!$A$2:$A$300,0))*$I509/100,0))</f>
        <v>0</v>
      </c>
      <c r="S509" s="30">
        <f>IF(OR($F509="",$I509=""),0,IFERROR(INDEX(Nutrition!$M$2:$M$300,MATCH($F509,Nutrition!$A$2:$A$300,0))*$I509/100,0))</f>
        <v>0</v>
      </c>
    </row>
    <row r="510" spans="1:19" ht="15" customHeight="1" x14ac:dyDescent="0.25">
      <c r="A510" s="22" t="s">
        <v>1597</v>
      </c>
      <c r="B510" s="33" t="str">
        <f>IFERROR(INDEX(Recipes!$B$2:$B$500,MATCH(A510,Recipes!$A$2:$A$500,0)),"")</f>
        <v>Prawn Cauliflower Fried 'Rice'</v>
      </c>
      <c r="C510" s="7" t="s">
        <v>583</v>
      </c>
      <c r="D510" s="34">
        <v>1</v>
      </c>
      <c r="E510" s="22" t="s">
        <v>2808</v>
      </c>
      <c r="F510" s="22" t="s">
        <v>582</v>
      </c>
      <c r="G510" s="22" t="s">
        <v>2755</v>
      </c>
      <c r="H510" s="7"/>
      <c r="I510" s="35">
        <v>588</v>
      </c>
      <c r="J510" s="30">
        <f>IF(OR($F510="",$I510=""),0,IFERROR(INDEX(Nutrition!$D$2:$D$300,MATCH($F510,Nutrition!$A$2:$A$300,0))*$I510/100,0))</f>
        <v>11.76</v>
      </c>
      <c r="K510" s="30">
        <f>IF(OR($F510="",$I510=""),0,IFERROR(INDEX(Nutrition!$E$2:$E$300,MATCH($F510,Nutrition!$A$2:$A$300,0))*$I510/100,0))</f>
        <v>283.416</v>
      </c>
      <c r="L510" s="30">
        <f>IF(OR($F510="",$I510=""),0,IFERROR(INDEX(Nutrition!$F$2:$F$300,MATCH($F510,Nutrition!$A$2:$A$300,0))*$I510/100,0))</f>
        <v>0</v>
      </c>
      <c r="M510" s="30">
        <f>IF(OR($F510="",$I510=""),0,IFERROR(INDEX(Nutrition!$G$2:$G$300,MATCH($F510,Nutrition!$A$2:$A$300,0))*$I510/100,0))</f>
        <v>91.14</v>
      </c>
      <c r="N510" s="30">
        <f>IF(OR($F510="",$I510=""),0,IFERROR(INDEX(Nutrition!$H$2:$H$300,MATCH($F510,Nutrition!$A$2:$A$300,0))*$I510/100,0))</f>
        <v>335.16</v>
      </c>
      <c r="O510" s="30">
        <f>IF(OR($F510="",$I510=""),0,IFERROR(INDEX(Nutrition!$I$2:$I$300,MATCH($F510,Nutrition!$A$2:$A$300,0))*$I510/100,0))</f>
        <v>1758.12</v>
      </c>
      <c r="P510" s="30">
        <f>IF(OR($F510="",$I510=""),0,IFERROR(INDEX(Nutrition!$J$2:$J$300,MATCH($F510,Nutrition!$A$2:$A$300,0))*$I510/100,0))</f>
        <v>0.47039999999999998</v>
      </c>
      <c r="Q510" s="30">
        <f>IF(OR($F510="",$I510=""),0,IFERROR(INDEX(Nutrition!$K$2:$K$300,MATCH($F510,Nutrition!$A$2:$A$300,0))*$I510/100,0))</f>
        <v>1.08192</v>
      </c>
      <c r="R510" s="30">
        <f>IF(OR($F510="",$I510=""),0,IFERROR(INDEX(Nutrition!$L$2:$L$300,MATCH($F510,Nutrition!$A$2:$A$300,0))*$I510/100,0))</f>
        <v>88.2</v>
      </c>
      <c r="S510" s="30">
        <f>IF(OR($F510="",$I510=""),0,IFERROR(INDEX(Nutrition!$M$2:$M$300,MATCH($F510,Nutrition!$A$2:$A$300,0))*$I510/100,0))</f>
        <v>2.4695999999999998</v>
      </c>
    </row>
    <row r="511" spans="1:19" ht="15" customHeight="1" x14ac:dyDescent="0.25">
      <c r="A511" s="22" t="s">
        <v>1597</v>
      </c>
      <c r="B511" s="33" t="str">
        <f>IFERROR(INDEX(Recipes!$B$2:$B$500,MATCH(A511,Recipes!$A$2:$A$500,0)),"")</f>
        <v>Prawn Cauliflower Fried 'Rice'</v>
      </c>
      <c r="C511" s="7" t="s">
        <v>2846</v>
      </c>
      <c r="D511" s="34">
        <v>250</v>
      </c>
      <c r="E511" s="22" t="s">
        <v>2813</v>
      </c>
      <c r="F511" s="22"/>
      <c r="G511" s="22" t="s">
        <v>2768</v>
      </c>
      <c r="H511" s="7"/>
      <c r="I511" s="35"/>
      <c r="J511" s="30">
        <f>IF(OR($F511="",$I511=""),0,IFERROR(INDEX(Nutrition!$D$2:$D$300,MATCH($F511,Nutrition!$A$2:$A$300,0))*$I511/100,0))</f>
        <v>0</v>
      </c>
      <c r="K511" s="30">
        <f>IF(OR($F511="",$I511=""),0,IFERROR(INDEX(Nutrition!$E$2:$E$300,MATCH($F511,Nutrition!$A$2:$A$300,0))*$I511/100,0))</f>
        <v>0</v>
      </c>
      <c r="L511" s="30">
        <f>IF(OR($F511="",$I511=""),0,IFERROR(INDEX(Nutrition!$F$2:$F$300,MATCH($F511,Nutrition!$A$2:$A$300,0))*$I511/100,0))</f>
        <v>0</v>
      </c>
      <c r="M511" s="30">
        <f>IF(OR($F511="",$I511=""),0,IFERROR(INDEX(Nutrition!$G$2:$G$300,MATCH($F511,Nutrition!$A$2:$A$300,0))*$I511/100,0))</f>
        <v>0</v>
      </c>
      <c r="N511" s="30">
        <f>IF(OR($F511="",$I511=""),0,IFERROR(INDEX(Nutrition!$H$2:$H$300,MATCH($F511,Nutrition!$A$2:$A$300,0))*$I511/100,0))</f>
        <v>0</v>
      </c>
      <c r="O511" s="30">
        <f>IF(OR($F511="",$I511=""),0,IFERROR(INDEX(Nutrition!$I$2:$I$300,MATCH($F511,Nutrition!$A$2:$A$300,0))*$I511/100,0))</f>
        <v>0</v>
      </c>
      <c r="P511" s="30">
        <f>IF(OR($F511="",$I511=""),0,IFERROR(INDEX(Nutrition!$J$2:$J$300,MATCH($F511,Nutrition!$A$2:$A$300,0))*$I511/100,0))</f>
        <v>0</v>
      </c>
      <c r="Q511" s="30">
        <f>IF(OR($F511="",$I511=""),0,IFERROR(INDEX(Nutrition!$K$2:$K$300,MATCH($F511,Nutrition!$A$2:$A$300,0))*$I511/100,0))</f>
        <v>0</v>
      </c>
      <c r="R511" s="30">
        <f>IF(OR($F511="",$I511=""),0,IFERROR(INDEX(Nutrition!$L$2:$L$300,MATCH($F511,Nutrition!$A$2:$A$300,0))*$I511/100,0))</f>
        <v>0</v>
      </c>
      <c r="S511" s="30">
        <f>IF(OR($F511="",$I511=""),0,IFERROR(INDEX(Nutrition!$M$2:$M$300,MATCH($F511,Nutrition!$A$2:$A$300,0))*$I511/100,0))</f>
        <v>0</v>
      </c>
    </row>
    <row r="512" spans="1:19" ht="15" customHeight="1" x14ac:dyDescent="0.25">
      <c r="A512" s="22" t="s">
        <v>1597</v>
      </c>
      <c r="B512" s="33" t="str">
        <f>IFERROR(INDEX(Recipes!$B$2:$B$500,MATCH(A512,Recipes!$A$2:$A$500,0)),"")</f>
        <v>Prawn Cauliflower Fried 'Rice'</v>
      </c>
      <c r="C512" s="7" t="s">
        <v>2767</v>
      </c>
      <c r="D512" s="34">
        <v>2</v>
      </c>
      <c r="E512" s="22" t="s">
        <v>2754</v>
      </c>
      <c r="F512" s="22"/>
      <c r="G512" s="22" t="s">
        <v>2768</v>
      </c>
      <c r="H512" s="7"/>
      <c r="I512" s="35"/>
      <c r="J512" s="30">
        <f>IF(OR($F512="",$I512=""),0,IFERROR(INDEX(Nutrition!$D$2:$D$300,MATCH($F512,Nutrition!$A$2:$A$300,0))*$I512/100,0))</f>
        <v>0</v>
      </c>
      <c r="K512" s="30">
        <f>IF(OR($F512="",$I512=""),0,IFERROR(INDEX(Nutrition!$E$2:$E$300,MATCH($F512,Nutrition!$A$2:$A$300,0))*$I512/100,0))</f>
        <v>0</v>
      </c>
      <c r="L512" s="30">
        <f>IF(OR($F512="",$I512=""),0,IFERROR(INDEX(Nutrition!$F$2:$F$300,MATCH($F512,Nutrition!$A$2:$A$300,0))*$I512/100,0))</f>
        <v>0</v>
      </c>
      <c r="M512" s="30">
        <f>IF(OR($F512="",$I512=""),0,IFERROR(INDEX(Nutrition!$G$2:$G$300,MATCH($F512,Nutrition!$A$2:$A$300,0))*$I512/100,0))</f>
        <v>0</v>
      </c>
      <c r="N512" s="30">
        <f>IF(OR($F512="",$I512=""),0,IFERROR(INDEX(Nutrition!$H$2:$H$300,MATCH($F512,Nutrition!$A$2:$A$300,0))*$I512/100,0))</f>
        <v>0</v>
      </c>
      <c r="O512" s="30">
        <f>IF(OR($F512="",$I512=""),0,IFERROR(INDEX(Nutrition!$I$2:$I$300,MATCH($F512,Nutrition!$A$2:$A$300,0))*$I512/100,0))</f>
        <v>0</v>
      </c>
      <c r="P512" s="30">
        <f>IF(OR($F512="",$I512=""),0,IFERROR(INDEX(Nutrition!$J$2:$J$300,MATCH($F512,Nutrition!$A$2:$A$300,0))*$I512/100,0))</f>
        <v>0</v>
      </c>
      <c r="Q512" s="30">
        <f>IF(OR($F512="",$I512=""),0,IFERROR(INDEX(Nutrition!$K$2:$K$300,MATCH($F512,Nutrition!$A$2:$A$300,0))*$I512/100,0))</f>
        <v>0</v>
      </c>
      <c r="R512" s="30">
        <f>IF(OR($F512="",$I512=""),0,IFERROR(INDEX(Nutrition!$L$2:$L$300,MATCH($F512,Nutrition!$A$2:$A$300,0))*$I512/100,0))</f>
        <v>0</v>
      </c>
      <c r="S512" s="30">
        <f>IF(OR($F512="",$I512=""),0,IFERROR(INDEX(Nutrition!$M$2:$M$300,MATCH($F512,Nutrition!$A$2:$A$300,0))*$I512/100,0))</f>
        <v>0</v>
      </c>
    </row>
    <row r="513" spans="1:19" ht="15" customHeight="1" x14ac:dyDescent="0.25">
      <c r="A513" s="22" t="s">
        <v>1597</v>
      </c>
      <c r="B513" s="33" t="str">
        <f>IFERROR(INDEX(Recipes!$B$2:$B$500,MATCH(A513,Recipes!$A$2:$A$500,0)),"")</f>
        <v>Prawn Cauliflower Fried 'Rice'</v>
      </c>
      <c r="C513" s="7" t="s">
        <v>529</v>
      </c>
      <c r="D513" s="34">
        <v>2</v>
      </c>
      <c r="E513" s="22" t="s">
        <v>2754</v>
      </c>
      <c r="F513" s="22" t="s">
        <v>528</v>
      </c>
      <c r="G513" s="22" t="s">
        <v>2755</v>
      </c>
      <c r="H513" s="7"/>
      <c r="I513" s="35">
        <v>122</v>
      </c>
      <c r="J513" s="30">
        <f>IF(OR($F513="",$I513=""),0,IFERROR(INDEX(Nutrition!$D$2:$D$300,MATCH($F513,Nutrition!$A$2:$A$300,0))*$I513/100,0))</f>
        <v>3.4159999999999995</v>
      </c>
      <c r="K513" s="30">
        <f>IF(OR($F513="",$I513=""),0,IFERROR(INDEX(Nutrition!$E$2:$E$300,MATCH($F513,Nutrition!$A$2:$A$300,0))*$I513/100,0))</f>
        <v>7.1980000000000004</v>
      </c>
      <c r="L513" s="30">
        <f>IF(OR($F513="",$I513=""),0,IFERROR(INDEX(Nutrition!$F$2:$F$300,MATCH($F513,Nutrition!$A$2:$A$300,0))*$I513/100,0))</f>
        <v>1018.7</v>
      </c>
      <c r="M513" s="30">
        <f>IF(OR($F513="",$I513=""),0,IFERROR(INDEX(Nutrition!$G$2:$G$300,MATCH($F513,Nutrition!$A$2:$A$300,0))*$I513/100,0))</f>
        <v>16.103999999999999</v>
      </c>
      <c r="N513" s="30">
        <f>IF(OR($F513="",$I513=""),0,IFERROR(INDEX(Nutrition!$H$2:$H$300,MATCH($F513,Nutrition!$A$2:$A$300,0))*$I513/100,0))</f>
        <v>23.18</v>
      </c>
      <c r="O513" s="30">
        <f>IF(OR($F513="",$I513=""),0,IFERROR(INDEX(Nutrition!$I$2:$I$300,MATCH($F513,Nutrition!$A$2:$A$300,0))*$I513/100,0))</f>
        <v>390.4</v>
      </c>
      <c r="P513" s="30">
        <f>IF(OR($F513="",$I513=""),0,IFERROR(INDEX(Nutrition!$J$2:$J$300,MATCH($F513,Nutrition!$A$2:$A$300,0))*$I513/100,0))</f>
        <v>0.80520000000000014</v>
      </c>
      <c r="Q513" s="30">
        <f>IF(OR($F513="",$I513=""),0,IFERROR(INDEX(Nutrition!$K$2:$K$300,MATCH($F513,Nutrition!$A$2:$A$300,0))*$I513/100,0))</f>
        <v>0.16836000000000001</v>
      </c>
      <c r="R513" s="30">
        <f>IF(OR($F513="",$I513=""),0,IFERROR(INDEX(Nutrition!$L$2:$L$300,MATCH($F513,Nutrition!$A$2:$A$300,0))*$I513/100,0))</f>
        <v>14.64</v>
      </c>
      <c r="S513" s="30">
        <f>IF(OR($F513="",$I513=""),0,IFERROR(INDEX(Nutrition!$M$2:$M$300,MATCH($F513,Nutrition!$A$2:$A$300,0))*$I513/100,0))</f>
        <v>0.36599999999999999</v>
      </c>
    </row>
    <row r="514" spans="1:19" ht="15" customHeight="1" x14ac:dyDescent="0.25">
      <c r="A514" s="22" t="s">
        <v>1597</v>
      </c>
      <c r="B514" s="33" t="str">
        <f>IFERROR(INDEX(Recipes!$B$2:$B$500,MATCH(A514,Recipes!$A$2:$A$500,0)),"")</f>
        <v>Prawn Cauliflower Fried 'Rice'</v>
      </c>
      <c r="C514" s="7" t="s">
        <v>554</v>
      </c>
      <c r="D514" s="34">
        <v>100</v>
      </c>
      <c r="E514" s="22" t="s">
        <v>2813</v>
      </c>
      <c r="F514" s="22" t="s">
        <v>553</v>
      </c>
      <c r="G514" s="22" t="s">
        <v>2755</v>
      </c>
      <c r="H514" s="7"/>
      <c r="I514" s="35">
        <v>100</v>
      </c>
      <c r="J514" s="30">
        <f>IF(OR($F514="",$I514=""),0,IFERROR(INDEX(Nutrition!$D$2:$D$300,MATCH($F514,Nutrition!$A$2:$A$300,0))*$I514/100,0))</f>
        <v>2.7</v>
      </c>
      <c r="K514" s="30">
        <f>IF(OR($F514="",$I514=""),0,IFERROR(INDEX(Nutrition!$E$2:$E$300,MATCH($F514,Nutrition!$A$2:$A$300,0))*$I514/100,0))</f>
        <v>12.2</v>
      </c>
      <c r="L514" s="30">
        <f>IF(OR($F514="",$I514=""),0,IFERROR(INDEX(Nutrition!$F$2:$F$300,MATCH($F514,Nutrition!$A$2:$A$300,0))*$I514/100,0))</f>
        <v>35</v>
      </c>
      <c r="M514" s="30">
        <f>IF(OR($F514="",$I514=""),0,IFERROR(INDEX(Nutrition!$G$2:$G$300,MATCH($F514,Nutrition!$A$2:$A$300,0))*$I514/100,0))</f>
        <v>43</v>
      </c>
      <c r="N514" s="30">
        <f>IF(OR($F514="",$I514=""),0,IFERROR(INDEX(Nutrition!$H$2:$H$300,MATCH($F514,Nutrition!$A$2:$A$300,0))*$I514/100,0))</f>
        <v>33</v>
      </c>
      <c r="O514" s="30">
        <f>IF(OR($F514="",$I514=""),0,IFERROR(INDEX(Nutrition!$I$2:$I$300,MATCH($F514,Nutrition!$A$2:$A$300,0))*$I514/100,0))</f>
        <v>211</v>
      </c>
      <c r="P514" s="30">
        <f>IF(OR($F514="",$I514=""),0,IFERROR(INDEX(Nutrition!$J$2:$J$300,MATCH($F514,Nutrition!$A$2:$A$300,0))*$I514/100,0))</f>
        <v>0.41</v>
      </c>
      <c r="Q514" s="30">
        <f>IF(OR($F514="",$I514=""),0,IFERROR(INDEX(Nutrition!$K$2:$K$300,MATCH($F514,Nutrition!$A$2:$A$300,0))*$I514/100,0))</f>
        <v>0.14099999999999999</v>
      </c>
      <c r="R514" s="30">
        <f>IF(OR($F514="",$I514=""),0,IFERROR(INDEX(Nutrition!$L$2:$L$300,MATCH($F514,Nutrition!$A$2:$A$300,0))*$I514/100,0))</f>
        <v>25</v>
      </c>
      <c r="S514" s="30">
        <f>IF(OR($F514="",$I514=""),0,IFERROR(INDEX(Nutrition!$M$2:$M$300,MATCH($F514,Nutrition!$A$2:$A$300,0))*$I514/100,0))</f>
        <v>1.03</v>
      </c>
    </row>
    <row r="515" spans="1:19" ht="15" customHeight="1" x14ac:dyDescent="0.25">
      <c r="A515" s="22" t="s">
        <v>1597</v>
      </c>
      <c r="B515" s="33" t="str">
        <f>IFERROR(INDEX(Recipes!$B$2:$B$500,MATCH(A515,Recipes!$A$2:$A$500,0)),"")</f>
        <v>Prawn Cauliflower Fried 'Rice'</v>
      </c>
      <c r="C515" s="7" t="s">
        <v>490</v>
      </c>
      <c r="D515" s="34">
        <v>3</v>
      </c>
      <c r="E515" s="22" t="s">
        <v>2820</v>
      </c>
      <c r="F515" s="22" t="s">
        <v>489</v>
      </c>
      <c r="G515" s="22" t="s">
        <v>2755</v>
      </c>
      <c r="H515" s="7"/>
      <c r="I515" s="35">
        <v>45</v>
      </c>
      <c r="J515" s="30">
        <f>IF(OR($F515="",$I515=""),0,IFERROR(INDEX(Nutrition!$D$2:$D$300,MATCH($F515,Nutrition!$A$2:$A$300,0))*$I515/100,0))</f>
        <v>1.17</v>
      </c>
      <c r="K515" s="30">
        <f>IF(OR($F515="",$I515=""),0,IFERROR(INDEX(Nutrition!$E$2:$E$300,MATCH($F515,Nutrition!$A$2:$A$300,0))*$I515/100,0))</f>
        <v>8.4600000000000009</v>
      </c>
      <c r="L515" s="30">
        <f>IF(OR($F515="",$I515=""),0,IFERROR(INDEX(Nutrition!$F$2:$F$300,MATCH($F515,Nutrition!$A$2:$A$300,0))*$I515/100,0))</f>
        <v>22.5</v>
      </c>
      <c r="M515" s="30">
        <f>IF(OR($F515="",$I515=""),0,IFERROR(INDEX(Nutrition!$G$2:$G$300,MATCH($F515,Nutrition!$A$2:$A$300,0))*$I515/100,0))</f>
        <v>93.15</v>
      </c>
      <c r="N515" s="30">
        <f>IF(OR($F515="",$I515=""),0,IFERROR(INDEX(Nutrition!$H$2:$H$300,MATCH($F515,Nutrition!$A$2:$A$300,0))*$I515/100,0))</f>
        <v>28.8</v>
      </c>
      <c r="O515" s="30">
        <f>IF(OR($F515="",$I515=""),0,IFERROR(INDEX(Nutrition!$I$2:$I$300,MATCH($F515,Nutrition!$A$2:$A$300,0))*$I515/100,0))</f>
        <v>124.2</v>
      </c>
      <c r="P515" s="30">
        <f>IF(OR($F515="",$I515=""),0,IFERROR(INDEX(Nutrition!$J$2:$J$300,MATCH($F515,Nutrition!$A$2:$A$300,0))*$I515/100,0))</f>
        <v>0.24750000000000003</v>
      </c>
      <c r="Q515" s="30">
        <f>IF(OR($F515="",$I515=""),0,IFERROR(INDEX(Nutrition!$K$2:$K$300,MATCH($F515,Nutrition!$A$2:$A$300,0))*$I515/100,0))</f>
        <v>2.7450000000000002E-2</v>
      </c>
      <c r="R515" s="30">
        <f>IF(OR($F515="",$I515=""),0,IFERROR(INDEX(Nutrition!$L$2:$L$300,MATCH($F515,Nutrition!$A$2:$A$300,0))*$I515/100,0))</f>
        <v>9</v>
      </c>
      <c r="S515" s="30">
        <f>IF(OR($F515="",$I515=""),0,IFERROR(INDEX(Nutrition!$M$2:$M$300,MATCH($F515,Nutrition!$A$2:$A$300,0))*$I515/100,0))</f>
        <v>0.66599999999999993</v>
      </c>
    </row>
    <row r="516" spans="1:19" ht="15" customHeight="1" x14ac:dyDescent="0.25">
      <c r="A516" s="22" t="s">
        <v>1597</v>
      </c>
      <c r="B516" s="33" t="str">
        <f>IFERROR(INDEX(Recipes!$B$2:$B$500,MATCH(A516,Recipes!$A$2:$A$500,0)),"")</f>
        <v>Prawn Cauliflower Fried 'Rice'</v>
      </c>
      <c r="C516" s="7" t="s">
        <v>500</v>
      </c>
      <c r="D516" s="34">
        <v>2</v>
      </c>
      <c r="E516" s="22" t="s">
        <v>2776</v>
      </c>
      <c r="F516" s="22" t="s">
        <v>499</v>
      </c>
      <c r="G516" s="22" t="s">
        <v>2755</v>
      </c>
      <c r="H516" s="7"/>
      <c r="I516" s="35">
        <v>6</v>
      </c>
      <c r="J516" s="30">
        <f>IF(OR($F516="",$I516=""),0,IFERROR(INDEX(Nutrition!$D$2:$D$300,MATCH($F516,Nutrition!$A$2:$A$300,0))*$I516/100,0))</f>
        <v>0.126</v>
      </c>
      <c r="K516" s="30">
        <f>IF(OR($F516="",$I516=""),0,IFERROR(INDEX(Nutrition!$E$2:$E$300,MATCH($F516,Nutrition!$A$2:$A$300,0))*$I516/100,0))</f>
        <v>1.8719999999999999</v>
      </c>
      <c r="L516" s="30">
        <f>IF(OR($F516="",$I516=""),0,IFERROR(INDEX(Nutrition!$F$2:$F$300,MATCH($F516,Nutrition!$A$2:$A$300,0))*$I516/100,0))</f>
        <v>0</v>
      </c>
      <c r="M516" s="30">
        <f>IF(OR($F516="",$I516=""),0,IFERROR(INDEX(Nutrition!$G$2:$G$300,MATCH($F516,Nutrition!$A$2:$A$300,0))*$I516/100,0))</f>
        <v>0.10199999999999999</v>
      </c>
      <c r="N516" s="30">
        <f>IF(OR($F516="",$I516=""),0,IFERROR(INDEX(Nutrition!$H$2:$H$300,MATCH($F516,Nutrition!$A$2:$A$300,0))*$I516/100,0))</f>
        <v>0.18</v>
      </c>
      <c r="O516" s="30">
        <f>IF(OR($F516="",$I516=""),0,IFERROR(INDEX(Nutrition!$I$2:$I$300,MATCH($F516,Nutrition!$A$2:$A$300,0))*$I516/100,0))</f>
        <v>24.06</v>
      </c>
      <c r="P516" s="30">
        <f>IF(OR($F516="",$I516=""),0,IFERROR(INDEX(Nutrition!$J$2:$J$300,MATCH($F516,Nutrition!$A$2:$A$300,0))*$I516/100,0))</f>
        <v>4.7999999999999996E-3</v>
      </c>
      <c r="Q516" s="30">
        <f>IF(OR($F516="",$I516=""),0,IFERROR(INDEX(Nutrition!$K$2:$K$300,MATCH($F516,Nutrition!$A$2:$A$300,0))*$I516/100,0))</f>
        <v>7.4099999999999999E-2</v>
      </c>
      <c r="R516" s="30">
        <f>IF(OR($F516="",$I516=""),0,IFERROR(INDEX(Nutrition!$L$2:$L$300,MATCH($F516,Nutrition!$A$2:$A$300,0))*$I516/100,0))</f>
        <v>1.5</v>
      </c>
      <c r="S516" s="30">
        <f>IF(OR($F516="",$I516=""),0,IFERROR(INDEX(Nutrition!$M$2:$M$300,MATCH($F516,Nutrition!$A$2:$A$300,0))*$I516/100,0))</f>
        <v>0.10199999999999999</v>
      </c>
    </row>
    <row r="517" spans="1:19" ht="15" customHeight="1" x14ac:dyDescent="0.25">
      <c r="A517" s="22" t="s">
        <v>1597</v>
      </c>
      <c r="B517" s="33" t="str">
        <f>IFERROR(INDEX(Recipes!$B$2:$B$500,MATCH(A517,Recipes!$A$2:$A$500,0)),"")</f>
        <v>Prawn Cauliflower Fried 'Rice'</v>
      </c>
      <c r="C517" s="7" t="s">
        <v>508</v>
      </c>
      <c r="D517" s="34">
        <v>1</v>
      </c>
      <c r="E517" s="22" t="s">
        <v>2821</v>
      </c>
      <c r="F517" s="22" t="s">
        <v>507</v>
      </c>
      <c r="G517" s="22" t="s">
        <v>2755</v>
      </c>
      <c r="H517" s="7"/>
      <c r="I517" s="35">
        <v>15</v>
      </c>
      <c r="J517" s="30">
        <f>IF(OR($F517="",$I517=""),0,IFERROR(INDEX(Nutrition!$D$2:$D$300,MATCH($F517,Nutrition!$A$2:$A$300,0))*$I517/100,0))</f>
        <v>0.3</v>
      </c>
      <c r="K517" s="30">
        <f>IF(OR($F517="",$I517=""),0,IFERROR(INDEX(Nutrition!$E$2:$E$300,MATCH($F517,Nutrition!$A$2:$A$300,0))*$I517/100,0))</f>
        <v>0.75</v>
      </c>
      <c r="L517" s="30">
        <f>IF(OR($F517="",$I517=""),0,IFERROR(INDEX(Nutrition!$F$2:$F$300,MATCH($F517,Nutrition!$A$2:$A$300,0))*$I517/100,0))</f>
        <v>0</v>
      </c>
      <c r="M517" s="30">
        <f>IF(OR($F517="",$I517=""),0,IFERROR(INDEX(Nutrition!$G$2:$G$300,MATCH($F517,Nutrition!$A$2:$A$300,0))*$I517/100,0))</f>
        <v>1.4999999999999999E-2</v>
      </c>
      <c r="N517" s="30">
        <f>IF(OR($F517="",$I517=""),0,IFERROR(INDEX(Nutrition!$H$2:$H$300,MATCH($F517,Nutrition!$A$2:$A$300,0))*$I517/100,0))</f>
        <v>1.65</v>
      </c>
      <c r="O517" s="30">
        <f>IF(OR($F517="",$I517=""),0,IFERROR(INDEX(Nutrition!$I$2:$I$300,MATCH($F517,Nutrition!$A$2:$A$300,0))*$I517/100,0))</f>
        <v>62.25</v>
      </c>
      <c r="P517" s="30">
        <f>IF(OR($F517="",$I517=""),0,IFERROR(INDEX(Nutrition!$J$2:$J$300,MATCH($F517,Nutrition!$A$2:$A$300,0))*$I517/100,0))</f>
        <v>3.9000000000000007E-2</v>
      </c>
      <c r="Q517" s="30">
        <f>IF(OR($F517="",$I517=""),0,IFERROR(INDEX(Nutrition!$K$2:$K$300,MATCH($F517,Nutrition!$A$2:$A$300,0))*$I517/100,0))</f>
        <v>2.4E-2</v>
      </c>
      <c r="R517" s="30">
        <f>IF(OR($F517="",$I517=""),0,IFERROR(INDEX(Nutrition!$L$2:$L$300,MATCH($F517,Nutrition!$A$2:$A$300,0))*$I517/100,0))</f>
        <v>6.45</v>
      </c>
      <c r="S517" s="30">
        <f>IF(OR($F517="",$I517=""),0,IFERROR(INDEX(Nutrition!$M$2:$M$300,MATCH($F517,Nutrition!$A$2:$A$300,0))*$I517/100,0))</f>
        <v>0.09</v>
      </c>
    </row>
    <row r="518" spans="1:19" ht="15" customHeight="1" x14ac:dyDescent="0.25">
      <c r="A518" s="22" t="s">
        <v>1597</v>
      </c>
      <c r="B518" s="33" t="str">
        <f>IFERROR(INDEX(Recipes!$B$2:$B$500,MATCH(A518,Recipes!$A$2:$A$500,0)),"")</f>
        <v>Prawn Cauliflower Fried 'Rice'</v>
      </c>
      <c r="C518" s="7" t="s">
        <v>2823</v>
      </c>
      <c r="D518" s="34">
        <v>2</v>
      </c>
      <c r="E518" s="22" t="s">
        <v>2753</v>
      </c>
      <c r="F518" s="22"/>
      <c r="G518" s="22" t="s">
        <v>2749</v>
      </c>
      <c r="H518" s="7"/>
      <c r="I518" s="35"/>
      <c r="J518" s="30">
        <f>IF(OR($F518="",$I518=""),0,IFERROR(INDEX(Nutrition!$D$2:$D$300,MATCH($F518,Nutrition!$A$2:$A$300,0))*$I518/100,0))</f>
        <v>0</v>
      </c>
      <c r="K518" s="30">
        <f>IF(OR($F518="",$I518=""),0,IFERROR(INDEX(Nutrition!$E$2:$E$300,MATCH($F518,Nutrition!$A$2:$A$300,0))*$I518/100,0))</f>
        <v>0</v>
      </c>
      <c r="L518" s="30">
        <f>IF(OR($F518="",$I518=""),0,IFERROR(INDEX(Nutrition!$F$2:$F$300,MATCH($F518,Nutrition!$A$2:$A$300,0))*$I518/100,0))</f>
        <v>0</v>
      </c>
      <c r="M518" s="30">
        <f>IF(OR($F518="",$I518=""),0,IFERROR(INDEX(Nutrition!$G$2:$G$300,MATCH($F518,Nutrition!$A$2:$A$300,0))*$I518/100,0))</f>
        <v>0</v>
      </c>
      <c r="N518" s="30">
        <f>IF(OR($F518="",$I518=""),0,IFERROR(INDEX(Nutrition!$H$2:$H$300,MATCH($F518,Nutrition!$A$2:$A$300,0))*$I518/100,0))</f>
        <v>0</v>
      </c>
      <c r="O518" s="30">
        <f>IF(OR($F518="",$I518=""),0,IFERROR(INDEX(Nutrition!$I$2:$I$300,MATCH($F518,Nutrition!$A$2:$A$300,0))*$I518/100,0))</f>
        <v>0</v>
      </c>
      <c r="P518" s="30">
        <f>IF(OR($F518="",$I518=""),0,IFERROR(INDEX(Nutrition!$J$2:$J$300,MATCH($F518,Nutrition!$A$2:$A$300,0))*$I518/100,0))</f>
        <v>0</v>
      </c>
      <c r="Q518" s="30">
        <f>IF(OR($F518="",$I518=""),0,IFERROR(INDEX(Nutrition!$K$2:$K$300,MATCH($F518,Nutrition!$A$2:$A$300,0))*$I518/100,0))</f>
        <v>0</v>
      </c>
      <c r="R518" s="30">
        <f>IF(OR($F518="",$I518=""),0,IFERROR(INDEX(Nutrition!$L$2:$L$300,MATCH($F518,Nutrition!$A$2:$A$300,0))*$I518/100,0))</f>
        <v>0</v>
      </c>
      <c r="S518" s="30">
        <f>IF(OR($F518="",$I518=""),0,IFERROR(INDEX(Nutrition!$M$2:$M$300,MATCH($F518,Nutrition!$A$2:$A$300,0))*$I518/100,0))</f>
        <v>0</v>
      </c>
    </row>
    <row r="519" spans="1:19" ht="15" customHeight="1" x14ac:dyDescent="0.25">
      <c r="A519" s="22" t="s">
        <v>1597</v>
      </c>
      <c r="B519" s="33" t="str">
        <f>IFERROR(INDEX(Recipes!$B$2:$B$500,MATCH(A519,Recipes!$A$2:$A$500,0)),"")</f>
        <v>Prawn Cauliflower Fried 'Rice'</v>
      </c>
      <c r="C519" s="7" t="s">
        <v>2772</v>
      </c>
      <c r="D519" s="34">
        <v>1</v>
      </c>
      <c r="E519" s="22" t="s">
        <v>2753</v>
      </c>
      <c r="F519" s="22"/>
      <c r="G519" s="22" t="s">
        <v>2773</v>
      </c>
      <c r="H519" s="7"/>
      <c r="I519" s="35"/>
      <c r="J519" s="30">
        <f>IF(OR($F519="",$I519=""),0,IFERROR(INDEX(Nutrition!$D$2:$D$300,MATCH($F519,Nutrition!$A$2:$A$300,0))*$I519/100,0))</f>
        <v>0</v>
      </c>
      <c r="K519" s="30">
        <f>IF(OR($F519="",$I519=""),0,IFERROR(INDEX(Nutrition!$E$2:$E$300,MATCH($F519,Nutrition!$A$2:$A$300,0))*$I519/100,0))</f>
        <v>0</v>
      </c>
      <c r="L519" s="30">
        <f>IF(OR($F519="",$I519=""),0,IFERROR(INDEX(Nutrition!$F$2:$F$300,MATCH($F519,Nutrition!$A$2:$A$300,0))*$I519/100,0))</f>
        <v>0</v>
      </c>
      <c r="M519" s="30">
        <f>IF(OR($F519="",$I519=""),0,IFERROR(INDEX(Nutrition!$G$2:$G$300,MATCH($F519,Nutrition!$A$2:$A$300,0))*$I519/100,0))</f>
        <v>0</v>
      </c>
      <c r="N519" s="30">
        <f>IF(OR($F519="",$I519=""),0,IFERROR(INDEX(Nutrition!$H$2:$H$300,MATCH($F519,Nutrition!$A$2:$A$300,0))*$I519/100,0))</f>
        <v>0</v>
      </c>
      <c r="O519" s="30">
        <f>IF(OR($F519="",$I519=""),0,IFERROR(INDEX(Nutrition!$I$2:$I$300,MATCH($F519,Nutrition!$A$2:$A$300,0))*$I519/100,0))</f>
        <v>0</v>
      </c>
      <c r="P519" s="30">
        <f>IF(OR($F519="",$I519=""),0,IFERROR(INDEX(Nutrition!$J$2:$J$300,MATCH($F519,Nutrition!$A$2:$A$300,0))*$I519/100,0))</f>
        <v>0</v>
      </c>
      <c r="Q519" s="30">
        <f>IF(OR($F519="",$I519=""),0,IFERROR(INDEX(Nutrition!$K$2:$K$300,MATCH($F519,Nutrition!$A$2:$A$300,0))*$I519/100,0))</f>
        <v>0</v>
      </c>
      <c r="R519" s="30">
        <f>IF(OR($F519="",$I519=""),0,IFERROR(INDEX(Nutrition!$L$2:$L$300,MATCH($F519,Nutrition!$A$2:$A$300,0))*$I519/100,0))</f>
        <v>0</v>
      </c>
      <c r="S519" s="30">
        <f>IF(OR($F519="",$I519=""),0,IFERROR(INDEX(Nutrition!$M$2:$M$300,MATCH($F519,Nutrition!$A$2:$A$300,0))*$I519/100,0))</f>
        <v>0</v>
      </c>
    </row>
    <row r="520" spans="1:19" ht="15" customHeight="1" x14ac:dyDescent="0.25">
      <c r="A520" s="22" t="s">
        <v>1607</v>
      </c>
      <c r="B520" s="33" t="str">
        <f>IFERROR(INDEX(Recipes!$B$2:$B$500,MATCH(A520,Recipes!$A$2:$A$500,0)),"")</f>
        <v>Mango Salsa for Grilled Fish</v>
      </c>
      <c r="C520" s="7" t="s">
        <v>2879</v>
      </c>
      <c r="D520" s="34">
        <v>2</v>
      </c>
      <c r="E520" s="22" t="s">
        <v>2754</v>
      </c>
      <c r="F520" s="22"/>
      <c r="G520" s="22" t="s">
        <v>2768</v>
      </c>
      <c r="H520" s="7"/>
      <c r="I520" s="35"/>
      <c r="J520" s="30">
        <f>IF(OR($F520="",$I520=""),0,IFERROR(INDEX(Nutrition!$D$2:$D$300,MATCH($F520,Nutrition!$A$2:$A$300,0))*$I520/100,0))</f>
        <v>0</v>
      </c>
      <c r="K520" s="30">
        <f>IF(OR($F520="",$I520=""),0,IFERROR(INDEX(Nutrition!$E$2:$E$300,MATCH($F520,Nutrition!$A$2:$A$300,0))*$I520/100,0))</f>
        <v>0</v>
      </c>
      <c r="L520" s="30">
        <f>IF(OR($F520="",$I520=""),0,IFERROR(INDEX(Nutrition!$F$2:$F$300,MATCH($F520,Nutrition!$A$2:$A$300,0))*$I520/100,0))</f>
        <v>0</v>
      </c>
      <c r="M520" s="30">
        <f>IF(OR($F520="",$I520=""),0,IFERROR(INDEX(Nutrition!$G$2:$G$300,MATCH($F520,Nutrition!$A$2:$A$300,0))*$I520/100,0))</f>
        <v>0</v>
      </c>
      <c r="N520" s="30">
        <f>IF(OR($F520="",$I520=""),0,IFERROR(INDEX(Nutrition!$H$2:$H$300,MATCH($F520,Nutrition!$A$2:$A$300,0))*$I520/100,0))</f>
        <v>0</v>
      </c>
      <c r="O520" s="30">
        <f>IF(OR($F520="",$I520=""),0,IFERROR(INDEX(Nutrition!$I$2:$I$300,MATCH($F520,Nutrition!$A$2:$A$300,0))*$I520/100,0))</f>
        <v>0</v>
      </c>
      <c r="P520" s="30">
        <f>IF(OR($F520="",$I520=""),0,IFERROR(INDEX(Nutrition!$J$2:$J$300,MATCH($F520,Nutrition!$A$2:$A$300,0))*$I520/100,0))</f>
        <v>0</v>
      </c>
      <c r="Q520" s="30">
        <f>IF(OR($F520="",$I520=""),0,IFERROR(INDEX(Nutrition!$K$2:$K$300,MATCH($F520,Nutrition!$A$2:$A$300,0))*$I520/100,0))</f>
        <v>0</v>
      </c>
      <c r="R520" s="30">
        <f>IF(OR($F520="",$I520=""),0,IFERROR(INDEX(Nutrition!$L$2:$L$300,MATCH($F520,Nutrition!$A$2:$A$300,0))*$I520/100,0))</f>
        <v>0</v>
      </c>
      <c r="S520" s="30">
        <f>IF(OR($F520="",$I520=""),0,IFERROR(INDEX(Nutrition!$M$2:$M$300,MATCH($F520,Nutrition!$A$2:$A$300,0))*$I520/100,0))</f>
        <v>0</v>
      </c>
    </row>
    <row r="521" spans="1:19" ht="15" customHeight="1" x14ac:dyDescent="0.25">
      <c r="A521" s="22" t="s">
        <v>1607</v>
      </c>
      <c r="B521" s="33" t="str">
        <f>IFERROR(INDEX(Recipes!$B$2:$B$500,MATCH(A521,Recipes!$A$2:$A$500,0)),"")</f>
        <v>Mango Salsa for Grilled Fish</v>
      </c>
      <c r="C521" s="7" t="s">
        <v>129</v>
      </c>
      <c r="D521" s="34">
        <v>2</v>
      </c>
      <c r="E521" s="22" t="s">
        <v>2754</v>
      </c>
      <c r="F521" s="22" t="s">
        <v>128</v>
      </c>
      <c r="G521" s="22" t="s">
        <v>2755</v>
      </c>
      <c r="H521" s="7" t="s">
        <v>2845</v>
      </c>
      <c r="I521" s="35">
        <v>358</v>
      </c>
      <c r="J521" s="30">
        <f>IF(OR($F521="",$I521=""),0,IFERROR(INDEX(Nutrition!$D$2:$D$300,MATCH($F521,Nutrition!$A$2:$A$300,0))*$I521/100,0))</f>
        <v>8.234</v>
      </c>
      <c r="K521" s="30">
        <f>IF(OR($F521="",$I521=""),0,IFERROR(INDEX(Nutrition!$E$2:$E$300,MATCH($F521,Nutrition!$A$2:$A$300,0))*$I521/100,0))</f>
        <v>65.872</v>
      </c>
      <c r="L521" s="30">
        <f>IF(OR($F521="",$I521=""),0,IFERROR(INDEX(Nutrition!$F$2:$F$300,MATCH($F521,Nutrition!$A$2:$A$300,0))*$I521/100,0))</f>
        <v>200.48</v>
      </c>
      <c r="M521" s="30">
        <f>IF(OR($F521="",$I521=""),0,IFERROR(INDEX(Nutrition!$G$2:$G$300,MATCH($F521,Nutrition!$A$2:$A$300,0))*$I521/100,0))</f>
        <v>2.5059999999999998</v>
      </c>
      <c r="N521" s="30">
        <f>IF(OR($F521="",$I521=""),0,IFERROR(INDEX(Nutrition!$H$2:$H$300,MATCH($F521,Nutrition!$A$2:$A$300,0))*$I521/100,0))</f>
        <v>78.760000000000005</v>
      </c>
      <c r="O521" s="30">
        <f>IF(OR($F521="",$I521=""),0,IFERROR(INDEX(Nutrition!$I$2:$I$300,MATCH($F521,Nutrition!$A$2:$A$300,0))*$I521/100,0))</f>
        <v>1786.42</v>
      </c>
      <c r="P521" s="30">
        <f>IF(OR($F521="",$I521=""),0,IFERROR(INDEX(Nutrition!$J$2:$J$300,MATCH($F521,Nutrition!$A$2:$A$300,0))*$I521/100,0))</f>
        <v>0.50120000000000009</v>
      </c>
      <c r="Q521" s="30">
        <f>IF(OR($F521="",$I521=""),0,IFERROR(INDEX(Nutrition!$K$2:$K$300,MATCH($F521,Nutrition!$A$2:$A$300,0))*$I521/100,0))</f>
        <v>1.0704199999999999</v>
      </c>
      <c r="R521" s="30">
        <f>IF(OR($F521="",$I521=""),0,IFERROR(INDEX(Nutrition!$L$2:$L$300,MATCH($F521,Nutrition!$A$2:$A$300,0))*$I521/100,0))</f>
        <v>132.46</v>
      </c>
      <c r="S521" s="30">
        <f>IF(OR($F521="",$I521=""),0,IFERROR(INDEX(Nutrition!$M$2:$M$300,MATCH($F521,Nutrition!$A$2:$A$300,0))*$I521/100,0))</f>
        <v>2.1479999999999997</v>
      </c>
    </row>
    <row r="522" spans="1:19" ht="15" customHeight="1" x14ac:dyDescent="0.25">
      <c r="A522" s="22" t="s">
        <v>1607</v>
      </c>
      <c r="B522" s="33" t="str">
        <f>IFERROR(INDEX(Recipes!$B$2:$B$500,MATCH(A522,Recipes!$A$2:$A$500,0)),"")</f>
        <v>Mango Salsa for Grilled Fish</v>
      </c>
      <c r="C522" s="7" t="s">
        <v>168</v>
      </c>
      <c r="D522" s="34">
        <v>1</v>
      </c>
      <c r="E522" s="22" t="s">
        <v>2754</v>
      </c>
      <c r="F522" s="22" t="s">
        <v>167</v>
      </c>
      <c r="G522" s="22" t="s">
        <v>2755</v>
      </c>
      <c r="H522" s="7"/>
      <c r="I522" s="35">
        <v>336</v>
      </c>
      <c r="J522" s="30">
        <f>IF(OR($F522="",$I522=""),0,IFERROR(INDEX(Nutrition!$D$2:$D$300,MATCH($F522,Nutrition!$A$2:$A$300,0))*$I522/100,0))</f>
        <v>5.3760000000000003</v>
      </c>
      <c r="K522" s="30">
        <f>IF(OR($F522="",$I522=""),0,IFERROR(INDEX(Nutrition!$E$2:$E$300,MATCH($F522,Nutrition!$A$2:$A$300,0))*$I522/100,0))</f>
        <v>122.304</v>
      </c>
      <c r="L522" s="30">
        <f>IF(OR($F522="",$I522=""),0,IFERROR(INDEX(Nutrition!$F$2:$F$300,MATCH($F522,Nutrition!$A$2:$A$300,0))*$I522/100,0))</f>
        <v>181.44</v>
      </c>
      <c r="M522" s="30">
        <f>IF(OR($F522="",$I522=""),0,IFERROR(INDEX(Nutrition!$G$2:$G$300,MATCH($F522,Nutrition!$A$2:$A$300,0))*$I522/100,0))</f>
        <v>14.112</v>
      </c>
      <c r="N522" s="30">
        <f>IF(OR($F522="",$I522=""),0,IFERROR(INDEX(Nutrition!$H$2:$H$300,MATCH($F522,Nutrition!$A$2:$A$300,0))*$I522/100,0))</f>
        <v>144.47999999999999</v>
      </c>
      <c r="O522" s="30">
        <f>IF(OR($F522="",$I522=""),0,IFERROR(INDEX(Nutrition!$I$2:$I$300,MATCH($F522,Nutrition!$A$2:$A$300,0))*$I522/100,0))</f>
        <v>564.48</v>
      </c>
      <c r="P522" s="30">
        <f>IF(OR($F522="",$I522=""),0,IFERROR(INDEX(Nutrition!$J$2:$J$300,MATCH($F522,Nutrition!$A$2:$A$300,0))*$I522/100,0))</f>
        <v>3.0240000000000005</v>
      </c>
      <c r="Q522" s="30">
        <f>IF(OR($F522="",$I522=""),0,IFERROR(INDEX(Nutrition!$K$2:$K$300,MATCH($F522,Nutrition!$A$2:$A$300,0))*$I522/100,0))</f>
        <v>0.39983999999999997</v>
      </c>
      <c r="R522" s="30">
        <f>IF(OR($F522="",$I522=""),0,IFERROR(INDEX(Nutrition!$L$2:$L$300,MATCH($F522,Nutrition!$A$2:$A$300,0))*$I522/100,0))</f>
        <v>33.6</v>
      </c>
      <c r="S522" s="30">
        <f>IF(OR($F522="",$I522=""),0,IFERROR(INDEX(Nutrition!$M$2:$M$300,MATCH($F522,Nutrition!$A$2:$A$300,0))*$I522/100,0))</f>
        <v>0.53759999999999997</v>
      </c>
    </row>
    <row r="523" spans="1:19" ht="15" customHeight="1" x14ac:dyDescent="0.25">
      <c r="A523" s="22" t="s">
        <v>1607</v>
      </c>
      <c r="B523" s="33" t="str">
        <f>IFERROR(INDEX(Recipes!$B$2:$B$500,MATCH(A523,Recipes!$A$2:$A$500,0)),"")</f>
        <v>Mango Salsa for Grilled Fish</v>
      </c>
      <c r="C523" s="7" t="s">
        <v>482</v>
      </c>
      <c r="D523" s="34">
        <v>0.5</v>
      </c>
      <c r="E523" s="22" t="s">
        <v>2754</v>
      </c>
      <c r="F523" s="22" t="s">
        <v>481</v>
      </c>
      <c r="G523" s="22" t="s">
        <v>2755</v>
      </c>
      <c r="H523" s="7" t="s">
        <v>2784</v>
      </c>
      <c r="I523" s="35">
        <v>55</v>
      </c>
      <c r="J523" s="30">
        <f>IF(OR($F523="",$I523=""),0,IFERROR(INDEX(Nutrition!$D$2:$D$300,MATCH($F523,Nutrition!$A$2:$A$300,0))*$I523/100,0))</f>
        <v>0.93500000000000005</v>
      </c>
      <c r="K523" s="30">
        <f>IF(OR($F523="",$I523=""),0,IFERROR(INDEX(Nutrition!$E$2:$E$300,MATCH($F523,Nutrition!$A$2:$A$300,0))*$I523/100,0))</f>
        <v>4.07</v>
      </c>
      <c r="L523" s="30">
        <f>IF(OR($F523="",$I523=""),0,IFERROR(INDEX(Nutrition!$F$2:$F$300,MATCH($F523,Nutrition!$A$2:$A$300,0))*$I523/100,0))</f>
        <v>0</v>
      </c>
      <c r="M523" s="30">
        <f>IF(OR($F523="",$I523=""),0,IFERROR(INDEX(Nutrition!$G$2:$G$300,MATCH($F523,Nutrition!$A$2:$A$300,0))*$I523/100,0))</f>
        <v>0.22</v>
      </c>
      <c r="N523" s="30">
        <f>IF(OR($F523="",$I523=""),0,IFERROR(INDEX(Nutrition!$H$2:$H$300,MATCH($F523,Nutrition!$A$2:$A$300,0))*$I523/100,0))</f>
        <v>10.45</v>
      </c>
      <c r="O523" s="30">
        <f>IF(OR($F523="",$I523=""),0,IFERROR(INDEX(Nutrition!$I$2:$I$300,MATCH($F523,Nutrition!$A$2:$A$300,0))*$I523/100,0))</f>
        <v>80.3</v>
      </c>
      <c r="P523" s="30">
        <f>IF(OR($F523="",$I523=""),0,IFERROR(INDEX(Nutrition!$J$2:$J$300,MATCH($F523,Nutrition!$A$2:$A$300,0))*$I523/100,0))</f>
        <v>1.1000000000000001E-2</v>
      </c>
      <c r="Q523" s="30">
        <f>IF(OR($F523="",$I523=""),0,IFERROR(INDEX(Nutrition!$K$2:$K$300,MATCH($F523,Nutrition!$A$2:$A$300,0))*$I523/100,0))</f>
        <v>6.6000000000000003E-2</v>
      </c>
      <c r="R523" s="30">
        <f>IF(OR($F523="",$I523=""),0,IFERROR(INDEX(Nutrition!$L$2:$L$300,MATCH($F523,Nutrition!$A$2:$A$300,0))*$I523/100,0))</f>
        <v>5.5</v>
      </c>
      <c r="S523" s="30">
        <f>IF(OR($F523="",$I523=""),0,IFERROR(INDEX(Nutrition!$M$2:$M$300,MATCH($F523,Nutrition!$A$2:$A$300,0))*$I523/100,0))</f>
        <v>0.11549999999999999</v>
      </c>
    </row>
    <row r="524" spans="1:19" ht="15" customHeight="1" x14ac:dyDescent="0.25">
      <c r="A524" s="22" t="s">
        <v>1607</v>
      </c>
      <c r="B524" s="33" t="str">
        <f>IFERROR(INDEX(Recipes!$B$2:$B$500,MATCH(A524,Recipes!$A$2:$A$500,0)),"")</f>
        <v>Mango Salsa for Grilled Fish</v>
      </c>
      <c r="C524" s="7" t="s">
        <v>473</v>
      </c>
      <c r="D524" s="34">
        <v>0.25</v>
      </c>
      <c r="E524" s="22" t="s">
        <v>2754</v>
      </c>
      <c r="F524" s="22" t="s">
        <v>472</v>
      </c>
      <c r="G524" s="22" t="s">
        <v>2755</v>
      </c>
      <c r="H524" s="7"/>
      <c r="I524" s="35">
        <v>2</v>
      </c>
      <c r="J524" s="30">
        <f>IF(OR($F524="",$I524=""),0,IFERROR(INDEX(Nutrition!$D$2:$D$300,MATCH($F524,Nutrition!$A$2:$A$300,0))*$I524/100,0))</f>
        <v>0.03</v>
      </c>
      <c r="K524" s="30">
        <f>IF(OR($F524="",$I524=""),0,IFERROR(INDEX(Nutrition!$E$2:$E$300,MATCH($F524,Nutrition!$A$2:$A$300,0))*$I524/100,0))</f>
        <v>2.8739999999999997</v>
      </c>
      <c r="L524" s="30">
        <f>IF(OR($F524="",$I524=""),0,IFERROR(INDEX(Nutrition!$F$2:$F$300,MATCH($F524,Nutrition!$A$2:$A$300,0))*$I524/100,0))</f>
        <v>0.96</v>
      </c>
      <c r="M524" s="30">
        <f>IF(OR($F524="",$I524=""),0,IFERROR(INDEX(Nutrition!$G$2:$G$300,MATCH($F524,Nutrition!$A$2:$A$300,0))*$I524/100,0))</f>
        <v>0.28000000000000003</v>
      </c>
      <c r="N524" s="30">
        <f>IF(OR($F524="",$I524=""),0,IFERROR(INDEX(Nutrition!$H$2:$H$300,MATCH($F524,Nutrition!$A$2:$A$300,0))*$I524/100,0))</f>
        <v>0.46</v>
      </c>
      <c r="O524" s="30">
        <f>IF(OR($F524="",$I524=""),0,IFERROR(INDEX(Nutrition!$I$2:$I$300,MATCH($F524,Nutrition!$A$2:$A$300,0))*$I524/100,0))</f>
        <v>6.44</v>
      </c>
      <c r="P524" s="30">
        <f>IF(OR($F524="",$I524=""),0,IFERROR(INDEX(Nutrition!$J$2:$J$300,MATCH($F524,Nutrition!$A$2:$A$300,0))*$I524/100,0))</f>
        <v>1.38E-2</v>
      </c>
      <c r="Q524" s="30">
        <f>IF(OR($F524="",$I524=""),0,IFERROR(INDEX(Nutrition!$K$2:$K$300,MATCH($F524,Nutrition!$A$2:$A$300,0))*$I524/100,0))</f>
        <v>1.0120000000000001E-2</v>
      </c>
      <c r="R524" s="30">
        <f>IF(OR($F524="",$I524=""),0,IFERROR(INDEX(Nutrition!$L$2:$L$300,MATCH($F524,Nutrition!$A$2:$A$300,0))*$I524/100,0))</f>
        <v>0.46</v>
      </c>
      <c r="S524" s="30">
        <f>IF(OR($F524="",$I524=""),0,IFERROR(INDEX(Nutrition!$M$2:$M$300,MATCH($F524,Nutrition!$A$2:$A$300,0))*$I524/100,0))</f>
        <v>2.06E-2</v>
      </c>
    </row>
    <row r="525" spans="1:19" ht="15" customHeight="1" x14ac:dyDescent="0.25">
      <c r="A525" s="22" t="s">
        <v>1607</v>
      </c>
      <c r="B525" s="33" t="str">
        <f>IFERROR(INDEX(Recipes!$B$2:$B$500,MATCH(A525,Recipes!$A$2:$A$500,0)),"")</f>
        <v>Mango Salsa for Grilled Fish</v>
      </c>
      <c r="C525" s="7" t="s">
        <v>668</v>
      </c>
      <c r="D525" s="34">
        <v>1</v>
      </c>
      <c r="E525" s="22" t="s">
        <v>2809</v>
      </c>
      <c r="F525" s="22" t="s">
        <v>667</v>
      </c>
      <c r="G525" s="22" t="s">
        <v>2755</v>
      </c>
      <c r="H525" s="7"/>
      <c r="I525" s="35">
        <v>30</v>
      </c>
      <c r="J525" s="30">
        <f>IF(OR($F525="",$I525=""),0,IFERROR(INDEX(Nutrition!$D$2:$D$300,MATCH($F525,Nutrition!$A$2:$A$300,0))*$I525/100,0))</f>
        <v>0.84</v>
      </c>
      <c r="K525" s="30">
        <f>IF(OR($F525="",$I525=""),0,IFERROR(INDEX(Nutrition!$E$2:$E$300,MATCH($F525,Nutrition!$A$2:$A$300,0))*$I525/100,0))</f>
        <v>8.1</v>
      </c>
      <c r="L525" s="30">
        <f>IF(OR($F525="",$I525=""),0,IFERROR(INDEX(Nutrition!$F$2:$F$300,MATCH($F525,Nutrition!$A$2:$A$300,0))*$I525/100,0))</f>
        <v>101.1</v>
      </c>
      <c r="M525" s="30">
        <f>IF(OR($F525="",$I525=""),0,IFERROR(INDEX(Nutrition!$G$2:$G$300,MATCH($F525,Nutrition!$A$2:$A$300,0))*$I525/100,0))</f>
        <v>93</v>
      </c>
      <c r="N525" s="30">
        <f>IF(OR($F525="",$I525=""),0,IFERROR(INDEX(Nutrition!$H$2:$H$300,MATCH($F525,Nutrition!$A$2:$A$300,0))*$I525/100,0))</f>
        <v>18.600000000000001</v>
      </c>
      <c r="O525" s="30">
        <f>IF(OR($F525="",$I525=""),0,IFERROR(INDEX(Nutrition!$I$2:$I$300,MATCH($F525,Nutrition!$A$2:$A$300,0))*$I525/100,0))</f>
        <v>156.30000000000001</v>
      </c>
      <c r="P525" s="30">
        <f>IF(OR($F525="",$I525=""),0,IFERROR(INDEX(Nutrition!$J$2:$J$300,MATCH($F525,Nutrition!$A$2:$A$300,0))*$I525/100,0))</f>
        <v>0.75</v>
      </c>
      <c r="Q525" s="30">
        <f>IF(OR($F525="",$I525=""),0,IFERROR(INDEX(Nutrition!$K$2:$K$300,MATCH($F525,Nutrition!$A$2:$A$300,0))*$I525/100,0))</f>
        <v>4.4699999999999997E-2</v>
      </c>
      <c r="R525" s="30">
        <f>IF(OR($F525="",$I525=""),0,IFERROR(INDEX(Nutrition!$L$2:$L$300,MATCH($F525,Nutrition!$A$2:$A$300,0))*$I525/100,0))</f>
        <v>7.8</v>
      </c>
      <c r="S525" s="30">
        <f>IF(OR($F525="",$I525=""),0,IFERROR(INDEX(Nutrition!$M$2:$M$300,MATCH($F525,Nutrition!$A$2:$A$300,0))*$I525/100,0))</f>
        <v>0.53100000000000003</v>
      </c>
    </row>
    <row r="526" spans="1:19" ht="15" customHeight="1" x14ac:dyDescent="0.25">
      <c r="A526" s="22" t="s">
        <v>1607</v>
      </c>
      <c r="B526" s="33" t="str">
        <f>IFERROR(INDEX(Recipes!$B$2:$B$500,MATCH(A526,Recipes!$A$2:$A$500,0)),"")</f>
        <v>Mango Salsa for Grilled Fish</v>
      </c>
      <c r="C526" s="7" t="s">
        <v>213</v>
      </c>
      <c r="D526" s="34">
        <v>2</v>
      </c>
      <c r="E526" s="22" t="s">
        <v>2754</v>
      </c>
      <c r="F526" s="22" t="s">
        <v>212</v>
      </c>
      <c r="G526" s="22" t="s">
        <v>2755</v>
      </c>
      <c r="H526" s="7"/>
      <c r="I526" s="35">
        <v>134</v>
      </c>
      <c r="J526" s="30">
        <f>IF(OR($F526="",$I526=""),0,IFERROR(INDEX(Nutrition!$D$2:$D$300,MATCH($F526,Nutrition!$A$2:$A$300,0))*$I526/100,0))</f>
        <v>3.7519999999999998</v>
      </c>
      <c r="K526" s="30">
        <f>IF(OR($F526="",$I526=""),0,IFERROR(INDEX(Nutrition!$E$2:$E$300,MATCH($F526,Nutrition!$A$2:$A$300,0))*$I526/100,0))</f>
        <v>38.994</v>
      </c>
      <c r="L526" s="30">
        <f>IF(OR($F526="",$I526=""),0,IFERROR(INDEX(Nutrition!$F$2:$F$300,MATCH($F526,Nutrition!$A$2:$A$300,0))*$I526/100,0))</f>
        <v>2.68</v>
      </c>
      <c r="M526" s="30">
        <f>IF(OR($F526="",$I526=""),0,IFERROR(INDEX(Nutrition!$G$2:$G$300,MATCH($F526,Nutrition!$A$2:$A$300,0))*$I526/100,0))</f>
        <v>0.80399999999999994</v>
      </c>
      <c r="N526" s="30">
        <f>IF(OR($F526="",$I526=""),0,IFERROR(INDEX(Nutrition!$H$2:$H$300,MATCH($F526,Nutrition!$A$2:$A$300,0))*$I526/100,0))</f>
        <v>10.72</v>
      </c>
      <c r="O526" s="30">
        <f>IF(OR($F526="",$I526=""),0,IFERROR(INDEX(Nutrition!$I$2:$I$300,MATCH($F526,Nutrition!$A$2:$A$300,0))*$I526/100,0))</f>
        <v>136.68</v>
      </c>
      <c r="P526" s="30">
        <f>IF(OR($F526="",$I526=""),0,IFERROR(INDEX(Nutrition!$J$2:$J$300,MATCH($F526,Nutrition!$A$2:$A$300,0))*$I526/100,0))</f>
        <v>0.29480000000000001</v>
      </c>
      <c r="Q526" s="30">
        <f>IF(OR($F526="",$I526=""),0,IFERROR(INDEX(Nutrition!$K$2:$K$300,MATCH($F526,Nutrition!$A$2:$A$300,0))*$I526/100,0))</f>
        <v>5.7619999999999998E-2</v>
      </c>
      <c r="R526" s="30">
        <f>IF(OR($F526="",$I526=""),0,IFERROR(INDEX(Nutrition!$L$2:$L$300,MATCH($F526,Nutrition!$A$2:$A$300,0))*$I526/100,0))</f>
        <v>8.0399999999999991</v>
      </c>
      <c r="S526" s="30">
        <f>IF(OR($F526="",$I526=""),0,IFERROR(INDEX(Nutrition!$M$2:$M$300,MATCH($F526,Nutrition!$A$2:$A$300,0))*$I526/100,0))</f>
        <v>0.80399999999999994</v>
      </c>
    </row>
    <row r="527" spans="1:19" ht="15" customHeight="1" x14ac:dyDescent="0.25">
      <c r="A527" s="22" t="s">
        <v>1607</v>
      </c>
      <c r="B527" s="33" t="str">
        <f>IFERROR(INDEX(Recipes!$B$2:$B$500,MATCH(A527,Recipes!$A$2:$A$500,0)),"")</f>
        <v>Mango Salsa for Grilled Fish</v>
      </c>
      <c r="C527" s="7" t="s">
        <v>500</v>
      </c>
      <c r="D527" s="34">
        <v>2</v>
      </c>
      <c r="E527" s="22" t="s">
        <v>2776</v>
      </c>
      <c r="F527" s="22" t="s">
        <v>499</v>
      </c>
      <c r="G527" s="22" t="s">
        <v>2755</v>
      </c>
      <c r="H527" s="7"/>
      <c r="I527" s="35">
        <v>6</v>
      </c>
      <c r="J527" s="30">
        <f>IF(OR($F527="",$I527=""),0,IFERROR(INDEX(Nutrition!$D$2:$D$300,MATCH($F527,Nutrition!$A$2:$A$300,0))*$I527/100,0))</f>
        <v>0.126</v>
      </c>
      <c r="K527" s="30">
        <f>IF(OR($F527="",$I527=""),0,IFERROR(INDEX(Nutrition!$E$2:$E$300,MATCH($F527,Nutrition!$A$2:$A$300,0))*$I527/100,0))</f>
        <v>1.8719999999999999</v>
      </c>
      <c r="L527" s="30">
        <f>IF(OR($F527="",$I527=""),0,IFERROR(INDEX(Nutrition!$F$2:$F$300,MATCH($F527,Nutrition!$A$2:$A$300,0))*$I527/100,0))</f>
        <v>0</v>
      </c>
      <c r="M527" s="30">
        <f>IF(OR($F527="",$I527=""),0,IFERROR(INDEX(Nutrition!$G$2:$G$300,MATCH($F527,Nutrition!$A$2:$A$300,0))*$I527/100,0))</f>
        <v>0.10199999999999999</v>
      </c>
      <c r="N527" s="30">
        <f>IF(OR($F527="",$I527=""),0,IFERROR(INDEX(Nutrition!$H$2:$H$300,MATCH($F527,Nutrition!$A$2:$A$300,0))*$I527/100,0))</f>
        <v>0.18</v>
      </c>
      <c r="O527" s="30">
        <f>IF(OR($F527="",$I527=""),0,IFERROR(INDEX(Nutrition!$I$2:$I$300,MATCH($F527,Nutrition!$A$2:$A$300,0))*$I527/100,0))</f>
        <v>24.06</v>
      </c>
      <c r="P527" s="30">
        <f>IF(OR($F527="",$I527=""),0,IFERROR(INDEX(Nutrition!$J$2:$J$300,MATCH($F527,Nutrition!$A$2:$A$300,0))*$I527/100,0))</f>
        <v>4.7999999999999996E-3</v>
      </c>
      <c r="Q527" s="30">
        <f>IF(OR($F527="",$I527=""),0,IFERROR(INDEX(Nutrition!$K$2:$K$300,MATCH($F527,Nutrition!$A$2:$A$300,0))*$I527/100,0))</f>
        <v>7.4099999999999999E-2</v>
      </c>
      <c r="R527" s="30">
        <f>IF(OR($F527="",$I527=""),0,IFERROR(INDEX(Nutrition!$L$2:$L$300,MATCH($F527,Nutrition!$A$2:$A$300,0))*$I527/100,0))</f>
        <v>1.5</v>
      </c>
      <c r="S527" s="30">
        <f>IF(OR($F527="",$I527=""),0,IFERROR(INDEX(Nutrition!$M$2:$M$300,MATCH($F527,Nutrition!$A$2:$A$300,0))*$I527/100,0))</f>
        <v>0.10199999999999999</v>
      </c>
    </row>
    <row r="528" spans="1:19" ht="15" customHeight="1" x14ac:dyDescent="0.25">
      <c r="A528" s="22" t="s">
        <v>1607</v>
      </c>
      <c r="B528" s="33" t="str">
        <f>IFERROR(INDEX(Recipes!$B$2:$B$500,MATCH(A528,Recipes!$A$2:$A$500,0)),"")</f>
        <v>Mango Salsa for Grilled Fish</v>
      </c>
      <c r="C528" s="7" t="s">
        <v>508</v>
      </c>
      <c r="D528" s="34">
        <v>1</v>
      </c>
      <c r="E528" s="22" t="s">
        <v>2821</v>
      </c>
      <c r="F528" s="22" t="s">
        <v>507</v>
      </c>
      <c r="G528" s="22" t="s">
        <v>2755</v>
      </c>
      <c r="H528" s="7"/>
      <c r="I528" s="35">
        <v>15</v>
      </c>
      <c r="J528" s="30">
        <f>IF(OR($F528="",$I528=""),0,IFERROR(INDEX(Nutrition!$D$2:$D$300,MATCH($F528,Nutrition!$A$2:$A$300,0))*$I528/100,0))</f>
        <v>0.3</v>
      </c>
      <c r="K528" s="30">
        <f>IF(OR($F528="",$I528=""),0,IFERROR(INDEX(Nutrition!$E$2:$E$300,MATCH($F528,Nutrition!$A$2:$A$300,0))*$I528/100,0))</f>
        <v>0.75</v>
      </c>
      <c r="L528" s="30">
        <f>IF(OR($F528="",$I528=""),0,IFERROR(INDEX(Nutrition!$F$2:$F$300,MATCH($F528,Nutrition!$A$2:$A$300,0))*$I528/100,0))</f>
        <v>0</v>
      </c>
      <c r="M528" s="30">
        <f>IF(OR($F528="",$I528=""),0,IFERROR(INDEX(Nutrition!$G$2:$G$300,MATCH($F528,Nutrition!$A$2:$A$300,0))*$I528/100,0))</f>
        <v>1.4999999999999999E-2</v>
      </c>
      <c r="N528" s="30">
        <f>IF(OR($F528="",$I528=""),0,IFERROR(INDEX(Nutrition!$H$2:$H$300,MATCH($F528,Nutrition!$A$2:$A$300,0))*$I528/100,0))</f>
        <v>1.65</v>
      </c>
      <c r="O528" s="30">
        <f>IF(OR($F528="",$I528=""),0,IFERROR(INDEX(Nutrition!$I$2:$I$300,MATCH($F528,Nutrition!$A$2:$A$300,0))*$I528/100,0))</f>
        <v>62.25</v>
      </c>
      <c r="P528" s="30">
        <f>IF(OR($F528="",$I528=""),0,IFERROR(INDEX(Nutrition!$J$2:$J$300,MATCH($F528,Nutrition!$A$2:$A$300,0))*$I528/100,0))</f>
        <v>3.9000000000000007E-2</v>
      </c>
      <c r="Q528" s="30">
        <f>IF(OR($F528="",$I528=""),0,IFERROR(INDEX(Nutrition!$K$2:$K$300,MATCH($F528,Nutrition!$A$2:$A$300,0))*$I528/100,0))</f>
        <v>2.4E-2</v>
      </c>
      <c r="R528" s="30">
        <f>IF(OR($F528="",$I528=""),0,IFERROR(INDEX(Nutrition!$L$2:$L$300,MATCH($F528,Nutrition!$A$2:$A$300,0))*$I528/100,0))</f>
        <v>6.45</v>
      </c>
      <c r="S528" s="30">
        <f>IF(OR($F528="",$I528=""),0,IFERROR(INDEX(Nutrition!$M$2:$M$300,MATCH($F528,Nutrition!$A$2:$A$300,0))*$I528/100,0))</f>
        <v>0.09</v>
      </c>
    </row>
    <row r="529" spans="1:19" ht="15" customHeight="1" x14ac:dyDescent="0.25">
      <c r="A529" s="22" t="s">
        <v>1607</v>
      </c>
      <c r="B529" s="33" t="str">
        <f>IFERROR(INDEX(Recipes!$B$2:$B$500,MATCH(A529,Recipes!$A$2:$A$500,0)),"")</f>
        <v>Mango Salsa for Grilled Fish</v>
      </c>
      <c r="C529" s="7" t="s">
        <v>2789</v>
      </c>
      <c r="D529" s="34">
        <v>1</v>
      </c>
      <c r="E529" s="22" t="s">
        <v>2759</v>
      </c>
      <c r="F529" s="22"/>
      <c r="G529" s="22" t="s">
        <v>2749</v>
      </c>
      <c r="H529" s="7"/>
      <c r="I529" s="35"/>
      <c r="J529" s="30">
        <f>IF(OR($F529="",$I529=""),0,IFERROR(INDEX(Nutrition!$D$2:$D$300,MATCH($F529,Nutrition!$A$2:$A$300,0))*$I529/100,0))</f>
        <v>0</v>
      </c>
      <c r="K529" s="30">
        <f>IF(OR($F529="",$I529=""),0,IFERROR(INDEX(Nutrition!$E$2:$E$300,MATCH($F529,Nutrition!$A$2:$A$300,0))*$I529/100,0))</f>
        <v>0</v>
      </c>
      <c r="L529" s="30">
        <f>IF(OR($F529="",$I529=""),0,IFERROR(INDEX(Nutrition!$F$2:$F$300,MATCH($F529,Nutrition!$A$2:$A$300,0))*$I529/100,0))</f>
        <v>0</v>
      </c>
      <c r="M529" s="30">
        <f>IF(OR($F529="",$I529=""),0,IFERROR(INDEX(Nutrition!$G$2:$G$300,MATCH($F529,Nutrition!$A$2:$A$300,0))*$I529/100,0))</f>
        <v>0</v>
      </c>
      <c r="N529" s="30">
        <f>IF(OR($F529="",$I529=""),0,IFERROR(INDEX(Nutrition!$H$2:$H$300,MATCH($F529,Nutrition!$A$2:$A$300,0))*$I529/100,0))</f>
        <v>0</v>
      </c>
      <c r="O529" s="30">
        <f>IF(OR($F529="",$I529=""),0,IFERROR(INDEX(Nutrition!$I$2:$I$300,MATCH($F529,Nutrition!$A$2:$A$300,0))*$I529/100,0))</f>
        <v>0</v>
      </c>
      <c r="P529" s="30">
        <f>IF(OR($F529="",$I529=""),0,IFERROR(INDEX(Nutrition!$J$2:$J$300,MATCH($F529,Nutrition!$A$2:$A$300,0))*$I529/100,0))</f>
        <v>0</v>
      </c>
      <c r="Q529" s="30">
        <f>IF(OR($F529="",$I529=""),0,IFERROR(INDEX(Nutrition!$K$2:$K$300,MATCH($F529,Nutrition!$A$2:$A$300,0))*$I529/100,0))</f>
        <v>0</v>
      </c>
      <c r="R529" s="30">
        <f>IF(OR($F529="",$I529=""),0,IFERROR(INDEX(Nutrition!$L$2:$L$300,MATCH($F529,Nutrition!$A$2:$A$300,0))*$I529/100,0))</f>
        <v>0</v>
      </c>
      <c r="S529" s="30">
        <f>IF(OR($F529="",$I529=""),0,IFERROR(INDEX(Nutrition!$M$2:$M$300,MATCH($F529,Nutrition!$A$2:$A$300,0))*$I529/100,0))</f>
        <v>0</v>
      </c>
    </row>
    <row r="530" spans="1:19" ht="15" customHeight="1" x14ac:dyDescent="0.25">
      <c r="A530" s="22" t="s">
        <v>1607</v>
      </c>
      <c r="B530" s="33" t="str">
        <f>IFERROR(INDEX(Recipes!$B$2:$B$500,MATCH(A530,Recipes!$A$2:$A$500,0)),"")</f>
        <v>Mango Salsa for Grilled Fish</v>
      </c>
      <c r="C530" s="7" t="s">
        <v>2772</v>
      </c>
      <c r="D530" s="34">
        <v>1</v>
      </c>
      <c r="E530" s="22" t="s">
        <v>2753</v>
      </c>
      <c r="F530" s="22"/>
      <c r="G530" s="22" t="s">
        <v>2773</v>
      </c>
      <c r="H530" s="7"/>
      <c r="I530" s="35"/>
      <c r="J530" s="30">
        <f>IF(OR($F530="",$I530=""),0,IFERROR(INDEX(Nutrition!$D$2:$D$300,MATCH($F530,Nutrition!$A$2:$A$300,0))*$I530/100,0))</f>
        <v>0</v>
      </c>
      <c r="K530" s="30">
        <f>IF(OR($F530="",$I530=""),0,IFERROR(INDEX(Nutrition!$E$2:$E$300,MATCH($F530,Nutrition!$A$2:$A$300,0))*$I530/100,0))</f>
        <v>0</v>
      </c>
      <c r="L530" s="30">
        <f>IF(OR($F530="",$I530=""),0,IFERROR(INDEX(Nutrition!$F$2:$F$300,MATCH($F530,Nutrition!$A$2:$A$300,0))*$I530/100,0))</f>
        <v>0</v>
      </c>
      <c r="M530" s="30">
        <f>IF(OR($F530="",$I530=""),0,IFERROR(INDEX(Nutrition!$G$2:$G$300,MATCH($F530,Nutrition!$A$2:$A$300,0))*$I530/100,0))</f>
        <v>0</v>
      </c>
      <c r="N530" s="30">
        <f>IF(OR($F530="",$I530=""),0,IFERROR(INDEX(Nutrition!$H$2:$H$300,MATCH($F530,Nutrition!$A$2:$A$300,0))*$I530/100,0))</f>
        <v>0</v>
      </c>
      <c r="O530" s="30">
        <f>IF(OR($F530="",$I530=""),0,IFERROR(INDEX(Nutrition!$I$2:$I$300,MATCH($F530,Nutrition!$A$2:$A$300,0))*$I530/100,0))</f>
        <v>0</v>
      </c>
      <c r="P530" s="30">
        <f>IF(OR($F530="",$I530=""),0,IFERROR(INDEX(Nutrition!$J$2:$J$300,MATCH($F530,Nutrition!$A$2:$A$300,0))*$I530/100,0))</f>
        <v>0</v>
      </c>
      <c r="Q530" s="30">
        <f>IF(OR($F530="",$I530=""),0,IFERROR(INDEX(Nutrition!$K$2:$K$300,MATCH($F530,Nutrition!$A$2:$A$300,0))*$I530/100,0))</f>
        <v>0</v>
      </c>
      <c r="R530" s="30">
        <f>IF(OR($F530="",$I530=""),0,IFERROR(INDEX(Nutrition!$L$2:$L$300,MATCH($F530,Nutrition!$A$2:$A$300,0))*$I530/100,0))</f>
        <v>0</v>
      </c>
      <c r="S530" s="30">
        <f>IF(OR($F530="",$I530=""),0,IFERROR(INDEX(Nutrition!$M$2:$M$300,MATCH($F530,Nutrition!$A$2:$A$300,0))*$I530/100,0))</f>
        <v>0</v>
      </c>
    </row>
    <row r="531" spans="1:19" ht="15" customHeight="1" x14ac:dyDescent="0.25">
      <c r="A531" s="22" t="s">
        <v>1620</v>
      </c>
      <c r="B531" s="33" t="str">
        <f>IFERROR(INDEX(Recipes!$B$2:$B$500,MATCH(A531,Recipes!$A$2:$A$500,0)),"")</f>
        <v>Chickpea &amp; Efo Curry</v>
      </c>
      <c r="C531" s="7" t="s">
        <v>2853</v>
      </c>
      <c r="D531" s="34">
        <v>2</v>
      </c>
      <c r="E531" s="22" t="s">
        <v>2790</v>
      </c>
      <c r="F531" s="22"/>
      <c r="G531" s="22" t="s">
        <v>2749</v>
      </c>
      <c r="H531" s="7" t="s">
        <v>2833</v>
      </c>
      <c r="I531" s="35"/>
      <c r="J531" s="30">
        <f>IF(OR($F531="",$I531=""),0,IFERROR(INDEX(Nutrition!$D$2:$D$300,MATCH($F531,Nutrition!$A$2:$A$300,0))*$I531/100,0))</f>
        <v>0</v>
      </c>
      <c r="K531" s="30">
        <f>IF(OR($F531="",$I531=""),0,IFERROR(INDEX(Nutrition!$E$2:$E$300,MATCH($F531,Nutrition!$A$2:$A$300,0))*$I531/100,0))</f>
        <v>0</v>
      </c>
      <c r="L531" s="30">
        <f>IF(OR($F531="",$I531=""),0,IFERROR(INDEX(Nutrition!$F$2:$F$300,MATCH($F531,Nutrition!$A$2:$A$300,0))*$I531/100,0))</f>
        <v>0</v>
      </c>
      <c r="M531" s="30">
        <f>IF(OR($F531="",$I531=""),0,IFERROR(INDEX(Nutrition!$G$2:$G$300,MATCH($F531,Nutrition!$A$2:$A$300,0))*$I531/100,0))</f>
        <v>0</v>
      </c>
      <c r="N531" s="30">
        <f>IF(OR($F531="",$I531=""),0,IFERROR(INDEX(Nutrition!$H$2:$H$300,MATCH($F531,Nutrition!$A$2:$A$300,0))*$I531/100,0))</f>
        <v>0</v>
      </c>
      <c r="O531" s="30">
        <f>IF(OR($F531="",$I531=""),0,IFERROR(INDEX(Nutrition!$I$2:$I$300,MATCH($F531,Nutrition!$A$2:$A$300,0))*$I531/100,0))</f>
        <v>0</v>
      </c>
      <c r="P531" s="30">
        <f>IF(OR($F531="",$I531=""),0,IFERROR(INDEX(Nutrition!$J$2:$J$300,MATCH($F531,Nutrition!$A$2:$A$300,0))*$I531/100,0))</f>
        <v>0</v>
      </c>
      <c r="Q531" s="30">
        <f>IF(OR($F531="",$I531=""),0,IFERROR(INDEX(Nutrition!$K$2:$K$300,MATCH($F531,Nutrition!$A$2:$A$300,0))*$I531/100,0))</f>
        <v>0</v>
      </c>
      <c r="R531" s="30">
        <f>IF(OR($F531="",$I531=""),0,IFERROR(INDEX(Nutrition!$L$2:$L$300,MATCH($F531,Nutrition!$A$2:$A$300,0))*$I531/100,0))</f>
        <v>0</v>
      </c>
      <c r="S531" s="30">
        <f>IF(OR($F531="",$I531=""),0,IFERROR(INDEX(Nutrition!$M$2:$M$300,MATCH($F531,Nutrition!$A$2:$A$300,0))*$I531/100,0))</f>
        <v>0</v>
      </c>
    </row>
    <row r="532" spans="1:19" ht="15" customHeight="1" x14ac:dyDescent="0.25">
      <c r="A532" s="22" t="s">
        <v>1620</v>
      </c>
      <c r="B532" s="33" t="str">
        <f>IFERROR(INDEX(Recipes!$B$2:$B$500,MATCH(A532,Recipes!$A$2:$A$500,0)),"")</f>
        <v>Chickpea &amp; Efo Curry</v>
      </c>
      <c r="C532" s="7" t="s">
        <v>633</v>
      </c>
      <c r="D532" s="34">
        <v>4</v>
      </c>
      <c r="E532" s="22" t="s">
        <v>2790</v>
      </c>
      <c r="F532" s="22" t="s">
        <v>632</v>
      </c>
      <c r="G532" s="22" t="s">
        <v>2755</v>
      </c>
      <c r="H532" s="7"/>
      <c r="I532" s="35">
        <v>112</v>
      </c>
      <c r="J532" s="30">
        <f>IF(OR($F532="",$I532=""),0,IFERROR(INDEX(Nutrition!$D$2:$D$300,MATCH($F532,Nutrition!$A$2:$A$300,0))*$I532/100,0))</f>
        <v>2.2400000000000002</v>
      </c>
      <c r="K532" s="30">
        <f>IF(OR($F532="",$I532=""),0,IFERROR(INDEX(Nutrition!$E$2:$E$300,MATCH($F532,Nutrition!$A$2:$A$300,0))*$I532/100,0))</f>
        <v>48.495999999999995</v>
      </c>
      <c r="L532" s="30">
        <f>IF(OR($F532="",$I532=""),0,IFERROR(INDEX(Nutrition!$F$2:$F$300,MATCH($F532,Nutrition!$A$2:$A$300,0))*$I532/100,0))</f>
        <v>163.52000000000001</v>
      </c>
      <c r="M532" s="30">
        <f>IF(OR($F532="",$I532=""),0,IFERROR(INDEX(Nutrition!$G$2:$G$300,MATCH($F532,Nutrition!$A$2:$A$300,0))*$I532/100,0))</f>
        <v>1276.8</v>
      </c>
      <c r="N532" s="30">
        <f>IF(OR($F532="",$I532=""),0,IFERROR(INDEX(Nutrition!$H$2:$H$300,MATCH($F532,Nutrition!$A$2:$A$300,0))*$I532/100,0))</f>
        <v>95.2</v>
      </c>
      <c r="O532" s="30">
        <f>IF(OR($F532="",$I532=""),0,IFERROR(INDEX(Nutrition!$I$2:$I$300,MATCH($F532,Nutrition!$A$2:$A$300,0))*$I532/100,0))</f>
        <v>684.32</v>
      </c>
      <c r="P532" s="30">
        <f>IF(OR($F532="",$I532=""),0,IFERROR(INDEX(Nutrition!$J$2:$J$300,MATCH($F532,Nutrition!$A$2:$A$300,0))*$I532/100,0))</f>
        <v>0</v>
      </c>
      <c r="Q532" s="30">
        <f>IF(OR($F532="",$I532=""),0,IFERROR(INDEX(Nutrition!$K$2:$K$300,MATCH($F532,Nutrition!$A$2:$A$300,0))*$I532/100,0))</f>
        <v>0.21504000000000001</v>
      </c>
      <c r="R532" s="30">
        <f>IF(OR($F532="",$I532=""),0,IFERROR(INDEX(Nutrition!$L$2:$L$300,MATCH($F532,Nutrition!$A$2:$A$300,0))*$I532/100,0))</f>
        <v>61.6</v>
      </c>
      <c r="S532" s="30">
        <f>IF(OR($F532="",$I532=""),0,IFERROR(INDEX(Nutrition!$M$2:$M$300,MATCH($F532,Nutrition!$A$2:$A$300,0))*$I532/100,0))</f>
        <v>2.5983999999999998</v>
      </c>
    </row>
    <row r="533" spans="1:19" ht="15" customHeight="1" x14ac:dyDescent="0.25">
      <c r="A533" s="22" t="s">
        <v>1620</v>
      </c>
      <c r="B533" s="33" t="str">
        <f>IFERROR(INDEX(Recipes!$B$2:$B$500,MATCH(A533,Recipes!$A$2:$A$500,0)),"")</f>
        <v>Chickpea &amp; Efo Curry</v>
      </c>
      <c r="C533" s="7" t="s">
        <v>446</v>
      </c>
      <c r="D533" s="34">
        <v>3</v>
      </c>
      <c r="E533" s="22" t="s">
        <v>2754</v>
      </c>
      <c r="F533" s="22" t="s">
        <v>445</v>
      </c>
      <c r="G533" s="22" t="s">
        <v>2755</v>
      </c>
      <c r="H533" s="7"/>
      <c r="I533" s="35">
        <v>186</v>
      </c>
      <c r="J533" s="30">
        <f>IF(OR($F533="",$I533=""),0,IFERROR(INDEX(Nutrition!$D$2:$D$300,MATCH($F533,Nutrition!$A$2:$A$300,0))*$I533/100,0))</f>
        <v>2.2319999999999998</v>
      </c>
      <c r="K533" s="30">
        <f>IF(OR($F533="",$I533=""),0,IFERROR(INDEX(Nutrition!$E$2:$E$300,MATCH($F533,Nutrition!$A$2:$A$300,0))*$I533/100,0))</f>
        <v>25.481999999999999</v>
      </c>
      <c r="L533" s="30">
        <f>IF(OR($F533="",$I533=""),0,IFERROR(INDEX(Nutrition!$F$2:$F$300,MATCH($F533,Nutrition!$A$2:$A$300,0))*$I533/100,0))</f>
        <v>78.12</v>
      </c>
      <c r="M533" s="30">
        <f>IF(OR($F533="",$I533=""),0,IFERROR(INDEX(Nutrition!$G$2:$G$300,MATCH($F533,Nutrition!$A$2:$A$300,0))*$I533/100,0))</f>
        <v>14.694000000000001</v>
      </c>
      <c r="N533" s="30">
        <f>IF(OR($F533="",$I533=""),0,IFERROR(INDEX(Nutrition!$H$2:$H$300,MATCH($F533,Nutrition!$A$2:$A$300,0))*$I533/100,0))</f>
        <v>27.9</v>
      </c>
      <c r="O533" s="30">
        <f>IF(OR($F533="",$I533=""),0,IFERROR(INDEX(Nutrition!$I$2:$I$300,MATCH($F533,Nutrition!$A$2:$A$300,0))*$I533/100,0))</f>
        <v>440.82</v>
      </c>
      <c r="P533" s="30">
        <f>IF(OR($F533="",$I533=""),0,IFERROR(INDEX(Nutrition!$J$2:$J$300,MATCH($F533,Nutrition!$A$2:$A$300,0))*$I533/100,0))</f>
        <v>1.0044000000000002</v>
      </c>
      <c r="Q533" s="30">
        <f>IF(OR($F533="",$I533=""),0,IFERROR(INDEX(Nutrition!$K$2:$K$300,MATCH($F533,Nutrition!$A$2:$A$300,0))*$I533/100,0))</f>
        <v>0.14880000000000002</v>
      </c>
      <c r="R533" s="30">
        <f>IF(OR($F533="",$I533=""),0,IFERROR(INDEX(Nutrition!$L$2:$L$300,MATCH($F533,Nutrition!$A$2:$A$300,0))*$I533/100,0))</f>
        <v>20.46</v>
      </c>
      <c r="S533" s="30">
        <f>IF(OR($F533="",$I533=""),0,IFERROR(INDEX(Nutrition!$M$2:$M$300,MATCH($F533,Nutrition!$A$2:$A$300,0))*$I533/100,0))</f>
        <v>0.50220000000000009</v>
      </c>
    </row>
    <row r="534" spans="1:19" ht="15" customHeight="1" x14ac:dyDescent="0.25">
      <c r="A534" s="22" t="s">
        <v>1620</v>
      </c>
      <c r="B534" s="33" t="str">
        <f>IFERROR(INDEX(Recipes!$B$2:$B$500,MATCH(A534,Recipes!$A$2:$A$500,0)),"")</f>
        <v>Chickpea &amp; Efo Curry</v>
      </c>
      <c r="C534" s="7" t="s">
        <v>482</v>
      </c>
      <c r="D534" s="34">
        <v>1</v>
      </c>
      <c r="E534" s="22" t="s">
        <v>2754</v>
      </c>
      <c r="F534" s="22" t="s">
        <v>481</v>
      </c>
      <c r="G534" s="22" t="s">
        <v>2755</v>
      </c>
      <c r="H534" s="7"/>
      <c r="I534" s="35">
        <v>110</v>
      </c>
      <c r="J534" s="30">
        <f>IF(OR($F534="",$I534=""),0,IFERROR(INDEX(Nutrition!$D$2:$D$300,MATCH($F534,Nutrition!$A$2:$A$300,0))*$I534/100,0))</f>
        <v>1.87</v>
      </c>
      <c r="K534" s="30">
        <f>IF(OR($F534="",$I534=""),0,IFERROR(INDEX(Nutrition!$E$2:$E$300,MATCH($F534,Nutrition!$A$2:$A$300,0))*$I534/100,0))</f>
        <v>8.14</v>
      </c>
      <c r="L534" s="30">
        <f>IF(OR($F534="",$I534=""),0,IFERROR(INDEX(Nutrition!$F$2:$F$300,MATCH($F534,Nutrition!$A$2:$A$300,0))*$I534/100,0))</f>
        <v>0</v>
      </c>
      <c r="M534" s="30">
        <f>IF(OR($F534="",$I534=""),0,IFERROR(INDEX(Nutrition!$G$2:$G$300,MATCH($F534,Nutrition!$A$2:$A$300,0))*$I534/100,0))</f>
        <v>0.44</v>
      </c>
      <c r="N534" s="30">
        <f>IF(OR($F534="",$I534=""),0,IFERROR(INDEX(Nutrition!$H$2:$H$300,MATCH($F534,Nutrition!$A$2:$A$300,0))*$I534/100,0))</f>
        <v>20.9</v>
      </c>
      <c r="O534" s="30">
        <f>IF(OR($F534="",$I534=""),0,IFERROR(INDEX(Nutrition!$I$2:$I$300,MATCH($F534,Nutrition!$A$2:$A$300,0))*$I534/100,0))</f>
        <v>160.6</v>
      </c>
      <c r="P534" s="30">
        <f>IF(OR($F534="",$I534=""),0,IFERROR(INDEX(Nutrition!$J$2:$J$300,MATCH($F534,Nutrition!$A$2:$A$300,0))*$I534/100,0))</f>
        <v>2.2000000000000002E-2</v>
      </c>
      <c r="Q534" s="30">
        <f>IF(OR($F534="",$I534=""),0,IFERROR(INDEX(Nutrition!$K$2:$K$300,MATCH($F534,Nutrition!$A$2:$A$300,0))*$I534/100,0))</f>
        <v>0.13200000000000001</v>
      </c>
      <c r="R534" s="30">
        <f>IF(OR($F534="",$I534=""),0,IFERROR(INDEX(Nutrition!$L$2:$L$300,MATCH($F534,Nutrition!$A$2:$A$300,0))*$I534/100,0))</f>
        <v>11</v>
      </c>
      <c r="S534" s="30">
        <f>IF(OR($F534="",$I534=""),0,IFERROR(INDEX(Nutrition!$M$2:$M$300,MATCH($F534,Nutrition!$A$2:$A$300,0))*$I534/100,0))</f>
        <v>0.23099999999999998</v>
      </c>
    </row>
    <row r="535" spans="1:19" ht="15" customHeight="1" x14ac:dyDescent="0.25">
      <c r="A535" s="22" t="s">
        <v>1620</v>
      </c>
      <c r="B535" s="33" t="str">
        <f>IFERROR(INDEX(Recipes!$B$2:$B$500,MATCH(A535,Recipes!$A$2:$A$500,0)),"")</f>
        <v>Chickpea &amp; Efo Curry</v>
      </c>
      <c r="C535" s="7" t="s">
        <v>500</v>
      </c>
      <c r="D535" s="34">
        <v>3</v>
      </c>
      <c r="E535" s="22" t="s">
        <v>2776</v>
      </c>
      <c r="F535" s="22" t="s">
        <v>499</v>
      </c>
      <c r="G535" s="22" t="s">
        <v>2755</v>
      </c>
      <c r="H535" s="7"/>
      <c r="I535" s="35">
        <v>9</v>
      </c>
      <c r="J535" s="30">
        <f>IF(OR($F535="",$I535=""),0,IFERROR(INDEX(Nutrition!$D$2:$D$300,MATCH($F535,Nutrition!$A$2:$A$300,0))*$I535/100,0))</f>
        <v>0.18900000000000003</v>
      </c>
      <c r="K535" s="30">
        <f>IF(OR($F535="",$I535=""),0,IFERROR(INDEX(Nutrition!$E$2:$E$300,MATCH($F535,Nutrition!$A$2:$A$300,0))*$I535/100,0))</f>
        <v>2.8080000000000003</v>
      </c>
      <c r="L535" s="30">
        <f>IF(OR($F535="",$I535=""),0,IFERROR(INDEX(Nutrition!$F$2:$F$300,MATCH($F535,Nutrition!$A$2:$A$300,0))*$I535/100,0))</f>
        <v>0</v>
      </c>
      <c r="M535" s="30">
        <f>IF(OR($F535="",$I535=""),0,IFERROR(INDEX(Nutrition!$G$2:$G$300,MATCH($F535,Nutrition!$A$2:$A$300,0))*$I535/100,0))</f>
        <v>0.153</v>
      </c>
      <c r="N535" s="30">
        <f>IF(OR($F535="",$I535=""),0,IFERROR(INDEX(Nutrition!$H$2:$H$300,MATCH($F535,Nutrition!$A$2:$A$300,0))*$I535/100,0))</f>
        <v>0.27</v>
      </c>
      <c r="O535" s="30">
        <f>IF(OR($F535="",$I535=""),0,IFERROR(INDEX(Nutrition!$I$2:$I$300,MATCH($F535,Nutrition!$A$2:$A$300,0))*$I535/100,0))</f>
        <v>36.090000000000003</v>
      </c>
      <c r="P535" s="30">
        <f>IF(OR($F535="",$I535=""),0,IFERROR(INDEX(Nutrition!$J$2:$J$300,MATCH($F535,Nutrition!$A$2:$A$300,0))*$I535/100,0))</f>
        <v>7.1999999999999998E-3</v>
      </c>
      <c r="Q535" s="30">
        <f>IF(OR($F535="",$I535=""),0,IFERROR(INDEX(Nutrition!$K$2:$K$300,MATCH($F535,Nutrition!$A$2:$A$300,0))*$I535/100,0))</f>
        <v>0.11115</v>
      </c>
      <c r="R535" s="30">
        <f>IF(OR($F535="",$I535=""),0,IFERROR(INDEX(Nutrition!$L$2:$L$300,MATCH($F535,Nutrition!$A$2:$A$300,0))*$I535/100,0))</f>
        <v>2.25</v>
      </c>
      <c r="S535" s="30">
        <f>IF(OR($F535="",$I535=""),0,IFERROR(INDEX(Nutrition!$M$2:$M$300,MATCH($F535,Nutrition!$A$2:$A$300,0))*$I535/100,0))</f>
        <v>0.153</v>
      </c>
    </row>
    <row r="536" spans="1:19" ht="15" customHeight="1" x14ac:dyDescent="0.25">
      <c r="A536" s="22" t="s">
        <v>1620</v>
      </c>
      <c r="B536" s="33" t="str">
        <f>IFERROR(INDEX(Recipes!$B$2:$B$500,MATCH(A536,Recipes!$A$2:$A$500,0)),"")</f>
        <v>Chickpea &amp; Efo Curry</v>
      </c>
      <c r="C536" s="7" t="s">
        <v>508</v>
      </c>
      <c r="D536" s="34">
        <v>1</v>
      </c>
      <c r="E536" s="22" t="s">
        <v>2821</v>
      </c>
      <c r="F536" s="22" t="s">
        <v>507</v>
      </c>
      <c r="G536" s="22" t="s">
        <v>2755</v>
      </c>
      <c r="H536" s="7"/>
      <c r="I536" s="35">
        <v>15</v>
      </c>
      <c r="J536" s="30">
        <f>IF(OR($F536="",$I536=""),0,IFERROR(INDEX(Nutrition!$D$2:$D$300,MATCH($F536,Nutrition!$A$2:$A$300,0))*$I536/100,0))</f>
        <v>0.3</v>
      </c>
      <c r="K536" s="30">
        <f>IF(OR($F536="",$I536=""),0,IFERROR(INDEX(Nutrition!$E$2:$E$300,MATCH($F536,Nutrition!$A$2:$A$300,0))*$I536/100,0))</f>
        <v>0.75</v>
      </c>
      <c r="L536" s="30">
        <f>IF(OR($F536="",$I536=""),0,IFERROR(INDEX(Nutrition!$F$2:$F$300,MATCH($F536,Nutrition!$A$2:$A$300,0))*$I536/100,0))</f>
        <v>0</v>
      </c>
      <c r="M536" s="30">
        <f>IF(OR($F536="",$I536=""),0,IFERROR(INDEX(Nutrition!$G$2:$G$300,MATCH($F536,Nutrition!$A$2:$A$300,0))*$I536/100,0))</f>
        <v>1.4999999999999999E-2</v>
      </c>
      <c r="N536" s="30">
        <f>IF(OR($F536="",$I536=""),0,IFERROR(INDEX(Nutrition!$H$2:$H$300,MATCH($F536,Nutrition!$A$2:$A$300,0))*$I536/100,0))</f>
        <v>1.65</v>
      </c>
      <c r="O536" s="30">
        <f>IF(OR($F536="",$I536=""),0,IFERROR(INDEX(Nutrition!$I$2:$I$300,MATCH($F536,Nutrition!$A$2:$A$300,0))*$I536/100,0))</f>
        <v>62.25</v>
      </c>
      <c r="P536" s="30">
        <f>IF(OR($F536="",$I536=""),0,IFERROR(INDEX(Nutrition!$J$2:$J$300,MATCH($F536,Nutrition!$A$2:$A$300,0))*$I536/100,0))</f>
        <v>3.9000000000000007E-2</v>
      </c>
      <c r="Q536" s="30">
        <f>IF(OR($F536="",$I536=""),0,IFERROR(INDEX(Nutrition!$K$2:$K$300,MATCH($F536,Nutrition!$A$2:$A$300,0))*$I536/100,0))</f>
        <v>2.4E-2</v>
      </c>
      <c r="R536" s="30">
        <f>IF(OR($F536="",$I536=""),0,IFERROR(INDEX(Nutrition!$L$2:$L$300,MATCH($F536,Nutrition!$A$2:$A$300,0))*$I536/100,0))</f>
        <v>6.45</v>
      </c>
      <c r="S536" s="30">
        <f>IF(OR($F536="",$I536=""),0,IFERROR(INDEX(Nutrition!$M$2:$M$300,MATCH($F536,Nutrition!$A$2:$A$300,0))*$I536/100,0))</f>
        <v>0.09</v>
      </c>
    </row>
    <row r="537" spans="1:19" ht="15" customHeight="1" x14ac:dyDescent="0.25">
      <c r="A537" s="22" t="s">
        <v>1620</v>
      </c>
      <c r="B537" s="33" t="str">
        <f>IFERROR(INDEX(Recipes!$B$2:$B$500,MATCH(A537,Recipes!$A$2:$A$500,0)),"")</f>
        <v>Chickpea &amp; Efo Curry</v>
      </c>
      <c r="C537" s="7" t="s">
        <v>473</v>
      </c>
      <c r="D537" s="34">
        <v>0.25</v>
      </c>
      <c r="E537" s="22" t="s">
        <v>2754</v>
      </c>
      <c r="F537" s="22" t="s">
        <v>472</v>
      </c>
      <c r="G537" s="22" t="s">
        <v>2755</v>
      </c>
      <c r="H537" s="7"/>
      <c r="I537" s="35">
        <v>2</v>
      </c>
      <c r="J537" s="30">
        <f>IF(OR($F537="",$I537=""),0,IFERROR(INDEX(Nutrition!$D$2:$D$300,MATCH($F537,Nutrition!$A$2:$A$300,0))*$I537/100,0))</f>
        <v>0.03</v>
      </c>
      <c r="K537" s="30">
        <f>IF(OR($F537="",$I537=""),0,IFERROR(INDEX(Nutrition!$E$2:$E$300,MATCH($F537,Nutrition!$A$2:$A$300,0))*$I537/100,0))</f>
        <v>2.8739999999999997</v>
      </c>
      <c r="L537" s="30">
        <f>IF(OR($F537="",$I537=""),0,IFERROR(INDEX(Nutrition!$F$2:$F$300,MATCH($F537,Nutrition!$A$2:$A$300,0))*$I537/100,0))</f>
        <v>0.96</v>
      </c>
      <c r="M537" s="30">
        <f>IF(OR($F537="",$I537=""),0,IFERROR(INDEX(Nutrition!$G$2:$G$300,MATCH($F537,Nutrition!$A$2:$A$300,0))*$I537/100,0))</f>
        <v>0.28000000000000003</v>
      </c>
      <c r="N537" s="30">
        <f>IF(OR($F537="",$I537=""),0,IFERROR(INDEX(Nutrition!$H$2:$H$300,MATCH($F537,Nutrition!$A$2:$A$300,0))*$I537/100,0))</f>
        <v>0.46</v>
      </c>
      <c r="O537" s="30">
        <f>IF(OR($F537="",$I537=""),0,IFERROR(INDEX(Nutrition!$I$2:$I$300,MATCH($F537,Nutrition!$A$2:$A$300,0))*$I537/100,0))</f>
        <v>6.44</v>
      </c>
      <c r="P537" s="30">
        <f>IF(OR($F537="",$I537=""),0,IFERROR(INDEX(Nutrition!$J$2:$J$300,MATCH($F537,Nutrition!$A$2:$A$300,0))*$I537/100,0))</f>
        <v>1.38E-2</v>
      </c>
      <c r="Q537" s="30">
        <f>IF(OR($F537="",$I537=""),0,IFERROR(INDEX(Nutrition!$K$2:$K$300,MATCH($F537,Nutrition!$A$2:$A$300,0))*$I537/100,0))</f>
        <v>1.0120000000000001E-2</v>
      </c>
      <c r="R537" s="30">
        <f>IF(OR($F537="",$I537=""),0,IFERROR(INDEX(Nutrition!$L$2:$L$300,MATCH($F537,Nutrition!$A$2:$A$300,0))*$I537/100,0))</f>
        <v>0.46</v>
      </c>
      <c r="S537" s="30">
        <f>IF(OR($F537="",$I537=""),0,IFERROR(INDEX(Nutrition!$M$2:$M$300,MATCH($F537,Nutrition!$A$2:$A$300,0))*$I537/100,0))</f>
        <v>2.06E-2</v>
      </c>
    </row>
    <row r="538" spans="1:19" ht="15" customHeight="1" x14ac:dyDescent="0.25">
      <c r="A538" s="22" t="s">
        <v>1620</v>
      </c>
      <c r="B538" s="33" t="str">
        <f>IFERROR(INDEX(Recipes!$B$2:$B$500,MATCH(A538,Recipes!$A$2:$A$500,0)),"")</f>
        <v>Chickpea &amp; Efo Curry</v>
      </c>
      <c r="C538" s="7" t="s">
        <v>262</v>
      </c>
      <c r="D538" s="34">
        <v>0.25</v>
      </c>
      <c r="E538" s="22" t="s">
        <v>2754</v>
      </c>
      <c r="F538" s="22" t="s">
        <v>261</v>
      </c>
      <c r="G538" s="22" t="s">
        <v>2755</v>
      </c>
      <c r="H538" s="7" t="s">
        <v>2880</v>
      </c>
      <c r="I538" s="35">
        <v>99</v>
      </c>
      <c r="J538" s="30">
        <f>IF(OR($F538="",$I538=""),0,IFERROR(INDEX(Nutrition!$D$2:$D$300,MATCH($F538,Nutrition!$A$2:$A$300,0))*$I538/100,0))</f>
        <v>8.91</v>
      </c>
      <c r="K538" s="30">
        <f>IF(OR($F538="",$I538=""),0,IFERROR(INDEX(Nutrition!$E$2:$E$300,MATCH($F538,Nutrition!$A$2:$A$300,0))*$I538/100,0))</f>
        <v>3.2669999999999999</v>
      </c>
      <c r="L538" s="30">
        <f>IF(OR($F538="",$I538=""),0,IFERROR(INDEX(Nutrition!$F$2:$F$300,MATCH($F538,Nutrition!$A$2:$A$300,0))*$I538/100,0))</f>
        <v>0</v>
      </c>
      <c r="M538" s="30">
        <f>IF(OR($F538="",$I538=""),0,IFERROR(INDEX(Nutrition!$G$2:$G$300,MATCH($F538,Nutrition!$A$2:$A$300,0))*$I538/100,0))</f>
        <v>0.19800000000000001</v>
      </c>
      <c r="N538" s="30">
        <f>IF(OR($F538="",$I538=""),0,IFERROR(INDEX(Nutrition!$H$2:$H$300,MATCH($F538,Nutrition!$A$2:$A$300,0))*$I538/100,0))</f>
        <v>25.74</v>
      </c>
      <c r="O538" s="30">
        <f>IF(OR($F538="",$I538=""),0,IFERROR(INDEX(Nutrition!$I$2:$I$300,MATCH($F538,Nutrition!$A$2:$A$300,0))*$I538/100,0))</f>
        <v>352.44</v>
      </c>
      <c r="P538" s="30">
        <f>IF(OR($F538="",$I538=""),0,IFERROR(INDEX(Nutrition!$J$2:$J$300,MATCH($F538,Nutrition!$A$2:$A$300,0))*$I538/100,0))</f>
        <v>0.23759999999999998</v>
      </c>
      <c r="Q538" s="30">
        <f>IF(OR($F538="",$I538=""),0,IFERROR(INDEX(Nutrition!$K$2:$K$300,MATCH($F538,Nutrition!$A$2:$A$300,0))*$I538/100,0))</f>
        <v>5.3460000000000001E-2</v>
      </c>
      <c r="R538" s="30">
        <f>IF(OR($F538="",$I538=""),0,IFERROR(INDEX(Nutrition!$L$2:$L$300,MATCH($F538,Nutrition!$A$2:$A$300,0))*$I538/100,0))</f>
        <v>31.68</v>
      </c>
      <c r="S538" s="30">
        <f>IF(OR($F538="",$I538=""),0,IFERROR(INDEX(Nutrition!$M$2:$M$300,MATCH($F538,Nutrition!$A$2:$A$300,0))*$I538/100,0))</f>
        <v>2.4057000000000004</v>
      </c>
    </row>
    <row r="539" spans="1:19" ht="15" customHeight="1" x14ac:dyDescent="0.25">
      <c r="A539" s="22" t="s">
        <v>1620</v>
      </c>
      <c r="B539" s="33" t="str">
        <f>IFERROR(INDEX(Recipes!$B$2:$B$500,MATCH(A539,Recipes!$A$2:$A$500,0)),"")</f>
        <v>Chickpea &amp; Efo Curry</v>
      </c>
      <c r="C539" s="7" t="s">
        <v>2881</v>
      </c>
      <c r="D539" s="34">
        <v>1</v>
      </c>
      <c r="E539" s="22" t="s">
        <v>2753</v>
      </c>
      <c r="F539" s="22"/>
      <c r="G539" s="22" t="s">
        <v>2749</v>
      </c>
      <c r="H539" s="7"/>
      <c r="I539" s="35"/>
      <c r="J539" s="30">
        <f>IF(OR($F539="",$I539=""),0,IFERROR(INDEX(Nutrition!$D$2:$D$300,MATCH($F539,Nutrition!$A$2:$A$300,0))*$I539/100,0))</f>
        <v>0</v>
      </c>
      <c r="K539" s="30">
        <f>IF(OR($F539="",$I539=""),0,IFERROR(INDEX(Nutrition!$E$2:$E$300,MATCH($F539,Nutrition!$A$2:$A$300,0))*$I539/100,0))</f>
        <v>0</v>
      </c>
      <c r="L539" s="30">
        <f>IF(OR($F539="",$I539=""),0,IFERROR(INDEX(Nutrition!$F$2:$F$300,MATCH($F539,Nutrition!$A$2:$A$300,0))*$I539/100,0))</f>
        <v>0</v>
      </c>
      <c r="M539" s="30">
        <f>IF(OR($F539="",$I539=""),0,IFERROR(INDEX(Nutrition!$G$2:$G$300,MATCH($F539,Nutrition!$A$2:$A$300,0))*$I539/100,0))</f>
        <v>0</v>
      </c>
      <c r="N539" s="30">
        <f>IF(OR($F539="",$I539=""),0,IFERROR(INDEX(Nutrition!$H$2:$H$300,MATCH($F539,Nutrition!$A$2:$A$300,0))*$I539/100,0))</f>
        <v>0</v>
      </c>
      <c r="O539" s="30">
        <f>IF(OR($F539="",$I539=""),0,IFERROR(INDEX(Nutrition!$I$2:$I$300,MATCH($F539,Nutrition!$A$2:$A$300,0))*$I539/100,0))</f>
        <v>0</v>
      </c>
      <c r="P539" s="30">
        <f>IF(OR($F539="",$I539=""),0,IFERROR(INDEX(Nutrition!$J$2:$J$300,MATCH($F539,Nutrition!$A$2:$A$300,0))*$I539/100,0))</f>
        <v>0</v>
      </c>
      <c r="Q539" s="30">
        <f>IF(OR($F539="",$I539=""),0,IFERROR(INDEX(Nutrition!$K$2:$K$300,MATCH($F539,Nutrition!$A$2:$A$300,0))*$I539/100,0))</f>
        <v>0</v>
      </c>
      <c r="R539" s="30">
        <f>IF(OR($F539="",$I539=""),0,IFERROR(INDEX(Nutrition!$L$2:$L$300,MATCH($F539,Nutrition!$A$2:$A$300,0))*$I539/100,0))</f>
        <v>0</v>
      </c>
      <c r="S539" s="30">
        <f>IF(OR($F539="",$I539=""),0,IFERROR(INDEX(Nutrition!$M$2:$M$300,MATCH($F539,Nutrition!$A$2:$A$300,0))*$I539/100,0))</f>
        <v>0</v>
      </c>
    </row>
    <row r="540" spans="1:19" ht="15" customHeight="1" x14ac:dyDescent="0.25">
      <c r="A540" s="22" t="s">
        <v>1620</v>
      </c>
      <c r="B540" s="33" t="str">
        <f>IFERROR(INDEX(Recipes!$B$2:$B$500,MATCH(A540,Recipes!$A$2:$A$500,0)),"")</f>
        <v>Chickpea &amp; Efo Curry</v>
      </c>
      <c r="C540" s="7" t="s">
        <v>2839</v>
      </c>
      <c r="D540" s="34">
        <v>1</v>
      </c>
      <c r="E540" s="22" t="s">
        <v>2759</v>
      </c>
      <c r="F540" s="22"/>
      <c r="G540" s="22" t="s">
        <v>2749</v>
      </c>
      <c r="H540" s="7"/>
      <c r="I540" s="35"/>
      <c r="J540" s="30">
        <f>IF(OR($F540="",$I540=""),0,IFERROR(INDEX(Nutrition!$D$2:$D$300,MATCH($F540,Nutrition!$A$2:$A$300,0))*$I540/100,0))</f>
        <v>0</v>
      </c>
      <c r="K540" s="30">
        <f>IF(OR($F540="",$I540=""),0,IFERROR(INDEX(Nutrition!$E$2:$E$300,MATCH($F540,Nutrition!$A$2:$A$300,0))*$I540/100,0))</f>
        <v>0</v>
      </c>
      <c r="L540" s="30">
        <f>IF(OR($F540="",$I540=""),0,IFERROR(INDEX(Nutrition!$F$2:$F$300,MATCH($F540,Nutrition!$A$2:$A$300,0))*$I540/100,0))</f>
        <v>0</v>
      </c>
      <c r="M540" s="30">
        <f>IF(OR($F540="",$I540=""),0,IFERROR(INDEX(Nutrition!$G$2:$G$300,MATCH($F540,Nutrition!$A$2:$A$300,0))*$I540/100,0))</f>
        <v>0</v>
      </c>
      <c r="N540" s="30">
        <f>IF(OR($F540="",$I540=""),0,IFERROR(INDEX(Nutrition!$H$2:$H$300,MATCH($F540,Nutrition!$A$2:$A$300,0))*$I540/100,0))</f>
        <v>0</v>
      </c>
      <c r="O540" s="30">
        <f>IF(OR($F540="",$I540=""),0,IFERROR(INDEX(Nutrition!$I$2:$I$300,MATCH($F540,Nutrition!$A$2:$A$300,0))*$I540/100,0))</f>
        <v>0</v>
      </c>
      <c r="P540" s="30">
        <f>IF(OR($F540="",$I540=""),0,IFERROR(INDEX(Nutrition!$J$2:$J$300,MATCH($F540,Nutrition!$A$2:$A$300,0))*$I540/100,0))</f>
        <v>0</v>
      </c>
      <c r="Q540" s="30">
        <f>IF(OR($F540="",$I540=""),0,IFERROR(INDEX(Nutrition!$K$2:$K$300,MATCH($F540,Nutrition!$A$2:$A$300,0))*$I540/100,0))</f>
        <v>0</v>
      </c>
      <c r="R540" s="30">
        <f>IF(OR($F540="",$I540=""),0,IFERROR(INDEX(Nutrition!$L$2:$L$300,MATCH($F540,Nutrition!$A$2:$A$300,0))*$I540/100,0))</f>
        <v>0</v>
      </c>
      <c r="S540" s="30">
        <f>IF(OR($F540="",$I540=""),0,IFERROR(INDEX(Nutrition!$M$2:$M$300,MATCH($F540,Nutrition!$A$2:$A$300,0))*$I540/100,0))</f>
        <v>0</v>
      </c>
    </row>
    <row r="541" spans="1:19" ht="15" customHeight="1" x14ac:dyDescent="0.25">
      <c r="A541" s="22" t="s">
        <v>1620</v>
      </c>
      <c r="B541" s="33" t="str">
        <f>IFERROR(INDEX(Recipes!$B$2:$B$500,MATCH(A541,Recipes!$A$2:$A$500,0)),"")</f>
        <v>Chickpea &amp; Efo Curry</v>
      </c>
      <c r="C541" s="7" t="s">
        <v>2882</v>
      </c>
      <c r="D541" s="34">
        <v>1.5</v>
      </c>
      <c r="E541" s="22" t="s">
        <v>2790</v>
      </c>
      <c r="F541" s="22"/>
      <c r="G541" s="22" t="s">
        <v>2749</v>
      </c>
      <c r="H541" s="7"/>
      <c r="I541" s="35"/>
      <c r="J541" s="30">
        <f>IF(OR($F541="",$I541=""),0,IFERROR(INDEX(Nutrition!$D$2:$D$300,MATCH($F541,Nutrition!$A$2:$A$300,0))*$I541/100,0))</f>
        <v>0</v>
      </c>
      <c r="K541" s="30">
        <f>IF(OR($F541="",$I541=""),0,IFERROR(INDEX(Nutrition!$E$2:$E$300,MATCH($F541,Nutrition!$A$2:$A$300,0))*$I541/100,0))</f>
        <v>0</v>
      </c>
      <c r="L541" s="30">
        <f>IF(OR($F541="",$I541=""),0,IFERROR(INDEX(Nutrition!$F$2:$F$300,MATCH($F541,Nutrition!$A$2:$A$300,0))*$I541/100,0))</f>
        <v>0</v>
      </c>
      <c r="M541" s="30">
        <f>IF(OR($F541="",$I541=""),0,IFERROR(INDEX(Nutrition!$G$2:$G$300,MATCH($F541,Nutrition!$A$2:$A$300,0))*$I541/100,0))</f>
        <v>0</v>
      </c>
      <c r="N541" s="30">
        <f>IF(OR($F541="",$I541=""),0,IFERROR(INDEX(Nutrition!$H$2:$H$300,MATCH($F541,Nutrition!$A$2:$A$300,0))*$I541/100,0))</f>
        <v>0</v>
      </c>
      <c r="O541" s="30">
        <f>IF(OR($F541="",$I541=""),0,IFERROR(INDEX(Nutrition!$I$2:$I$300,MATCH($F541,Nutrition!$A$2:$A$300,0))*$I541/100,0))</f>
        <v>0</v>
      </c>
      <c r="P541" s="30">
        <f>IF(OR($F541="",$I541=""),0,IFERROR(INDEX(Nutrition!$J$2:$J$300,MATCH($F541,Nutrition!$A$2:$A$300,0))*$I541/100,0))</f>
        <v>0</v>
      </c>
      <c r="Q541" s="30">
        <f>IF(OR($F541="",$I541=""),0,IFERROR(INDEX(Nutrition!$K$2:$K$300,MATCH($F541,Nutrition!$A$2:$A$300,0))*$I541/100,0))</f>
        <v>0</v>
      </c>
      <c r="R541" s="30">
        <f>IF(OR($F541="",$I541=""),0,IFERROR(INDEX(Nutrition!$L$2:$L$300,MATCH($F541,Nutrition!$A$2:$A$300,0))*$I541/100,0))</f>
        <v>0</v>
      </c>
      <c r="S541" s="30">
        <f>IF(OR($F541="",$I541=""),0,IFERROR(INDEX(Nutrition!$M$2:$M$300,MATCH($F541,Nutrition!$A$2:$A$300,0))*$I541/100,0))</f>
        <v>0</v>
      </c>
    </row>
    <row r="542" spans="1:19" ht="15" customHeight="1" x14ac:dyDescent="0.25">
      <c r="A542" s="22" t="s">
        <v>1620</v>
      </c>
      <c r="B542" s="33" t="str">
        <f>IFERROR(INDEX(Recipes!$B$2:$B$500,MATCH(A542,Recipes!$A$2:$A$500,0)),"")</f>
        <v>Chickpea &amp; Efo Curry</v>
      </c>
      <c r="C542" s="7" t="s">
        <v>2772</v>
      </c>
      <c r="D542" s="34">
        <v>1</v>
      </c>
      <c r="E542" s="22" t="s">
        <v>2753</v>
      </c>
      <c r="F542" s="22"/>
      <c r="G542" s="22" t="s">
        <v>2773</v>
      </c>
      <c r="H542" s="7"/>
      <c r="I542" s="35"/>
      <c r="J542" s="30">
        <f>IF(OR($F542="",$I542=""),0,IFERROR(INDEX(Nutrition!$D$2:$D$300,MATCH($F542,Nutrition!$A$2:$A$300,0))*$I542/100,0))</f>
        <v>0</v>
      </c>
      <c r="K542" s="30">
        <f>IF(OR($F542="",$I542=""),0,IFERROR(INDEX(Nutrition!$E$2:$E$300,MATCH($F542,Nutrition!$A$2:$A$300,0))*$I542/100,0))</f>
        <v>0</v>
      </c>
      <c r="L542" s="30">
        <f>IF(OR($F542="",$I542=""),0,IFERROR(INDEX(Nutrition!$F$2:$F$300,MATCH($F542,Nutrition!$A$2:$A$300,0))*$I542/100,0))</f>
        <v>0</v>
      </c>
      <c r="M542" s="30">
        <f>IF(OR($F542="",$I542=""),0,IFERROR(INDEX(Nutrition!$G$2:$G$300,MATCH($F542,Nutrition!$A$2:$A$300,0))*$I542/100,0))</f>
        <v>0</v>
      </c>
      <c r="N542" s="30">
        <f>IF(OR($F542="",$I542=""),0,IFERROR(INDEX(Nutrition!$H$2:$H$300,MATCH($F542,Nutrition!$A$2:$A$300,0))*$I542/100,0))</f>
        <v>0</v>
      </c>
      <c r="O542" s="30">
        <f>IF(OR($F542="",$I542=""),0,IFERROR(INDEX(Nutrition!$I$2:$I$300,MATCH($F542,Nutrition!$A$2:$A$300,0))*$I542/100,0))</f>
        <v>0</v>
      </c>
      <c r="P542" s="30">
        <f>IF(OR($F542="",$I542=""),0,IFERROR(INDEX(Nutrition!$J$2:$J$300,MATCH($F542,Nutrition!$A$2:$A$300,0))*$I542/100,0))</f>
        <v>0</v>
      </c>
      <c r="Q542" s="30">
        <f>IF(OR($F542="",$I542=""),0,IFERROR(INDEX(Nutrition!$K$2:$K$300,MATCH($F542,Nutrition!$A$2:$A$300,0))*$I542/100,0))</f>
        <v>0</v>
      </c>
      <c r="R542" s="30">
        <f>IF(OR($F542="",$I542=""),0,IFERROR(INDEX(Nutrition!$L$2:$L$300,MATCH($F542,Nutrition!$A$2:$A$300,0))*$I542/100,0))</f>
        <v>0</v>
      </c>
      <c r="S542" s="30">
        <f>IF(OR($F542="",$I542=""),0,IFERROR(INDEX(Nutrition!$M$2:$M$300,MATCH($F542,Nutrition!$A$2:$A$300,0))*$I542/100,0))</f>
        <v>0</v>
      </c>
    </row>
    <row r="543" spans="1:19" ht="15" customHeight="1" x14ac:dyDescent="0.25">
      <c r="A543" s="22" t="s">
        <v>1631</v>
      </c>
      <c r="B543" s="33" t="str">
        <f>IFERROR(INDEX(Recipes!$B$2:$B$500,MATCH(A543,Recipes!$A$2:$A$500,0)),"")</f>
        <v>Caribbean Curry Chicken &amp; Sweet Potato</v>
      </c>
      <c r="C543" s="7" t="s">
        <v>2883</v>
      </c>
      <c r="D543" s="34">
        <v>800</v>
      </c>
      <c r="E543" s="22" t="s">
        <v>2813</v>
      </c>
      <c r="F543" s="22"/>
      <c r="G543" s="22" t="s">
        <v>2768</v>
      </c>
      <c r="H543" s="7"/>
      <c r="I543" s="35"/>
      <c r="J543" s="30">
        <f>IF(OR($F543="",$I543=""),0,IFERROR(INDEX(Nutrition!$D$2:$D$300,MATCH($F543,Nutrition!$A$2:$A$300,0))*$I543/100,0))</f>
        <v>0</v>
      </c>
      <c r="K543" s="30">
        <f>IF(OR($F543="",$I543=""),0,IFERROR(INDEX(Nutrition!$E$2:$E$300,MATCH($F543,Nutrition!$A$2:$A$300,0))*$I543/100,0))</f>
        <v>0</v>
      </c>
      <c r="L543" s="30">
        <f>IF(OR($F543="",$I543=""),0,IFERROR(INDEX(Nutrition!$F$2:$F$300,MATCH($F543,Nutrition!$A$2:$A$300,0))*$I543/100,0))</f>
        <v>0</v>
      </c>
      <c r="M543" s="30">
        <f>IF(OR($F543="",$I543=""),0,IFERROR(INDEX(Nutrition!$G$2:$G$300,MATCH($F543,Nutrition!$A$2:$A$300,0))*$I543/100,0))</f>
        <v>0</v>
      </c>
      <c r="N543" s="30">
        <f>IF(OR($F543="",$I543=""),0,IFERROR(INDEX(Nutrition!$H$2:$H$300,MATCH($F543,Nutrition!$A$2:$A$300,0))*$I543/100,0))</f>
        <v>0</v>
      </c>
      <c r="O543" s="30">
        <f>IF(OR($F543="",$I543=""),0,IFERROR(INDEX(Nutrition!$I$2:$I$300,MATCH($F543,Nutrition!$A$2:$A$300,0))*$I543/100,0))</f>
        <v>0</v>
      </c>
      <c r="P543" s="30">
        <f>IF(OR($F543="",$I543=""),0,IFERROR(INDEX(Nutrition!$J$2:$J$300,MATCH($F543,Nutrition!$A$2:$A$300,0))*$I543/100,0))</f>
        <v>0</v>
      </c>
      <c r="Q543" s="30">
        <f>IF(OR($F543="",$I543=""),0,IFERROR(INDEX(Nutrition!$K$2:$K$300,MATCH($F543,Nutrition!$A$2:$A$300,0))*$I543/100,0))</f>
        <v>0</v>
      </c>
      <c r="R543" s="30">
        <f>IF(OR($F543="",$I543=""),0,IFERROR(INDEX(Nutrition!$L$2:$L$300,MATCH($F543,Nutrition!$A$2:$A$300,0))*$I543/100,0))</f>
        <v>0</v>
      </c>
      <c r="S543" s="30">
        <f>IF(OR($F543="",$I543=""),0,IFERROR(INDEX(Nutrition!$M$2:$M$300,MATCH($F543,Nutrition!$A$2:$A$300,0))*$I543/100,0))</f>
        <v>0</v>
      </c>
    </row>
    <row r="544" spans="1:19" ht="15" customHeight="1" x14ac:dyDescent="0.25">
      <c r="A544" s="22" t="s">
        <v>1631</v>
      </c>
      <c r="B544" s="33" t="str">
        <f>IFERROR(INDEX(Recipes!$B$2:$B$500,MATCH(A544,Recipes!$A$2:$A$500,0)),"")</f>
        <v>Caribbean Curry Chicken &amp; Sweet Potato</v>
      </c>
      <c r="C544" s="7" t="s">
        <v>610</v>
      </c>
      <c r="D544" s="34">
        <v>2</v>
      </c>
      <c r="E544" s="22" t="s">
        <v>2754</v>
      </c>
      <c r="F544" s="22" t="s">
        <v>609</v>
      </c>
      <c r="G544" s="22" t="s">
        <v>2755</v>
      </c>
      <c r="H544" s="7"/>
      <c r="I544" s="35">
        <v>260</v>
      </c>
      <c r="J544" s="30">
        <f>IF(OR($F544="",$I544=""),0,IFERROR(INDEX(Nutrition!$D$2:$D$300,MATCH($F544,Nutrition!$A$2:$A$300,0))*$I544/100,0))</f>
        <v>7.8</v>
      </c>
      <c r="K544" s="30">
        <f>IF(OR($F544="",$I544=""),0,IFERROR(INDEX(Nutrition!$E$2:$E$300,MATCH($F544,Nutrition!$A$2:$A$300,0))*$I544/100,0))</f>
        <v>6.24</v>
      </c>
      <c r="L544" s="30">
        <f>IF(OR($F544="",$I544=""),0,IFERROR(INDEX(Nutrition!$F$2:$F$300,MATCH($F544,Nutrition!$A$2:$A$300,0))*$I544/100,0))</f>
        <v>1843.4</v>
      </c>
      <c r="M544" s="30">
        <f>IF(OR($F544="",$I544=""),0,IFERROR(INDEX(Nutrition!$G$2:$G$300,MATCH($F544,Nutrition!$A$2:$A$300,0))*$I544/100,0))</f>
        <v>4.68</v>
      </c>
      <c r="N544" s="30">
        <f>IF(OR($F544="",$I544=""),0,IFERROR(INDEX(Nutrition!$H$2:$H$300,MATCH($F544,Nutrition!$A$2:$A$300,0))*$I544/100,0))</f>
        <v>28.6</v>
      </c>
      <c r="O544" s="30">
        <f>IF(OR($F544="",$I544=""),0,IFERROR(INDEX(Nutrition!$I$2:$I$300,MATCH($F544,Nutrition!$A$2:$A$300,0))*$I544/100,0))</f>
        <v>876.2</v>
      </c>
      <c r="P544" s="30">
        <f>IF(OR($F544="",$I544=""),0,IFERROR(INDEX(Nutrition!$J$2:$J$300,MATCH($F544,Nutrition!$A$2:$A$300,0))*$I544/100,0))</f>
        <v>0.67600000000000005</v>
      </c>
      <c r="Q544" s="30">
        <f>IF(OR($F544="",$I544=""),0,IFERROR(INDEX(Nutrition!$K$2:$K$300,MATCH($F544,Nutrition!$A$2:$A$300,0))*$I544/100,0))</f>
        <v>0.54339999999999999</v>
      </c>
      <c r="R544" s="30">
        <f>IF(OR($F544="",$I544=""),0,IFERROR(INDEX(Nutrition!$L$2:$L$300,MATCH($F544,Nutrition!$A$2:$A$300,0))*$I544/100,0))</f>
        <v>65</v>
      </c>
      <c r="S544" s="30">
        <f>IF(OR($F544="",$I544=""),0,IFERROR(INDEX(Nutrition!$M$2:$M$300,MATCH($F544,Nutrition!$A$2:$A$300,0))*$I544/100,0))</f>
        <v>1.5859999999999999</v>
      </c>
    </row>
    <row r="545" spans="1:19" ht="15" customHeight="1" x14ac:dyDescent="0.25">
      <c r="A545" s="22" t="s">
        <v>1631</v>
      </c>
      <c r="B545" s="33" t="str">
        <f>IFERROR(INDEX(Recipes!$B$2:$B$500,MATCH(A545,Recipes!$A$2:$A$500,0)),"")</f>
        <v>Caribbean Curry Chicken &amp; Sweet Potato</v>
      </c>
      <c r="C545" s="7" t="s">
        <v>482</v>
      </c>
      <c r="D545" s="34">
        <v>1</v>
      </c>
      <c r="E545" s="22" t="s">
        <v>2754</v>
      </c>
      <c r="F545" s="22" t="s">
        <v>481</v>
      </c>
      <c r="G545" s="22" t="s">
        <v>2755</v>
      </c>
      <c r="H545" s="7"/>
      <c r="I545" s="35">
        <v>110</v>
      </c>
      <c r="J545" s="30">
        <f>IF(OR($F545="",$I545=""),0,IFERROR(INDEX(Nutrition!$D$2:$D$300,MATCH($F545,Nutrition!$A$2:$A$300,0))*$I545/100,0))</f>
        <v>1.87</v>
      </c>
      <c r="K545" s="30">
        <f>IF(OR($F545="",$I545=""),0,IFERROR(INDEX(Nutrition!$E$2:$E$300,MATCH($F545,Nutrition!$A$2:$A$300,0))*$I545/100,0))</f>
        <v>8.14</v>
      </c>
      <c r="L545" s="30">
        <f>IF(OR($F545="",$I545=""),0,IFERROR(INDEX(Nutrition!$F$2:$F$300,MATCH($F545,Nutrition!$A$2:$A$300,0))*$I545/100,0))</f>
        <v>0</v>
      </c>
      <c r="M545" s="30">
        <f>IF(OR($F545="",$I545=""),0,IFERROR(INDEX(Nutrition!$G$2:$G$300,MATCH($F545,Nutrition!$A$2:$A$300,0))*$I545/100,0))</f>
        <v>0.44</v>
      </c>
      <c r="N545" s="30">
        <f>IF(OR($F545="",$I545=""),0,IFERROR(INDEX(Nutrition!$H$2:$H$300,MATCH($F545,Nutrition!$A$2:$A$300,0))*$I545/100,0))</f>
        <v>20.9</v>
      </c>
      <c r="O545" s="30">
        <f>IF(OR($F545="",$I545=""),0,IFERROR(INDEX(Nutrition!$I$2:$I$300,MATCH($F545,Nutrition!$A$2:$A$300,0))*$I545/100,0))</f>
        <v>160.6</v>
      </c>
      <c r="P545" s="30">
        <f>IF(OR($F545="",$I545=""),0,IFERROR(INDEX(Nutrition!$J$2:$J$300,MATCH($F545,Nutrition!$A$2:$A$300,0))*$I545/100,0))</f>
        <v>2.2000000000000002E-2</v>
      </c>
      <c r="Q545" s="30">
        <f>IF(OR($F545="",$I545=""),0,IFERROR(INDEX(Nutrition!$K$2:$K$300,MATCH($F545,Nutrition!$A$2:$A$300,0))*$I545/100,0))</f>
        <v>0.13200000000000001</v>
      </c>
      <c r="R545" s="30">
        <f>IF(OR($F545="",$I545=""),0,IFERROR(INDEX(Nutrition!$L$2:$L$300,MATCH($F545,Nutrition!$A$2:$A$300,0))*$I545/100,0))</f>
        <v>11</v>
      </c>
      <c r="S545" s="30">
        <f>IF(OR($F545="",$I545=""),0,IFERROR(INDEX(Nutrition!$M$2:$M$300,MATCH($F545,Nutrition!$A$2:$A$300,0))*$I545/100,0))</f>
        <v>0.23099999999999998</v>
      </c>
    </row>
    <row r="546" spans="1:19" ht="15" customHeight="1" x14ac:dyDescent="0.25">
      <c r="A546" s="22" t="s">
        <v>1631</v>
      </c>
      <c r="B546" s="33" t="str">
        <f>IFERROR(INDEX(Recipes!$B$2:$B$500,MATCH(A546,Recipes!$A$2:$A$500,0)),"")</f>
        <v>Caribbean Curry Chicken &amp; Sweet Potato</v>
      </c>
      <c r="C546" s="7" t="s">
        <v>500</v>
      </c>
      <c r="D546" s="34">
        <v>4</v>
      </c>
      <c r="E546" s="22" t="s">
        <v>2776</v>
      </c>
      <c r="F546" s="22" t="s">
        <v>499</v>
      </c>
      <c r="G546" s="22" t="s">
        <v>2755</v>
      </c>
      <c r="H546" s="7"/>
      <c r="I546" s="35">
        <v>12</v>
      </c>
      <c r="J546" s="30">
        <f>IF(OR($F546="",$I546=""),0,IFERROR(INDEX(Nutrition!$D$2:$D$300,MATCH($F546,Nutrition!$A$2:$A$300,0))*$I546/100,0))</f>
        <v>0.252</v>
      </c>
      <c r="K546" s="30">
        <f>IF(OR($F546="",$I546=""),0,IFERROR(INDEX(Nutrition!$E$2:$E$300,MATCH($F546,Nutrition!$A$2:$A$300,0))*$I546/100,0))</f>
        <v>3.7439999999999998</v>
      </c>
      <c r="L546" s="30">
        <f>IF(OR($F546="",$I546=""),0,IFERROR(INDEX(Nutrition!$F$2:$F$300,MATCH($F546,Nutrition!$A$2:$A$300,0))*$I546/100,0))</f>
        <v>0</v>
      </c>
      <c r="M546" s="30">
        <f>IF(OR($F546="",$I546=""),0,IFERROR(INDEX(Nutrition!$G$2:$G$300,MATCH($F546,Nutrition!$A$2:$A$300,0))*$I546/100,0))</f>
        <v>0.20399999999999999</v>
      </c>
      <c r="N546" s="30">
        <f>IF(OR($F546="",$I546=""),0,IFERROR(INDEX(Nutrition!$H$2:$H$300,MATCH($F546,Nutrition!$A$2:$A$300,0))*$I546/100,0))</f>
        <v>0.36</v>
      </c>
      <c r="O546" s="30">
        <f>IF(OR($F546="",$I546=""),0,IFERROR(INDEX(Nutrition!$I$2:$I$300,MATCH($F546,Nutrition!$A$2:$A$300,0))*$I546/100,0))</f>
        <v>48.12</v>
      </c>
      <c r="P546" s="30">
        <f>IF(OR($F546="",$I546=""),0,IFERROR(INDEX(Nutrition!$J$2:$J$300,MATCH($F546,Nutrition!$A$2:$A$300,0))*$I546/100,0))</f>
        <v>9.5999999999999992E-3</v>
      </c>
      <c r="Q546" s="30">
        <f>IF(OR($F546="",$I546=""),0,IFERROR(INDEX(Nutrition!$K$2:$K$300,MATCH($F546,Nutrition!$A$2:$A$300,0))*$I546/100,0))</f>
        <v>0.1482</v>
      </c>
      <c r="R546" s="30">
        <f>IF(OR($F546="",$I546=""),0,IFERROR(INDEX(Nutrition!$L$2:$L$300,MATCH($F546,Nutrition!$A$2:$A$300,0))*$I546/100,0))</f>
        <v>3</v>
      </c>
      <c r="S546" s="30">
        <f>IF(OR($F546="",$I546=""),0,IFERROR(INDEX(Nutrition!$M$2:$M$300,MATCH($F546,Nutrition!$A$2:$A$300,0))*$I546/100,0))</f>
        <v>0.20399999999999999</v>
      </c>
    </row>
    <row r="547" spans="1:19" ht="15" customHeight="1" x14ac:dyDescent="0.25">
      <c r="A547" s="22" t="s">
        <v>1631</v>
      </c>
      <c r="B547" s="33" t="str">
        <f>IFERROR(INDEX(Recipes!$B$2:$B$500,MATCH(A547,Recipes!$A$2:$A$500,0)),"")</f>
        <v>Caribbean Curry Chicken &amp; Sweet Potato</v>
      </c>
      <c r="C547" s="7" t="s">
        <v>508</v>
      </c>
      <c r="D547" s="34">
        <v>1</v>
      </c>
      <c r="E547" s="22" t="s">
        <v>2821</v>
      </c>
      <c r="F547" s="22" t="s">
        <v>507</v>
      </c>
      <c r="G547" s="22" t="s">
        <v>2755</v>
      </c>
      <c r="H547" s="7"/>
      <c r="I547" s="35">
        <v>15</v>
      </c>
      <c r="J547" s="30">
        <f>IF(OR($F547="",$I547=""),0,IFERROR(INDEX(Nutrition!$D$2:$D$300,MATCH($F547,Nutrition!$A$2:$A$300,0))*$I547/100,0))</f>
        <v>0.3</v>
      </c>
      <c r="K547" s="30">
        <f>IF(OR($F547="",$I547=""),0,IFERROR(INDEX(Nutrition!$E$2:$E$300,MATCH($F547,Nutrition!$A$2:$A$300,0))*$I547/100,0))</f>
        <v>0.75</v>
      </c>
      <c r="L547" s="30">
        <f>IF(OR($F547="",$I547=""),0,IFERROR(INDEX(Nutrition!$F$2:$F$300,MATCH($F547,Nutrition!$A$2:$A$300,0))*$I547/100,0))</f>
        <v>0</v>
      </c>
      <c r="M547" s="30">
        <f>IF(OR($F547="",$I547=""),0,IFERROR(INDEX(Nutrition!$G$2:$G$300,MATCH($F547,Nutrition!$A$2:$A$300,0))*$I547/100,0))</f>
        <v>1.4999999999999999E-2</v>
      </c>
      <c r="N547" s="30">
        <f>IF(OR($F547="",$I547=""),0,IFERROR(INDEX(Nutrition!$H$2:$H$300,MATCH($F547,Nutrition!$A$2:$A$300,0))*$I547/100,0))</f>
        <v>1.65</v>
      </c>
      <c r="O547" s="30">
        <f>IF(OR($F547="",$I547=""),0,IFERROR(INDEX(Nutrition!$I$2:$I$300,MATCH($F547,Nutrition!$A$2:$A$300,0))*$I547/100,0))</f>
        <v>62.25</v>
      </c>
      <c r="P547" s="30">
        <f>IF(OR($F547="",$I547=""),0,IFERROR(INDEX(Nutrition!$J$2:$J$300,MATCH($F547,Nutrition!$A$2:$A$300,0))*$I547/100,0))</f>
        <v>3.9000000000000007E-2</v>
      </c>
      <c r="Q547" s="30">
        <f>IF(OR($F547="",$I547=""),0,IFERROR(INDEX(Nutrition!$K$2:$K$300,MATCH($F547,Nutrition!$A$2:$A$300,0))*$I547/100,0))</f>
        <v>2.4E-2</v>
      </c>
      <c r="R547" s="30">
        <f>IF(OR($F547="",$I547=""),0,IFERROR(INDEX(Nutrition!$L$2:$L$300,MATCH($F547,Nutrition!$A$2:$A$300,0))*$I547/100,0))</f>
        <v>6.45</v>
      </c>
      <c r="S547" s="30">
        <f>IF(OR($F547="",$I547=""),0,IFERROR(INDEX(Nutrition!$M$2:$M$300,MATCH($F547,Nutrition!$A$2:$A$300,0))*$I547/100,0))</f>
        <v>0.09</v>
      </c>
    </row>
    <row r="548" spans="1:19" ht="15" customHeight="1" x14ac:dyDescent="0.25">
      <c r="A548" s="22" t="s">
        <v>1631</v>
      </c>
      <c r="B548" s="33" t="str">
        <f>IFERROR(INDEX(Recipes!$B$2:$B$500,MATCH(A548,Recipes!$A$2:$A$500,0)),"")</f>
        <v>Caribbean Curry Chicken &amp; Sweet Potato</v>
      </c>
      <c r="C548" s="7" t="s">
        <v>473</v>
      </c>
      <c r="D548" s="34">
        <v>0.5</v>
      </c>
      <c r="E548" s="22" t="s">
        <v>2754</v>
      </c>
      <c r="F548" s="22" t="s">
        <v>472</v>
      </c>
      <c r="G548" s="22" t="s">
        <v>2755</v>
      </c>
      <c r="H548" s="7"/>
      <c r="I548" s="35">
        <v>5</v>
      </c>
      <c r="J548" s="30">
        <f>IF(OR($F548="",$I548=""),0,IFERROR(INDEX(Nutrition!$D$2:$D$300,MATCH($F548,Nutrition!$A$2:$A$300,0))*$I548/100,0))</f>
        <v>7.4999999999999997E-2</v>
      </c>
      <c r="K548" s="30">
        <f>IF(OR($F548="",$I548=""),0,IFERROR(INDEX(Nutrition!$E$2:$E$300,MATCH($F548,Nutrition!$A$2:$A$300,0))*$I548/100,0))</f>
        <v>7.1849999999999996</v>
      </c>
      <c r="L548" s="30">
        <f>IF(OR($F548="",$I548=""),0,IFERROR(INDEX(Nutrition!$F$2:$F$300,MATCH($F548,Nutrition!$A$2:$A$300,0))*$I548/100,0))</f>
        <v>2.4</v>
      </c>
      <c r="M548" s="30">
        <f>IF(OR($F548="",$I548=""),0,IFERROR(INDEX(Nutrition!$G$2:$G$300,MATCH($F548,Nutrition!$A$2:$A$300,0))*$I548/100,0))</f>
        <v>0.7</v>
      </c>
      <c r="N548" s="30">
        <f>IF(OR($F548="",$I548=""),0,IFERROR(INDEX(Nutrition!$H$2:$H$300,MATCH($F548,Nutrition!$A$2:$A$300,0))*$I548/100,0))</f>
        <v>1.1499999999999999</v>
      </c>
      <c r="O548" s="30">
        <f>IF(OR($F548="",$I548=""),0,IFERROR(INDEX(Nutrition!$I$2:$I$300,MATCH($F548,Nutrition!$A$2:$A$300,0))*$I548/100,0))</f>
        <v>16.100000000000001</v>
      </c>
      <c r="P548" s="30">
        <f>IF(OR($F548="",$I548=""),0,IFERROR(INDEX(Nutrition!$J$2:$J$300,MATCH($F548,Nutrition!$A$2:$A$300,0))*$I548/100,0))</f>
        <v>3.4499999999999996E-2</v>
      </c>
      <c r="Q548" s="30">
        <f>IF(OR($F548="",$I548=""),0,IFERROR(INDEX(Nutrition!$K$2:$K$300,MATCH($F548,Nutrition!$A$2:$A$300,0))*$I548/100,0))</f>
        <v>2.5300000000000003E-2</v>
      </c>
      <c r="R548" s="30">
        <f>IF(OR($F548="",$I548=""),0,IFERROR(INDEX(Nutrition!$L$2:$L$300,MATCH($F548,Nutrition!$A$2:$A$300,0))*$I548/100,0))</f>
        <v>1.1499999999999999</v>
      </c>
      <c r="S548" s="30">
        <f>IF(OR($F548="",$I548=""),0,IFERROR(INDEX(Nutrition!$M$2:$M$300,MATCH($F548,Nutrition!$A$2:$A$300,0))*$I548/100,0))</f>
        <v>5.1500000000000004E-2</v>
      </c>
    </row>
    <row r="549" spans="1:19" ht="15" customHeight="1" x14ac:dyDescent="0.25">
      <c r="A549" s="22" t="s">
        <v>1631</v>
      </c>
      <c r="B549" s="33" t="str">
        <f>IFERROR(INDEX(Recipes!$B$2:$B$500,MATCH(A549,Recipes!$A$2:$A$500,0)),"")</f>
        <v>Caribbean Curry Chicken &amp; Sweet Potato</v>
      </c>
      <c r="C549" s="7" t="s">
        <v>490</v>
      </c>
      <c r="D549" s="34">
        <v>2</v>
      </c>
      <c r="E549" s="22" t="s">
        <v>2820</v>
      </c>
      <c r="F549" s="22" t="s">
        <v>489</v>
      </c>
      <c r="G549" s="22" t="s">
        <v>2755</v>
      </c>
      <c r="H549" s="7"/>
      <c r="I549" s="35">
        <v>30</v>
      </c>
      <c r="J549" s="30">
        <f>IF(OR($F549="",$I549=""),0,IFERROR(INDEX(Nutrition!$D$2:$D$300,MATCH($F549,Nutrition!$A$2:$A$300,0))*$I549/100,0))</f>
        <v>0.78</v>
      </c>
      <c r="K549" s="30">
        <f>IF(OR($F549="",$I549=""),0,IFERROR(INDEX(Nutrition!$E$2:$E$300,MATCH($F549,Nutrition!$A$2:$A$300,0))*$I549/100,0))</f>
        <v>5.64</v>
      </c>
      <c r="L549" s="30">
        <f>IF(OR($F549="",$I549=""),0,IFERROR(INDEX(Nutrition!$F$2:$F$300,MATCH($F549,Nutrition!$A$2:$A$300,0))*$I549/100,0))</f>
        <v>15</v>
      </c>
      <c r="M549" s="30">
        <f>IF(OR($F549="",$I549=""),0,IFERROR(INDEX(Nutrition!$G$2:$G$300,MATCH($F549,Nutrition!$A$2:$A$300,0))*$I549/100,0))</f>
        <v>62.1</v>
      </c>
      <c r="N549" s="30">
        <f>IF(OR($F549="",$I549=""),0,IFERROR(INDEX(Nutrition!$H$2:$H$300,MATCH($F549,Nutrition!$A$2:$A$300,0))*$I549/100,0))</f>
        <v>19.2</v>
      </c>
      <c r="O549" s="30">
        <f>IF(OR($F549="",$I549=""),0,IFERROR(INDEX(Nutrition!$I$2:$I$300,MATCH($F549,Nutrition!$A$2:$A$300,0))*$I549/100,0))</f>
        <v>82.8</v>
      </c>
      <c r="P549" s="30">
        <f>IF(OR($F549="",$I549=""),0,IFERROR(INDEX(Nutrition!$J$2:$J$300,MATCH($F549,Nutrition!$A$2:$A$300,0))*$I549/100,0))</f>
        <v>0.16500000000000001</v>
      </c>
      <c r="Q549" s="30">
        <f>IF(OR($F549="",$I549=""),0,IFERROR(INDEX(Nutrition!$K$2:$K$300,MATCH($F549,Nutrition!$A$2:$A$300,0))*$I549/100,0))</f>
        <v>1.83E-2</v>
      </c>
      <c r="R549" s="30">
        <f>IF(OR($F549="",$I549=""),0,IFERROR(INDEX(Nutrition!$L$2:$L$300,MATCH($F549,Nutrition!$A$2:$A$300,0))*$I549/100,0))</f>
        <v>6</v>
      </c>
      <c r="S549" s="30">
        <f>IF(OR($F549="",$I549=""),0,IFERROR(INDEX(Nutrition!$M$2:$M$300,MATCH($F549,Nutrition!$A$2:$A$300,0))*$I549/100,0))</f>
        <v>0.44400000000000001</v>
      </c>
    </row>
    <row r="550" spans="1:19" ht="15" customHeight="1" x14ac:dyDescent="0.25">
      <c r="A550" s="22" t="s">
        <v>1631</v>
      </c>
      <c r="B550" s="33" t="str">
        <f>IFERROR(INDEX(Recipes!$B$2:$B$500,MATCH(A550,Recipes!$A$2:$A$500,0)),"")</f>
        <v>Caribbean Curry Chicken &amp; Sweet Potato</v>
      </c>
      <c r="C550" s="7" t="s">
        <v>446</v>
      </c>
      <c r="D550" s="34">
        <v>2</v>
      </c>
      <c r="E550" s="22" t="s">
        <v>2754</v>
      </c>
      <c r="F550" s="22" t="s">
        <v>445</v>
      </c>
      <c r="G550" s="22" t="s">
        <v>2755</v>
      </c>
      <c r="H550" s="7"/>
      <c r="I550" s="35">
        <v>124</v>
      </c>
      <c r="J550" s="30">
        <f>IF(OR($F550="",$I550=""),0,IFERROR(INDEX(Nutrition!$D$2:$D$300,MATCH($F550,Nutrition!$A$2:$A$300,0))*$I550/100,0))</f>
        <v>1.4879999999999998</v>
      </c>
      <c r="K550" s="30">
        <f>IF(OR($F550="",$I550=""),0,IFERROR(INDEX(Nutrition!$E$2:$E$300,MATCH($F550,Nutrition!$A$2:$A$300,0))*$I550/100,0))</f>
        <v>16.988</v>
      </c>
      <c r="L550" s="30">
        <f>IF(OR($F550="",$I550=""),0,IFERROR(INDEX(Nutrition!$F$2:$F$300,MATCH($F550,Nutrition!$A$2:$A$300,0))*$I550/100,0))</f>
        <v>52.08</v>
      </c>
      <c r="M550" s="30">
        <f>IF(OR($F550="",$I550=""),0,IFERROR(INDEX(Nutrition!$G$2:$G$300,MATCH($F550,Nutrition!$A$2:$A$300,0))*$I550/100,0))</f>
        <v>9.7959999999999994</v>
      </c>
      <c r="N550" s="30">
        <f>IF(OR($F550="",$I550=""),0,IFERROR(INDEX(Nutrition!$H$2:$H$300,MATCH($F550,Nutrition!$A$2:$A$300,0))*$I550/100,0))</f>
        <v>18.600000000000001</v>
      </c>
      <c r="O550" s="30">
        <f>IF(OR($F550="",$I550=""),0,IFERROR(INDEX(Nutrition!$I$2:$I$300,MATCH($F550,Nutrition!$A$2:$A$300,0))*$I550/100,0))</f>
        <v>293.88</v>
      </c>
      <c r="P550" s="30">
        <f>IF(OR($F550="",$I550=""),0,IFERROR(INDEX(Nutrition!$J$2:$J$300,MATCH($F550,Nutrition!$A$2:$A$300,0))*$I550/100,0))</f>
        <v>0.66960000000000008</v>
      </c>
      <c r="Q550" s="30">
        <f>IF(OR($F550="",$I550=""),0,IFERROR(INDEX(Nutrition!$K$2:$K$300,MATCH($F550,Nutrition!$A$2:$A$300,0))*$I550/100,0))</f>
        <v>9.9199999999999997E-2</v>
      </c>
      <c r="R550" s="30">
        <f>IF(OR($F550="",$I550=""),0,IFERROR(INDEX(Nutrition!$L$2:$L$300,MATCH($F550,Nutrition!$A$2:$A$300,0))*$I550/100,0))</f>
        <v>13.64</v>
      </c>
      <c r="S550" s="30">
        <f>IF(OR($F550="",$I550=""),0,IFERROR(INDEX(Nutrition!$M$2:$M$300,MATCH($F550,Nutrition!$A$2:$A$300,0))*$I550/100,0))</f>
        <v>0.33480000000000004</v>
      </c>
    </row>
    <row r="551" spans="1:19" ht="15" customHeight="1" x14ac:dyDescent="0.25">
      <c r="A551" s="22" t="s">
        <v>1631</v>
      </c>
      <c r="B551" s="33" t="str">
        <f>IFERROR(INDEX(Recipes!$B$2:$B$500,MATCH(A551,Recipes!$A$2:$A$500,0)),"")</f>
        <v>Caribbean Curry Chicken &amp; Sweet Potato</v>
      </c>
      <c r="C551" s="7" t="s">
        <v>2881</v>
      </c>
      <c r="D551" s="34">
        <v>2</v>
      </c>
      <c r="E551" s="22" t="s">
        <v>2753</v>
      </c>
      <c r="F551" s="22"/>
      <c r="G551" s="22" t="s">
        <v>2749</v>
      </c>
      <c r="H551" s="7"/>
      <c r="I551" s="35"/>
      <c r="J551" s="30">
        <f>IF(OR($F551="",$I551=""),0,IFERROR(INDEX(Nutrition!$D$2:$D$300,MATCH($F551,Nutrition!$A$2:$A$300,0))*$I551/100,0))</f>
        <v>0</v>
      </c>
      <c r="K551" s="30">
        <f>IF(OR($F551="",$I551=""),0,IFERROR(INDEX(Nutrition!$E$2:$E$300,MATCH($F551,Nutrition!$A$2:$A$300,0))*$I551/100,0))</f>
        <v>0</v>
      </c>
      <c r="L551" s="30">
        <f>IF(OR($F551="",$I551=""),0,IFERROR(INDEX(Nutrition!$F$2:$F$300,MATCH($F551,Nutrition!$A$2:$A$300,0))*$I551/100,0))</f>
        <v>0</v>
      </c>
      <c r="M551" s="30">
        <f>IF(OR($F551="",$I551=""),0,IFERROR(INDEX(Nutrition!$G$2:$G$300,MATCH($F551,Nutrition!$A$2:$A$300,0))*$I551/100,0))</f>
        <v>0</v>
      </c>
      <c r="N551" s="30">
        <f>IF(OR($F551="",$I551=""),0,IFERROR(INDEX(Nutrition!$H$2:$H$300,MATCH($F551,Nutrition!$A$2:$A$300,0))*$I551/100,0))</f>
        <v>0</v>
      </c>
      <c r="O551" s="30">
        <f>IF(OR($F551="",$I551=""),0,IFERROR(INDEX(Nutrition!$I$2:$I$300,MATCH($F551,Nutrition!$A$2:$A$300,0))*$I551/100,0))</f>
        <v>0</v>
      </c>
      <c r="P551" s="30">
        <f>IF(OR($F551="",$I551=""),0,IFERROR(INDEX(Nutrition!$J$2:$J$300,MATCH($F551,Nutrition!$A$2:$A$300,0))*$I551/100,0))</f>
        <v>0</v>
      </c>
      <c r="Q551" s="30">
        <f>IF(OR($F551="",$I551=""),0,IFERROR(INDEX(Nutrition!$K$2:$K$300,MATCH($F551,Nutrition!$A$2:$A$300,0))*$I551/100,0))</f>
        <v>0</v>
      </c>
      <c r="R551" s="30">
        <f>IF(OR($F551="",$I551=""),0,IFERROR(INDEX(Nutrition!$L$2:$L$300,MATCH($F551,Nutrition!$A$2:$A$300,0))*$I551/100,0))</f>
        <v>0</v>
      </c>
      <c r="S551" s="30">
        <f>IF(OR($F551="",$I551=""),0,IFERROR(INDEX(Nutrition!$M$2:$M$300,MATCH($F551,Nutrition!$A$2:$A$300,0))*$I551/100,0))</f>
        <v>0</v>
      </c>
    </row>
    <row r="552" spans="1:19" ht="15" customHeight="1" x14ac:dyDescent="0.25">
      <c r="A552" s="22" t="s">
        <v>1631</v>
      </c>
      <c r="B552" s="33" t="str">
        <f>IFERROR(INDEX(Recipes!$B$2:$B$500,MATCH(A552,Recipes!$A$2:$A$500,0)),"")</f>
        <v>Caribbean Curry Chicken &amp; Sweet Potato</v>
      </c>
      <c r="C552" s="7" t="s">
        <v>2884</v>
      </c>
      <c r="D552" s="34">
        <v>1</v>
      </c>
      <c r="E552" s="22" t="s">
        <v>2759</v>
      </c>
      <c r="F552" s="22"/>
      <c r="G552" s="22" t="s">
        <v>2749</v>
      </c>
      <c r="H552" s="7"/>
      <c r="I552" s="35"/>
      <c r="J552" s="30">
        <f>IF(OR($F552="",$I552=""),0,IFERROR(INDEX(Nutrition!$D$2:$D$300,MATCH($F552,Nutrition!$A$2:$A$300,0))*$I552/100,0))</f>
        <v>0</v>
      </c>
      <c r="K552" s="30">
        <f>IF(OR($F552="",$I552=""),0,IFERROR(INDEX(Nutrition!$E$2:$E$300,MATCH($F552,Nutrition!$A$2:$A$300,0))*$I552/100,0))</f>
        <v>0</v>
      </c>
      <c r="L552" s="30">
        <f>IF(OR($F552="",$I552=""),0,IFERROR(INDEX(Nutrition!$F$2:$F$300,MATCH($F552,Nutrition!$A$2:$A$300,0))*$I552/100,0))</f>
        <v>0</v>
      </c>
      <c r="M552" s="30">
        <f>IF(OR($F552="",$I552=""),0,IFERROR(INDEX(Nutrition!$G$2:$G$300,MATCH($F552,Nutrition!$A$2:$A$300,0))*$I552/100,0))</f>
        <v>0</v>
      </c>
      <c r="N552" s="30">
        <f>IF(OR($F552="",$I552=""),0,IFERROR(INDEX(Nutrition!$H$2:$H$300,MATCH($F552,Nutrition!$A$2:$A$300,0))*$I552/100,0))</f>
        <v>0</v>
      </c>
      <c r="O552" s="30">
        <f>IF(OR($F552="",$I552=""),0,IFERROR(INDEX(Nutrition!$I$2:$I$300,MATCH($F552,Nutrition!$A$2:$A$300,0))*$I552/100,0))</f>
        <v>0</v>
      </c>
      <c r="P552" s="30">
        <f>IF(OR($F552="",$I552=""),0,IFERROR(INDEX(Nutrition!$J$2:$J$300,MATCH($F552,Nutrition!$A$2:$A$300,0))*$I552/100,0))</f>
        <v>0</v>
      </c>
      <c r="Q552" s="30">
        <f>IF(OR($F552="",$I552=""),0,IFERROR(INDEX(Nutrition!$K$2:$K$300,MATCH($F552,Nutrition!$A$2:$A$300,0))*$I552/100,0))</f>
        <v>0</v>
      </c>
      <c r="R552" s="30">
        <f>IF(OR($F552="",$I552=""),0,IFERROR(INDEX(Nutrition!$L$2:$L$300,MATCH($F552,Nutrition!$A$2:$A$300,0))*$I552/100,0))</f>
        <v>0</v>
      </c>
      <c r="S552" s="30">
        <f>IF(OR($F552="",$I552=""),0,IFERROR(INDEX(Nutrition!$M$2:$M$300,MATCH($F552,Nutrition!$A$2:$A$300,0))*$I552/100,0))</f>
        <v>0</v>
      </c>
    </row>
    <row r="553" spans="1:19" ht="15" customHeight="1" x14ac:dyDescent="0.25">
      <c r="A553" s="22" t="s">
        <v>1631</v>
      </c>
      <c r="B553" s="33" t="str">
        <f>IFERROR(INDEX(Recipes!$B$2:$B$500,MATCH(A553,Recipes!$A$2:$A$500,0)),"")</f>
        <v>Caribbean Curry Chicken &amp; Sweet Potato</v>
      </c>
      <c r="C553" s="7" t="s">
        <v>2801</v>
      </c>
      <c r="D553" s="34">
        <v>2</v>
      </c>
      <c r="E553" s="22" t="s">
        <v>2790</v>
      </c>
      <c r="F553" s="22"/>
      <c r="G553" s="22" t="s">
        <v>2749</v>
      </c>
      <c r="H553" s="7"/>
      <c r="I553" s="35"/>
      <c r="J553" s="30">
        <f>IF(OR($F553="",$I553=""),0,IFERROR(INDEX(Nutrition!$D$2:$D$300,MATCH($F553,Nutrition!$A$2:$A$300,0))*$I553/100,0))</f>
        <v>0</v>
      </c>
      <c r="K553" s="30">
        <f>IF(OR($F553="",$I553=""),0,IFERROR(INDEX(Nutrition!$E$2:$E$300,MATCH($F553,Nutrition!$A$2:$A$300,0))*$I553/100,0))</f>
        <v>0</v>
      </c>
      <c r="L553" s="30">
        <f>IF(OR($F553="",$I553=""),0,IFERROR(INDEX(Nutrition!$F$2:$F$300,MATCH($F553,Nutrition!$A$2:$A$300,0))*$I553/100,0))</f>
        <v>0</v>
      </c>
      <c r="M553" s="30">
        <f>IF(OR($F553="",$I553=""),0,IFERROR(INDEX(Nutrition!$G$2:$G$300,MATCH($F553,Nutrition!$A$2:$A$300,0))*$I553/100,0))</f>
        <v>0</v>
      </c>
      <c r="N553" s="30">
        <f>IF(OR($F553="",$I553=""),0,IFERROR(INDEX(Nutrition!$H$2:$H$300,MATCH($F553,Nutrition!$A$2:$A$300,0))*$I553/100,0))</f>
        <v>0</v>
      </c>
      <c r="O553" s="30">
        <f>IF(OR($F553="",$I553=""),0,IFERROR(INDEX(Nutrition!$I$2:$I$300,MATCH($F553,Nutrition!$A$2:$A$300,0))*$I553/100,0))</f>
        <v>0</v>
      </c>
      <c r="P553" s="30">
        <f>IF(OR($F553="",$I553=""),0,IFERROR(INDEX(Nutrition!$J$2:$J$300,MATCH($F553,Nutrition!$A$2:$A$300,0))*$I553/100,0))</f>
        <v>0</v>
      </c>
      <c r="Q553" s="30">
        <f>IF(OR($F553="",$I553=""),0,IFERROR(INDEX(Nutrition!$K$2:$K$300,MATCH($F553,Nutrition!$A$2:$A$300,0))*$I553/100,0))</f>
        <v>0</v>
      </c>
      <c r="R553" s="30">
        <f>IF(OR($F553="",$I553=""),0,IFERROR(INDEX(Nutrition!$L$2:$L$300,MATCH($F553,Nutrition!$A$2:$A$300,0))*$I553/100,0))</f>
        <v>0</v>
      </c>
      <c r="S553" s="30">
        <f>IF(OR($F553="",$I553=""),0,IFERROR(INDEX(Nutrition!$M$2:$M$300,MATCH($F553,Nutrition!$A$2:$A$300,0))*$I553/100,0))</f>
        <v>0</v>
      </c>
    </row>
    <row r="554" spans="1:19" ht="15" customHeight="1" x14ac:dyDescent="0.25">
      <c r="A554" s="22" t="s">
        <v>1631</v>
      </c>
      <c r="B554" s="33" t="str">
        <f>IFERROR(INDEX(Recipes!$B$2:$B$500,MATCH(A554,Recipes!$A$2:$A$500,0)),"")</f>
        <v>Caribbean Curry Chicken &amp; Sweet Potato</v>
      </c>
      <c r="C554" s="7" t="s">
        <v>2772</v>
      </c>
      <c r="D554" s="34">
        <v>1</v>
      </c>
      <c r="E554" s="22" t="s">
        <v>2753</v>
      </c>
      <c r="F554" s="22"/>
      <c r="G554" s="22" t="s">
        <v>2773</v>
      </c>
      <c r="H554" s="7"/>
      <c r="I554" s="35"/>
      <c r="J554" s="30">
        <f>IF(OR($F554="",$I554=""),0,IFERROR(INDEX(Nutrition!$D$2:$D$300,MATCH($F554,Nutrition!$A$2:$A$300,0))*$I554/100,0))</f>
        <v>0</v>
      </c>
      <c r="K554" s="30">
        <f>IF(OR($F554="",$I554=""),0,IFERROR(INDEX(Nutrition!$E$2:$E$300,MATCH($F554,Nutrition!$A$2:$A$300,0))*$I554/100,0))</f>
        <v>0</v>
      </c>
      <c r="L554" s="30">
        <f>IF(OR($F554="",$I554=""),0,IFERROR(INDEX(Nutrition!$F$2:$F$300,MATCH($F554,Nutrition!$A$2:$A$300,0))*$I554/100,0))</f>
        <v>0</v>
      </c>
      <c r="M554" s="30">
        <f>IF(OR($F554="",$I554=""),0,IFERROR(INDEX(Nutrition!$G$2:$G$300,MATCH($F554,Nutrition!$A$2:$A$300,0))*$I554/100,0))</f>
        <v>0</v>
      </c>
      <c r="N554" s="30">
        <f>IF(OR($F554="",$I554=""),0,IFERROR(INDEX(Nutrition!$H$2:$H$300,MATCH($F554,Nutrition!$A$2:$A$300,0))*$I554/100,0))</f>
        <v>0</v>
      </c>
      <c r="O554" s="30">
        <f>IF(OR($F554="",$I554=""),0,IFERROR(INDEX(Nutrition!$I$2:$I$300,MATCH($F554,Nutrition!$A$2:$A$300,0))*$I554/100,0))</f>
        <v>0</v>
      </c>
      <c r="P554" s="30">
        <f>IF(OR($F554="",$I554=""),0,IFERROR(INDEX(Nutrition!$J$2:$J$300,MATCH($F554,Nutrition!$A$2:$A$300,0))*$I554/100,0))</f>
        <v>0</v>
      </c>
      <c r="Q554" s="30">
        <f>IF(OR($F554="",$I554=""),0,IFERROR(INDEX(Nutrition!$K$2:$K$300,MATCH($F554,Nutrition!$A$2:$A$300,0))*$I554/100,0))</f>
        <v>0</v>
      </c>
      <c r="R554" s="30">
        <f>IF(OR($F554="",$I554=""),0,IFERROR(INDEX(Nutrition!$L$2:$L$300,MATCH($F554,Nutrition!$A$2:$A$300,0))*$I554/100,0))</f>
        <v>0</v>
      </c>
      <c r="S554" s="30">
        <f>IF(OR($F554="",$I554=""),0,IFERROR(INDEX(Nutrition!$M$2:$M$300,MATCH($F554,Nutrition!$A$2:$A$300,0))*$I554/100,0))</f>
        <v>0</v>
      </c>
    </row>
    <row r="555" spans="1:19" ht="15" customHeight="1" x14ac:dyDescent="0.25">
      <c r="A555" s="22" t="s">
        <v>1643</v>
      </c>
      <c r="B555" s="33" t="str">
        <f>IFERROR(INDEX(Recipes!$B$2:$B$500,MATCH(A555,Recipes!$A$2:$A$500,0)),"")</f>
        <v>Fresh Tomato &amp; Basil Garden Pasta</v>
      </c>
      <c r="C555" s="7" t="s">
        <v>2885</v>
      </c>
      <c r="D555" s="34">
        <v>200</v>
      </c>
      <c r="E555" s="22" t="s">
        <v>2813</v>
      </c>
      <c r="F555" s="22"/>
      <c r="G555" s="22" t="s">
        <v>2749</v>
      </c>
      <c r="H555" s="7"/>
      <c r="I555" s="35"/>
      <c r="J555" s="30">
        <f>IF(OR($F555="",$I555=""),0,IFERROR(INDEX(Nutrition!$D$2:$D$300,MATCH($F555,Nutrition!$A$2:$A$300,0))*$I555/100,0))</f>
        <v>0</v>
      </c>
      <c r="K555" s="30">
        <f>IF(OR($F555="",$I555=""),0,IFERROR(INDEX(Nutrition!$E$2:$E$300,MATCH($F555,Nutrition!$A$2:$A$300,0))*$I555/100,0))</f>
        <v>0</v>
      </c>
      <c r="L555" s="30">
        <f>IF(OR($F555="",$I555=""),0,IFERROR(INDEX(Nutrition!$F$2:$F$300,MATCH($F555,Nutrition!$A$2:$A$300,0))*$I555/100,0))</f>
        <v>0</v>
      </c>
      <c r="M555" s="30">
        <f>IF(OR($F555="",$I555=""),0,IFERROR(INDEX(Nutrition!$G$2:$G$300,MATCH($F555,Nutrition!$A$2:$A$300,0))*$I555/100,0))</f>
        <v>0</v>
      </c>
      <c r="N555" s="30">
        <f>IF(OR($F555="",$I555=""),0,IFERROR(INDEX(Nutrition!$H$2:$H$300,MATCH($F555,Nutrition!$A$2:$A$300,0))*$I555/100,0))</f>
        <v>0</v>
      </c>
      <c r="O555" s="30">
        <f>IF(OR($F555="",$I555=""),0,IFERROR(INDEX(Nutrition!$I$2:$I$300,MATCH($F555,Nutrition!$A$2:$A$300,0))*$I555/100,0))</f>
        <v>0</v>
      </c>
      <c r="P555" s="30">
        <f>IF(OR($F555="",$I555=""),0,IFERROR(INDEX(Nutrition!$J$2:$J$300,MATCH($F555,Nutrition!$A$2:$A$300,0))*$I555/100,0))</f>
        <v>0</v>
      </c>
      <c r="Q555" s="30">
        <f>IF(OR($F555="",$I555=""),0,IFERROR(INDEX(Nutrition!$K$2:$K$300,MATCH($F555,Nutrition!$A$2:$A$300,0))*$I555/100,0))</f>
        <v>0</v>
      </c>
      <c r="R555" s="30">
        <f>IF(OR($F555="",$I555=""),0,IFERROR(INDEX(Nutrition!$L$2:$L$300,MATCH($F555,Nutrition!$A$2:$A$300,0))*$I555/100,0))</f>
        <v>0</v>
      </c>
      <c r="S555" s="30">
        <f>IF(OR($F555="",$I555=""),0,IFERROR(INDEX(Nutrition!$M$2:$M$300,MATCH($F555,Nutrition!$A$2:$A$300,0))*$I555/100,0))</f>
        <v>0</v>
      </c>
    </row>
    <row r="556" spans="1:19" ht="15" customHeight="1" x14ac:dyDescent="0.25">
      <c r="A556" s="22" t="s">
        <v>1643</v>
      </c>
      <c r="B556" s="33" t="str">
        <f>IFERROR(INDEX(Recipes!$B$2:$B$500,MATCH(A556,Recipes!$A$2:$A$500,0)),"")</f>
        <v>Fresh Tomato &amp; Basil Garden Pasta</v>
      </c>
      <c r="C556" s="7" t="s">
        <v>446</v>
      </c>
      <c r="D556" s="34">
        <v>5</v>
      </c>
      <c r="E556" s="22" t="s">
        <v>2754</v>
      </c>
      <c r="F556" s="22" t="s">
        <v>445</v>
      </c>
      <c r="G556" s="22" t="s">
        <v>2755</v>
      </c>
      <c r="H556" s="7" t="s">
        <v>2886</v>
      </c>
      <c r="I556" s="35">
        <v>310</v>
      </c>
      <c r="J556" s="30">
        <f>IF(OR($F556="",$I556=""),0,IFERROR(INDEX(Nutrition!$D$2:$D$300,MATCH($F556,Nutrition!$A$2:$A$300,0))*$I556/100,0))</f>
        <v>3.72</v>
      </c>
      <c r="K556" s="30">
        <f>IF(OR($F556="",$I556=""),0,IFERROR(INDEX(Nutrition!$E$2:$E$300,MATCH($F556,Nutrition!$A$2:$A$300,0))*$I556/100,0))</f>
        <v>42.47</v>
      </c>
      <c r="L556" s="30">
        <f>IF(OR($F556="",$I556=""),0,IFERROR(INDEX(Nutrition!$F$2:$F$300,MATCH($F556,Nutrition!$A$2:$A$300,0))*$I556/100,0))</f>
        <v>130.19999999999999</v>
      </c>
      <c r="M556" s="30">
        <f>IF(OR($F556="",$I556=""),0,IFERROR(INDEX(Nutrition!$G$2:$G$300,MATCH($F556,Nutrition!$A$2:$A$300,0))*$I556/100,0))</f>
        <v>24.49</v>
      </c>
      <c r="N556" s="30">
        <f>IF(OR($F556="",$I556=""),0,IFERROR(INDEX(Nutrition!$H$2:$H$300,MATCH($F556,Nutrition!$A$2:$A$300,0))*$I556/100,0))</f>
        <v>46.5</v>
      </c>
      <c r="O556" s="30">
        <f>IF(OR($F556="",$I556=""),0,IFERROR(INDEX(Nutrition!$I$2:$I$300,MATCH($F556,Nutrition!$A$2:$A$300,0))*$I556/100,0))</f>
        <v>734.7</v>
      </c>
      <c r="P556" s="30">
        <f>IF(OR($F556="",$I556=""),0,IFERROR(INDEX(Nutrition!$J$2:$J$300,MATCH($F556,Nutrition!$A$2:$A$300,0))*$I556/100,0))</f>
        <v>1.6740000000000002</v>
      </c>
      <c r="Q556" s="30">
        <f>IF(OR($F556="",$I556=""),0,IFERROR(INDEX(Nutrition!$K$2:$K$300,MATCH($F556,Nutrition!$A$2:$A$300,0))*$I556/100,0))</f>
        <v>0.248</v>
      </c>
      <c r="R556" s="30">
        <f>IF(OR($F556="",$I556=""),0,IFERROR(INDEX(Nutrition!$L$2:$L$300,MATCH($F556,Nutrition!$A$2:$A$300,0))*$I556/100,0))</f>
        <v>34.1</v>
      </c>
      <c r="S556" s="30">
        <f>IF(OR($F556="",$I556=""),0,IFERROR(INDEX(Nutrition!$M$2:$M$300,MATCH($F556,Nutrition!$A$2:$A$300,0))*$I556/100,0))</f>
        <v>0.83700000000000008</v>
      </c>
    </row>
    <row r="557" spans="1:19" ht="15" customHeight="1" x14ac:dyDescent="0.25">
      <c r="A557" s="22" t="s">
        <v>1643</v>
      </c>
      <c r="B557" s="33" t="str">
        <f>IFERROR(INDEX(Recipes!$B$2:$B$500,MATCH(A557,Recipes!$A$2:$A$500,0)),"")</f>
        <v>Fresh Tomato &amp; Basil Garden Pasta</v>
      </c>
      <c r="C557" s="7" t="s">
        <v>462</v>
      </c>
      <c r="D557" s="34">
        <v>1</v>
      </c>
      <c r="E557" s="22" t="s">
        <v>2754</v>
      </c>
      <c r="F557" s="22" t="s">
        <v>461</v>
      </c>
      <c r="G557" s="22" t="s">
        <v>2755</v>
      </c>
      <c r="H557" s="7"/>
      <c r="I557" s="35">
        <v>119</v>
      </c>
      <c r="J557" s="30">
        <f>IF(OR($F557="",$I557=""),0,IFERROR(INDEX(Nutrition!$D$2:$D$300,MATCH($F557,Nutrition!$A$2:$A$300,0))*$I557/100,0))</f>
        <v>2.4990000000000001</v>
      </c>
      <c r="K557" s="30">
        <f>IF(OR($F557="",$I557=""),0,IFERROR(INDEX(Nutrition!$E$2:$E$300,MATCH($F557,Nutrition!$A$2:$A$300,0))*$I557/100,0))</f>
        <v>151.96300000000002</v>
      </c>
      <c r="L557" s="30">
        <f>IF(OR($F557="",$I557=""),0,IFERROR(INDEX(Nutrition!$F$2:$F$300,MATCH($F557,Nutrition!$A$2:$A$300,0))*$I557/100,0))</f>
        <v>186.83</v>
      </c>
      <c r="M557" s="30">
        <f>IF(OR($F557="",$I557=""),0,IFERROR(INDEX(Nutrition!$G$2:$G$300,MATCH($F557,Nutrition!$A$2:$A$300,0))*$I557/100,0))</f>
        <v>5.8310000000000004</v>
      </c>
      <c r="N557" s="30">
        <f>IF(OR($F557="",$I557=""),0,IFERROR(INDEX(Nutrition!$H$2:$H$300,MATCH($F557,Nutrition!$A$2:$A$300,0))*$I557/100,0))</f>
        <v>54.74</v>
      </c>
      <c r="O557" s="30">
        <f>IF(OR($F557="",$I557=""),0,IFERROR(INDEX(Nutrition!$I$2:$I$300,MATCH($F557,Nutrition!$A$2:$A$300,0))*$I557/100,0))</f>
        <v>251.09</v>
      </c>
      <c r="P557" s="30">
        <f>IF(OR($F557="",$I557=""),0,IFERROR(INDEX(Nutrition!$J$2:$J$300,MATCH($F557,Nutrition!$A$2:$A$300,0))*$I557/100,0))</f>
        <v>1.8802000000000001</v>
      </c>
      <c r="Q557" s="30">
        <f>IF(OR($F557="",$I557=""),0,IFERROR(INDEX(Nutrition!$K$2:$K$300,MATCH($F557,Nutrition!$A$2:$A$300,0))*$I557/100,0))</f>
        <v>0.34628999999999999</v>
      </c>
      <c r="R557" s="30">
        <f>IF(OR($F557="",$I557=""),0,IFERROR(INDEX(Nutrition!$L$2:$L$300,MATCH($F557,Nutrition!$A$2:$A$300,0))*$I557/100,0))</f>
        <v>14.28</v>
      </c>
      <c r="S557" s="30">
        <f>IF(OR($F557="",$I557=""),0,IFERROR(INDEX(Nutrition!$M$2:$M$300,MATCH($F557,Nutrition!$A$2:$A$300,0))*$I557/100,0))</f>
        <v>0.51170000000000004</v>
      </c>
    </row>
    <row r="558" spans="1:19" ht="15" customHeight="1" x14ac:dyDescent="0.25">
      <c r="A558" s="22" t="s">
        <v>1643</v>
      </c>
      <c r="B558" s="33" t="str">
        <f>IFERROR(INDEX(Recipes!$B$2:$B$500,MATCH(A558,Recipes!$A$2:$A$500,0)),"")</f>
        <v>Fresh Tomato &amp; Basil Garden Pasta</v>
      </c>
      <c r="C558" s="7" t="s">
        <v>482</v>
      </c>
      <c r="D558" s="34">
        <v>1</v>
      </c>
      <c r="E558" s="22" t="s">
        <v>2754</v>
      </c>
      <c r="F558" s="22" t="s">
        <v>481</v>
      </c>
      <c r="G558" s="22" t="s">
        <v>2755</v>
      </c>
      <c r="H558" s="7"/>
      <c r="I558" s="35">
        <v>110</v>
      </c>
      <c r="J558" s="30">
        <f>IF(OR($F558="",$I558=""),0,IFERROR(INDEX(Nutrition!$D$2:$D$300,MATCH($F558,Nutrition!$A$2:$A$300,0))*$I558/100,0))</f>
        <v>1.87</v>
      </c>
      <c r="K558" s="30">
        <f>IF(OR($F558="",$I558=""),0,IFERROR(INDEX(Nutrition!$E$2:$E$300,MATCH($F558,Nutrition!$A$2:$A$300,0))*$I558/100,0))</f>
        <v>8.14</v>
      </c>
      <c r="L558" s="30">
        <f>IF(OR($F558="",$I558=""),0,IFERROR(INDEX(Nutrition!$F$2:$F$300,MATCH($F558,Nutrition!$A$2:$A$300,0))*$I558/100,0))</f>
        <v>0</v>
      </c>
      <c r="M558" s="30">
        <f>IF(OR($F558="",$I558=""),0,IFERROR(INDEX(Nutrition!$G$2:$G$300,MATCH($F558,Nutrition!$A$2:$A$300,0))*$I558/100,0))</f>
        <v>0.44</v>
      </c>
      <c r="N558" s="30">
        <f>IF(OR($F558="",$I558=""),0,IFERROR(INDEX(Nutrition!$H$2:$H$300,MATCH($F558,Nutrition!$A$2:$A$300,0))*$I558/100,0))</f>
        <v>20.9</v>
      </c>
      <c r="O558" s="30">
        <f>IF(OR($F558="",$I558=""),0,IFERROR(INDEX(Nutrition!$I$2:$I$300,MATCH($F558,Nutrition!$A$2:$A$300,0))*$I558/100,0))</f>
        <v>160.6</v>
      </c>
      <c r="P558" s="30">
        <f>IF(OR($F558="",$I558=""),0,IFERROR(INDEX(Nutrition!$J$2:$J$300,MATCH($F558,Nutrition!$A$2:$A$300,0))*$I558/100,0))</f>
        <v>2.2000000000000002E-2</v>
      </c>
      <c r="Q558" s="30">
        <f>IF(OR($F558="",$I558=""),0,IFERROR(INDEX(Nutrition!$K$2:$K$300,MATCH($F558,Nutrition!$A$2:$A$300,0))*$I558/100,0))</f>
        <v>0.13200000000000001</v>
      </c>
      <c r="R558" s="30">
        <f>IF(OR($F558="",$I558=""),0,IFERROR(INDEX(Nutrition!$L$2:$L$300,MATCH($F558,Nutrition!$A$2:$A$300,0))*$I558/100,0))</f>
        <v>11</v>
      </c>
      <c r="S558" s="30">
        <f>IF(OR($F558="",$I558=""),0,IFERROR(INDEX(Nutrition!$M$2:$M$300,MATCH($F558,Nutrition!$A$2:$A$300,0))*$I558/100,0))</f>
        <v>0.23099999999999998</v>
      </c>
    </row>
    <row r="559" spans="1:19" ht="15" customHeight="1" x14ac:dyDescent="0.25">
      <c r="A559" s="22" t="s">
        <v>1643</v>
      </c>
      <c r="B559" s="33" t="str">
        <f>IFERROR(INDEX(Recipes!$B$2:$B$500,MATCH(A559,Recipes!$A$2:$A$500,0)),"")</f>
        <v>Fresh Tomato &amp; Basil Garden Pasta</v>
      </c>
      <c r="C559" s="7" t="s">
        <v>500</v>
      </c>
      <c r="D559" s="34">
        <v>3</v>
      </c>
      <c r="E559" s="22" t="s">
        <v>2776</v>
      </c>
      <c r="F559" s="22" t="s">
        <v>499</v>
      </c>
      <c r="G559" s="22" t="s">
        <v>2755</v>
      </c>
      <c r="H559" s="7"/>
      <c r="I559" s="35">
        <v>9</v>
      </c>
      <c r="J559" s="30">
        <f>IF(OR($F559="",$I559=""),0,IFERROR(INDEX(Nutrition!$D$2:$D$300,MATCH($F559,Nutrition!$A$2:$A$300,0))*$I559/100,0))</f>
        <v>0.18900000000000003</v>
      </c>
      <c r="K559" s="30">
        <f>IF(OR($F559="",$I559=""),0,IFERROR(INDEX(Nutrition!$E$2:$E$300,MATCH($F559,Nutrition!$A$2:$A$300,0))*$I559/100,0))</f>
        <v>2.8080000000000003</v>
      </c>
      <c r="L559" s="30">
        <f>IF(OR($F559="",$I559=""),0,IFERROR(INDEX(Nutrition!$F$2:$F$300,MATCH($F559,Nutrition!$A$2:$A$300,0))*$I559/100,0))</f>
        <v>0</v>
      </c>
      <c r="M559" s="30">
        <f>IF(OR($F559="",$I559=""),0,IFERROR(INDEX(Nutrition!$G$2:$G$300,MATCH($F559,Nutrition!$A$2:$A$300,0))*$I559/100,0))</f>
        <v>0.153</v>
      </c>
      <c r="N559" s="30">
        <f>IF(OR($F559="",$I559=""),0,IFERROR(INDEX(Nutrition!$H$2:$H$300,MATCH($F559,Nutrition!$A$2:$A$300,0))*$I559/100,0))</f>
        <v>0.27</v>
      </c>
      <c r="O559" s="30">
        <f>IF(OR($F559="",$I559=""),0,IFERROR(INDEX(Nutrition!$I$2:$I$300,MATCH($F559,Nutrition!$A$2:$A$300,0))*$I559/100,0))</f>
        <v>36.090000000000003</v>
      </c>
      <c r="P559" s="30">
        <f>IF(OR($F559="",$I559=""),0,IFERROR(INDEX(Nutrition!$J$2:$J$300,MATCH($F559,Nutrition!$A$2:$A$300,0))*$I559/100,0))</f>
        <v>7.1999999999999998E-3</v>
      </c>
      <c r="Q559" s="30">
        <f>IF(OR($F559="",$I559=""),0,IFERROR(INDEX(Nutrition!$K$2:$K$300,MATCH($F559,Nutrition!$A$2:$A$300,0))*$I559/100,0))</f>
        <v>0.11115</v>
      </c>
      <c r="R559" s="30">
        <f>IF(OR($F559="",$I559=""),0,IFERROR(INDEX(Nutrition!$L$2:$L$300,MATCH($F559,Nutrition!$A$2:$A$300,0))*$I559/100,0))</f>
        <v>2.25</v>
      </c>
      <c r="S559" s="30">
        <f>IF(OR($F559="",$I559=""),0,IFERROR(INDEX(Nutrition!$M$2:$M$300,MATCH($F559,Nutrition!$A$2:$A$300,0))*$I559/100,0))</f>
        <v>0.153</v>
      </c>
    </row>
    <row r="560" spans="1:19" ht="15" customHeight="1" x14ac:dyDescent="0.25">
      <c r="A560" s="22" t="s">
        <v>1643</v>
      </c>
      <c r="B560" s="33" t="str">
        <f>IFERROR(INDEX(Recipes!$B$2:$B$500,MATCH(A560,Recipes!$A$2:$A$500,0)),"")</f>
        <v>Fresh Tomato &amp; Basil Garden Pasta</v>
      </c>
      <c r="C560" s="7" t="s">
        <v>595</v>
      </c>
      <c r="D560" s="34">
        <v>1</v>
      </c>
      <c r="E560" s="22" t="s">
        <v>2748</v>
      </c>
      <c r="F560" s="22" t="s">
        <v>594</v>
      </c>
      <c r="G560" s="22" t="s">
        <v>2755</v>
      </c>
      <c r="H560" s="7" t="s">
        <v>2760</v>
      </c>
      <c r="I560" s="35">
        <v>86</v>
      </c>
      <c r="J560" s="30">
        <f>IF(OR($F560="",$I560=""),0,IFERROR(INDEX(Nutrition!$D$2:$D$300,MATCH($F560,Nutrition!$A$2:$A$300,0))*$I560/100,0))</f>
        <v>1.9779999999999998</v>
      </c>
      <c r="K560" s="30">
        <f>IF(OR($F560="",$I560=""),0,IFERROR(INDEX(Nutrition!$E$2:$E$300,MATCH($F560,Nutrition!$A$2:$A$300,0))*$I560/100,0))</f>
        <v>0</v>
      </c>
      <c r="L560" s="30">
        <f>IF(OR($F560="",$I560=""),0,IFERROR(INDEX(Nutrition!$F$2:$F$300,MATCH($F560,Nutrition!$A$2:$A$300,0))*$I560/100,0))</f>
        <v>0</v>
      </c>
      <c r="M560" s="30">
        <f>IF(OR($F560="",$I560=""),0,IFERROR(INDEX(Nutrition!$G$2:$G$300,MATCH($F560,Nutrition!$A$2:$A$300,0))*$I560/100,0))</f>
        <v>0</v>
      </c>
      <c r="N560" s="30">
        <f>IF(OR($F560="",$I560=""),0,IFERROR(INDEX(Nutrition!$H$2:$H$300,MATCH($F560,Nutrition!$A$2:$A$300,0))*$I560/100,0))</f>
        <v>32.68</v>
      </c>
      <c r="O560" s="30">
        <f>IF(OR($F560="",$I560=""),0,IFERROR(INDEX(Nutrition!$I$2:$I$300,MATCH($F560,Nutrition!$A$2:$A$300,0))*$I560/100,0))</f>
        <v>361.2</v>
      </c>
      <c r="P560" s="30">
        <f>IF(OR($F560="",$I560=""),0,IFERROR(INDEX(Nutrition!$J$2:$J$300,MATCH($F560,Nutrition!$A$2:$A$300,0))*$I560/100,0))</f>
        <v>0</v>
      </c>
      <c r="Q560" s="30">
        <f>IF(OR($F560="",$I560=""),0,IFERROR(INDEX(Nutrition!$K$2:$K$300,MATCH($F560,Nutrition!$A$2:$A$300,0))*$I560/100,0))</f>
        <v>9.4600000000000004E-2</v>
      </c>
      <c r="R560" s="30">
        <f>IF(OR($F560="",$I560=""),0,IFERROR(INDEX(Nutrition!$L$2:$L$300,MATCH($F560,Nutrition!$A$2:$A$300,0))*$I560/100,0))</f>
        <v>15.48</v>
      </c>
      <c r="S560" s="30">
        <f>IF(OR($F560="",$I560=""),0,IFERROR(INDEX(Nutrition!$M$2:$M$300,MATCH($F560,Nutrition!$A$2:$A$300,0))*$I560/100,0))</f>
        <v>1.1438000000000001</v>
      </c>
    </row>
    <row r="561" spans="1:19" ht="15" customHeight="1" x14ac:dyDescent="0.25">
      <c r="A561" s="22" t="s">
        <v>1643</v>
      </c>
      <c r="B561" s="33" t="str">
        <f>IFERROR(INDEX(Recipes!$B$2:$B$500,MATCH(A561,Recipes!$A$2:$A$500,0)),"")</f>
        <v>Fresh Tomato &amp; Basil Garden Pasta</v>
      </c>
      <c r="C561" s="7" t="s">
        <v>643</v>
      </c>
      <c r="D561" s="34">
        <v>1</v>
      </c>
      <c r="E561" s="22" t="s">
        <v>2748</v>
      </c>
      <c r="F561" s="22" t="s">
        <v>642</v>
      </c>
      <c r="G561" s="22" t="s">
        <v>2755</v>
      </c>
      <c r="H561" s="7" t="s">
        <v>2887</v>
      </c>
      <c r="I561" s="35">
        <v>30</v>
      </c>
      <c r="J561" s="30">
        <f>IF(OR($F561="",$I561=""),0,IFERROR(INDEX(Nutrition!$D$2:$D$300,MATCH($F561,Nutrition!$A$2:$A$300,0))*$I561/100,0))</f>
        <v>0.66</v>
      </c>
      <c r="K561" s="30">
        <f>IF(OR($F561="",$I561=""),0,IFERROR(INDEX(Nutrition!$E$2:$E$300,MATCH($F561,Nutrition!$A$2:$A$300,0))*$I561/100,0))</f>
        <v>8.43</v>
      </c>
      <c r="L561" s="30">
        <f>IF(OR($F561="",$I561=""),0,IFERROR(INDEX(Nutrition!$F$2:$F$300,MATCH($F561,Nutrition!$A$2:$A$300,0))*$I561/100,0))</f>
        <v>140.69999999999999</v>
      </c>
      <c r="M561" s="30">
        <f>IF(OR($F561="",$I561=""),0,IFERROR(INDEX(Nutrition!$G$2:$G$300,MATCH($F561,Nutrition!$A$2:$A$300,0))*$I561/100,0))</f>
        <v>144.87</v>
      </c>
      <c r="N561" s="30">
        <f>IF(OR($F561="",$I561=""),0,IFERROR(INDEX(Nutrition!$H$2:$H$300,MATCH($F561,Nutrition!$A$2:$A$300,0))*$I561/100,0))</f>
        <v>58.2</v>
      </c>
      <c r="O561" s="30">
        <f>IF(OR($F561="",$I561=""),0,IFERROR(INDEX(Nutrition!$I$2:$I$300,MATCH($F561,Nutrition!$A$2:$A$300,0))*$I561/100,0))</f>
        <v>167.4</v>
      </c>
      <c r="P561" s="30">
        <f>IF(OR($F561="",$I561=""),0,IFERROR(INDEX(Nutrition!$J$2:$J$300,MATCH($F561,Nutrition!$A$2:$A$300,0))*$I561/100,0))</f>
        <v>0.60899999999999987</v>
      </c>
      <c r="Q561" s="30">
        <f>IF(OR($F561="",$I561=""),0,IFERROR(INDEX(Nutrition!$K$2:$K$300,MATCH($F561,Nutrition!$A$2:$A$300,0))*$I561/100,0))</f>
        <v>5.8500000000000003E-2</v>
      </c>
      <c r="R561" s="30">
        <f>IF(OR($F561="",$I561=""),0,IFERROR(INDEX(Nutrition!$L$2:$L$300,MATCH($F561,Nutrition!$A$2:$A$300,0))*$I561/100,0))</f>
        <v>23.7</v>
      </c>
      <c r="S561" s="30">
        <f>IF(OR($F561="",$I561=""),0,IFERROR(INDEX(Nutrition!$M$2:$M$300,MATCH($F561,Nutrition!$A$2:$A$300,0))*$I561/100,0))</f>
        <v>0.81299999999999994</v>
      </c>
    </row>
    <row r="562" spans="1:19" ht="15" customHeight="1" x14ac:dyDescent="0.25">
      <c r="A562" s="22" t="s">
        <v>1643</v>
      </c>
      <c r="B562" s="33" t="str">
        <f>IFERROR(INDEX(Recipes!$B$2:$B$500,MATCH(A562,Recipes!$A$2:$A$500,0)),"")</f>
        <v>Fresh Tomato &amp; Basil Garden Pasta</v>
      </c>
      <c r="C562" s="7" t="s">
        <v>674</v>
      </c>
      <c r="D562" s="34">
        <v>1</v>
      </c>
      <c r="E562" s="22" t="s">
        <v>2809</v>
      </c>
      <c r="F562" s="22" t="s">
        <v>673</v>
      </c>
      <c r="G562" s="22" t="s">
        <v>2755</v>
      </c>
      <c r="H562" s="7" t="s">
        <v>2803</v>
      </c>
      <c r="I562" s="35">
        <v>30</v>
      </c>
      <c r="J562" s="30">
        <f>IF(OR($F562="",$I562=""),0,IFERROR(INDEX(Nutrition!$D$2:$D$300,MATCH($F562,Nutrition!$A$2:$A$300,0))*$I562/100,0))</f>
        <v>0.48</v>
      </c>
      <c r="K562" s="30">
        <f>IF(OR($F562="",$I562=""),0,IFERROR(INDEX(Nutrition!$E$2:$E$300,MATCH($F562,Nutrition!$A$2:$A$300,0))*$I562/100,0))</f>
        <v>5.4</v>
      </c>
      <c r="L562" s="30">
        <f>IF(OR($F562="",$I562=""),0,IFERROR(INDEX(Nutrition!$F$2:$F$300,MATCH($F562,Nutrition!$A$2:$A$300,0))*$I562/100,0))</f>
        <v>79.2</v>
      </c>
      <c r="M562" s="30">
        <f>IF(OR($F562="",$I562=""),0,IFERROR(INDEX(Nutrition!$G$2:$G$300,MATCH($F562,Nutrition!$A$2:$A$300,0))*$I562/100,0))</f>
        <v>124.44</v>
      </c>
      <c r="N562" s="30">
        <f>IF(OR($F562="",$I562=""),0,IFERROR(INDEX(Nutrition!$H$2:$H$300,MATCH($F562,Nutrition!$A$2:$A$300,0))*$I562/100,0))</f>
        <v>20.399999999999999</v>
      </c>
      <c r="O562" s="30">
        <f>IF(OR($F562="",$I562=""),0,IFERROR(INDEX(Nutrition!$I$2:$I$300,MATCH($F562,Nutrition!$A$2:$A$300,0))*$I562/100,0))</f>
        <v>88.5</v>
      </c>
      <c r="P562" s="30">
        <f>IF(OR($F562="",$I562=""),0,IFERROR(INDEX(Nutrition!$J$2:$J$300,MATCH($F562,Nutrition!$A$2:$A$300,0))*$I562/100,0))</f>
        <v>0.24</v>
      </c>
      <c r="Q562" s="30">
        <f>IF(OR($F562="",$I562=""),0,IFERROR(INDEX(Nutrition!$K$2:$K$300,MATCH($F562,Nutrition!$A$2:$A$300,0))*$I562/100,0))</f>
        <v>4.6500000000000007E-2</v>
      </c>
      <c r="R562" s="30">
        <f>IF(OR($F562="",$I562=""),0,IFERROR(INDEX(Nutrition!$L$2:$L$300,MATCH($F562,Nutrition!$A$2:$A$300,0))*$I562/100,0))</f>
        <v>19.2</v>
      </c>
      <c r="S562" s="30">
        <f>IF(OR($F562="",$I562=""),0,IFERROR(INDEX(Nutrition!$M$2:$M$300,MATCH($F562,Nutrition!$A$2:$A$300,0))*$I562/100,0))</f>
        <v>0.95099999999999996</v>
      </c>
    </row>
    <row r="563" spans="1:19" ht="15" customHeight="1" x14ac:dyDescent="0.25">
      <c r="A563" s="22" t="s">
        <v>1643</v>
      </c>
      <c r="B563" s="33" t="str">
        <f>IFERROR(INDEX(Recipes!$B$2:$B$500,MATCH(A563,Recipes!$A$2:$A$500,0)),"")</f>
        <v>Fresh Tomato &amp; Basil Garden Pasta</v>
      </c>
      <c r="C563" s="7" t="s">
        <v>2817</v>
      </c>
      <c r="D563" s="34">
        <v>2</v>
      </c>
      <c r="E563" s="22" t="s">
        <v>2753</v>
      </c>
      <c r="F563" s="22"/>
      <c r="G563" s="22" t="s">
        <v>2749</v>
      </c>
      <c r="H563" s="7"/>
      <c r="I563" s="35"/>
      <c r="J563" s="30">
        <f>IF(OR($F563="",$I563=""),0,IFERROR(INDEX(Nutrition!$D$2:$D$300,MATCH($F563,Nutrition!$A$2:$A$300,0))*$I563/100,0))</f>
        <v>0</v>
      </c>
      <c r="K563" s="30">
        <f>IF(OR($F563="",$I563=""),0,IFERROR(INDEX(Nutrition!$E$2:$E$300,MATCH($F563,Nutrition!$A$2:$A$300,0))*$I563/100,0))</f>
        <v>0</v>
      </c>
      <c r="L563" s="30">
        <f>IF(OR($F563="",$I563=""),0,IFERROR(INDEX(Nutrition!$F$2:$F$300,MATCH($F563,Nutrition!$A$2:$A$300,0))*$I563/100,0))</f>
        <v>0</v>
      </c>
      <c r="M563" s="30">
        <f>IF(OR($F563="",$I563=""),0,IFERROR(INDEX(Nutrition!$G$2:$G$300,MATCH($F563,Nutrition!$A$2:$A$300,0))*$I563/100,0))</f>
        <v>0</v>
      </c>
      <c r="N563" s="30">
        <f>IF(OR($F563="",$I563=""),0,IFERROR(INDEX(Nutrition!$H$2:$H$300,MATCH($F563,Nutrition!$A$2:$A$300,0))*$I563/100,0))</f>
        <v>0</v>
      </c>
      <c r="O563" s="30">
        <f>IF(OR($F563="",$I563=""),0,IFERROR(INDEX(Nutrition!$I$2:$I$300,MATCH($F563,Nutrition!$A$2:$A$300,0))*$I563/100,0))</f>
        <v>0</v>
      </c>
      <c r="P563" s="30">
        <f>IF(OR($F563="",$I563=""),0,IFERROR(INDEX(Nutrition!$J$2:$J$300,MATCH($F563,Nutrition!$A$2:$A$300,0))*$I563/100,0))</f>
        <v>0</v>
      </c>
      <c r="Q563" s="30">
        <f>IF(OR($F563="",$I563=""),0,IFERROR(INDEX(Nutrition!$K$2:$K$300,MATCH($F563,Nutrition!$A$2:$A$300,0))*$I563/100,0))</f>
        <v>0</v>
      </c>
      <c r="R563" s="30">
        <f>IF(OR($F563="",$I563=""),0,IFERROR(INDEX(Nutrition!$L$2:$L$300,MATCH($F563,Nutrition!$A$2:$A$300,0))*$I563/100,0))</f>
        <v>0</v>
      </c>
      <c r="S563" s="30">
        <f>IF(OR($F563="",$I563=""),0,IFERROR(INDEX(Nutrition!$M$2:$M$300,MATCH($F563,Nutrition!$A$2:$A$300,0))*$I563/100,0))</f>
        <v>0</v>
      </c>
    </row>
    <row r="564" spans="1:19" ht="15" customHeight="1" x14ac:dyDescent="0.25">
      <c r="A564" s="22" t="s">
        <v>1643</v>
      </c>
      <c r="B564" s="33" t="str">
        <f>IFERROR(INDEX(Recipes!$B$2:$B$500,MATCH(A564,Recipes!$A$2:$A$500,0)),"")</f>
        <v>Fresh Tomato &amp; Basil Garden Pasta</v>
      </c>
      <c r="C564" s="7" t="s">
        <v>2805</v>
      </c>
      <c r="D564" s="34">
        <v>2</v>
      </c>
      <c r="E564" s="22" t="s">
        <v>2753</v>
      </c>
      <c r="F564" s="22"/>
      <c r="G564" s="22" t="s">
        <v>2773</v>
      </c>
      <c r="H564" s="7"/>
      <c r="I564" s="35"/>
      <c r="J564" s="30">
        <f>IF(OR($F564="",$I564=""),0,IFERROR(INDEX(Nutrition!$D$2:$D$300,MATCH($F564,Nutrition!$A$2:$A$300,0))*$I564/100,0))</f>
        <v>0</v>
      </c>
      <c r="K564" s="30">
        <f>IF(OR($F564="",$I564=""),0,IFERROR(INDEX(Nutrition!$E$2:$E$300,MATCH($F564,Nutrition!$A$2:$A$300,0))*$I564/100,0))</f>
        <v>0</v>
      </c>
      <c r="L564" s="30">
        <f>IF(OR($F564="",$I564=""),0,IFERROR(INDEX(Nutrition!$F$2:$F$300,MATCH($F564,Nutrition!$A$2:$A$300,0))*$I564/100,0))</f>
        <v>0</v>
      </c>
      <c r="M564" s="30">
        <f>IF(OR($F564="",$I564=""),0,IFERROR(INDEX(Nutrition!$G$2:$G$300,MATCH($F564,Nutrition!$A$2:$A$300,0))*$I564/100,0))</f>
        <v>0</v>
      </c>
      <c r="N564" s="30">
        <f>IF(OR($F564="",$I564=""),0,IFERROR(INDEX(Nutrition!$H$2:$H$300,MATCH($F564,Nutrition!$A$2:$A$300,0))*$I564/100,0))</f>
        <v>0</v>
      </c>
      <c r="O564" s="30">
        <f>IF(OR($F564="",$I564=""),0,IFERROR(INDEX(Nutrition!$I$2:$I$300,MATCH($F564,Nutrition!$A$2:$A$300,0))*$I564/100,0))</f>
        <v>0</v>
      </c>
      <c r="P564" s="30">
        <f>IF(OR($F564="",$I564=""),0,IFERROR(INDEX(Nutrition!$J$2:$J$300,MATCH($F564,Nutrition!$A$2:$A$300,0))*$I564/100,0))</f>
        <v>0</v>
      </c>
      <c r="Q564" s="30">
        <f>IF(OR($F564="",$I564=""),0,IFERROR(INDEX(Nutrition!$K$2:$K$300,MATCH($F564,Nutrition!$A$2:$A$300,0))*$I564/100,0))</f>
        <v>0</v>
      </c>
      <c r="R564" s="30">
        <f>IF(OR($F564="",$I564=""),0,IFERROR(INDEX(Nutrition!$L$2:$L$300,MATCH($F564,Nutrition!$A$2:$A$300,0))*$I564/100,0))</f>
        <v>0</v>
      </c>
      <c r="S564" s="30">
        <f>IF(OR($F564="",$I564=""),0,IFERROR(INDEX(Nutrition!$M$2:$M$300,MATCH($F564,Nutrition!$A$2:$A$300,0))*$I564/100,0))</f>
        <v>0</v>
      </c>
    </row>
    <row r="565" spans="1:19" ht="15" customHeight="1" x14ac:dyDescent="0.25">
      <c r="A565" s="22" t="s">
        <v>1654</v>
      </c>
      <c r="B565" s="33" t="str">
        <f>IFERROR(INDEX(Recipes!$B$2:$B$500,MATCH(A565,Recipes!$A$2:$A$500,0)),"")</f>
        <v>Light Vegetable Egg Fried Rice</v>
      </c>
      <c r="C565" s="7" t="s">
        <v>2801</v>
      </c>
      <c r="D565" s="34">
        <v>2</v>
      </c>
      <c r="E565" s="22" t="s">
        <v>2790</v>
      </c>
      <c r="F565" s="22"/>
      <c r="G565" s="22" t="s">
        <v>2749</v>
      </c>
      <c r="H565" s="7" t="s">
        <v>2888</v>
      </c>
      <c r="I565" s="35"/>
      <c r="J565" s="30">
        <f>IF(OR($F565="",$I565=""),0,IFERROR(INDEX(Nutrition!$D$2:$D$300,MATCH($F565,Nutrition!$A$2:$A$300,0))*$I565/100,0))</f>
        <v>0</v>
      </c>
      <c r="K565" s="30">
        <f>IF(OR($F565="",$I565=""),0,IFERROR(INDEX(Nutrition!$E$2:$E$300,MATCH($F565,Nutrition!$A$2:$A$300,0))*$I565/100,0))</f>
        <v>0</v>
      </c>
      <c r="L565" s="30">
        <f>IF(OR($F565="",$I565=""),0,IFERROR(INDEX(Nutrition!$F$2:$F$300,MATCH($F565,Nutrition!$A$2:$A$300,0))*$I565/100,0))</f>
        <v>0</v>
      </c>
      <c r="M565" s="30">
        <f>IF(OR($F565="",$I565=""),0,IFERROR(INDEX(Nutrition!$G$2:$G$300,MATCH($F565,Nutrition!$A$2:$A$300,0))*$I565/100,0))</f>
        <v>0</v>
      </c>
      <c r="N565" s="30">
        <f>IF(OR($F565="",$I565=""),0,IFERROR(INDEX(Nutrition!$H$2:$H$300,MATCH($F565,Nutrition!$A$2:$A$300,0))*$I565/100,0))</f>
        <v>0</v>
      </c>
      <c r="O565" s="30">
        <f>IF(OR($F565="",$I565=""),0,IFERROR(INDEX(Nutrition!$I$2:$I$300,MATCH($F565,Nutrition!$A$2:$A$300,0))*$I565/100,0))</f>
        <v>0</v>
      </c>
      <c r="P565" s="30">
        <f>IF(OR($F565="",$I565=""),0,IFERROR(INDEX(Nutrition!$J$2:$J$300,MATCH($F565,Nutrition!$A$2:$A$300,0))*$I565/100,0))</f>
        <v>0</v>
      </c>
      <c r="Q565" s="30">
        <f>IF(OR($F565="",$I565=""),0,IFERROR(INDEX(Nutrition!$K$2:$K$300,MATCH($F565,Nutrition!$A$2:$A$300,0))*$I565/100,0))</f>
        <v>0</v>
      </c>
      <c r="R565" s="30">
        <f>IF(OR($F565="",$I565=""),0,IFERROR(INDEX(Nutrition!$L$2:$L$300,MATCH($F565,Nutrition!$A$2:$A$300,0))*$I565/100,0))</f>
        <v>0</v>
      </c>
      <c r="S565" s="30">
        <f>IF(OR($F565="",$I565=""),0,IFERROR(INDEX(Nutrition!$M$2:$M$300,MATCH($F565,Nutrition!$A$2:$A$300,0))*$I565/100,0))</f>
        <v>0</v>
      </c>
    </row>
    <row r="566" spans="1:19" ht="15" customHeight="1" x14ac:dyDescent="0.25">
      <c r="A566" s="22" t="s">
        <v>1654</v>
      </c>
      <c r="B566" s="33" t="str">
        <f>IFERROR(INDEX(Recipes!$B$2:$B$500,MATCH(A566,Recipes!$A$2:$A$500,0)),"")</f>
        <v>Light Vegetable Egg Fried Rice</v>
      </c>
      <c r="C566" s="7" t="s">
        <v>2767</v>
      </c>
      <c r="D566" s="34">
        <v>3</v>
      </c>
      <c r="E566" s="22" t="s">
        <v>2754</v>
      </c>
      <c r="F566" s="22"/>
      <c r="G566" s="22" t="s">
        <v>2768</v>
      </c>
      <c r="H566" s="7"/>
      <c r="I566" s="35"/>
      <c r="J566" s="30">
        <f>IF(OR($F566="",$I566=""),0,IFERROR(INDEX(Nutrition!$D$2:$D$300,MATCH($F566,Nutrition!$A$2:$A$300,0))*$I566/100,0))</f>
        <v>0</v>
      </c>
      <c r="K566" s="30">
        <f>IF(OR($F566="",$I566=""),0,IFERROR(INDEX(Nutrition!$E$2:$E$300,MATCH($F566,Nutrition!$A$2:$A$300,0))*$I566/100,0))</f>
        <v>0</v>
      </c>
      <c r="L566" s="30">
        <f>IF(OR($F566="",$I566=""),0,IFERROR(INDEX(Nutrition!$F$2:$F$300,MATCH($F566,Nutrition!$A$2:$A$300,0))*$I566/100,0))</f>
        <v>0</v>
      </c>
      <c r="M566" s="30">
        <f>IF(OR($F566="",$I566=""),0,IFERROR(INDEX(Nutrition!$G$2:$G$300,MATCH($F566,Nutrition!$A$2:$A$300,0))*$I566/100,0))</f>
        <v>0</v>
      </c>
      <c r="N566" s="30">
        <f>IF(OR($F566="",$I566=""),0,IFERROR(INDEX(Nutrition!$H$2:$H$300,MATCH($F566,Nutrition!$A$2:$A$300,0))*$I566/100,0))</f>
        <v>0</v>
      </c>
      <c r="O566" s="30">
        <f>IF(OR($F566="",$I566=""),0,IFERROR(INDEX(Nutrition!$I$2:$I$300,MATCH($F566,Nutrition!$A$2:$A$300,0))*$I566/100,0))</f>
        <v>0</v>
      </c>
      <c r="P566" s="30">
        <f>IF(OR($F566="",$I566=""),0,IFERROR(INDEX(Nutrition!$J$2:$J$300,MATCH($F566,Nutrition!$A$2:$A$300,0))*$I566/100,0))</f>
        <v>0</v>
      </c>
      <c r="Q566" s="30">
        <f>IF(OR($F566="",$I566=""),0,IFERROR(INDEX(Nutrition!$K$2:$K$300,MATCH($F566,Nutrition!$A$2:$A$300,0))*$I566/100,0))</f>
        <v>0</v>
      </c>
      <c r="R566" s="30">
        <f>IF(OR($F566="",$I566=""),0,IFERROR(INDEX(Nutrition!$L$2:$L$300,MATCH($F566,Nutrition!$A$2:$A$300,0))*$I566/100,0))</f>
        <v>0</v>
      </c>
      <c r="S566" s="30">
        <f>IF(OR($F566="",$I566=""),0,IFERROR(INDEX(Nutrition!$M$2:$M$300,MATCH($F566,Nutrition!$A$2:$A$300,0))*$I566/100,0))</f>
        <v>0</v>
      </c>
    </row>
    <row r="567" spans="1:19" ht="15" customHeight="1" x14ac:dyDescent="0.25">
      <c r="A567" s="22" t="s">
        <v>1654</v>
      </c>
      <c r="B567" s="33" t="str">
        <f>IFERROR(INDEX(Recipes!$B$2:$B$500,MATCH(A567,Recipes!$A$2:$A$500,0)),"")</f>
        <v>Light Vegetable Egg Fried Rice</v>
      </c>
      <c r="C567" s="7" t="s">
        <v>529</v>
      </c>
      <c r="D567" s="34">
        <v>2</v>
      </c>
      <c r="E567" s="22" t="s">
        <v>2754</v>
      </c>
      <c r="F567" s="22" t="s">
        <v>528</v>
      </c>
      <c r="G567" s="22" t="s">
        <v>2755</v>
      </c>
      <c r="H567" s="7"/>
      <c r="I567" s="35">
        <v>122</v>
      </c>
      <c r="J567" s="30">
        <f>IF(OR($F567="",$I567=""),0,IFERROR(INDEX(Nutrition!$D$2:$D$300,MATCH($F567,Nutrition!$A$2:$A$300,0))*$I567/100,0))</f>
        <v>3.4159999999999995</v>
      </c>
      <c r="K567" s="30">
        <f>IF(OR($F567="",$I567=""),0,IFERROR(INDEX(Nutrition!$E$2:$E$300,MATCH($F567,Nutrition!$A$2:$A$300,0))*$I567/100,0))</f>
        <v>7.1980000000000004</v>
      </c>
      <c r="L567" s="30">
        <f>IF(OR($F567="",$I567=""),0,IFERROR(INDEX(Nutrition!$F$2:$F$300,MATCH($F567,Nutrition!$A$2:$A$300,0))*$I567/100,0))</f>
        <v>1018.7</v>
      </c>
      <c r="M567" s="30">
        <f>IF(OR($F567="",$I567=""),0,IFERROR(INDEX(Nutrition!$G$2:$G$300,MATCH($F567,Nutrition!$A$2:$A$300,0))*$I567/100,0))</f>
        <v>16.103999999999999</v>
      </c>
      <c r="N567" s="30">
        <f>IF(OR($F567="",$I567=""),0,IFERROR(INDEX(Nutrition!$H$2:$H$300,MATCH($F567,Nutrition!$A$2:$A$300,0))*$I567/100,0))</f>
        <v>23.18</v>
      </c>
      <c r="O567" s="30">
        <f>IF(OR($F567="",$I567=""),0,IFERROR(INDEX(Nutrition!$I$2:$I$300,MATCH($F567,Nutrition!$A$2:$A$300,0))*$I567/100,0))</f>
        <v>390.4</v>
      </c>
      <c r="P567" s="30">
        <f>IF(OR($F567="",$I567=""),0,IFERROR(INDEX(Nutrition!$J$2:$J$300,MATCH($F567,Nutrition!$A$2:$A$300,0))*$I567/100,0))</f>
        <v>0.80520000000000014</v>
      </c>
      <c r="Q567" s="30">
        <f>IF(OR($F567="",$I567=""),0,IFERROR(INDEX(Nutrition!$K$2:$K$300,MATCH($F567,Nutrition!$A$2:$A$300,0))*$I567/100,0))</f>
        <v>0.16836000000000001</v>
      </c>
      <c r="R567" s="30">
        <f>IF(OR($F567="",$I567=""),0,IFERROR(INDEX(Nutrition!$L$2:$L$300,MATCH($F567,Nutrition!$A$2:$A$300,0))*$I567/100,0))</f>
        <v>14.64</v>
      </c>
      <c r="S567" s="30">
        <f>IF(OR($F567="",$I567=""),0,IFERROR(INDEX(Nutrition!$M$2:$M$300,MATCH($F567,Nutrition!$A$2:$A$300,0))*$I567/100,0))</f>
        <v>0.36599999999999999</v>
      </c>
    </row>
    <row r="568" spans="1:19" ht="15" customHeight="1" x14ac:dyDescent="0.25">
      <c r="A568" s="22" t="s">
        <v>1654</v>
      </c>
      <c r="B568" s="33" t="str">
        <f>IFERROR(INDEX(Recipes!$B$2:$B$500,MATCH(A568,Recipes!$A$2:$A$500,0)),"")</f>
        <v>Light Vegetable Egg Fried Rice</v>
      </c>
      <c r="C568" s="7" t="s">
        <v>554</v>
      </c>
      <c r="D568" s="34">
        <v>100</v>
      </c>
      <c r="E568" s="22" t="s">
        <v>2813</v>
      </c>
      <c r="F568" s="22" t="s">
        <v>553</v>
      </c>
      <c r="G568" s="22" t="s">
        <v>2755</v>
      </c>
      <c r="H568" s="7"/>
      <c r="I568" s="35">
        <v>100</v>
      </c>
      <c r="J568" s="30">
        <f>IF(OR($F568="",$I568=""),0,IFERROR(INDEX(Nutrition!$D$2:$D$300,MATCH($F568,Nutrition!$A$2:$A$300,0))*$I568/100,0))</f>
        <v>2.7</v>
      </c>
      <c r="K568" s="30">
        <f>IF(OR($F568="",$I568=""),0,IFERROR(INDEX(Nutrition!$E$2:$E$300,MATCH($F568,Nutrition!$A$2:$A$300,0))*$I568/100,0))</f>
        <v>12.2</v>
      </c>
      <c r="L568" s="30">
        <f>IF(OR($F568="",$I568=""),0,IFERROR(INDEX(Nutrition!$F$2:$F$300,MATCH($F568,Nutrition!$A$2:$A$300,0))*$I568/100,0))</f>
        <v>35</v>
      </c>
      <c r="M568" s="30">
        <f>IF(OR($F568="",$I568=""),0,IFERROR(INDEX(Nutrition!$G$2:$G$300,MATCH($F568,Nutrition!$A$2:$A$300,0))*$I568/100,0))</f>
        <v>43</v>
      </c>
      <c r="N568" s="30">
        <f>IF(OR($F568="",$I568=""),0,IFERROR(INDEX(Nutrition!$H$2:$H$300,MATCH($F568,Nutrition!$A$2:$A$300,0))*$I568/100,0))</f>
        <v>33</v>
      </c>
      <c r="O568" s="30">
        <f>IF(OR($F568="",$I568=""),0,IFERROR(INDEX(Nutrition!$I$2:$I$300,MATCH($F568,Nutrition!$A$2:$A$300,0))*$I568/100,0))</f>
        <v>211</v>
      </c>
      <c r="P568" s="30">
        <f>IF(OR($F568="",$I568=""),0,IFERROR(INDEX(Nutrition!$J$2:$J$300,MATCH($F568,Nutrition!$A$2:$A$300,0))*$I568/100,0))</f>
        <v>0.41</v>
      </c>
      <c r="Q568" s="30">
        <f>IF(OR($F568="",$I568=""),0,IFERROR(INDEX(Nutrition!$K$2:$K$300,MATCH($F568,Nutrition!$A$2:$A$300,0))*$I568/100,0))</f>
        <v>0.14099999999999999</v>
      </c>
      <c r="R568" s="30">
        <f>IF(OR($F568="",$I568=""),0,IFERROR(INDEX(Nutrition!$L$2:$L$300,MATCH($F568,Nutrition!$A$2:$A$300,0))*$I568/100,0))</f>
        <v>25</v>
      </c>
      <c r="S568" s="30">
        <f>IF(OR($F568="",$I568=""),0,IFERROR(INDEX(Nutrition!$M$2:$M$300,MATCH($F568,Nutrition!$A$2:$A$300,0))*$I568/100,0))</f>
        <v>1.03</v>
      </c>
    </row>
    <row r="569" spans="1:19" ht="15" customHeight="1" x14ac:dyDescent="0.25">
      <c r="A569" s="22" t="s">
        <v>1654</v>
      </c>
      <c r="B569" s="33" t="str">
        <f>IFERROR(INDEX(Recipes!$B$2:$B$500,MATCH(A569,Recipes!$A$2:$A$500,0)),"")</f>
        <v>Light Vegetable Egg Fried Rice</v>
      </c>
      <c r="C569" s="7" t="s">
        <v>556</v>
      </c>
      <c r="D569" s="34">
        <v>1</v>
      </c>
      <c r="E569" s="22" t="s">
        <v>2834</v>
      </c>
      <c r="F569" s="22" t="s">
        <v>555</v>
      </c>
      <c r="G569" s="22" t="s">
        <v>2755</v>
      </c>
      <c r="H569" s="7"/>
      <c r="I569" s="35">
        <v>90</v>
      </c>
      <c r="J569" s="30">
        <f>IF(OR($F569="",$I569=""),0,IFERROR(INDEX(Nutrition!$D$2:$D$300,MATCH($F569,Nutrition!$A$2:$A$300,0))*$I569/100,0))</f>
        <v>2.4300000000000002</v>
      </c>
      <c r="K569" s="30">
        <f>IF(OR($F569="",$I569=""),0,IFERROR(INDEX(Nutrition!$E$2:$E$300,MATCH($F569,Nutrition!$A$2:$A$300,0))*$I569/100,0))</f>
        <v>6.12</v>
      </c>
      <c r="L569" s="30">
        <f>IF(OR($F569="",$I569=""),0,IFERROR(INDEX(Nutrition!$F$2:$F$300,MATCH($F569,Nutrition!$A$2:$A$300,0))*$I569/100,0))</f>
        <v>8.1</v>
      </c>
      <c r="M569" s="30">
        <f>IF(OR($F569="",$I569=""),0,IFERROR(INDEX(Nutrition!$G$2:$G$300,MATCH($F569,Nutrition!$A$2:$A$300,0))*$I569/100,0))</f>
        <v>0.27</v>
      </c>
      <c r="N569" s="30">
        <f>IF(OR($F569="",$I569=""),0,IFERROR(INDEX(Nutrition!$H$2:$H$300,MATCH($F569,Nutrition!$A$2:$A$300,0))*$I569/100,0))</f>
        <v>37.799999999999997</v>
      </c>
      <c r="O569" s="30">
        <f>IF(OR($F569="",$I569=""),0,IFERROR(INDEX(Nutrition!$I$2:$I$300,MATCH($F569,Nutrition!$A$2:$A$300,0))*$I569/100,0))</f>
        <v>243</v>
      </c>
      <c r="P569" s="30">
        <f>IF(OR($F569="",$I569=""),0,IFERROR(INDEX(Nutrition!$J$2:$J$300,MATCH($F569,Nutrition!$A$2:$A$300,0))*$I569/100,0))</f>
        <v>6.3E-2</v>
      </c>
      <c r="Q569" s="30">
        <f>IF(OR($F569="",$I569=""),0,IFERROR(INDEX(Nutrition!$K$2:$K$300,MATCH($F569,Nutrition!$A$2:$A$300,0))*$I569/100,0))</f>
        <v>8.3699999999999997E-2</v>
      </c>
      <c r="R569" s="30">
        <f>IF(OR($F569="",$I569=""),0,IFERROR(INDEX(Nutrition!$L$2:$L$300,MATCH($F569,Nutrition!$A$2:$A$300,0))*$I569/100,0))</f>
        <v>33.299999999999997</v>
      </c>
      <c r="S569" s="30">
        <f>IF(OR($F569="",$I569=""),0,IFERROR(INDEX(Nutrition!$M$2:$M$300,MATCH($F569,Nutrition!$A$2:$A$300,0))*$I569/100,0))</f>
        <v>0.46800000000000003</v>
      </c>
    </row>
    <row r="570" spans="1:19" ht="15" customHeight="1" x14ac:dyDescent="0.25">
      <c r="A570" s="22" t="s">
        <v>1654</v>
      </c>
      <c r="B570" s="33" t="str">
        <f>IFERROR(INDEX(Recipes!$B$2:$B$500,MATCH(A570,Recipes!$A$2:$A$500,0)),"")</f>
        <v>Light Vegetable Egg Fried Rice</v>
      </c>
      <c r="C570" s="7" t="s">
        <v>490</v>
      </c>
      <c r="D570" s="34">
        <v>3</v>
      </c>
      <c r="E570" s="22" t="s">
        <v>2820</v>
      </c>
      <c r="F570" s="22" t="s">
        <v>489</v>
      </c>
      <c r="G570" s="22" t="s">
        <v>2755</v>
      </c>
      <c r="H570" s="7"/>
      <c r="I570" s="35">
        <v>45</v>
      </c>
      <c r="J570" s="30">
        <f>IF(OR($F570="",$I570=""),0,IFERROR(INDEX(Nutrition!$D$2:$D$300,MATCH($F570,Nutrition!$A$2:$A$300,0))*$I570/100,0))</f>
        <v>1.17</v>
      </c>
      <c r="K570" s="30">
        <f>IF(OR($F570="",$I570=""),0,IFERROR(INDEX(Nutrition!$E$2:$E$300,MATCH($F570,Nutrition!$A$2:$A$300,0))*$I570/100,0))</f>
        <v>8.4600000000000009</v>
      </c>
      <c r="L570" s="30">
        <f>IF(OR($F570="",$I570=""),0,IFERROR(INDEX(Nutrition!$F$2:$F$300,MATCH($F570,Nutrition!$A$2:$A$300,0))*$I570/100,0))</f>
        <v>22.5</v>
      </c>
      <c r="M570" s="30">
        <f>IF(OR($F570="",$I570=""),0,IFERROR(INDEX(Nutrition!$G$2:$G$300,MATCH($F570,Nutrition!$A$2:$A$300,0))*$I570/100,0))</f>
        <v>93.15</v>
      </c>
      <c r="N570" s="30">
        <f>IF(OR($F570="",$I570=""),0,IFERROR(INDEX(Nutrition!$H$2:$H$300,MATCH($F570,Nutrition!$A$2:$A$300,0))*$I570/100,0))</f>
        <v>28.8</v>
      </c>
      <c r="O570" s="30">
        <f>IF(OR($F570="",$I570=""),0,IFERROR(INDEX(Nutrition!$I$2:$I$300,MATCH($F570,Nutrition!$A$2:$A$300,0))*$I570/100,0))</f>
        <v>124.2</v>
      </c>
      <c r="P570" s="30">
        <f>IF(OR($F570="",$I570=""),0,IFERROR(INDEX(Nutrition!$J$2:$J$300,MATCH($F570,Nutrition!$A$2:$A$300,0))*$I570/100,0))</f>
        <v>0.24750000000000003</v>
      </c>
      <c r="Q570" s="30">
        <f>IF(OR($F570="",$I570=""),0,IFERROR(INDEX(Nutrition!$K$2:$K$300,MATCH($F570,Nutrition!$A$2:$A$300,0))*$I570/100,0))</f>
        <v>2.7450000000000002E-2</v>
      </c>
      <c r="R570" s="30">
        <f>IF(OR($F570="",$I570=""),0,IFERROR(INDEX(Nutrition!$L$2:$L$300,MATCH($F570,Nutrition!$A$2:$A$300,0))*$I570/100,0))</f>
        <v>9</v>
      </c>
      <c r="S570" s="30">
        <f>IF(OR($F570="",$I570=""),0,IFERROR(INDEX(Nutrition!$M$2:$M$300,MATCH($F570,Nutrition!$A$2:$A$300,0))*$I570/100,0))</f>
        <v>0.66599999999999993</v>
      </c>
    </row>
    <row r="571" spans="1:19" ht="15" customHeight="1" x14ac:dyDescent="0.25">
      <c r="A571" s="22" t="s">
        <v>1654</v>
      </c>
      <c r="B571" s="33" t="str">
        <f>IFERROR(INDEX(Recipes!$B$2:$B$500,MATCH(A571,Recipes!$A$2:$A$500,0)),"")</f>
        <v>Light Vegetable Egg Fried Rice</v>
      </c>
      <c r="C571" s="7" t="s">
        <v>500</v>
      </c>
      <c r="D571" s="34">
        <v>2</v>
      </c>
      <c r="E571" s="22" t="s">
        <v>2776</v>
      </c>
      <c r="F571" s="22" t="s">
        <v>499</v>
      </c>
      <c r="G571" s="22" t="s">
        <v>2755</v>
      </c>
      <c r="H571" s="7"/>
      <c r="I571" s="35">
        <v>6</v>
      </c>
      <c r="J571" s="30">
        <f>IF(OR($F571="",$I571=""),0,IFERROR(INDEX(Nutrition!$D$2:$D$300,MATCH($F571,Nutrition!$A$2:$A$300,0))*$I571/100,0))</f>
        <v>0.126</v>
      </c>
      <c r="K571" s="30">
        <f>IF(OR($F571="",$I571=""),0,IFERROR(INDEX(Nutrition!$E$2:$E$300,MATCH($F571,Nutrition!$A$2:$A$300,0))*$I571/100,0))</f>
        <v>1.8719999999999999</v>
      </c>
      <c r="L571" s="30">
        <f>IF(OR($F571="",$I571=""),0,IFERROR(INDEX(Nutrition!$F$2:$F$300,MATCH($F571,Nutrition!$A$2:$A$300,0))*$I571/100,0))</f>
        <v>0</v>
      </c>
      <c r="M571" s="30">
        <f>IF(OR($F571="",$I571=""),0,IFERROR(INDEX(Nutrition!$G$2:$G$300,MATCH($F571,Nutrition!$A$2:$A$300,0))*$I571/100,0))</f>
        <v>0.10199999999999999</v>
      </c>
      <c r="N571" s="30">
        <f>IF(OR($F571="",$I571=""),0,IFERROR(INDEX(Nutrition!$H$2:$H$300,MATCH($F571,Nutrition!$A$2:$A$300,0))*$I571/100,0))</f>
        <v>0.18</v>
      </c>
      <c r="O571" s="30">
        <f>IF(OR($F571="",$I571=""),0,IFERROR(INDEX(Nutrition!$I$2:$I$300,MATCH($F571,Nutrition!$A$2:$A$300,0))*$I571/100,0))</f>
        <v>24.06</v>
      </c>
      <c r="P571" s="30">
        <f>IF(OR($F571="",$I571=""),0,IFERROR(INDEX(Nutrition!$J$2:$J$300,MATCH($F571,Nutrition!$A$2:$A$300,0))*$I571/100,0))</f>
        <v>4.7999999999999996E-3</v>
      </c>
      <c r="Q571" s="30">
        <f>IF(OR($F571="",$I571=""),0,IFERROR(INDEX(Nutrition!$K$2:$K$300,MATCH($F571,Nutrition!$A$2:$A$300,0))*$I571/100,0))</f>
        <v>7.4099999999999999E-2</v>
      </c>
      <c r="R571" s="30">
        <f>IF(OR($F571="",$I571=""),0,IFERROR(INDEX(Nutrition!$L$2:$L$300,MATCH($F571,Nutrition!$A$2:$A$300,0))*$I571/100,0))</f>
        <v>1.5</v>
      </c>
      <c r="S571" s="30">
        <f>IF(OR($F571="",$I571=""),0,IFERROR(INDEX(Nutrition!$M$2:$M$300,MATCH($F571,Nutrition!$A$2:$A$300,0))*$I571/100,0))</f>
        <v>0.10199999999999999</v>
      </c>
    </row>
    <row r="572" spans="1:19" ht="15" customHeight="1" x14ac:dyDescent="0.25">
      <c r="A572" s="22" t="s">
        <v>1654</v>
      </c>
      <c r="B572" s="33" t="str">
        <f>IFERROR(INDEX(Recipes!$B$2:$B$500,MATCH(A572,Recipes!$A$2:$A$500,0)),"")</f>
        <v>Light Vegetable Egg Fried Rice</v>
      </c>
      <c r="C572" s="7" t="s">
        <v>508</v>
      </c>
      <c r="D572" s="34">
        <v>1</v>
      </c>
      <c r="E572" s="22" t="s">
        <v>2821</v>
      </c>
      <c r="F572" s="22" t="s">
        <v>507</v>
      </c>
      <c r="G572" s="22" t="s">
        <v>2755</v>
      </c>
      <c r="H572" s="7"/>
      <c r="I572" s="35">
        <v>15</v>
      </c>
      <c r="J572" s="30">
        <f>IF(OR($F572="",$I572=""),0,IFERROR(INDEX(Nutrition!$D$2:$D$300,MATCH($F572,Nutrition!$A$2:$A$300,0))*$I572/100,0))</f>
        <v>0.3</v>
      </c>
      <c r="K572" s="30">
        <f>IF(OR($F572="",$I572=""),0,IFERROR(INDEX(Nutrition!$E$2:$E$300,MATCH($F572,Nutrition!$A$2:$A$300,0))*$I572/100,0))</f>
        <v>0.75</v>
      </c>
      <c r="L572" s="30">
        <f>IF(OR($F572="",$I572=""),0,IFERROR(INDEX(Nutrition!$F$2:$F$300,MATCH($F572,Nutrition!$A$2:$A$300,0))*$I572/100,0))</f>
        <v>0</v>
      </c>
      <c r="M572" s="30">
        <f>IF(OR($F572="",$I572=""),0,IFERROR(INDEX(Nutrition!$G$2:$G$300,MATCH($F572,Nutrition!$A$2:$A$300,0))*$I572/100,0))</f>
        <v>1.4999999999999999E-2</v>
      </c>
      <c r="N572" s="30">
        <f>IF(OR($F572="",$I572=""),0,IFERROR(INDEX(Nutrition!$H$2:$H$300,MATCH($F572,Nutrition!$A$2:$A$300,0))*$I572/100,0))</f>
        <v>1.65</v>
      </c>
      <c r="O572" s="30">
        <f>IF(OR($F572="",$I572=""),0,IFERROR(INDEX(Nutrition!$I$2:$I$300,MATCH($F572,Nutrition!$A$2:$A$300,0))*$I572/100,0))</f>
        <v>62.25</v>
      </c>
      <c r="P572" s="30">
        <f>IF(OR($F572="",$I572=""),0,IFERROR(INDEX(Nutrition!$J$2:$J$300,MATCH($F572,Nutrition!$A$2:$A$300,0))*$I572/100,0))</f>
        <v>3.9000000000000007E-2</v>
      </c>
      <c r="Q572" s="30">
        <f>IF(OR($F572="",$I572=""),0,IFERROR(INDEX(Nutrition!$K$2:$K$300,MATCH($F572,Nutrition!$A$2:$A$300,0))*$I572/100,0))</f>
        <v>2.4E-2</v>
      </c>
      <c r="R572" s="30">
        <f>IF(OR($F572="",$I572=""),0,IFERROR(INDEX(Nutrition!$L$2:$L$300,MATCH($F572,Nutrition!$A$2:$A$300,0))*$I572/100,0))</f>
        <v>6.45</v>
      </c>
      <c r="S572" s="30">
        <f>IF(OR($F572="",$I572=""),0,IFERROR(INDEX(Nutrition!$M$2:$M$300,MATCH($F572,Nutrition!$A$2:$A$300,0))*$I572/100,0))</f>
        <v>0.09</v>
      </c>
    </row>
    <row r="573" spans="1:19" ht="15" customHeight="1" x14ac:dyDescent="0.25">
      <c r="A573" s="22" t="s">
        <v>1654</v>
      </c>
      <c r="B573" s="33" t="str">
        <f>IFERROR(INDEX(Recipes!$B$2:$B$500,MATCH(A573,Recipes!$A$2:$A$500,0)),"")</f>
        <v>Light Vegetable Egg Fried Rice</v>
      </c>
      <c r="C573" s="7" t="s">
        <v>2823</v>
      </c>
      <c r="D573" s="34">
        <v>2</v>
      </c>
      <c r="E573" s="22" t="s">
        <v>2753</v>
      </c>
      <c r="F573" s="22"/>
      <c r="G573" s="22" t="s">
        <v>2749</v>
      </c>
      <c r="H573" s="7"/>
      <c r="I573" s="35"/>
      <c r="J573" s="30">
        <f>IF(OR($F573="",$I573=""),0,IFERROR(INDEX(Nutrition!$D$2:$D$300,MATCH($F573,Nutrition!$A$2:$A$300,0))*$I573/100,0))</f>
        <v>0</v>
      </c>
      <c r="K573" s="30">
        <f>IF(OR($F573="",$I573=""),0,IFERROR(INDEX(Nutrition!$E$2:$E$300,MATCH($F573,Nutrition!$A$2:$A$300,0))*$I573/100,0))</f>
        <v>0</v>
      </c>
      <c r="L573" s="30">
        <f>IF(OR($F573="",$I573=""),0,IFERROR(INDEX(Nutrition!$F$2:$F$300,MATCH($F573,Nutrition!$A$2:$A$300,0))*$I573/100,0))</f>
        <v>0</v>
      </c>
      <c r="M573" s="30">
        <f>IF(OR($F573="",$I573=""),0,IFERROR(INDEX(Nutrition!$G$2:$G$300,MATCH($F573,Nutrition!$A$2:$A$300,0))*$I573/100,0))</f>
        <v>0</v>
      </c>
      <c r="N573" s="30">
        <f>IF(OR($F573="",$I573=""),0,IFERROR(INDEX(Nutrition!$H$2:$H$300,MATCH($F573,Nutrition!$A$2:$A$300,0))*$I573/100,0))</f>
        <v>0</v>
      </c>
      <c r="O573" s="30">
        <f>IF(OR($F573="",$I573=""),0,IFERROR(INDEX(Nutrition!$I$2:$I$300,MATCH($F573,Nutrition!$A$2:$A$300,0))*$I573/100,0))</f>
        <v>0</v>
      </c>
      <c r="P573" s="30">
        <f>IF(OR($F573="",$I573=""),0,IFERROR(INDEX(Nutrition!$J$2:$J$300,MATCH($F573,Nutrition!$A$2:$A$300,0))*$I573/100,0))</f>
        <v>0</v>
      </c>
      <c r="Q573" s="30">
        <f>IF(OR($F573="",$I573=""),0,IFERROR(INDEX(Nutrition!$K$2:$K$300,MATCH($F573,Nutrition!$A$2:$A$300,0))*$I573/100,0))</f>
        <v>0</v>
      </c>
      <c r="R573" s="30">
        <f>IF(OR($F573="",$I573=""),0,IFERROR(INDEX(Nutrition!$L$2:$L$300,MATCH($F573,Nutrition!$A$2:$A$300,0))*$I573/100,0))</f>
        <v>0</v>
      </c>
      <c r="S573" s="30">
        <f>IF(OR($F573="",$I573=""),0,IFERROR(INDEX(Nutrition!$M$2:$M$300,MATCH($F573,Nutrition!$A$2:$A$300,0))*$I573/100,0))</f>
        <v>0</v>
      </c>
    </row>
    <row r="574" spans="1:19" ht="15" customHeight="1" x14ac:dyDescent="0.25">
      <c r="A574" s="22" t="s">
        <v>1654</v>
      </c>
      <c r="B574" s="33" t="str">
        <f>IFERROR(INDEX(Recipes!$B$2:$B$500,MATCH(A574,Recipes!$A$2:$A$500,0)),"")</f>
        <v>Light Vegetable Egg Fried Rice</v>
      </c>
      <c r="C574" s="7" t="s">
        <v>2881</v>
      </c>
      <c r="D574" s="34">
        <v>1</v>
      </c>
      <c r="E574" s="22" t="s">
        <v>2759</v>
      </c>
      <c r="F574" s="22"/>
      <c r="G574" s="22" t="s">
        <v>2749</v>
      </c>
      <c r="H574" s="7"/>
      <c r="I574" s="35"/>
      <c r="J574" s="30">
        <f>IF(OR($F574="",$I574=""),0,IFERROR(INDEX(Nutrition!$D$2:$D$300,MATCH($F574,Nutrition!$A$2:$A$300,0))*$I574/100,0))</f>
        <v>0</v>
      </c>
      <c r="K574" s="30">
        <f>IF(OR($F574="",$I574=""),0,IFERROR(INDEX(Nutrition!$E$2:$E$300,MATCH($F574,Nutrition!$A$2:$A$300,0))*$I574/100,0))</f>
        <v>0</v>
      </c>
      <c r="L574" s="30">
        <f>IF(OR($F574="",$I574=""),0,IFERROR(INDEX(Nutrition!$F$2:$F$300,MATCH($F574,Nutrition!$A$2:$A$300,0))*$I574/100,0))</f>
        <v>0</v>
      </c>
      <c r="M574" s="30">
        <f>IF(OR($F574="",$I574=""),0,IFERROR(INDEX(Nutrition!$G$2:$G$300,MATCH($F574,Nutrition!$A$2:$A$300,0))*$I574/100,0))</f>
        <v>0</v>
      </c>
      <c r="N574" s="30">
        <f>IF(OR($F574="",$I574=""),0,IFERROR(INDEX(Nutrition!$H$2:$H$300,MATCH($F574,Nutrition!$A$2:$A$300,0))*$I574/100,0))</f>
        <v>0</v>
      </c>
      <c r="O574" s="30">
        <f>IF(OR($F574="",$I574=""),0,IFERROR(INDEX(Nutrition!$I$2:$I$300,MATCH($F574,Nutrition!$A$2:$A$300,0))*$I574/100,0))</f>
        <v>0</v>
      </c>
      <c r="P574" s="30">
        <f>IF(OR($F574="",$I574=""),0,IFERROR(INDEX(Nutrition!$J$2:$J$300,MATCH($F574,Nutrition!$A$2:$A$300,0))*$I574/100,0))</f>
        <v>0</v>
      </c>
      <c r="Q574" s="30">
        <f>IF(OR($F574="",$I574=""),0,IFERROR(INDEX(Nutrition!$K$2:$K$300,MATCH($F574,Nutrition!$A$2:$A$300,0))*$I574/100,0))</f>
        <v>0</v>
      </c>
      <c r="R574" s="30">
        <f>IF(OR($F574="",$I574=""),0,IFERROR(INDEX(Nutrition!$L$2:$L$300,MATCH($F574,Nutrition!$A$2:$A$300,0))*$I574/100,0))</f>
        <v>0</v>
      </c>
      <c r="S574" s="30">
        <f>IF(OR($F574="",$I574=""),0,IFERROR(INDEX(Nutrition!$M$2:$M$300,MATCH($F574,Nutrition!$A$2:$A$300,0))*$I574/100,0))</f>
        <v>0</v>
      </c>
    </row>
    <row r="575" spans="1:19" ht="15" customHeight="1" x14ac:dyDescent="0.25">
      <c r="A575" s="22" t="s">
        <v>1654</v>
      </c>
      <c r="B575" s="33" t="str">
        <f>IFERROR(INDEX(Recipes!$B$2:$B$500,MATCH(A575,Recipes!$A$2:$A$500,0)),"")</f>
        <v>Light Vegetable Egg Fried Rice</v>
      </c>
      <c r="C575" s="7" t="s">
        <v>2772</v>
      </c>
      <c r="D575" s="34">
        <v>1</v>
      </c>
      <c r="E575" s="22" t="s">
        <v>2753</v>
      </c>
      <c r="F575" s="22"/>
      <c r="G575" s="22" t="s">
        <v>2773</v>
      </c>
      <c r="H575" s="7"/>
      <c r="I575" s="35"/>
      <c r="J575" s="30">
        <f>IF(OR($F575="",$I575=""),0,IFERROR(INDEX(Nutrition!$D$2:$D$300,MATCH($F575,Nutrition!$A$2:$A$300,0))*$I575/100,0))</f>
        <v>0</v>
      </c>
      <c r="K575" s="30">
        <f>IF(OR($F575="",$I575=""),0,IFERROR(INDEX(Nutrition!$E$2:$E$300,MATCH($F575,Nutrition!$A$2:$A$300,0))*$I575/100,0))</f>
        <v>0</v>
      </c>
      <c r="L575" s="30">
        <f>IF(OR($F575="",$I575=""),0,IFERROR(INDEX(Nutrition!$F$2:$F$300,MATCH($F575,Nutrition!$A$2:$A$300,0))*$I575/100,0))</f>
        <v>0</v>
      </c>
      <c r="M575" s="30">
        <f>IF(OR($F575="",$I575=""),0,IFERROR(INDEX(Nutrition!$G$2:$G$300,MATCH($F575,Nutrition!$A$2:$A$300,0))*$I575/100,0))</f>
        <v>0</v>
      </c>
      <c r="N575" s="30">
        <f>IF(OR($F575="",$I575=""),0,IFERROR(INDEX(Nutrition!$H$2:$H$300,MATCH($F575,Nutrition!$A$2:$A$300,0))*$I575/100,0))</f>
        <v>0</v>
      </c>
      <c r="O575" s="30">
        <f>IF(OR($F575="",$I575=""),0,IFERROR(INDEX(Nutrition!$I$2:$I$300,MATCH($F575,Nutrition!$A$2:$A$300,0))*$I575/100,0))</f>
        <v>0</v>
      </c>
      <c r="P575" s="30">
        <f>IF(OR($F575="",$I575=""),0,IFERROR(INDEX(Nutrition!$J$2:$J$300,MATCH($F575,Nutrition!$A$2:$A$300,0))*$I575/100,0))</f>
        <v>0</v>
      </c>
      <c r="Q575" s="30">
        <f>IF(OR($F575="",$I575=""),0,IFERROR(INDEX(Nutrition!$K$2:$K$300,MATCH($F575,Nutrition!$A$2:$A$300,0))*$I575/100,0))</f>
        <v>0</v>
      </c>
      <c r="R575" s="30">
        <f>IF(OR($F575="",$I575=""),0,IFERROR(INDEX(Nutrition!$L$2:$L$300,MATCH($F575,Nutrition!$A$2:$A$300,0))*$I575/100,0))</f>
        <v>0</v>
      </c>
      <c r="S575" s="30">
        <f>IF(OR($F575="",$I575=""),0,IFERROR(INDEX(Nutrition!$M$2:$M$300,MATCH($F575,Nutrition!$A$2:$A$300,0))*$I575/100,0))</f>
        <v>0</v>
      </c>
    </row>
    <row r="576" spans="1:19" ht="15" customHeight="1" x14ac:dyDescent="0.25">
      <c r="A576" s="22" t="s">
        <v>1666</v>
      </c>
      <c r="B576" s="33" t="str">
        <f>IFERROR(INDEX(Recipes!$B$2:$B$500,MATCH(A576,Recipes!$A$2:$A$500,0)),"")</f>
        <v>Kerala-Style Okra &amp; Prawn Coconut Curry</v>
      </c>
      <c r="C576" s="7" t="s">
        <v>2846</v>
      </c>
      <c r="D576" s="34">
        <v>300</v>
      </c>
      <c r="E576" s="22" t="s">
        <v>2813</v>
      </c>
      <c r="F576" s="22"/>
      <c r="G576" s="22" t="s">
        <v>2768</v>
      </c>
      <c r="H576" s="7"/>
      <c r="I576" s="35"/>
      <c r="J576" s="30">
        <f>IF(OR($F576="",$I576=""),0,IFERROR(INDEX(Nutrition!$D$2:$D$300,MATCH($F576,Nutrition!$A$2:$A$300,0))*$I576/100,0))</f>
        <v>0</v>
      </c>
      <c r="K576" s="30">
        <f>IF(OR($F576="",$I576=""),0,IFERROR(INDEX(Nutrition!$E$2:$E$300,MATCH($F576,Nutrition!$A$2:$A$300,0))*$I576/100,0))</f>
        <v>0</v>
      </c>
      <c r="L576" s="30">
        <f>IF(OR($F576="",$I576=""),0,IFERROR(INDEX(Nutrition!$F$2:$F$300,MATCH($F576,Nutrition!$A$2:$A$300,0))*$I576/100,0))</f>
        <v>0</v>
      </c>
      <c r="M576" s="30">
        <f>IF(OR($F576="",$I576=""),0,IFERROR(INDEX(Nutrition!$G$2:$G$300,MATCH($F576,Nutrition!$A$2:$A$300,0))*$I576/100,0))</f>
        <v>0</v>
      </c>
      <c r="N576" s="30">
        <f>IF(OR($F576="",$I576=""),0,IFERROR(INDEX(Nutrition!$H$2:$H$300,MATCH($F576,Nutrition!$A$2:$A$300,0))*$I576/100,0))</f>
        <v>0</v>
      </c>
      <c r="O576" s="30">
        <f>IF(OR($F576="",$I576=""),0,IFERROR(INDEX(Nutrition!$I$2:$I$300,MATCH($F576,Nutrition!$A$2:$A$300,0))*$I576/100,0))</f>
        <v>0</v>
      </c>
      <c r="P576" s="30">
        <f>IF(OR($F576="",$I576=""),0,IFERROR(INDEX(Nutrition!$J$2:$J$300,MATCH($F576,Nutrition!$A$2:$A$300,0))*$I576/100,0))</f>
        <v>0</v>
      </c>
      <c r="Q576" s="30">
        <f>IF(OR($F576="",$I576=""),0,IFERROR(INDEX(Nutrition!$K$2:$K$300,MATCH($F576,Nutrition!$A$2:$A$300,0))*$I576/100,0))</f>
        <v>0</v>
      </c>
      <c r="R576" s="30">
        <f>IF(OR($F576="",$I576=""),0,IFERROR(INDEX(Nutrition!$L$2:$L$300,MATCH($F576,Nutrition!$A$2:$A$300,0))*$I576/100,0))</f>
        <v>0</v>
      </c>
      <c r="S576" s="30">
        <f>IF(OR($F576="",$I576=""),0,IFERROR(INDEX(Nutrition!$M$2:$M$300,MATCH($F576,Nutrition!$A$2:$A$300,0))*$I576/100,0))</f>
        <v>0</v>
      </c>
    </row>
    <row r="577" spans="1:19" ht="15" customHeight="1" x14ac:dyDescent="0.25">
      <c r="A577" s="22" t="s">
        <v>1666</v>
      </c>
      <c r="B577" s="33" t="str">
        <f>IFERROR(INDEX(Recipes!$B$2:$B$500,MATCH(A577,Recipes!$A$2:$A$500,0)),"")</f>
        <v>Kerala-Style Okra &amp; Prawn Coconut Curry</v>
      </c>
      <c r="C577" s="7" t="s">
        <v>572</v>
      </c>
      <c r="D577" s="34">
        <v>200</v>
      </c>
      <c r="E577" s="22" t="s">
        <v>2813</v>
      </c>
      <c r="F577" s="22" t="s">
        <v>571</v>
      </c>
      <c r="G577" s="22" t="s">
        <v>2755</v>
      </c>
      <c r="H577" s="7"/>
      <c r="I577" s="35">
        <v>200</v>
      </c>
      <c r="J577" s="30">
        <f>IF(OR($F577="",$I577=""),0,IFERROR(INDEX(Nutrition!$D$2:$D$300,MATCH($F577,Nutrition!$A$2:$A$300,0))*$I577/100,0))</f>
        <v>6.4</v>
      </c>
      <c r="K577" s="30">
        <f>IF(OR($F577="",$I577=""),0,IFERROR(INDEX(Nutrition!$E$2:$E$300,MATCH($F577,Nutrition!$A$2:$A$300,0))*$I577/100,0))</f>
        <v>46</v>
      </c>
      <c r="L577" s="30">
        <f>IF(OR($F577="",$I577=""),0,IFERROR(INDEX(Nutrition!$F$2:$F$300,MATCH($F577,Nutrition!$A$2:$A$300,0))*$I577/100,0))</f>
        <v>72</v>
      </c>
      <c r="M577" s="30">
        <f>IF(OR($F577="",$I577=""),0,IFERROR(INDEX(Nutrition!$G$2:$G$300,MATCH($F577,Nutrition!$A$2:$A$300,0))*$I577/100,0))</f>
        <v>62.6</v>
      </c>
      <c r="N577" s="30">
        <f>IF(OR($F577="",$I577=""),0,IFERROR(INDEX(Nutrition!$H$2:$H$300,MATCH($F577,Nutrition!$A$2:$A$300,0))*$I577/100,0))</f>
        <v>120</v>
      </c>
      <c r="O577" s="30">
        <f>IF(OR($F577="",$I577=""),0,IFERROR(INDEX(Nutrition!$I$2:$I$300,MATCH($F577,Nutrition!$A$2:$A$300,0))*$I577/100,0))</f>
        <v>598</v>
      </c>
      <c r="P577" s="30">
        <f>IF(OR($F577="",$I577=""),0,IFERROR(INDEX(Nutrition!$J$2:$J$300,MATCH($F577,Nutrition!$A$2:$A$300,0))*$I577/100,0))</f>
        <v>0.54</v>
      </c>
      <c r="Q577" s="30">
        <f>IF(OR($F577="",$I577=""),0,IFERROR(INDEX(Nutrition!$K$2:$K$300,MATCH($F577,Nutrition!$A$2:$A$300,0))*$I577/100,0))</f>
        <v>0.43</v>
      </c>
      <c r="R577" s="30">
        <f>IF(OR($F577="",$I577=""),0,IFERROR(INDEX(Nutrition!$L$2:$L$300,MATCH($F577,Nutrition!$A$2:$A$300,0))*$I577/100,0))</f>
        <v>114</v>
      </c>
      <c r="S577" s="30">
        <f>IF(OR($F577="",$I577=""),0,IFERROR(INDEX(Nutrition!$M$2:$M$300,MATCH($F577,Nutrition!$A$2:$A$300,0))*$I577/100,0))</f>
        <v>1.24</v>
      </c>
    </row>
    <row r="578" spans="1:19" ht="15" customHeight="1" x14ac:dyDescent="0.25">
      <c r="A578" s="22" t="s">
        <v>1666</v>
      </c>
      <c r="B578" s="33" t="str">
        <f>IFERROR(INDEX(Recipes!$B$2:$B$500,MATCH(A578,Recipes!$A$2:$A$500,0)),"")</f>
        <v>Kerala-Style Okra &amp; Prawn Coconut Curry</v>
      </c>
      <c r="C578" s="7" t="s">
        <v>482</v>
      </c>
      <c r="D578" s="34">
        <v>1</v>
      </c>
      <c r="E578" s="22" t="s">
        <v>2754</v>
      </c>
      <c r="F578" s="22" t="s">
        <v>481</v>
      </c>
      <c r="G578" s="22" t="s">
        <v>2755</v>
      </c>
      <c r="H578" s="7"/>
      <c r="I578" s="35">
        <v>110</v>
      </c>
      <c r="J578" s="30">
        <f>IF(OR($F578="",$I578=""),0,IFERROR(INDEX(Nutrition!$D$2:$D$300,MATCH($F578,Nutrition!$A$2:$A$300,0))*$I578/100,0))</f>
        <v>1.87</v>
      </c>
      <c r="K578" s="30">
        <f>IF(OR($F578="",$I578=""),0,IFERROR(INDEX(Nutrition!$E$2:$E$300,MATCH($F578,Nutrition!$A$2:$A$300,0))*$I578/100,0))</f>
        <v>8.14</v>
      </c>
      <c r="L578" s="30">
        <f>IF(OR($F578="",$I578=""),0,IFERROR(INDEX(Nutrition!$F$2:$F$300,MATCH($F578,Nutrition!$A$2:$A$300,0))*$I578/100,0))</f>
        <v>0</v>
      </c>
      <c r="M578" s="30">
        <f>IF(OR($F578="",$I578=""),0,IFERROR(INDEX(Nutrition!$G$2:$G$300,MATCH($F578,Nutrition!$A$2:$A$300,0))*$I578/100,0))</f>
        <v>0.44</v>
      </c>
      <c r="N578" s="30">
        <f>IF(OR($F578="",$I578=""),0,IFERROR(INDEX(Nutrition!$H$2:$H$300,MATCH($F578,Nutrition!$A$2:$A$300,0))*$I578/100,0))</f>
        <v>20.9</v>
      </c>
      <c r="O578" s="30">
        <f>IF(OR($F578="",$I578=""),0,IFERROR(INDEX(Nutrition!$I$2:$I$300,MATCH($F578,Nutrition!$A$2:$A$300,0))*$I578/100,0))</f>
        <v>160.6</v>
      </c>
      <c r="P578" s="30">
        <f>IF(OR($F578="",$I578=""),0,IFERROR(INDEX(Nutrition!$J$2:$J$300,MATCH($F578,Nutrition!$A$2:$A$300,0))*$I578/100,0))</f>
        <v>2.2000000000000002E-2</v>
      </c>
      <c r="Q578" s="30">
        <f>IF(OR($F578="",$I578=""),0,IFERROR(INDEX(Nutrition!$K$2:$K$300,MATCH($F578,Nutrition!$A$2:$A$300,0))*$I578/100,0))</f>
        <v>0.13200000000000001</v>
      </c>
      <c r="R578" s="30">
        <f>IF(OR($F578="",$I578=""),0,IFERROR(INDEX(Nutrition!$L$2:$L$300,MATCH($F578,Nutrition!$A$2:$A$300,0))*$I578/100,0))</f>
        <v>11</v>
      </c>
      <c r="S578" s="30">
        <f>IF(OR($F578="",$I578=""),0,IFERROR(INDEX(Nutrition!$M$2:$M$300,MATCH($F578,Nutrition!$A$2:$A$300,0))*$I578/100,0))</f>
        <v>0.23099999999999998</v>
      </c>
    </row>
    <row r="579" spans="1:19" ht="15" customHeight="1" x14ac:dyDescent="0.25">
      <c r="A579" s="22" t="s">
        <v>1666</v>
      </c>
      <c r="B579" s="33" t="str">
        <f>IFERROR(INDEX(Recipes!$B$2:$B$500,MATCH(A579,Recipes!$A$2:$A$500,0)),"")</f>
        <v>Kerala-Style Okra &amp; Prawn Coconut Curry</v>
      </c>
      <c r="C579" s="7" t="s">
        <v>446</v>
      </c>
      <c r="D579" s="34">
        <v>2</v>
      </c>
      <c r="E579" s="22" t="s">
        <v>2754</v>
      </c>
      <c r="F579" s="22" t="s">
        <v>445</v>
      </c>
      <c r="G579" s="22" t="s">
        <v>2755</v>
      </c>
      <c r="H579" s="7"/>
      <c r="I579" s="35">
        <v>124</v>
      </c>
      <c r="J579" s="30">
        <f>IF(OR($F579="",$I579=""),0,IFERROR(INDEX(Nutrition!$D$2:$D$300,MATCH($F579,Nutrition!$A$2:$A$300,0))*$I579/100,0))</f>
        <v>1.4879999999999998</v>
      </c>
      <c r="K579" s="30">
        <f>IF(OR($F579="",$I579=""),0,IFERROR(INDEX(Nutrition!$E$2:$E$300,MATCH($F579,Nutrition!$A$2:$A$300,0))*$I579/100,0))</f>
        <v>16.988</v>
      </c>
      <c r="L579" s="30">
        <f>IF(OR($F579="",$I579=""),0,IFERROR(INDEX(Nutrition!$F$2:$F$300,MATCH($F579,Nutrition!$A$2:$A$300,0))*$I579/100,0))</f>
        <v>52.08</v>
      </c>
      <c r="M579" s="30">
        <f>IF(OR($F579="",$I579=""),0,IFERROR(INDEX(Nutrition!$G$2:$G$300,MATCH($F579,Nutrition!$A$2:$A$300,0))*$I579/100,0))</f>
        <v>9.7959999999999994</v>
      </c>
      <c r="N579" s="30">
        <f>IF(OR($F579="",$I579=""),0,IFERROR(INDEX(Nutrition!$H$2:$H$300,MATCH($F579,Nutrition!$A$2:$A$300,0))*$I579/100,0))</f>
        <v>18.600000000000001</v>
      </c>
      <c r="O579" s="30">
        <f>IF(OR($F579="",$I579=""),0,IFERROR(INDEX(Nutrition!$I$2:$I$300,MATCH($F579,Nutrition!$A$2:$A$300,0))*$I579/100,0))</f>
        <v>293.88</v>
      </c>
      <c r="P579" s="30">
        <f>IF(OR($F579="",$I579=""),0,IFERROR(INDEX(Nutrition!$J$2:$J$300,MATCH($F579,Nutrition!$A$2:$A$300,0))*$I579/100,0))</f>
        <v>0.66960000000000008</v>
      </c>
      <c r="Q579" s="30">
        <f>IF(OR($F579="",$I579=""),0,IFERROR(INDEX(Nutrition!$K$2:$K$300,MATCH($F579,Nutrition!$A$2:$A$300,0))*$I579/100,0))</f>
        <v>9.9199999999999997E-2</v>
      </c>
      <c r="R579" s="30">
        <f>IF(OR($F579="",$I579=""),0,IFERROR(INDEX(Nutrition!$L$2:$L$300,MATCH($F579,Nutrition!$A$2:$A$300,0))*$I579/100,0))</f>
        <v>13.64</v>
      </c>
      <c r="S579" s="30">
        <f>IF(OR($F579="",$I579=""),0,IFERROR(INDEX(Nutrition!$M$2:$M$300,MATCH($F579,Nutrition!$A$2:$A$300,0))*$I579/100,0))</f>
        <v>0.33480000000000004</v>
      </c>
    </row>
    <row r="580" spans="1:19" ht="15" customHeight="1" x14ac:dyDescent="0.25">
      <c r="A580" s="22" t="s">
        <v>1666</v>
      </c>
      <c r="B580" s="33" t="str">
        <f>IFERROR(INDEX(Recipes!$B$2:$B$500,MATCH(A580,Recipes!$A$2:$A$500,0)),"")</f>
        <v>Kerala-Style Okra &amp; Prawn Coconut Curry</v>
      </c>
      <c r="C580" s="7" t="s">
        <v>500</v>
      </c>
      <c r="D580" s="34">
        <v>3</v>
      </c>
      <c r="E580" s="22" t="s">
        <v>2776</v>
      </c>
      <c r="F580" s="22" t="s">
        <v>499</v>
      </c>
      <c r="G580" s="22" t="s">
        <v>2755</v>
      </c>
      <c r="H580" s="7"/>
      <c r="I580" s="35">
        <v>9</v>
      </c>
      <c r="J580" s="30">
        <f>IF(OR($F580="",$I580=""),0,IFERROR(INDEX(Nutrition!$D$2:$D$300,MATCH($F580,Nutrition!$A$2:$A$300,0))*$I580/100,0))</f>
        <v>0.18900000000000003</v>
      </c>
      <c r="K580" s="30">
        <f>IF(OR($F580="",$I580=""),0,IFERROR(INDEX(Nutrition!$E$2:$E$300,MATCH($F580,Nutrition!$A$2:$A$300,0))*$I580/100,0))</f>
        <v>2.8080000000000003</v>
      </c>
      <c r="L580" s="30">
        <f>IF(OR($F580="",$I580=""),0,IFERROR(INDEX(Nutrition!$F$2:$F$300,MATCH($F580,Nutrition!$A$2:$A$300,0))*$I580/100,0))</f>
        <v>0</v>
      </c>
      <c r="M580" s="30">
        <f>IF(OR($F580="",$I580=""),0,IFERROR(INDEX(Nutrition!$G$2:$G$300,MATCH($F580,Nutrition!$A$2:$A$300,0))*$I580/100,0))</f>
        <v>0.153</v>
      </c>
      <c r="N580" s="30">
        <f>IF(OR($F580="",$I580=""),0,IFERROR(INDEX(Nutrition!$H$2:$H$300,MATCH($F580,Nutrition!$A$2:$A$300,0))*$I580/100,0))</f>
        <v>0.27</v>
      </c>
      <c r="O580" s="30">
        <f>IF(OR($F580="",$I580=""),0,IFERROR(INDEX(Nutrition!$I$2:$I$300,MATCH($F580,Nutrition!$A$2:$A$300,0))*$I580/100,0))</f>
        <v>36.090000000000003</v>
      </c>
      <c r="P580" s="30">
        <f>IF(OR($F580="",$I580=""),0,IFERROR(INDEX(Nutrition!$J$2:$J$300,MATCH($F580,Nutrition!$A$2:$A$300,0))*$I580/100,0))</f>
        <v>7.1999999999999998E-3</v>
      </c>
      <c r="Q580" s="30">
        <f>IF(OR($F580="",$I580=""),0,IFERROR(INDEX(Nutrition!$K$2:$K$300,MATCH($F580,Nutrition!$A$2:$A$300,0))*$I580/100,0))</f>
        <v>0.11115</v>
      </c>
      <c r="R580" s="30">
        <f>IF(OR($F580="",$I580=""),0,IFERROR(INDEX(Nutrition!$L$2:$L$300,MATCH($F580,Nutrition!$A$2:$A$300,0))*$I580/100,0))</f>
        <v>2.25</v>
      </c>
      <c r="S580" s="30">
        <f>IF(OR($F580="",$I580=""),0,IFERROR(INDEX(Nutrition!$M$2:$M$300,MATCH($F580,Nutrition!$A$2:$A$300,0))*$I580/100,0))</f>
        <v>0.153</v>
      </c>
    </row>
    <row r="581" spans="1:19" ht="15" customHeight="1" x14ac:dyDescent="0.25">
      <c r="A581" s="22" t="s">
        <v>1666</v>
      </c>
      <c r="B581" s="33" t="str">
        <f>IFERROR(INDEX(Recipes!$B$2:$B$500,MATCH(A581,Recipes!$A$2:$A$500,0)),"")</f>
        <v>Kerala-Style Okra &amp; Prawn Coconut Curry</v>
      </c>
      <c r="C581" s="7" t="s">
        <v>508</v>
      </c>
      <c r="D581" s="34">
        <v>1</v>
      </c>
      <c r="E581" s="22" t="s">
        <v>2821</v>
      </c>
      <c r="F581" s="22" t="s">
        <v>507</v>
      </c>
      <c r="G581" s="22" t="s">
        <v>2755</v>
      </c>
      <c r="H581" s="7"/>
      <c r="I581" s="35">
        <v>15</v>
      </c>
      <c r="J581" s="30">
        <f>IF(OR($F581="",$I581=""),0,IFERROR(INDEX(Nutrition!$D$2:$D$300,MATCH($F581,Nutrition!$A$2:$A$300,0))*$I581/100,0))</f>
        <v>0.3</v>
      </c>
      <c r="K581" s="30">
        <f>IF(OR($F581="",$I581=""),0,IFERROR(INDEX(Nutrition!$E$2:$E$300,MATCH($F581,Nutrition!$A$2:$A$300,0))*$I581/100,0))</f>
        <v>0.75</v>
      </c>
      <c r="L581" s="30">
        <f>IF(OR($F581="",$I581=""),0,IFERROR(INDEX(Nutrition!$F$2:$F$300,MATCH($F581,Nutrition!$A$2:$A$300,0))*$I581/100,0))</f>
        <v>0</v>
      </c>
      <c r="M581" s="30">
        <f>IF(OR($F581="",$I581=""),0,IFERROR(INDEX(Nutrition!$G$2:$G$300,MATCH($F581,Nutrition!$A$2:$A$300,0))*$I581/100,0))</f>
        <v>1.4999999999999999E-2</v>
      </c>
      <c r="N581" s="30">
        <f>IF(OR($F581="",$I581=""),0,IFERROR(INDEX(Nutrition!$H$2:$H$300,MATCH($F581,Nutrition!$A$2:$A$300,0))*$I581/100,0))</f>
        <v>1.65</v>
      </c>
      <c r="O581" s="30">
        <f>IF(OR($F581="",$I581=""),0,IFERROR(INDEX(Nutrition!$I$2:$I$300,MATCH($F581,Nutrition!$A$2:$A$300,0))*$I581/100,0))</f>
        <v>62.25</v>
      </c>
      <c r="P581" s="30">
        <f>IF(OR($F581="",$I581=""),0,IFERROR(INDEX(Nutrition!$J$2:$J$300,MATCH($F581,Nutrition!$A$2:$A$300,0))*$I581/100,0))</f>
        <v>3.9000000000000007E-2</v>
      </c>
      <c r="Q581" s="30">
        <f>IF(OR($F581="",$I581=""),0,IFERROR(INDEX(Nutrition!$K$2:$K$300,MATCH($F581,Nutrition!$A$2:$A$300,0))*$I581/100,0))</f>
        <v>2.4E-2</v>
      </c>
      <c r="R581" s="30">
        <f>IF(OR($F581="",$I581=""),0,IFERROR(INDEX(Nutrition!$L$2:$L$300,MATCH($F581,Nutrition!$A$2:$A$300,0))*$I581/100,0))</f>
        <v>6.45</v>
      </c>
      <c r="S581" s="30">
        <f>IF(OR($F581="",$I581=""),0,IFERROR(INDEX(Nutrition!$M$2:$M$300,MATCH($F581,Nutrition!$A$2:$A$300,0))*$I581/100,0))</f>
        <v>0.09</v>
      </c>
    </row>
    <row r="582" spans="1:19" ht="15" customHeight="1" x14ac:dyDescent="0.25">
      <c r="A582" s="22" t="s">
        <v>1666</v>
      </c>
      <c r="B582" s="33" t="str">
        <f>IFERROR(INDEX(Recipes!$B$2:$B$500,MATCH(A582,Recipes!$A$2:$A$500,0)),"")</f>
        <v>Kerala-Style Okra &amp; Prawn Coconut Curry</v>
      </c>
      <c r="C582" s="7" t="s">
        <v>516</v>
      </c>
      <c r="D582" s="34">
        <v>1</v>
      </c>
      <c r="E582" s="22" t="s">
        <v>2821</v>
      </c>
      <c r="F582" s="22" t="s">
        <v>515</v>
      </c>
      <c r="G582" s="22" t="s">
        <v>2755</v>
      </c>
      <c r="H582" s="7" t="s">
        <v>2889</v>
      </c>
      <c r="I582" s="35">
        <v>10</v>
      </c>
      <c r="J582" s="30">
        <f>IF(OR($F582="",$I582=""),0,IFERROR(INDEX(Nutrition!$D$2:$D$300,MATCH($F582,Nutrition!$A$2:$A$300,0))*$I582/100,0))</f>
        <v>0.56999999999999995</v>
      </c>
      <c r="K582" s="30">
        <f>IF(OR($F582="",$I582=""),0,IFERROR(INDEX(Nutrition!$E$2:$E$300,MATCH($F582,Nutrition!$A$2:$A$300,0))*$I582/100,0))</f>
        <v>0.3</v>
      </c>
      <c r="L582" s="30">
        <f>IF(OR($F582="",$I582=""),0,IFERROR(INDEX(Nutrition!$F$2:$F$300,MATCH($F582,Nutrition!$A$2:$A$300,0))*$I582/100,0))</f>
        <v>0</v>
      </c>
      <c r="M582" s="30">
        <f>IF(OR($F582="",$I582=""),0,IFERROR(INDEX(Nutrition!$G$2:$G$300,MATCH($F582,Nutrition!$A$2:$A$300,0))*$I582/100,0))</f>
        <v>0.34</v>
      </c>
      <c r="N582" s="30">
        <f>IF(OR($F582="",$I582=""),0,IFERROR(INDEX(Nutrition!$H$2:$H$300,MATCH($F582,Nutrition!$A$2:$A$300,0))*$I582/100,0))</f>
        <v>0.5</v>
      </c>
      <c r="O582" s="30">
        <f>IF(OR($F582="",$I582=""),0,IFERROR(INDEX(Nutrition!$I$2:$I$300,MATCH($F582,Nutrition!$A$2:$A$300,0))*$I582/100,0))</f>
        <v>52</v>
      </c>
      <c r="P582" s="30">
        <f>IF(OR($F582="",$I582=""),0,IFERROR(INDEX(Nutrition!$J$2:$J$300,MATCH($F582,Nutrition!$A$2:$A$300,0))*$I582/100,0))</f>
        <v>0.11</v>
      </c>
      <c r="Q582" s="30">
        <f>IF(OR($F582="",$I582=""),0,IFERROR(INDEX(Nutrition!$K$2:$K$300,MATCH($F582,Nutrition!$A$2:$A$300,0))*$I582/100,0))</f>
        <v>3.0000000000000001E-3</v>
      </c>
      <c r="R582" s="30">
        <f>IF(OR($F582="",$I582=""),0,IFERROR(INDEX(Nutrition!$L$2:$L$300,MATCH($F582,Nutrition!$A$2:$A$300,0))*$I582/100,0))</f>
        <v>5.2</v>
      </c>
      <c r="S582" s="30">
        <f>IF(OR($F582="",$I582=""),0,IFERROR(INDEX(Nutrition!$M$2:$M$300,MATCH($F582,Nutrition!$A$2:$A$300,0))*$I582/100,0))</f>
        <v>1.38</v>
      </c>
    </row>
    <row r="583" spans="1:19" ht="15" customHeight="1" x14ac:dyDescent="0.25">
      <c r="A583" s="22" t="s">
        <v>1666</v>
      </c>
      <c r="B583" s="33" t="str">
        <f>IFERROR(INDEX(Recipes!$B$2:$B$500,MATCH(A583,Recipes!$A$2:$A$500,0)),"")</f>
        <v>Kerala-Style Okra &amp; Prawn Coconut Curry</v>
      </c>
      <c r="C583" s="7" t="s">
        <v>473</v>
      </c>
      <c r="D583" s="34">
        <v>0.25</v>
      </c>
      <c r="E583" s="22" t="s">
        <v>2754</v>
      </c>
      <c r="F583" s="22" t="s">
        <v>472</v>
      </c>
      <c r="G583" s="22" t="s">
        <v>2755</v>
      </c>
      <c r="H583" s="7"/>
      <c r="I583" s="35">
        <v>2</v>
      </c>
      <c r="J583" s="30">
        <f>IF(OR($F583="",$I583=""),0,IFERROR(INDEX(Nutrition!$D$2:$D$300,MATCH($F583,Nutrition!$A$2:$A$300,0))*$I583/100,0))</f>
        <v>0.03</v>
      </c>
      <c r="K583" s="30">
        <f>IF(OR($F583="",$I583=""),0,IFERROR(INDEX(Nutrition!$E$2:$E$300,MATCH($F583,Nutrition!$A$2:$A$300,0))*$I583/100,0))</f>
        <v>2.8739999999999997</v>
      </c>
      <c r="L583" s="30">
        <f>IF(OR($F583="",$I583=""),0,IFERROR(INDEX(Nutrition!$F$2:$F$300,MATCH($F583,Nutrition!$A$2:$A$300,0))*$I583/100,0))</f>
        <v>0.96</v>
      </c>
      <c r="M583" s="30">
        <f>IF(OR($F583="",$I583=""),0,IFERROR(INDEX(Nutrition!$G$2:$G$300,MATCH($F583,Nutrition!$A$2:$A$300,0))*$I583/100,0))</f>
        <v>0.28000000000000003</v>
      </c>
      <c r="N583" s="30">
        <f>IF(OR($F583="",$I583=""),0,IFERROR(INDEX(Nutrition!$H$2:$H$300,MATCH($F583,Nutrition!$A$2:$A$300,0))*$I583/100,0))</f>
        <v>0.46</v>
      </c>
      <c r="O583" s="30">
        <f>IF(OR($F583="",$I583=""),0,IFERROR(INDEX(Nutrition!$I$2:$I$300,MATCH($F583,Nutrition!$A$2:$A$300,0))*$I583/100,0))</f>
        <v>6.44</v>
      </c>
      <c r="P583" s="30">
        <f>IF(OR($F583="",$I583=""),0,IFERROR(INDEX(Nutrition!$J$2:$J$300,MATCH($F583,Nutrition!$A$2:$A$300,0))*$I583/100,0))</f>
        <v>1.38E-2</v>
      </c>
      <c r="Q583" s="30">
        <f>IF(OR($F583="",$I583=""),0,IFERROR(INDEX(Nutrition!$K$2:$K$300,MATCH($F583,Nutrition!$A$2:$A$300,0))*$I583/100,0))</f>
        <v>1.0120000000000001E-2</v>
      </c>
      <c r="R583" s="30">
        <f>IF(OR($F583="",$I583=""),0,IFERROR(INDEX(Nutrition!$L$2:$L$300,MATCH($F583,Nutrition!$A$2:$A$300,0))*$I583/100,0))</f>
        <v>0.46</v>
      </c>
      <c r="S583" s="30">
        <f>IF(OR($F583="",$I583=""),0,IFERROR(INDEX(Nutrition!$M$2:$M$300,MATCH($F583,Nutrition!$A$2:$A$300,0))*$I583/100,0))</f>
        <v>2.06E-2</v>
      </c>
    </row>
    <row r="584" spans="1:19" ht="15" customHeight="1" x14ac:dyDescent="0.25">
      <c r="A584" s="22" t="s">
        <v>1666</v>
      </c>
      <c r="B584" s="33" t="str">
        <f>IFERROR(INDEX(Recipes!$B$2:$B$500,MATCH(A584,Recipes!$A$2:$A$500,0)),"")</f>
        <v>Kerala-Style Okra &amp; Prawn Coconut Curry</v>
      </c>
      <c r="C584" s="7" t="s">
        <v>262</v>
      </c>
      <c r="D584" s="34">
        <v>0.5</v>
      </c>
      <c r="E584" s="22" t="s">
        <v>2754</v>
      </c>
      <c r="F584" s="22" t="s">
        <v>261</v>
      </c>
      <c r="G584" s="22" t="s">
        <v>2755</v>
      </c>
      <c r="H584" s="7" t="s">
        <v>2792</v>
      </c>
      <c r="I584" s="35">
        <v>198</v>
      </c>
      <c r="J584" s="30">
        <f>IF(OR($F584="",$I584=""),0,IFERROR(INDEX(Nutrition!$D$2:$D$300,MATCH($F584,Nutrition!$A$2:$A$300,0))*$I584/100,0))</f>
        <v>17.82</v>
      </c>
      <c r="K584" s="30">
        <f>IF(OR($F584="",$I584=""),0,IFERROR(INDEX(Nutrition!$E$2:$E$300,MATCH($F584,Nutrition!$A$2:$A$300,0))*$I584/100,0))</f>
        <v>6.5339999999999998</v>
      </c>
      <c r="L584" s="30">
        <f>IF(OR($F584="",$I584=""),0,IFERROR(INDEX(Nutrition!$F$2:$F$300,MATCH($F584,Nutrition!$A$2:$A$300,0))*$I584/100,0))</f>
        <v>0</v>
      </c>
      <c r="M584" s="30">
        <f>IF(OR($F584="",$I584=""),0,IFERROR(INDEX(Nutrition!$G$2:$G$300,MATCH($F584,Nutrition!$A$2:$A$300,0))*$I584/100,0))</f>
        <v>0.39600000000000002</v>
      </c>
      <c r="N584" s="30">
        <f>IF(OR($F584="",$I584=""),0,IFERROR(INDEX(Nutrition!$H$2:$H$300,MATCH($F584,Nutrition!$A$2:$A$300,0))*$I584/100,0))</f>
        <v>51.48</v>
      </c>
      <c r="O584" s="30">
        <f>IF(OR($F584="",$I584=""),0,IFERROR(INDEX(Nutrition!$I$2:$I$300,MATCH($F584,Nutrition!$A$2:$A$300,0))*$I584/100,0))</f>
        <v>704.88</v>
      </c>
      <c r="P584" s="30">
        <f>IF(OR($F584="",$I584=""),0,IFERROR(INDEX(Nutrition!$J$2:$J$300,MATCH($F584,Nutrition!$A$2:$A$300,0))*$I584/100,0))</f>
        <v>0.47519999999999996</v>
      </c>
      <c r="Q584" s="30">
        <f>IF(OR($F584="",$I584=""),0,IFERROR(INDEX(Nutrition!$K$2:$K$300,MATCH($F584,Nutrition!$A$2:$A$300,0))*$I584/100,0))</f>
        <v>0.10692</v>
      </c>
      <c r="R584" s="30">
        <f>IF(OR($F584="",$I584=""),0,IFERROR(INDEX(Nutrition!$L$2:$L$300,MATCH($F584,Nutrition!$A$2:$A$300,0))*$I584/100,0))</f>
        <v>63.36</v>
      </c>
      <c r="S584" s="30">
        <f>IF(OR($F584="",$I584=""),0,IFERROR(INDEX(Nutrition!$M$2:$M$300,MATCH($F584,Nutrition!$A$2:$A$300,0))*$I584/100,0))</f>
        <v>4.8114000000000008</v>
      </c>
    </row>
    <row r="585" spans="1:19" ht="15" customHeight="1" x14ac:dyDescent="0.25">
      <c r="A585" s="22" t="s">
        <v>1666</v>
      </c>
      <c r="B585" s="33" t="str">
        <f>IFERROR(INDEX(Recipes!$B$2:$B$500,MATCH(A585,Recipes!$A$2:$A$500,0)),"")</f>
        <v>Kerala-Style Okra &amp; Prawn Coconut Curry</v>
      </c>
      <c r="C585" s="7" t="s">
        <v>213</v>
      </c>
      <c r="D585" s="34">
        <v>1</v>
      </c>
      <c r="E585" s="22" t="s">
        <v>2754</v>
      </c>
      <c r="F585" s="22" t="s">
        <v>212</v>
      </c>
      <c r="G585" s="22" t="s">
        <v>2755</v>
      </c>
      <c r="H585" s="7"/>
      <c r="I585" s="35">
        <v>67</v>
      </c>
      <c r="J585" s="30">
        <f>IF(OR($F585="",$I585=""),0,IFERROR(INDEX(Nutrition!$D$2:$D$300,MATCH($F585,Nutrition!$A$2:$A$300,0))*$I585/100,0))</f>
        <v>1.8759999999999999</v>
      </c>
      <c r="K585" s="30">
        <f>IF(OR($F585="",$I585=""),0,IFERROR(INDEX(Nutrition!$E$2:$E$300,MATCH($F585,Nutrition!$A$2:$A$300,0))*$I585/100,0))</f>
        <v>19.497</v>
      </c>
      <c r="L585" s="30">
        <f>IF(OR($F585="",$I585=""),0,IFERROR(INDEX(Nutrition!$F$2:$F$300,MATCH($F585,Nutrition!$A$2:$A$300,0))*$I585/100,0))</f>
        <v>1.34</v>
      </c>
      <c r="M585" s="30">
        <f>IF(OR($F585="",$I585=""),0,IFERROR(INDEX(Nutrition!$G$2:$G$300,MATCH($F585,Nutrition!$A$2:$A$300,0))*$I585/100,0))</f>
        <v>0.40199999999999997</v>
      </c>
      <c r="N585" s="30">
        <f>IF(OR($F585="",$I585=""),0,IFERROR(INDEX(Nutrition!$H$2:$H$300,MATCH($F585,Nutrition!$A$2:$A$300,0))*$I585/100,0))</f>
        <v>5.36</v>
      </c>
      <c r="O585" s="30">
        <f>IF(OR($F585="",$I585=""),0,IFERROR(INDEX(Nutrition!$I$2:$I$300,MATCH($F585,Nutrition!$A$2:$A$300,0))*$I585/100,0))</f>
        <v>68.34</v>
      </c>
      <c r="P585" s="30">
        <f>IF(OR($F585="",$I585=""),0,IFERROR(INDEX(Nutrition!$J$2:$J$300,MATCH($F585,Nutrition!$A$2:$A$300,0))*$I585/100,0))</f>
        <v>0.1474</v>
      </c>
      <c r="Q585" s="30">
        <f>IF(OR($F585="",$I585=""),0,IFERROR(INDEX(Nutrition!$K$2:$K$300,MATCH($F585,Nutrition!$A$2:$A$300,0))*$I585/100,0))</f>
        <v>2.8809999999999999E-2</v>
      </c>
      <c r="R585" s="30">
        <f>IF(OR($F585="",$I585=""),0,IFERROR(INDEX(Nutrition!$L$2:$L$300,MATCH($F585,Nutrition!$A$2:$A$300,0))*$I585/100,0))</f>
        <v>4.0199999999999996</v>
      </c>
      <c r="S585" s="30">
        <f>IF(OR($F585="",$I585=""),0,IFERROR(INDEX(Nutrition!$M$2:$M$300,MATCH($F585,Nutrition!$A$2:$A$300,0))*$I585/100,0))</f>
        <v>0.40199999999999997</v>
      </c>
    </row>
    <row r="586" spans="1:19" ht="15" customHeight="1" x14ac:dyDescent="0.25">
      <c r="A586" s="22" t="s">
        <v>1666</v>
      </c>
      <c r="B586" s="33" t="str">
        <f>IFERROR(INDEX(Recipes!$B$2:$B$500,MATCH(A586,Recipes!$A$2:$A$500,0)),"")</f>
        <v>Kerala-Style Okra &amp; Prawn Coconut Curry</v>
      </c>
      <c r="C586" s="7" t="s">
        <v>2881</v>
      </c>
      <c r="D586" s="34">
        <v>1</v>
      </c>
      <c r="E586" s="22" t="s">
        <v>2753</v>
      </c>
      <c r="F586" s="22"/>
      <c r="G586" s="22" t="s">
        <v>2749</v>
      </c>
      <c r="H586" s="7"/>
      <c r="I586" s="35"/>
      <c r="J586" s="30">
        <f>IF(OR($F586="",$I586=""),0,IFERROR(INDEX(Nutrition!$D$2:$D$300,MATCH($F586,Nutrition!$A$2:$A$300,0))*$I586/100,0))</f>
        <v>0</v>
      </c>
      <c r="K586" s="30">
        <f>IF(OR($F586="",$I586=""),0,IFERROR(INDEX(Nutrition!$E$2:$E$300,MATCH($F586,Nutrition!$A$2:$A$300,0))*$I586/100,0))</f>
        <v>0</v>
      </c>
      <c r="L586" s="30">
        <f>IF(OR($F586="",$I586=""),0,IFERROR(INDEX(Nutrition!$F$2:$F$300,MATCH($F586,Nutrition!$A$2:$A$300,0))*$I586/100,0))</f>
        <v>0</v>
      </c>
      <c r="M586" s="30">
        <f>IF(OR($F586="",$I586=""),0,IFERROR(INDEX(Nutrition!$G$2:$G$300,MATCH($F586,Nutrition!$A$2:$A$300,0))*$I586/100,0))</f>
        <v>0</v>
      </c>
      <c r="N586" s="30">
        <f>IF(OR($F586="",$I586=""),0,IFERROR(INDEX(Nutrition!$H$2:$H$300,MATCH($F586,Nutrition!$A$2:$A$300,0))*$I586/100,0))</f>
        <v>0</v>
      </c>
      <c r="O586" s="30">
        <f>IF(OR($F586="",$I586=""),0,IFERROR(INDEX(Nutrition!$I$2:$I$300,MATCH($F586,Nutrition!$A$2:$A$300,0))*$I586/100,0))</f>
        <v>0</v>
      </c>
      <c r="P586" s="30">
        <f>IF(OR($F586="",$I586=""),0,IFERROR(INDEX(Nutrition!$J$2:$J$300,MATCH($F586,Nutrition!$A$2:$A$300,0))*$I586/100,0))</f>
        <v>0</v>
      </c>
      <c r="Q586" s="30">
        <f>IF(OR($F586="",$I586=""),0,IFERROR(INDEX(Nutrition!$K$2:$K$300,MATCH($F586,Nutrition!$A$2:$A$300,0))*$I586/100,0))</f>
        <v>0</v>
      </c>
      <c r="R586" s="30">
        <f>IF(OR($F586="",$I586=""),0,IFERROR(INDEX(Nutrition!$L$2:$L$300,MATCH($F586,Nutrition!$A$2:$A$300,0))*$I586/100,0))</f>
        <v>0</v>
      </c>
      <c r="S586" s="30">
        <f>IF(OR($F586="",$I586=""),0,IFERROR(INDEX(Nutrition!$M$2:$M$300,MATCH($F586,Nutrition!$A$2:$A$300,0))*$I586/100,0))</f>
        <v>0</v>
      </c>
    </row>
    <row r="587" spans="1:19" ht="15" customHeight="1" x14ac:dyDescent="0.25">
      <c r="A587" s="22" t="s">
        <v>1666</v>
      </c>
      <c r="B587" s="33" t="str">
        <f>IFERROR(INDEX(Recipes!$B$2:$B$500,MATCH(A587,Recipes!$A$2:$A$500,0)),"")</f>
        <v>Kerala-Style Okra &amp; Prawn Coconut Curry</v>
      </c>
      <c r="C587" s="7" t="s">
        <v>2801</v>
      </c>
      <c r="D587" s="34">
        <v>1.5</v>
      </c>
      <c r="E587" s="22" t="s">
        <v>2790</v>
      </c>
      <c r="F587" s="22"/>
      <c r="G587" s="22" t="s">
        <v>2749</v>
      </c>
      <c r="H587" s="7"/>
      <c r="I587" s="35"/>
      <c r="J587" s="30">
        <f>IF(OR($F587="",$I587=""),0,IFERROR(INDEX(Nutrition!$D$2:$D$300,MATCH($F587,Nutrition!$A$2:$A$300,0))*$I587/100,0))</f>
        <v>0</v>
      </c>
      <c r="K587" s="30">
        <f>IF(OR($F587="",$I587=""),0,IFERROR(INDEX(Nutrition!$E$2:$E$300,MATCH($F587,Nutrition!$A$2:$A$300,0))*$I587/100,0))</f>
        <v>0</v>
      </c>
      <c r="L587" s="30">
        <f>IF(OR($F587="",$I587=""),0,IFERROR(INDEX(Nutrition!$F$2:$F$300,MATCH($F587,Nutrition!$A$2:$A$300,0))*$I587/100,0))</f>
        <v>0</v>
      </c>
      <c r="M587" s="30">
        <f>IF(OR($F587="",$I587=""),0,IFERROR(INDEX(Nutrition!$G$2:$G$300,MATCH($F587,Nutrition!$A$2:$A$300,0))*$I587/100,0))</f>
        <v>0</v>
      </c>
      <c r="N587" s="30">
        <f>IF(OR($F587="",$I587=""),0,IFERROR(INDEX(Nutrition!$H$2:$H$300,MATCH($F587,Nutrition!$A$2:$A$300,0))*$I587/100,0))</f>
        <v>0</v>
      </c>
      <c r="O587" s="30">
        <f>IF(OR($F587="",$I587=""),0,IFERROR(INDEX(Nutrition!$I$2:$I$300,MATCH($F587,Nutrition!$A$2:$A$300,0))*$I587/100,0))</f>
        <v>0</v>
      </c>
      <c r="P587" s="30">
        <f>IF(OR($F587="",$I587=""),0,IFERROR(INDEX(Nutrition!$J$2:$J$300,MATCH($F587,Nutrition!$A$2:$A$300,0))*$I587/100,0))</f>
        <v>0</v>
      </c>
      <c r="Q587" s="30">
        <f>IF(OR($F587="",$I587=""),0,IFERROR(INDEX(Nutrition!$K$2:$K$300,MATCH($F587,Nutrition!$A$2:$A$300,0))*$I587/100,0))</f>
        <v>0</v>
      </c>
      <c r="R587" s="30">
        <f>IF(OR($F587="",$I587=""),0,IFERROR(INDEX(Nutrition!$L$2:$L$300,MATCH($F587,Nutrition!$A$2:$A$300,0))*$I587/100,0))</f>
        <v>0</v>
      </c>
      <c r="S587" s="30">
        <f>IF(OR($F587="",$I587=""),0,IFERROR(INDEX(Nutrition!$M$2:$M$300,MATCH($F587,Nutrition!$A$2:$A$300,0))*$I587/100,0))</f>
        <v>0</v>
      </c>
    </row>
    <row r="588" spans="1:19" ht="15" customHeight="1" x14ac:dyDescent="0.25">
      <c r="A588" s="22" t="s">
        <v>1666</v>
      </c>
      <c r="B588" s="33" t="str">
        <f>IFERROR(INDEX(Recipes!$B$2:$B$500,MATCH(A588,Recipes!$A$2:$A$500,0)),"")</f>
        <v>Kerala-Style Okra &amp; Prawn Coconut Curry</v>
      </c>
      <c r="C588" s="7" t="s">
        <v>2772</v>
      </c>
      <c r="D588" s="34">
        <v>1</v>
      </c>
      <c r="E588" s="22" t="s">
        <v>2753</v>
      </c>
      <c r="F588" s="22"/>
      <c r="G588" s="22" t="s">
        <v>2773</v>
      </c>
      <c r="H588" s="7"/>
      <c r="I588" s="35"/>
      <c r="J588" s="30">
        <f>IF(OR($F588="",$I588=""),0,IFERROR(INDEX(Nutrition!$D$2:$D$300,MATCH($F588,Nutrition!$A$2:$A$300,0))*$I588/100,0))</f>
        <v>0</v>
      </c>
      <c r="K588" s="30">
        <f>IF(OR($F588="",$I588=""),0,IFERROR(INDEX(Nutrition!$E$2:$E$300,MATCH($F588,Nutrition!$A$2:$A$300,0))*$I588/100,0))</f>
        <v>0</v>
      </c>
      <c r="L588" s="30">
        <f>IF(OR($F588="",$I588=""),0,IFERROR(INDEX(Nutrition!$F$2:$F$300,MATCH($F588,Nutrition!$A$2:$A$300,0))*$I588/100,0))</f>
        <v>0</v>
      </c>
      <c r="M588" s="30">
        <f>IF(OR($F588="",$I588=""),0,IFERROR(INDEX(Nutrition!$G$2:$G$300,MATCH($F588,Nutrition!$A$2:$A$300,0))*$I588/100,0))</f>
        <v>0</v>
      </c>
      <c r="N588" s="30">
        <f>IF(OR($F588="",$I588=""),0,IFERROR(INDEX(Nutrition!$H$2:$H$300,MATCH($F588,Nutrition!$A$2:$A$300,0))*$I588/100,0))</f>
        <v>0</v>
      </c>
      <c r="O588" s="30">
        <f>IF(OR($F588="",$I588=""),0,IFERROR(INDEX(Nutrition!$I$2:$I$300,MATCH($F588,Nutrition!$A$2:$A$300,0))*$I588/100,0))</f>
        <v>0</v>
      </c>
      <c r="P588" s="30">
        <f>IF(OR($F588="",$I588=""),0,IFERROR(INDEX(Nutrition!$J$2:$J$300,MATCH($F588,Nutrition!$A$2:$A$300,0))*$I588/100,0))</f>
        <v>0</v>
      </c>
      <c r="Q588" s="30">
        <f>IF(OR($F588="",$I588=""),0,IFERROR(INDEX(Nutrition!$K$2:$K$300,MATCH($F588,Nutrition!$A$2:$A$300,0))*$I588/100,0))</f>
        <v>0</v>
      </c>
      <c r="R588" s="30">
        <f>IF(OR($F588="",$I588=""),0,IFERROR(INDEX(Nutrition!$L$2:$L$300,MATCH($F588,Nutrition!$A$2:$A$300,0))*$I588/100,0))</f>
        <v>0</v>
      </c>
      <c r="S588" s="30">
        <f>IF(OR($F588="",$I588=""),0,IFERROR(INDEX(Nutrition!$M$2:$M$300,MATCH($F588,Nutrition!$A$2:$A$300,0))*$I588/100,0))</f>
        <v>0</v>
      </c>
    </row>
    <row r="589" spans="1:19" ht="15" customHeight="1" x14ac:dyDescent="0.25">
      <c r="A589" s="22" t="s">
        <v>1677</v>
      </c>
      <c r="B589" s="33" t="str">
        <f>IFERROR(INDEX(Recipes!$B$2:$B$500,MATCH(A589,Recipes!$A$2:$A$500,0)),"")</f>
        <v>Garden Egg Ratatouille</v>
      </c>
      <c r="C589" s="7" t="s">
        <v>566</v>
      </c>
      <c r="D589" s="34">
        <v>6</v>
      </c>
      <c r="E589" s="22" t="s">
        <v>2754</v>
      </c>
      <c r="F589" s="22" t="s">
        <v>565</v>
      </c>
      <c r="G589" s="22" t="s">
        <v>2755</v>
      </c>
      <c r="H589" s="7"/>
      <c r="I589" s="35">
        <v>240</v>
      </c>
      <c r="J589" s="30">
        <f>IF(OR($F589="",$I589=""),0,IFERROR(INDEX(Nutrition!$D$2:$D$300,MATCH($F589,Nutrition!$A$2:$A$300,0))*$I589/100,0))</f>
        <v>8.4</v>
      </c>
      <c r="K589" s="30">
        <f>IF(OR($F589="",$I589=""),0,IFERROR(INDEX(Nutrition!$E$2:$E$300,MATCH($F589,Nutrition!$A$2:$A$300,0))*$I589/100,0))</f>
        <v>27.84</v>
      </c>
      <c r="L589" s="30">
        <f>IF(OR($F589="",$I589=""),0,IFERROR(INDEX(Nutrition!$F$2:$F$300,MATCH($F589,Nutrition!$A$2:$A$300,0))*$I589/100,0))</f>
        <v>4.8</v>
      </c>
      <c r="M589" s="30">
        <f>IF(OR($F589="",$I589=""),0,IFERROR(INDEX(Nutrition!$G$2:$G$300,MATCH($F589,Nutrition!$A$2:$A$300,0))*$I589/100,0))</f>
        <v>8.4</v>
      </c>
      <c r="N589" s="30">
        <f>IF(OR($F589="",$I589=""),0,IFERROR(INDEX(Nutrition!$H$2:$H$300,MATCH($F589,Nutrition!$A$2:$A$300,0))*$I589/100,0))</f>
        <v>52.8</v>
      </c>
      <c r="O589" s="30">
        <f>IF(OR($F589="",$I589=""),0,IFERROR(INDEX(Nutrition!$I$2:$I$300,MATCH($F589,Nutrition!$A$2:$A$300,0))*$I589/100,0))</f>
        <v>576</v>
      </c>
      <c r="P589" s="30">
        <f>IF(OR($F589="",$I589=""),0,IFERROR(INDEX(Nutrition!$J$2:$J$300,MATCH($F589,Nutrition!$A$2:$A$300,0))*$I589/100,0))</f>
        <v>0.72</v>
      </c>
      <c r="Q589" s="30">
        <f>IF(OR($F589="",$I589=""),0,IFERROR(INDEX(Nutrition!$K$2:$K$300,MATCH($F589,Nutrition!$A$2:$A$300,0))*$I589/100,0))</f>
        <v>0.192</v>
      </c>
      <c r="R589" s="30">
        <f>IF(OR($F589="",$I589=""),0,IFERROR(INDEX(Nutrition!$L$2:$L$300,MATCH($F589,Nutrition!$A$2:$A$300,0))*$I589/100,0))</f>
        <v>36</v>
      </c>
      <c r="S589" s="30">
        <f>IF(OR($F589="",$I589=""),0,IFERROR(INDEX(Nutrition!$M$2:$M$300,MATCH($F589,Nutrition!$A$2:$A$300,0))*$I589/100,0))</f>
        <v>1.2</v>
      </c>
    </row>
    <row r="590" spans="1:19" ht="15" customHeight="1" x14ac:dyDescent="0.25">
      <c r="A590" s="22" t="s">
        <v>1677</v>
      </c>
      <c r="B590" s="33" t="str">
        <f>IFERROR(INDEX(Recipes!$B$2:$B$500,MATCH(A590,Recipes!$A$2:$A$500,0)),"")</f>
        <v>Garden Egg Ratatouille</v>
      </c>
      <c r="C590" s="7" t="s">
        <v>592</v>
      </c>
      <c r="D590" s="34">
        <v>1</v>
      </c>
      <c r="E590" s="22" t="s">
        <v>2754</v>
      </c>
      <c r="F590" s="22" t="s">
        <v>591</v>
      </c>
      <c r="G590" s="22" t="s">
        <v>2755</v>
      </c>
      <c r="H590" s="7" t="s">
        <v>2760</v>
      </c>
      <c r="I590" s="35">
        <v>196</v>
      </c>
      <c r="J590" s="30">
        <f>IF(OR($F590="",$I590=""),0,IFERROR(INDEX(Nutrition!$D$2:$D$300,MATCH($F590,Nutrition!$A$2:$A$300,0))*$I590/100,0))</f>
        <v>1.96</v>
      </c>
      <c r="K590" s="30">
        <f>IF(OR($F590="",$I590=""),0,IFERROR(INDEX(Nutrition!$E$2:$E$300,MATCH($F590,Nutrition!$A$2:$A$300,0))*$I590/100,0))</f>
        <v>35.083999999999996</v>
      </c>
      <c r="L590" s="30">
        <f>IF(OR($F590="",$I590=""),0,IFERROR(INDEX(Nutrition!$F$2:$F$300,MATCH($F590,Nutrition!$A$2:$A$300,0))*$I590/100,0))</f>
        <v>19.600000000000001</v>
      </c>
      <c r="M590" s="30">
        <f>IF(OR($F590="",$I590=""),0,IFERROR(INDEX(Nutrition!$G$2:$G$300,MATCH($F590,Nutrition!$A$2:$A$300,0))*$I590/100,0))</f>
        <v>8.427999999999999</v>
      </c>
      <c r="N590" s="30">
        <f>IF(OR($F590="",$I590=""),0,IFERROR(INDEX(Nutrition!$H$2:$H$300,MATCH($F590,Nutrition!$A$2:$A$300,0))*$I590/100,0))</f>
        <v>47.04</v>
      </c>
      <c r="O590" s="30">
        <f>IF(OR($F590="",$I590=""),0,IFERROR(INDEX(Nutrition!$I$2:$I$300,MATCH($F590,Nutrition!$A$2:$A$300,0))*$I590/100,0))</f>
        <v>511.56</v>
      </c>
      <c r="P590" s="30">
        <f>IF(OR($F590="",$I590=""),0,IFERROR(INDEX(Nutrition!$J$2:$J$300,MATCH($F590,Nutrition!$A$2:$A$300,0))*$I590/100,0))</f>
        <v>0.23519999999999999</v>
      </c>
      <c r="Q590" s="30">
        <f>IF(OR($F590="",$I590=""),0,IFERROR(INDEX(Nutrition!$K$2:$K$300,MATCH($F590,Nutrition!$A$2:$A$300,0))*$I590/100,0))</f>
        <v>0.31947999999999999</v>
      </c>
      <c r="R590" s="30">
        <f>IF(OR($F590="",$I590=""),0,IFERROR(INDEX(Nutrition!$L$2:$L$300,MATCH($F590,Nutrition!$A$2:$A$300,0))*$I590/100,0))</f>
        <v>35.28</v>
      </c>
      <c r="S590" s="30">
        <f>IF(OR($F590="",$I590=""),0,IFERROR(INDEX(Nutrition!$M$2:$M$300,MATCH($F590,Nutrition!$A$2:$A$300,0))*$I590/100,0))</f>
        <v>0.72519999999999996</v>
      </c>
    </row>
    <row r="591" spans="1:19" ht="15" customHeight="1" x14ac:dyDescent="0.25">
      <c r="A591" s="22" t="s">
        <v>1677</v>
      </c>
      <c r="B591" s="33" t="str">
        <f>IFERROR(INDEX(Recipes!$B$2:$B$500,MATCH(A591,Recipes!$A$2:$A$500,0)),"")</f>
        <v>Garden Egg Ratatouille</v>
      </c>
      <c r="C591" s="7" t="s">
        <v>462</v>
      </c>
      <c r="D591" s="34">
        <v>2</v>
      </c>
      <c r="E591" s="22" t="s">
        <v>2754</v>
      </c>
      <c r="F591" s="22" t="s">
        <v>461</v>
      </c>
      <c r="G591" s="22" t="s">
        <v>2755</v>
      </c>
      <c r="H591" s="7"/>
      <c r="I591" s="35">
        <v>238</v>
      </c>
      <c r="J591" s="30">
        <f>IF(OR($F591="",$I591=""),0,IFERROR(INDEX(Nutrition!$D$2:$D$300,MATCH($F591,Nutrition!$A$2:$A$300,0))*$I591/100,0))</f>
        <v>4.9980000000000002</v>
      </c>
      <c r="K591" s="30">
        <f>IF(OR($F591="",$I591=""),0,IFERROR(INDEX(Nutrition!$E$2:$E$300,MATCH($F591,Nutrition!$A$2:$A$300,0))*$I591/100,0))</f>
        <v>303.92600000000004</v>
      </c>
      <c r="L591" s="30">
        <f>IF(OR($F591="",$I591=""),0,IFERROR(INDEX(Nutrition!$F$2:$F$300,MATCH($F591,Nutrition!$A$2:$A$300,0))*$I591/100,0))</f>
        <v>373.66</v>
      </c>
      <c r="M591" s="30">
        <f>IF(OR($F591="",$I591=""),0,IFERROR(INDEX(Nutrition!$G$2:$G$300,MATCH($F591,Nutrition!$A$2:$A$300,0))*$I591/100,0))</f>
        <v>11.662000000000001</v>
      </c>
      <c r="N591" s="30">
        <f>IF(OR($F591="",$I591=""),0,IFERROR(INDEX(Nutrition!$H$2:$H$300,MATCH($F591,Nutrition!$A$2:$A$300,0))*$I591/100,0))</f>
        <v>109.48</v>
      </c>
      <c r="O591" s="30">
        <f>IF(OR($F591="",$I591=""),0,IFERROR(INDEX(Nutrition!$I$2:$I$300,MATCH($F591,Nutrition!$A$2:$A$300,0))*$I591/100,0))</f>
        <v>502.18</v>
      </c>
      <c r="P591" s="30">
        <f>IF(OR($F591="",$I591=""),0,IFERROR(INDEX(Nutrition!$J$2:$J$300,MATCH($F591,Nutrition!$A$2:$A$300,0))*$I591/100,0))</f>
        <v>3.7604000000000002</v>
      </c>
      <c r="Q591" s="30">
        <f>IF(OR($F591="",$I591=""),0,IFERROR(INDEX(Nutrition!$K$2:$K$300,MATCH($F591,Nutrition!$A$2:$A$300,0))*$I591/100,0))</f>
        <v>0.69257999999999997</v>
      </c>
      <c r="R591" s="30">
        <f>IF(OR($F591="",$I591=""),0,IFERROR(INDEX(Nutrition!$L$2:$L$300,MATCH($F591,Nutrition!$A$2:$A$300,0))*$I591/100,0))</f>
        <v>28.56</v>
      </c>
      <c r="S591" s="30">
        <f>IF(OR($F591="",$I591=""),0,IFERROR(INDEX(Nutrition!$M$2:$M$300,MATCH($F591,Nutrition!$A$2:$A$300,0))*$I591/100,0))</f>
        <v>1.0234000000000001</v>
      </c>
    </row>
    <row r="592" spans="1:19" ht="15" customHeight="1" x14ac:dyDescent="0.25">
      <c r="A592" s="22" t="s">
        <v>1677</v>
      </c>
      <c r="B592" s="33" t="str">
        <f>IFERROR(INDEX(Recipes!$B$2:$B$500,MATCH(A592,Recipes!$A$2:$A$500,0)),"")</f>
        <v>Garden Egg Ratatouille</v>
      </c>
      <c r="C592" s="7" t="s">
        <v>468</v>
      </c>
      <c r="D592" s="34">
        <v>1</v>
      </c>
      <c r="E592" s="22" t="s">
        <v>2754</v>
      </c>
      <c r="F592" s="22" t="s">
        <v>467</v>
      </c>
      <c r="G592" s="22" t="s">
        <v>2755</v>
      </c>
      <c r="H592" s="7" t="s">
        <v>2825</v>
      </c>
      <c r="I592" s="35">
        <v>119</v>
      </c>
      <c r="J592" s="30">
        <f>IF(OR($F592="",$I592=""),0,IFERROR(INDEX(Nutrition!$D$2:$D$300,MATCH($F592,Nutrition!$A$2:$A$300,0))*$I592/100,0))</f>
        <v>2.0229999999999997</v>
      </c>
      <c r="K592" s="30">
        <f>IF(OR($F592="",$I592=""),0,IFERROR(INDEX(Nutrition!$E$2:$E$300,MATCH($F592,Nutrition!$A$2:$A$300,0))*$I592/100,0))</f>
        <v>95.676000000000002</v>
      </c>
      <c r="L592" s="30">
        <f>IF(OR($F592="",$I592=""),0,IFERROR(INDEX(Nutrition!$F$2:$F$300,MATCH($F592,Nutrition!$A$2:$A$300,0))*$I592/100,0))</f>
        <v>21.42</v>
      </c>
      <c r="M592" s="30">
        <f>IF(OR($F592="",$I592=""),0,IFERROR(INDEX(Nutrition!$G$2:$G$300,MATCH($F592,Nutrition!$A$2:$A$300,0))*$I592/100,0))</f>
        <v>8.8060000000000009</v>
      </c>
      <c r="N592" s="30">
        <f>IF(OR($F592="",$I592=""),0,IFERROR(INDEX(Nutrition!$H$2:$H$300,MATCH($F592,Nutrition!$A$2:$A$300,0))*$I592/100,0))</f>
        <v>11.9</v>
      </c>
      <c r="O592" s="30">
        <f>IF(OR($F592="",$I592=""),0,IFERROR(INDEX(Nutrition!$I$2:$I$300,MATCH($F592,Nutrition!$A$2:$A$300,0))*$I592/100,0))</f>
        <v>208.25</v>
      </c>
      <c r="P592" s="30">
        <f>IF(OR($F592="",$I592=""),0,IFERROR(INDEX(Nutrition!$J$2:$J$300,MATCH($F592,Nutrition!$A$2:$A$300,0))*$I592/100,0))</f>
        <v>0.44030000000000002</v>
      </c>
      <c r="Q592" s="30">
        <f>IF(OR($F592="",$I592=""),0,IFERROR(INDEX(Nutrition!$K$2:$K$300,MATCH($F592,Nutrition!$A$2:$A$300,0))*$I592/100,0))</f>
        <v>0.26655999999999996</v>
      </c>
      <c r="R592" s="30">
        <f>IF(OR($F592="",$I592=""),0,IFERROR(INDEX(Nutrition!$L$2:$L$300,MATCH($F592,Nutrition!$A$2:$A$300,0))*$I592/100,0))</f>
        <v>11.9</v>
      </c>
      <c r="S592" s="30">
        <f>IF(OR($F592="",$I592=""),0,IFERROR(INDEX(Nutrition!$M$2:$M$300,MATCH($F592,Nutrition!$A$2:$A$300,0))*$I592/100,0))</f>
        <v>0.40460000000000002</v>
      </c>
    </row>
    <row r="593" spans="1:19" ht="15" customHeight="1" x14ac:dyDescent="0.25">
      <c r="A593" s="22" t="s">
        <v>1677</v>
      </c>
      <c r="B593" s="33" t="str">
        <f>IFERROR(INDEX(Recipes!$B$2:$B$500,MATCH(A593,Recipes!$A$2:$A$500,0)),"")</f>
        <v>Garden Egg Ratatouille</v>
      </c>
      <c r="C593" s="7" t="s">
        <v>446</v>
      </c>
      <c r="D593" s="34">
        <v>5</v>
      </c>
      <c r="E593" s="22" t="s">
        <v>2754</v>
      </c>
      <c r="F593" s="22" t="s">
        <v>445</v>
      </c>
      <c r="G593" s="22" t="s">
        <v>2755</v>
      </c>
      <c r="H593" s="7"/>
      <c r="I593" s="35">
        <v>310</v>
      </c>
      <c r="J593" s="30">
        <f>IF(OR($F593="",$I593=""),0,IFERROR(INDEX(Nutrition!$D$2:$D$300,MATCH($F593,Nutrition!$A$2:$A$300,0))*$I593/100,0))</f>
        <v>3.72</v>
      </c>
      <c r="K593" s="30">
        <f>IF(OR($F593="",$I593=""),0,IFERROR(INDEX(Nutrition!$E$2:$E$300,MATCH($F593,Nutrition!$A$2:$A$300,0))*$I593/100,0))</f>
        <v>42.47</v>
      </c>
      <c r="L593" s="30">
        <f>IF(OR($F593="",$I593=""),0,IFERROR(INDEX(Nutrition!$F$2:$F$300,MATCH($F593,Nutrition!$A$2:$A$300,0))*$I593/100,0))</f>
        <v>130.19999999999999</v>
      </c>
      <c r="M593" s="30">
        <f>IF(OR($F593="",$I593=""),0,IFERROR(INDEX(Nutrition!$G$2:$G$300,MATCH($F593,Nutrition!$A$2:$A$300,0))*$I593/100,0))</f>
        <v>24.49</v>
      </c>
      <c r="N593" s="30">
        <f>IF(OR($F593="",$I593=""),0,IFERROR(INDEX(Nutrition!$H$2:$H$300,MATCH($F593,Nutrition!$A$2:$A$300,0))*$I593/100,0))</f>
        <v>46.5</v>
      </c>
      <c r="O593" s="30">
        <f>IF(OR($F593="",$I593=""),0,IFERROR(INDEX(Nutrition!$I$2:$I$300,MATCH($F593,Nutrition!$A$2:$A$300,0))*$I593/100,0))</f>
        <v>734.7</v>
      </c>
      <c r="P593" s="30">
        <f>IF(OR($F593="",$I593=""),0,IFERROR(INDEX(Nutrition!$J$2:$J$300,MATCH($F593,Nutrition!$A$2:$A$300,0))*$I593/100,0))</f>
        <v>1.6740000000000002</v>
      </c>
      <c r="Q593" s="30">
        <f>IF(OR($F593="",$I593=""),0,IFERROR(INDEX(Nutrition!$K$2:$K$300,MATCH($F593,Nutrition!$A$2:$A$300,0))*$I593/100,0))</f>
        <v>0.248</v>
      </c>
      <c r="R593" s="30">
        <f>IF(OR($F593="",$I593=""),0,IFERROR(INDEX(Nutrition!$L$2:$L$300,MATCH($F593,Nutrition!$A$2:$A$300,0))*$I593/100,0))</f>
        <v>34.1</v>
      </c>
      <c r="S593" s="30">
        <f>IF(OR($F593="",$I593=""),0,IFERROR(INDEX(Nutrition!$M$2:$M$300,MATCH($F593,Nutrition!$A$2:$A$300,0))*$I593/100,0))</f>
        <v>0.83700000000000008</v>
      </c>
    </row>
    <row r="594" spans="1:19" ht="15" customHeight="1" x14ac:dyDescent="0.25">
      <c r="A594" s="22" t="s">
        <v>1677</v>
      </c>
      <c r="B594" s="33" t="str">
        <f>IFERROR(INDEX(Recipes!$B$2:$B$500,MATCH(A594,Recipes!$A$2:$A$500,0)),"")</f>
        <v>Garden Egg Ratatouille</v>
      </c>
      <c r="C594" s="7" t="s">
        <v>482</v>
      </c>
      <c r="D594" s="34">
        <v>1</v>
      </c>
      <c r="E594" s="22" t="s">
        <v>2754</v>
      </c>
      <c r="F594" s="22" t="s">
        <v>481</v>
      </c>
      <c r="G594" s="22" t="s">
        <v>2755</v>
      </c>
      <c r="H594" s="7"/>
      <c r="I594" s="35">
        <v>110</v>
      </c>
      <c r="J594" s="30">
        <f>IF(OR($F594="",$I594=""),0,IFERROR(INDEX(Nutrition!$D$2:$D$300,MATCH($F594,Nutrition!$A$2:$A$300,0))*$I594/100,0))</f>
        <v>1.87</v>
      </c>
      <c r="K594" s="30">
        <f>IF(OR($F594="",$I594=""),0,IFERROR(INDEX(Nutrition!$E$2:$E$300,MATCH($F594,Nutrition!$A$2:$A$300,0))*$I594/100,0))</f>
        <v>8.14</v>
      </c>
      <c r="L594" s="30">
        <f>IF(OR($F594="",$I594=""),0,IFERROR(INDEX(Nutrition!$F$2:$F$300,MATCH($F594,Nutrition!$A$2:$A$300,0))*$I594/100,0))</f>
        <v>0</v>
      </c>
      <c r="M594" s="30">
        <f>IF(OR($F594="",$I594=""),0,IFERROR(INDEX(Nutrition!$G$2:$G$300,MATCH($F594,Nutrition!$A$2:$A$300,0))*$I594/100,0))</f>
        <v>0.44</v>
      </c>
      <c r="N594" s="30">
        <f>IF(OR($F594="",$I594=""),0,IFERROR(INDEX(Nutrition!$H$2:$H$300,MATCH($F594,Nutrition!$A$2:$A$300,0))*$I594/100,0))</f>
        <v>20.9</v>
      </c>
      <c r="O594" s="30">
        <f>IF(OR($F594="",$I594=""),0,IFERROR(INDEX(Nutrition!$I$2:$I$300,MATCH($F594,Nutrition!$A$2:$A$300,0))*$I594/100,0))</f>
        <v>160.6</v>
      </c>
      <c r="P594" s="30">
        <f>IF(OR($F594="",$I594=""),0,IFERROR(INDEX(Nutrition!$J$2:$J$300,MATCH($F594,Nutrition!$A$2:$A$300,0))*$I594/100,0))</f>
        <v>2.2000000000000002E-2</v>
      </c>
      <c r="Q594" s="30">
        <f>IF(OR($F594="",$I594=""),0,IFERROR(INDEX(Nutrition!$K$2:$K$300,MATCH($F594,Nutrition!$A$2:$A$300,0))*$I594/100,0))</f>
        <v>0.13200000000000001</v>
      </c>
      <c r="R594" s="30">
        <f>IF(OR($F594="",$I594=""),0,IFERROR(INDEX(Nutrition!$L$2:$L$300,MATCH($F594,Nutrition!$A$2:$A$300,0))*$I594/100,0))</f>
        <v>11</v>
      </c>
      <c r="S594" s="30">
        <f>IF(OR($F594="",$I594=""),0,IFERROR(INDEX(Nutrition!$M$2:$M$300,MATCH($F594,Nutrition!$A$2:$A$300,0))*$I594/100,0))</f>
        <v>0.23099999999999998</v>
      </c>
    </row>
    <row r="595" spans="1:19" ht="15" customHeight="1" x14ac:dyDescent="0.25">
      <c r="A595" s="22" t="s">
        <v>1677</v>
      </c>
      <c r="B595" s="33" t="str">
        <f>IFERROR(INDEX(Recipes!$B$2:$B$500,MATCH(A595,Recipes!$A$2:$A$500,0)),"")</f>
        <v>Garden Egg Ratatouille</v>
      </c>
      <c r="C595" s="7" t="s">
        <v>500</v>
      </c>
      <c r="D595" s="34">
        <v>4</v>
      </c>
      <c r="E595" s="22" t="s">
        <v>2776</v>
      </c>
      <c r="F595" s="22" t="s">
        <v>499</v>
      </c>
      <c r="G595" s="22" t="s">
        <v>2755</v>
      </c>
      <c r="H595" s="7"/>
      <c r="I595" s="35">
        <v>12</v>
      </c>
      <c r="J595" s="30">
        <f>IF(OR($F595="",$I595=""),0,IFERROR(INDEX(Nutrition!$D$2:$D$300,MATCH($F595,Nutrition!$A$2:$A$300,0))*$I595/100,0))</f>
        <v>0.252</v>
      </c>
      <c r="K595" s="30">
        <f>IF(OR($F595="",$I595=""),0,IFERROR(INDEX(Nutrition!$E$2:$E$300,MATCH($F595,Nutrition!$A$2:$A$300,0))*$I595/100,0))</f>
        <v>3.7439999999999998</v>
      </c>
      <c r="L595" s="30">
        <f>IF(OR($F595="",$I595=""),0,IFERROR(INDEX(Nutrition!$F$2:$F$300,MATCH($F595,Nutrition!$A$2:$A$300,0))*$I595/100,0))</f>
        <v>0</v>
      </c>
      <c r="M595" s="30">
        <f>IF(OR($F595="",$I595=""),0,IFERROR(INDEX(Nutrition!$G$2:$G$300,MATCH($F595,Nutrition!$A$2:$A$300,0))*$I595/100,0))</f>
        <v>0.20399999999999999</v>
      </c>
      <c r="N595" s="30">
        <f>IF(OR($F595="",$I595=""),0,IFERROR(INDEX(Nutrition!$H$2:$H$300,MATCH($F595,Nutrition!$A$2:$A$300,0))*$I595/100,0))</f>
        <v>0.36</v>
      </c>
      <c r="O595" s="30">
        <f>IF(OR($F595="",$I595=""),0,IFERROR(INDEX(Nutrition!$I$2:$I$300,MATCH($F595,Nutrition!$A$2:$A$300,0))*$I595/100,0))</f>
        <v>48.12</v>
      </c>
      <c r="P595" s="30">
        <f>IF(OR($F595="",$I595=""),0,IFERROR(INDEX(Nutrition!$J$2:$J$300,MATCH($F595,Nutrition!$A$2:$A$300,0))*$I595/100,0))</f>
        <v>9.5999999999999992E-3</v>
      </c>
      <c r="Q595" s="30">
        <f>IF(OR($F595="",$I595=""),0,IFERROR(INDEX(Nutrition!$K$2:$K$300,MATCH($F595,Nutrition!$A$2:$A$300,0))*$I595/100,0))</f>
        <v>0.1482</v>
      </c>
      <c r="R595" s="30">
        <f>IF(OR($F595="",$I595=""),0,IFERROR(INDEX(Nutrition!$L$2:$L$300,MATCH($F595,Nutrition!$A$2:$A$300,0))*$I595/100,0))</f>
        <v>3</v>
      </c>
      <c r="S595" s="30">
        <f>IF(OR($F595="",$I595=""),0,IFERROR(INDEX(Nutrition!$M$2:$M$300,MATCH($F595,Nutrition!$A$2:$A$300,0))*$I595/100,0))</f>
        <v>0.20399999999999999</v>
      </c>
    </row>
    <row r="596" spans="1:19" ht="15" customHeight="1" x14ac:dyDescent="0.25">
      <c r="A596" s="22" t="s">
        <v>1677</v>
      </c>
      <c r="B596" s="33" t="str">
        <f>IFERROR(INDEX(Recipes!$B$2:$B$500,MATCH(A596,Recipes!$A$2:$A$500,0)),"")</f>
        <v>Garden Egg Ratatouille</v>
      </c>
      <c r="C596" s="7" t="s">
        <v>652</v>
      </c>
      <c r="D596" s="34">
        <v>1</v>
      </c>
      <c r="E596" s="22" t="s">
        <v>2809</v>
      </c>
      <c r="F596" s="22" t="s">
        <v>651</v>
      </c>
      <c r="G596" s="22" t="s">
        <v>2755</v>
      </c>
      <c r="H596" s="7" t="s">
        <v>2890</v>
      </c>
      <c r="I596" s="35">
        <v>30</v>
      </c>
      <c r="J596" s="30">
        <f>IF(OR($F596="",$I596=""),0,IFERROR(INDEX(Nutrition!$D$2:$D$300,MATCH($F596,Nutrition!$A$2:$A$300,0))*$I596/100,0))</f>
        <v>0.48</v>
      </c>
      <c r="K596" s="30">
        <f>IF(OR($F596="",$I596=""),0,IFERROR(INDEX(Nutrition!$E$2:$E$300,MATCH($F596,Nutrition!$A$2:$A$300,0))*$I596/100,0))</f>
        <v>7.2</v>
      </c>
      <c r="L596" s="30">
        <f>IF(OR($F596="",$I596=""),0,IFERROR(INDEX(Nutrition!$F$2:$F$300,MATCH($F596,Nutrition!$A$2:$A$300,0))*$I596/100,0))</f>
        <v>79.2</v>
      </c>
      <c r="M596" s="30">
        <f>IF(OR($F596="",$I596=""),0,IFERROR(INDEX(Nutrition!$G$2:$G$300,MATCH($F596,Nutrition!$A$2:$A$300,0))*$I596/100,0))</f>
        <v>124.44</v>
      </c>
      <c r="N596" s="30">
        <f>IF(OR($F596="",$I596=""),0,IFERROR(INDEX(Nutrition!$H$2:$H$300,MATCH($F596,Nutrition!$A$2:$A$300,0))*$I596/100,0))</f>
        <v>20.399999999999999</v>
      </c>
      <c r="O596" s="30">
        <f>IF(OR($F596="",$I596=""),0,IFERROR(INDEX(Nutrition!$I$2:$I$300,MATCH($F596,Nutrition!$A$2:$A$300,0))*$I596/100,0))</f>
        <v>166.8</v>
      </c>
      <c r="P596" s="30">
        <f>IF(OR($F596="",$I596=""),0,IFERROR(INDEX(Nutrition!$J$2:$J$300,MATCH($F596,Nutrition!$A$2:$A$300,0))*$I596/100,0))</f>
        <v>0.24</v>
      </c>
      <c r="Q596" s="30">
        <f>IF(OR($F596="",$I596=""),0,IFERROR(INDEX(Nutrition!$K$2:$K$300,MATCH($F596,Nutrition!$A$2:$A$300,0))*$I596/100,0))</f>
        <v>4.6500000000000007E-2</v>
      </c>
      <c r="R596" s="30">
        <f>IF(OR($F596="",$I596=""),0,IFERROR(INDEX(Nutrition!$L$2:$L$300,MATCH($F596,Nutrition!$A$2:$A$300,0))*$I596/100,0))</f>
        <v>19.2</v>
      </c>
      <c r="S596" s="30">
        <f>IF(OR($F596="",$I596=""),0,IFERROR(INDEX(Nutrition!$M$2:$M$300,MATCH($F596,Nutrition!$A$2:$A$300,0))*$I596/100,0))</f>
        <v>0.96</v>
      </c>
    </row>
    <row r="597" spans="1:19" ht="15" customHeight="1" x14ac:dyDescent="0.25">
      <c r="A597" s="22" t="s">
        <v>1677</v>
      </c>
      <c r="B597" s="33" t="str">
        <f>IFERROR(INDEX(Recipes!$B$2:$B$500,MATCH(A597,Recipes!$A$2:$A$500,0)),"")</f>
        <v>Garden Egg Ratatouille</v>
      </c>
      <c r="C597" s="7" t="s">
        <v>2884</v>
      </c>
      <c r="D597" s="34">
        <v>1</v>
      </c>
      <c r="E597" s="22" t="s">
        <v>2759</v>
      </c>
      <c r="F597" s="22"/>
      <c r="G597" s="22" t="s">
        <v>2749</v>
      </c>
      <c r="H597" s="7"/>
      <c r="I597" s="35"/>
      <c r="J597" s="30">
        <f>IF(OR($F597="",$I597=""),0,IFERROR(INDEX(Nutrition!$D$2:$D$300,MATCH($F597,Nutrition!$A$2:$A$300,0))*$I597/100,0))</f>
        <v>0</v>
      </c>
      <c r="K597" s="30">
        <f>IF(OR($F597="",$I597=""),0,IFERROR(INDEX(Nutrition!$E$2:$E$300,MATCH($F597,Nutrition!$A$2:$A$300,0))*$I597/100,0))</f>
        <v>0</v>
      </c>
      <c r="L597" s="30">
        <f>IF(OR($F597="",$I597=""),0,IFERROR(INDEX(Nutrition!$F$2:$F$300,MATCH($F597,Nutrition!$A$2:$A$300,0))*$I597/100,0))</f>
        <v>0</v>
      </c>
      <c r="M597" s="30">
        <f>IF(OR($F597="",$I597=""),0,IFERROR(INDEX(Nutrition!$G$2:$G$300,MATCH($F597,Nutrition!$A$2:$A$300,0))*$I597/100,0))</f>
        <v>0</v>
      </c>
      <c r="N597" s="30">
        <f>IF(OR($F597="",$I597=""),0,IFERROR(INDEX(Nutrition!$H$2:$H$300,MATCH($F597,Nutrition!$A$2:$A$300,0))*$I597/100,0))</f>
        <v>0</v>
      </c>
      <c r="O597" s="30">
        <f>IF(OR($F597="",$I597=""),0,IFERROR(INDEX(Nutrition!$I$2:$I$300,MATCH($F597,Nutrition!$A$2:$A$300,0))*$I597/100,0))</f>
        <v>0</v>
      </c>
      <c r="P597" s="30">
        <f>IF(OR($F597="",$I597=""),0,IFERROR(INDEX(Nutrition!$J$2:$J$300,MATCH($F597,Nutrition!$A$2:$A$300,0))*$I597/100,0))</f>
        <v>0</v>
      </c>
      <c r="Q597" s="30">
        <f>IF(OR($F597="",$I597=""),0,IFERROR(INDEX(Nutrition!$K$2:$K$300,MATCH($F597,Nutrition!$A$2:$A$300,0))*$I597/100,0))</f>
        <v>0</v>
      </c>
      <c r="R597" s="30">
        <f>IF(OR($F597="",$I597=""),0,IFERROR(INDEX(Nutrition!$L$2:$L$300,MATCH($F597,Nutrition!$A$2:$A$300,0))*$I597/100,0))</f>
        <v>0</v>
      </c>
      <c r="S597" s="30">
        <f>IF(OR($F597="",$I597=""),0,IFERROR(INDEX(Nutrition!$M$2:$M$300,MATCH($F597,Nutrition!$A$2:$A$300,0))*$I597/100,0))</f>
        <v>0</v>
      </c>
    </row>
    <row r="598" spans="1:19" ht="15" customHeight="1" x14ac:dyDescent="0.25">
      <c r="A598" s="22" t="s">
        <v>1677</v>
      </c>
      <c r="B598" s="33" t="str">
        <f>IFERROR(INDEX(Recipes!$B$2:$B$500,MATCH(A598,Recipes!$A$2:$A$500,0)),"")</f>
        <v>Garden Egg Ratatouille</v>
      </c>
      <c r="C598" s="7" t="s">
        <v>2805</v>
      </c>
      <c r="D598" s="34">
        <v>3</v>
      </c>
      <c r="E598" s="22" t="s">
        <v>2753</v>
      </c>
      <c r="F598" s="22"/>
      <c r="G598" s="22" t="s">
        <v>2773</v>
      </c>
      <c r="H598" s="7"/>
      <c r="I598" s="35"/>
      <c r="J598" s="30">
        <f>IF(OR($F598="",$I598=""),0,IFERROR(INDEX(Nutrition!$D$2:$D$300,MATCH($F598,Nutrition!$A$2:$A$300,0))*$I598/100,0))</f>
        <v>0</v>
      </c>
      <c r="K598" s="30">
        <f>IF(OR($F598="",$I598=""),0,IFERROR(INDEX(Nutrition!$E$2:$E$300,MATCH($F598,Nutrition!$A$2:$A$300,0))*$I598/100,0))</f>
        <v>0</v>
      </c>
      <c r="L598" s="30">
        <f>IF(OR($F598="",$I598=""),0,IFERROR(INDEX(Nutrition!$F$2:$F$300,MATCH($F598,Nutrition!$A$2:$A$300,0))*$I598/100,0))</f>
        <v>0</v>
      </c>
      <c r="M598" s="30">
        <f>IF(OR($F598="",$I598=""),0,IFERROR(INDEX(Nutrition!$G$2:$G$300,MATCH($F598,Nutrition!$A$2:$A$300,0))*$I598/100,0))</f>
        <v>0</v>
      </c>
      <c r="N598" s="30">
        <f>IF(OR($F598="",$I598=""),0,IFERROR(INDEX(Nutrition!$H$2:$H$300,MATCH($F598,Nutrition!$A$2:$A$300,0))*$I598/100,0))</f>
        <v>0</v>
      </c>
      <c r="O598" s="30">
        <f>IF(OR($F598="",$I598=""),0,IFERROR(INDEX(Nutrition!$I$2:$I$300,MATCH($F598,Nutrition!$A$2:$A$300,0))*$I598/100,0))</f>
        <v>0</v>
      </c>
      <c r="P598" s="30">
        <f>IF(OR($F598="",$I598=""),0,IFERROR(INDEX(Nutrition!$J$2:$J$300,MATCH($F598,Nutrition!$A$2:$A$300,0))*$I598/100,0))</f>
        <v>0</v>
      </c>
      <c r="Q598" s="30">
        <f>IF(OR($F598="",$I598=""),0,IFERROR(INDEX(Nutrition!$K$2:$K$300,MATCH($F598,Nutrition!$A$2:$A$300,0))*$I598/100,0))</f>
        <v>0</v>
      </c>
      <c r="R598" s="30">
        <f>IF(OR($F598="",$I598=""),0,IFERROR(INDEX(Nutrition!$L$2:$L$300,MATCH($F598,Nutrition!$A$2:$A$300,0))*$I598/100,0))</f>
        <v>0</v>
      </c>
      <c r="S598" s="30">
        <f>IF(OR($F598="",$I598=""),0,IFERROR(INDEX(Nutrition!$M$2:$M$300,MATCH($F598,Nutrition!$A$2:$A$300,0))*$I598/100,0))</f>
        <v>0</v>
      </c>
    </row>
    <row r="599" spans="1:19" ht="15" customHeight="1" x14ac:dyDescent="0.25">
      <c r="A599" s="22" t="s">
        <v>1690</v>
      </c>
      <c r="B599" s="33" t="str">
        <f>IFERROR(INDEX(Recipes!$B$2:$B$500,MATCH(A599,Recipes!$A$2:$A$500,0)),"")</f>
        <v>Scent Leaf Chimichurri</v>
      </c>
      <c r="C599" s="7" t="s">
        <v>2806</v>
      </c>
      <c r="D599" s="34">
        <v>2</v>
      </c>
      <c r="E599" s="22" t="s">
        <v>2754</v>
      </c>
      <c r="F599" s="22"/>
      <c r="G599" s="22" t="s">
        <v>2768</v>
      </c>
      <c r="H599" s="7"/>
      <c r="I599" s="35"/>
      <c r="J599" s="30">
        <f>IF(OR($F599="",$I599=""),0,IFERROR(INDEX(Nutrition!$D$2:$D$300,MATCH($F599,Nutrition!$A$2:$A$300,0))*$I599/100,0))</f>
        <v>0</v>
      </c>
      <c r="K599" s="30">
        <f>IF(OR($F599="",$I599=""),0,IFERROR(INDEX(Nutrition!$E$2:$E$300,MATCH($F599,Nutrition!$A$2:$A$300,0))*$I599/100,0))</f>
        <v>0</v>
      </c>
      <c r="L599" s="30">
        <f>IF(OR($F599="",$I599=""),0,IFERROR(INDEX(Nutrition!$F$2:$F$300,MATCH($F599,Nutrition!$A$2:$A$300,0))*$I599/100,0))</f>
        <v>0</v>
      </c>
      <c r="M599" s="30">
        <f>IF(OR($F599="",$I599=""),0,IFERROR(INDEX(Nutrition!$G$2:$G$300,MATCH($F599,Nutrition!$A$2:$A$300,0))*$I599/100,0))</f>
        <v>0</v>
      </c>
      <c r="N599" s="30">
        <f>IF(OR($F599="",$I599=""),0,IFERROR(INDEX(Nutrition!$H$2:$H$300,MATCH($F599,Nutrition!$A$2:$A$300,0))*$I599/100,0))</f>
        <v>0</v>
      </c>
      <c r="O599" s="30">
        <f>IF(OR($F599="",$I599=""),0,IFERROR(INDEX(Nutrition!$I$2:$I$300,MATCH($F599,Nutrition!$A$2:$A$300,0))*$I599/100,0))</f>
        <v>0</v>
      </c>
      <c r="P599" s="30">
        <f>IF(OR($F599="",$I599=""),0,IFERROR(INDEX(Nutrition!$J$2:$J$300,MATCH($F599,Nutrition!$A$2:$A$300,0))*$I599/100,0))</f>
        <v>0</v>
      </c>
      <c r="Q599" s="30">
        <f>IF(OR($F599="",$I599=""),0,IFERROR(INDEX(Nutrition!$K$2:$K$300,MATCH($F599,Nutrition!$A$2:$A$300,0))*$I599/100,0))</f>
        <v>0</v>
      </c>
      <c r="R599" s="30">
        <f>IF(OR($F599="",$I599=""),0,IFERROR(INDEX(Nutrition!$L$2:$L$300,MATCH($F599,Nutrition!$A$2:$A$300,0))*$I599/100,0))</f>
        <v>0</v>
      </c>
      <c r="S599" s="30">
        <f>IF(OR($F599="",$I599=""),0,IFERROR(INDEX(Nutrition!$M$2:$M$300,MATCH($F599,Nutrition!$A$2:$A$300,0))*$I599/100,0))</f>
        <v>0</v>
      </c>
    </row>
    <row r="600" spans="1:19" ht="15" customHeight="1" x14ac:dyDescent="0.25">
      <c r="A600" s="22" t="s">
        <v>1690</v>
      </c>
      <c r="B600" s="33" t="str">
        <f>IFERROR(INDEX(Recipes!$B$2:$B$500,MATCH(A600,Recipes!$A$2:$A$500,0)),"")</f>
        <v>Scent Leaf Chimichurri</v>
      </c>
      <c r="C600" s="7" t="s">
        <v>652</v>
      </c>
      <c r="D600" s="34">
        <v>1</v>
      </c>
      <c r="E600" s="22" t="s">
        <v>635</v>
      </c>
      <c r="F600" s="22" t="s">
        <v>651</v>
      </c>
      <c r="G600" s="22" t="s">
        <v>2755</v>
      </c>
      <c r="H600" s="7"/>
      <c r="I600" s="35">
        <v>50</v>
      </c>
      <c r="J600" s="30">
        <f>IF(OR($F600="",$I600=""),0,IFERROR(INDEX(Nutrition!$D$2:$D$300,MATCH($F600,Nutrition!$A$2:$A$300,0))*$I600/100,0))</f>
        <v>0.8</v>
      </c>
      <c r="K600" s="30">
        <f>IF(OR($F600="",$I600=""),0,IFERROR(INDEX(Nutrition!$E$2:$E$300,MATCH($F600,Nutrition!$A$2:$A$300,0))*$I600/100,0))</f>
        <v>12</v>
      </c>
      <c r="L600" s="30">
        <f>IF(OR($F600="",$I600=""),0,IFERROR(INDEX(Nutrition!$F$2:$F$300,MATCH($F600,Nutrition!$A$2:$A$300,0))*$I600/100,0))</f>
        <v>132</v>
      </c>
      <c r="M600" s="30">
        <f>IF(OR($F600="",$I600=""),0,IFERROR(INDEX(Nutrition!$G$2:$G$300,MATCH($F600,Nutrition!$A$2:$A$300,0))*$I600/100,0))</f>
        <v>207.4</v>
      </c>
      <c r="N600" s="30">
        <f>IF(OR($F600="",$I600=""),0,IFERROR(INDEX(Nutrition!$H$2:$H$300,MATCH($F600,Nutrition!$A$2:$A$300,0))*$I600/100,0))</f>
        <v>34</v>
      </c>
      <c r="O600" s="30">
        <f>IF(OR($F600="",$I600=""),0,IFERROR(INDEX(Nutrition!$I$2:$I$300,MATCH($F600,Nutrition!$A$2:$A$300,0))*$I600/100,0))</f>
        <v>278</v>
      </c>
      <c r="P600" s="30">
        <f>IF(OR($F600="",$I600=""),0,IFERROR(INDEX(Nutrition!$J$2:$J$300,MATCH($F600,Nutrition!$A$2:$A$300,0))*$I600/100,0))</f>
        <v>0.4</v>
      </c>
      <c r="Q600" s="30">
        <f>IF(OR($F600="",$I600=""),0,IFERROR(INDEX(Nutrition!$K$2:$K$300,MATCH($F600,Nutrition!$A$2:$A$300,0))*$I600/100,0))</f>
        <v>7.7499999999999999E-2</v>
      </c>
      <c r="R600" s="30">
        <f>IF(OR($F600="",$I600=""),0,IFERROR(INDEX(Nutrition!$L$2:$L$300,MATCH($F600,Nutrition!$A$2:$A$300,0))*$I600/100,0))</f>
        <v>32</v>
      </c>
      <c r="S600" s="30">
        <f>IF(OR($F600="",$I600=""),0,IFERROR(INDEX(Nutrition!$M$2:$M$300,MATCH($F600,Nutrition!$A$2:$A$300,0))*$I600/100,0))</f>
        <v>1.6</v>
      </c>
    </row>
    <row r="601" spans="1:19" ht="15" customHeight="1" x14ac:dyDescent="0.25">
      <c r="A601" s="22" t="s">
        <v>1690</v>
      </c>
      <c r="B601" s="33" t="str">
        <f>IFERROR(INDEX(Recipes!$B$2:$B$500,MATCH(A601,Recipes!$A$2:$A$500,0)),"")</f>
        <v>Scent Leaf Chimichurri</v>
      </c>
      <c r="C601" s="7" t="s">
        <v>671</v>
      </c>
      <c r="D601" s="34">
        <v>0.5</v>
      </c>
      <c r="E601" s="22" t="s">
        <v>635</v>
      </c>
      <c r="F601" s="22" t="s">
        <v>670</v>
      </c>
      <c r="G601" s="22" t="s">
        <v>2755</v>
      </c>
      <c r="H601" s="7"/>
      <c r="I601" s="35">
        <v>25</v>
      </c>
      <c r="J601" s="30">
        <f>IF(OR($F601="",$I601=""),0,IFERROR(INDEX(Nutrition!$D$2:$D$300,MATCH($F601,Nutrition!$A$2:$A$300,0))*$I601/100,0))</f>
        <v>0.82499999999999996</v>
      </c>
      <c r="K601" s="30">
        <f>IF(OR($F601="",$I601=""),0,IFERROR(INDEX(Nutrition!$E$2:$E$300,MATCH($F601,Nutrition!$A$2:$A$300,0))*$I601/100,0))</f>
        <v>33.25</v>
      </c>
      <c r="L601" s="30">
        <f>IF(OR($F601="",$I601=""),0,IFERROR(INDEX(Nutrition!$F$2:$F$300,MATCH($F601,Nutrition!$A$2:$A$300,0))*$I601/100,0))</f>
        <v>105.25</v>
      </c>
      <c r="M601" s="30">
        <f>IF(OR($F601="",$I601=""),0,IFERROR(INDEX(Nutrition!$G$2:$G$300,MATCH($F601,Nutrition!$A$2:$A$300,0))*$I601/100,0))</f>
        <v>410</v>
      </c>
      <c r="N601" s="30">
        <f>IF(OR($F601="",$I601=""),0,IFERROR(INDEX(Nutrition!$H$2:$H$300,MATCH($F601,Nutrition!$A$2:$A$300,0))*$I601/100,0))</f>
        <v>38</v>
      </c>
      <c r="O601" s="30">
        <f>IF(OR($F601="",$I601=""),0,IFERROR(INDEX(Nutrition!$I$2:$I$300,MATCH($F601,Nutrition!$A$2:$A$300,0))*$I601/100,0))</f>
        <v>138.5</v>
      </c>
      <c r="P601" s="30">
        <f>IF(OR($F601="",$I601=""),0,IFERROR(INDEX(Nutrition!$J$2:$J$300,MATCH($F601,Nutrition!$A$2:$A$300,0))*$I601/100,0))</f>
        <v>0.1875</v>
      </c>
      <c r="Q601" s="30">
        <f>IF(OR($F601="",$I601=""),0,IFERROR(INDEX(Nutrition!$K$2:$K$300,MATCH($F601,Nutrition!$A$2:$A$300,0))*$I601/100,0))</f>
        <v>2.2499999999999999E-2</v>
      </c>
      <c r="R601" s="30">
        <f>IF(OR($F601="",$I601=""),0,IFERROR(INDEX(Nutrition!$L$2:$L$300,MATCH($F601,Nutrition!$A$2:$A$300,0))*$I601/100,0))</f>
        <v>12.5</v>
      </c>
      <c r="S601" s="30">
        <f>IF(OR($F601="",$I601=""),0,IFERROR(INDEX(Nutrition!$M$2:$M$300,MATCH($F601,Nutrition!$A$2:$A$300,0))*$I601/100,0))</f>
        <v>1.55</v>
      </c>
    </row>
    <row r="602" spans="1:19" ht="15" customHeight="1" x14ac:dyDescent="0.25">
      <c r="A602" s="22" t="s">
        <v>1690</v>
      </c>
      <c r="B602" s="33" t="str">
        <f>IFERROR(INDEX(Recipes!$B$2:$B$500,MATCH(A602,Recipes!$A$2:$A$500,0)),"")</f>
        <v>Scent Leaf Chimichurri</v>
      </c>
      <c r="C602" s="7" t="s">
        <v>500</v>
      </c>
      <c r="D602" s="34">
        <v>3</v>
      </c>
      <c r="E602" s="22" t="s">
        <v>2776</v>
      </c>
      <c r="F602" s="22" t="s">
        <v>499</v>
      </c>
      <c r="G602" s="22" t="s">
        <v>2755</v>
      </c>
      <c r="H602" s="7"/>
      <c r="I602" s="35">
        <v>9</v>
      </c>
      <c r="J602" s="30">
        <f>IF(OR($F602="",$I602=""),0,IFERROR(INDEX(Nutrition!$D$2:$D$300,MATCH($F602,Nutrition!$A$2:$A$300,0))*$I602/100,0))</f>
        <v>0.18900000000000003</v>
      </c>
      <c r="K602" s="30">
        <f>IF(OR($F602="",$I602=""),0,IFERROR(INDEX(Nutrition!$E$2:$E$300,MATCH($F602,Nutrition!$A$2:$A$300,0))*$I602/100,0))</f>
        <v>2.8080000000000003</v>
      </c>
      <c r="L602" s="30">
        <f>IF(OR($F602="",$I602=""),0,IFERROR(INDEX(Nutrition!$F$2:$F$300,MATCH($F602,Nutrition!$A$2:$A$300,0))*$I602/100,0))</f>
        <v>0</v>
      </c>
      <c r="M602" s="30">
        <f>IF(OR($F602="",$I602=""),0,IFERROR(INDEX(Nutrition!$G$2:$G$300,MATCH($F602,Nutrition!$A$2:$A$300,0))*$I602/100,0))</f>
        <v>0.153</v>
      </c>
      <c r="N602" s="30">
        <f>IF(OR($F602="",$I602=""),0,IFERROR(INDEX(Nutrition!$H$2:$H$300,MATCH($F602,Nutrition!$A$2:$A$300,0))*$I602/100,0))</f>
        <v>0.27</v>
      </c>
      <c r="O602" s="30">
        <f>IF(OR($F602="",$I602=""),0,IFERROR(INDEX(Nutrition!$I$2:$I$300,MATCH($F602,Nutrition!$A$2:$A$300,0))*$I602/100,0))</f>
        <v>36.090000000000003</v>
      </c>
      <c r="P602" s="30">
        <f>IF(OR($F602="",$I602=""),0,IFERROR(INDEX(Nutrition!$J$2:$J$300,MATCH($F602,Nutrition!$A$2:$A$300,0))*$I602/100,0))</f>
        <v>7.1999999999999998E-3</v>
      </c>
      <c r="Q602" s="30">
        <f>IF(OR($F602="",$I602=""),0,IFERROR(INDEX(Nutrition!$K$2:$K$300,MATCH($F602,Nutrition!$A$2:$A$300,0))*$I602/100,0))</f>
        <v>0.11115</v>
      </c>
      <c r="R602" s="30">
        <f>IF(OR($F602="",$I602=""),0,IFERROR(INDEX(Nutrition!$L$2:$L$300,MATCH($F602,Nutrition!$A$2:$A$300,0))*$I602/100,0))</f>
        <v>2.25</v>
      </c>
      <c r="S602" s="30">
        <f>IF(OR($F602="",$I602=""),0,IFERROR(INDEX(Nutrition!$M$2:$M$300,MATCH($F602,Nutrition!$A$2:$A$300,0))*$I602/100,0))</f>
        <v>0.153</v>
      </c>
    </row>
    <row r="603" spans="1:19" ht="15" customHeight="1" x14ac:dyDescent="0.25">
      <c r="A603" s="22" t="s">
        <v>1690</v>
      </c>
      <c r="B603" s="33" t="str">
        <f>IFERROR(INDEX(Recipes!$B$2:$B$500,MATCH(A603,Recipes!$A$2:$A$500,0)),"")</f>
        <v>Scent Leaf Chimichurri</v>
      </c>
      <c r="C603" s="7" t="s">
        <v>473</v>
      </c>
      <c r="D603" s="34">
        <v>0.25</v>
      </c>
      <c r="E603" s="22" t="s">
        <v>2754</v>
      </c>
      <c r="F603" s="22" t="s">
        <v>472</v>
      </c>
      <c r="G603" s="22" t="s">
        <v>2755</v>
      </c>
      <c r="H603" s="7"/>
      <c r="I603" s="35">
        <v>2</v>
      </c>
      <c r="J603" s="30">
        <f>IF(OR($F603="",$I603=""),0,IFERROR(INDEX(Nutrition!$D$2:$D$300,MATCH($F603,Nutrition!$A$2:$A$300,0))*$I603/100,0))</f>
        <v>0.03</v>
      </c>
      <c r="K603" s="30">
        <f>IF(OR($F603="",$I603=""),0,IFERROR(INDEX(Nutrition!$E$2:$E$300,MATCH($F603,Nutrition!$A$2:$A$300,0))*$I603/100,0))</f>
        <v>2.8739999999999997</v>
      </c>
      <c r="L603" s="30">
        <f>IF(OR($F603="",$I603=""),0,IFERROR(INDEX(Nutrition!$F$2:$F$300,MATCH($F603,Nutrition!$A$2:$A$300,0))*$I603/100,0))</f>
        <v>0.96</v>
      </c>
      <c r="M603" s="30">
        <f>IF(OR($F603="",$I603=""),0,IFERROR(INDEX(Nutrition!$G$2:$G$300,MATCH($F603,Nutrition!$A$2:$A$300,0))*$I603/100,0))</f>
        <v>0.28000000000000003</v>
      </c>
      <c r="N603" s="30">
        <f>IF(OR($F603="",$I603=""),0,IFERROR(INDEX(Nutrition!$H$2:$H$300,MATCH($F603,Nutrition!$A$2:$A$300,0))*$I603/100,0))</f>
        <v>0.46</v>
      </c>
      <c r="O603" s="30">
        <f>IF(OR($F603="",$I603=""),0,IFERROR(INDEX(Nutrition!$I$2:$I$300,MATCH($F603,Nutrition!$A$2:$A$300,0))*$I603/100,0))</f>
        <v>6.44</v>
      </c>
      <c r="P603" s="30">
        <f>IF(OR($F603="",$I603=""),0,IFERROR(INDEX(Nutrition!$J$2:$J$300,MATCH($F603,Nutrition!$A$2:$A$300,0))*$I603/100,0))</f>
        <v>1.38E-2</v>
      </c>
      <c r="Q603" s="30">
        <f>IF(OR($F603="",$I603=""),0,IFERROR(INDEX(Nutrition!$K$2:$K$300,MATCH($F603,Nutrition!$A$2:$A$300,0))*$I603/100,0))</f>
        <v>1.0120000000000001E-2</v>
      </c>
      <c r="R603" s="30">
        <f>IF(OR($F603="",$I603=""),0,IFERROR(INDEX(Nutrition!$L$2:$L$300,MATCH($F603,Nutrition!$A$2:$A$300,0))*$I603/100,0))</f>
        <v>0.46</v>
      </c>
      <c r="S603" s="30">
        <f>IF(OR($F603="",$I603=""),0,IFERROR(INDEX(Nutrition!$M$2:$M$300,MATCH($F603,Nutrition!$A$2:$A$300,0))*$I603/100,0))</f>
        <v>2.06E-2</v>
      </c>
    </row>
    <row r="604" spans="1:19" ht="15" customHeight="1" x14ac:dyDescent="0.25">
      <c r="A604" s="22" t="s">
        <v>1690</v>
      </c>
      <c r="B604" s="33" t="str">
        <f>IFERROR(INDEX(Recipes!$B$2:$B$500,MATCH(A604,Recipes!$A$2:$A$500,0)),"")</f>
        <v>Scent Leaf Chimichurri</v>
      </c>
      <c r="C604" s="7" t="s">
        <v>213</v>
      </c>
      <c r="D604" s="34">
        <v>1</v>
      </c>
      <c r="E604" s="22" t="s">
        <v>2754</v>
      </c>
      <c r="F604" s="22" t="s">
        <v>212</v>
      </c>
      <c r="G604" s="22" t="s">
        <v>2755</v>
      </c>
      <c r="H604" s="7"/>
      <c r="I604" s="35">
        <v>67</v>
      </c>
      <c r="J604" s="30">
        <f>IF(OR($F604="",$I604=""),0,IFERROR(INDEX(Nutrition!$D$2:$D$300,MATCH($F604,Nutrition!$A$2:$A$300,0))*$I604/100,0))</f>
        <v>1.8759999999999999</v>
      </c>
      <c r="K604" s="30">
        <f>IF(OR($F604="",$I604=""),0,IFERROR(INDEX(Nutrition!$E$2:$E$300,MATCH($F604,Nutrition!$A$2:$A$300,0))*$I604/100,0))</f>
        <v>19.497</v>
      </c>
      <c r="L604" s="30">
        <f>IF(OR($F604="",$I604=""),0,IFERROR(INDEX(Nutrition!$F$2:$F$300,MATCH($F604,Nutrition!$A$2:$A$300,0))*$I604/100,0))</f>
        <v>1.34</v>
      </c>
      <c r="M604" s="30">
        <f>IF(OR($F604="",$I604=""),0,IFERROR(INDEX(Nutrition!$G$2:$G$300,MATCH($F604,Nutrition!$A$2:$A$300,0))*$I604/100,0))</f>
        <v>0.40199999999999997</v>
      </c>
      <c r="N604" s="30">
        <f>IF(OR($F604="",$I604=""),0,IFERROR(INDEX(Nutrition!$H$2:$H$300,MATCH($F604,Nutrition!$A$2:$A$300,0))*$I604/100,0))</f>
        <v>5.36</v>
      </c>
      <c r="O604" s="30">
        <f>IF(OR($F604="",$I604=""),0,IFERROR(INDEX(Nutrition!$I$2:$I$300,MATCH($F604,Nutrition!$A$2:$A$300,0))*$I604/100,0))</f>
        <v>68.34</v>
      </c>
      <c r="P604" s="30">
        <f>IF(OR($F604="",$I604=""),0,IFERROR(INDEX(Nutrition!$J$2:$J$300,MATCH($F604,Nutrition!$A$2:$A$300,0))*$I604/100,0))</f>
        <v>0.1474</v>
      </c>
      <c r="Q604" s="30">
        <f>IF(OR($F604="",$I604=""),0,IFERROR(INDEX(Nutrition!$K$2:$K$300,MATCH($F604,Nutrition!$A$2:$A$300,0))*$I604/100,0))</f>
        <v>2.8809999999999999E-2</v>
      </c>
      <c r="R604" s="30">
        <f>IF(OR($F604="",$I604=""),0,IFERROR(INDEX(Nutrition!$L$2:$L$300,MATCH($F604,Nutrition!$A$2:$A$300,0))*$I604/100,0))</f>
        <v>4.0199999999999996</v>
      </c>
      <c r="S604" s="30">
        <f>IF(OR($F604="",$I604=""),0,IFERROR(INDEX(Nutrition!$M$2:$M$300,MATCH($F604,Nutrition!$A$2:$A$300,0))*$I604/100,0))</f>
        <v>0.40199999999999997</v>
      </c>
    </row>
    <row r="605" spans="1:19" ht="15" customHeight="1" x14ac:dyDescent="0.25">
      <c r="A605" s="22" t="s">
        <v>1690</v>
      </c>
      <c r="B605" s="33" t="str">
        <f>IFERROR(INDEX(Recipes!$B$2:$B$500,MATCH(A605,Recipes!$A$2:$A$500,0)),"")</f>
        <v>Scent Leaf Chimichurri</v>
      </c>
      <c r="C605" s="7" t="s">
        <v>610</v>
      </c>
      <c r="D605" s="34">
        <v>2</v>
      </c>
      <c r="E605" s="22" t="s">
        <v>2754</v>
      </c>
      <c r="F605" s="22" t="s">
        <v>609</v>
      </c>
      <c r="G605" s="22" t="s">
        <v>2755</v>
      </c>
      <c r="H605" s="7" t="s">
        <v>2891</v>
      </c>
      <c r="I605" s="35">
        <v>260</v>
      </c>
      <c r="J605" s="30">
        <f>IF(OR($F605="",$I605=""),0,IFERROR(INDEX(Nutrition!$D$2:$D$300,MATCH($F605,Nutrition!$A$2:$A$300,0))*$I605/100,0))</f>
        <v>7.8</v>
      </c>
      <c r="K605" s="30">
        <f>IF(OR($F605="",$I605=""),0,IFERROR(INDEX(Nutrition!$E$2:$E$300,MATCH($F605,Nutrition!$A$2:$A$300,0))*$I605/100,0))</f>
        <v>6.24</v>
      </c>
      <c r="L605" s="30">
        <f>IF(OR($F605="",$I605=""),0,IFERROR(INDEX(Nutrition!$F$2:$F$300,MATCH($F605,Nutrition!$A$2:$A$300,0))*$I605/100,0))</f>
        <v>1843.4</v>
      </c>
      <c r="M605" s="30">
        <f>IF(OR($F605="",$I605=""),0,IFERROR(INDEX(Nutrition!$G$2:$G$300,MATCH($F605,Nutrition!$A$2:$A$300,0))*$I605/100,0))</f>
        <v>4.68</v>
      </c>
      <c r="N605" s="30">
        <f>IF(OR($F605="",$I605=""),0,IFERROR(INDEX(Nutrition!$H$2:$H$300,MATCH($F605,Nutrition!$A$2:$A$300,0))*$I605/100,0))</f>
        <v>28.6</v>
      </c>
      <c r="O605" s="30">
        <f>IF(OR($F605="",$I605=""),0,IFERROR(INDEX(Nutrition!$I$2:$I$300,MATCH($F605,Nutrition!$A$2:$A$300,0))*$I605/100,0))</f>
        <v>876.2</v>
      </c>
      <c r="P605" s="30">
        <f>IF(OR($F605="",$I605=""),0,IFERROR(INDEX(Nutrition!$J$2:$J$300,MATCH($F605,Nutrition!$A$2:$A$300,0))*$I605/100,0))</f>
        <v>0.67600000000000005</v>
      </c>
      <c r="Q605" s="30">
        <f>IF(OR($F605="",$I605=""),0,IFERROR(INDEX(Nutrition!$K$2:$K$300,MATCH($F605,Nutrition!$A$2:$A$300,0))*$I605/100,0))</f>
        <v>0.54339999999999999</v>
      </c>
      <c r="R605" s="30">
        <f>IF(OR($F605="",$I605=""),0,IFERROR(INDEX(Nutrition!$L$2:$L$300,MATCH($F605,Nutrition!$A$2:$A$300,0))*$I605/100,0))</f>
        <v>65</v>
      </c>
      <c r="S605" s="30">
        <f>IF(OR($F605="",$I605=""),0,IFERROR(INDEX(Nutrition!$M$2:$M$300,MATCH($F605,Nutrition!$A$2:$A$300,0))*$I605/100,0))</f>
        <v>1.5859999999999999</v>
      </c>
    </row>
    <row r="606" spans="1:19" ht="15" customHeight="1" x14ac:dyDescent="0.25">
      <c r="A606" s="22" t="s">
        <v>1690</v>
      </c>
      <c r="B606" s="33" t="str">
        <f>IFERROR(INDEX(Recipes!$B$2:$B$500,MATCH(A606,Recipes!$A$2:$A$500,0)),"")</f>
        <v>Scent Leaf Chimichurri</v>
      </c>
      <c r="C606" s="7" t="s">
        <v>2892</v>
      </c>
      <c r="D606" s="34">
        <v>2</v>
      </c>
      <c r="E606" s="22" t="s">
        <v>2753</v>
      </c>
      <c r="F606" s="22"/>
      <c r="G606" s="22" t="s">
        <v>2749</v>
      </c>
      <c r="H606" s="7"/>
      <c r="I606" s="35"/>
      <c r="J606" s="30">
        <f>IF(OR($F606="",$I606=""),0,IFERROR(INDEX(Nutrition!$D$2:$D$300,MATCH($F606,Nutrition!$A$2:$A$300,0))*$I606/100,0))</f>
        <v>0</v>
      </c>
      <c r="K606" s="30">
        <f>IF(OR($F606="",$I606=""),0,IFERROR(INDEX(Nutrition!$E$2:$E$300,MATCH($F606,Nutrition!$A$2:$A$300,0))*$I606/100,0))</f>
        <v>0</v>
      </c>
      <c r="L606" s="30">
        <f>IF(OR($F606="",$I606=""),0,IFERROR(INDEX(Nutrition!$F$2:$F$300,MATCH($F606,Nutrition!$A$2:$A$300,0))*$I606/100,0))</f>
        <v>0</v>
      </c>
      <c r="M606" s="30">
        <f>IF(OR($F606="",$I606=""),0,IFERROR(INDEX(Nutrition!$G$2:$G$300,MATCH($F606,Nutrition!$A$2:$A$300,0))*$I606/100,0))</f>
        <v>0</v>
      </c>
      <c r="N606" s="30">
        <f>IF(OR($F606="",$I606=""),0,IFERROR(INDEX(Nutrition!$H$2:$H$300,MATCH($F606,Nutrition!$A$2:$A$300,0))*$I606/100,0))</f>
        <v>0</v>
      </c>
      <c r="O606" s="30">
        <f>IF(OR($F606="",$I606=""),0,IFERROR(INDEX(Nutrition!$I$2:$I$300,MATCH($F606,Nutrition!$A$2:$A$300,0))*$I606/100,0))</f>
        <v>0</v>
      </c>
      <c r="P606" s="30">
        <f>IF(OR($F606="",$I606=""),0,IFERROR(INDEX(Nutrition!$J$2:$J$300,MATCH($F606,Nutrition!$A$2:$A$300,0))*$I606/100,0))</f>
        <v>0</v>
      </c>
      <c r="Q606" s="30">
        <f>IF(OR($F606="",$I606=""),0,IFERROR(INDEX(Nutrition!$K$2:$K$300,MATCH($F606,Nutrition!$A$2:$A$300,0))*$I606/100,0))</f>
        <v>0</v>
      </c>
      <c r="R606" s="30">
        <f>IF(OR($F606="",$I606=""),0,IFERROR(INDEX(Nutrition!$L$2:$L$300,MATCH($F606,Nutrition!$A$2:$A$300,0))*$I606/100,0))</f>
        <v>0</v>
      </c>
      <c r="S606" s="30">
        <f>IF(OR($F606="",$I606=""),0,IFERROR(INDEX(Nutrition!$M$2:$M$300,MATCH($F606,Nutrition!$A$2:$A$300,0))*$I606/100,0))</f>
        <v>0</v>
      </c>
    </row>
    <row r="607" spans="1:19" ht="15" customHeight="1" x14ac:dyDescent="0.25">
      <c r="A607" s="22" t="s">
        <v>1690</v>
      </c>
      <c r="B607" s="33" t="str">
        <f>IFERROR(INDEX(Recipes!$B$2:$B$500,MATCH(A607,Recipes!$A$2:$A$500,0)),"")</f>
        <v>Scent Leaf Chimichurri</v>
      </c>
      <c r="C607" s="7" t="s">
        <v>2805</v>
      </c>
      <c r="D607" s="34">
        <v>4</v>
      </c>
      <c r="E607" s="22" t="s">
        <v>2753</v>
      </c>
      <c r="F607" s="22"/>
      <c r="G607" s="22" t="s">
        <v>2773</v>
      </c>
      <c r="H607" s="7"/>
      <c r="I607" s="35"/>
      <c r="J607" s="30">
        <f>IF(OR($F607="",$I607=""),0,IFERROR(INDEX(Nutrition!$D$2:$D$300,MATCH($F607,Nutrition!$A$2:$A$300,0))*$I607/100,0))</f>
        <v>0</v>
      </c>
      <c r="K607" s="30">
        <f>IF(OR($F607="",$I607=""),0,IFERROR(INDEX(Nutrition!$E$2:$E$300,MATCH($F607,Nutrition!$A$2:$A$300,0))*$I607/100,0))</f>
        <v>0</v>
      </c>
      <c r="L607" s="30">
        <f>IF(OR($F607="",$I607=""),0,IFERROR(INDEX(Nutrition!$F$2:$F$300,MATCH($F607,Nutrition!$A$2:$A$300,0))*$I607/100,0))</f>
        <v>0</v>
      </c>
      <c r="M607" s="30">
        <f>IF(OR($F607="",$I607=""),0,IFERROR(INDEX(Nutrition!$G$2:$G$300,MATCH($F607,Nutrition!$A$2:$A$300,0))*$I607/100,0))</f>
        <v>0</v>
      </c>
      <c r="N607" s="30">
        <f>IF(OR($F607="",$I607=""),0,IFERROR(INDEX(Nutrition!$H$2:$H$300,MATCH($F607,Nutrition!$A$2:$A$300,0))*$I607/100,0))</f>
        <v>0</v>
      </c>
      <c r="O607" s="30">
        <f>IF(OR($F607="",$I607=""),0,IFERROR(INDEX(Nutrition!$I$2:$I$300,MATCH($F607,Nutrition!$A$2:$A$300,0))*$I607/100,0))</f>
        <v>0</v>
      </c>
      <c r="P607" s="30">
        <f>IF(OR($F607="",$I607=""),0,IFERROR(INDEX(Nutrition!$J$2:$J$300,MATCH($F607,Nutrition!$A$2:$A$300,0))*$I607/100,0))</f>
        <v>0</v>
      </c>
      <c r="Q607" s="30">
        <f>IF(OR($F607="",$I607=""),0,IFERROR(INDEX(Nutrition!$K$2:$K$300,MATCH($F607,Nutrition!$A$2:$A$300,0))*$I607/100,0))</f>
        <v>0</v>
      </c>
      <c r="R607" s="30">
        <f>IF(OR($F607="",$I607=""),0,IFERROR(INDEX(Nutrition!$L$2:$L$300,MATCH($F607,Nutrition!$A$2:$A$300,0))*$I607/100,0))</f>
        <v>0</v>
      </c>
      <c r="S607" s="30">
        <f>IF(OR($F607="",$I607=""),0,IFERROR(INDEX(Nutrition!$M$2:$M$300,MATCH($F607,Nutrition!$A$2:$A$300,0))*$I607/100,0))</f>
        <v>0</v>
      </c>
    </row>
    <row r="608" spans="1:19" ht="15" customHeight="1" x14ac:dyDescent="0.25">
      <c r="A608" s="22" t="s">
        <v>1690</v>
      </c>
      <c r="B608" s="33" t="str">
        <f>IFERROR(INDEX(Recipes!$B$2:$B$500,MATCH(A608,Recipes!$A$2:$A$500,0)),"")</f>
        <v>Scent Leaf Chimichurri</v>
      </c>
      <c r="C608" s="7" t="s">
        <v>2781</v>
      </c>
      <c r="D608" s="34">
        <v>1</v>
      </c>
      <c r="E608" s="22" t="s">
        <v>2782</v>
      </c>
      <c r="F608" s="22"/>
      <c r="G608" s="22" t="s">
        <v>2773</v>
      </c>
      <c r="H608" s="7"/>
      <c r="I608" s="35"/>
      <c r="J608" s="30">
        <f>IF(OR($F608="",$I608=""),0,IFERROR(INDEX(Nutrition!$D$2:$D$300,MATCH($F608,Nutrition!$A$2:$A$300,0))*$I608/100,0))</f>
        <v>0</v>
      </c>
      <c r="K608" s="30">
        <f>IF(OR($F608="",$I608=""),0,IFERROR(INDEX(Nutrition!$E$2:$E$300,MATCH($F608,Nutrition!$A$2:$A$300,0))*$I608/100,0))</f>
        <v>0</v>
      </c>
      <c r="L608" s="30">
        <f>IF(OR($F608="",$I608=""),0,IFERROR(INDEX(Nutrition!$F$2:$F$300,MATCH($F608,Nutrition!$A$2:$A$300,0))*$I608/100,0))</f>
        <v>0</v>
      </c>
      <c r="M608" s="30">
        <f>IF(OR($F608="",$I608=""),0,IFERROR(INDEX(Nutrition!$G$2:$G$300,MATCH($F608,Nutrition!$A$2:$A$300,0))*$I608/100,0))</f>
        <v>0</v>
      </c>
      <c r="N608" s="30">
        <f>IF(OR($F608="",$I608=""),0,IFERROR(INDEX(Nutrition!$H$2:$H$300,MATCH($F608,Nutrition!$A$2:$A$300,0))*$I608/100,0))</f>
        <v>0</v>
      </c>
      <c r="O608" s="30">
        <f>IF(OR($F608="",$I608=""),0,IFERROR(INDEX(Nutrition!$I$2:$I$300,MATCH($F608,Nutrition!$A$2:$A$300,0))*$I608/100,0))</f>
        <v>0</v>
      </c>
      <c r="P608" s="30">
        <f>IF(OR($F608="",$I608=""),0,IFERROR(INDEX(Nutrition!$J$2:$J$300,MATCH($F608,Nutrition!$A$2:$A$300,0))*$I608/100,0))</f>
        <v>0</v>
      </c>
      <c r="Q608" s="30">
        <f>IF(OR($F608="",$I608=""),0,IFERROR(INDEX(Nutrition!$K$2:$K$300,MATCH($F608,Nutrition!$A$2:$A$300,0))*$I608/100,0))</f>
        <v>0</v>
      </c>
      <c r="R608" s="30">
        <f>IF(OR($F608="",$I608=""),0,IFERROR(INDEX(Nutrition!$L$2:$L$300,MATCH($F608,Nutrition!$A$2:$A$300,0))*$I608/100,0))</f>
        <v>0</v>
      </c>
      <c r="S608" s="30">
        <f>IF(OR($F608="",$I608=""),0,IFERROR(INDEX(Nutrition!$M$2:$M$300,MATCH($F608,Nutrition!$A$2:$A$300,0))*$I608/100,0))</f>
        <v>0</v>
      </c>
    </row>
    <row r="609" spans="1:19" ht="15" customHeight="1" x14ac:dyDescent="0.25">
      <c r="A609" s="22" t="s">
        <v>1703</v>
      </c>
      <c r="B609" s="33" t="str">
        <f>IFERROR(INDEX(Recipes!$B$2:$B$500,MATCH(A609,Recipes!$A$2:$A$500,0)),"")</f>
        <v>Ugu &amp; Groundnut Pesto Pasta</v>
      </c>
      <c r="C609" s="7" t="s">
        <v>2885</v>
      </c>
      <c r="D609" s="34">
        <v>200</v>
      </c>
      <c r="E609" s="22" t="s">
        <v>2813</v>
      </c>
      <c r="F609" s="22"/>
      <c r="G609" s="22" t="s">
        <v>2749</v>
      </c>
      <c r="H609" s="7"/>
      <c r="I609" s="35"/>
      <c r="J609" s="30">
        <f>IF(OR($F609="",$I609=""),0,IFERROR(INDEX(Nutrition!$D$2:$D$300,MATCH($F609,Nutrition!$A$2:$A$300,0))*$I609/100,0))</f>
        <v>0</v>
      </c>
      <c r="K609" s="30">
        <f>IF(OR($F609="",$I609=""),0,IFERROR(INDEX(Nutrition!$E$2:$E$300,MATCH($F609,Nutrition!$A$2:$A$300,0))*$I609/100,0))</f>
        <v>0</v>
      </c>
      <c r="L609" s="30">
        <f>IF(OR($F609="",$I609=""),0,IFERROR(INDEX(Nutrition!$F$2:$F$300,MATCH($F609,Nutrition!$A$2:$A$300,0))*$I609/100,0))</f>
        <v>0</v>
      </c>
      <c r="M609" s="30">
        <f>IF(OR($F609="",$I609=""),0,IFERROR(INDEX(Nutrition!$G$2:$G$300,MATCH($F609,Nutrition!$A$2:$A$300,0))*$I609/100,0))</f>
        <v>0</v>
      </c>
      <c r="N609" s="30">
        <f>IF(OR($F609="",$I609=""),0,IFERROR(INDEX(Nutrition!$H$2:$H$300,MATCH($F609,Nutrition!$A$2:$A$300,0))*$I609/100,0))</f>
        <v>0</v>
      </c>
      <c r="O609" s="30">
        <f>IF(OR($F609="",$I609=""),0,IFERROR(INDEX(Nutrition!$I$2:$I$300,MATCH($F609,Nutrition!$A$2:$A$300,0))*$I609/100,0))</f>
        <v>0</v>
      </c>
      <c r="P609" s="30">
        <f>IF(OR($F609="",$I609=""),0,IFERROR(INDEX(Nutrition!$J$2:$J$300,MATCH($F609,Nutrition!$A$2:$A$300,0))*$I609/100,0))</f>
        <v>0</v>
      </c>
      <c r="Q609" s="30">
        <f>IF(OR($F609="",$I609=""),0,IFERROR(INDEX(Nutrition!$K$2:$K$300,MATCH($F609,Nutrition!$A$2:$A$300,0))*$I609/100,0))</f>
        <v>0</v>
      </c>
      <c r="R609" s="30">
        <f>IF(OR($F609="",$I609=""),0,IFERROR(INDEX(Nutrition!$L$2:$L$300,MATCH($F609,Nutrition!$A$2:$A$300,0))*$I609/100,0))</f>
        <v>0</v>
      </c>
      <c r="S609" s="30">
        <f>IF(OR($F609="",$I609=""),0,IFERROR(INDEX(Nutrition!$M$2:$M$300,MATCH($F609,Nutrition!$A$2:$A$300,0))*$I609/100,0))</f>
        <v>0</v>
      </c>
    </row>
    <row r="610" spans="1:19" ht="15" customHeight="1" x14ac:dyDescent="0.25">
      <c r="A610" s="22" t="s">
        <v>1703</v>
      </c>
      <c r="B610" s="33" t="str">
        <f>IFERROR(INDEX(Recipes!$B$2:$B$500,MATCH(A610,Recipes!$A$2:$A$500,0)),"")</f>
        <v>Ugu &amp; Groundnut Pesto Pasta</v>
      </c>
      <c r="C610" s="7" t="s">
        <v>628</v>
      </c>
      <c r="D610" s="34">
        <v>2</v>
      </c>
      <c r="E610" s="22" t="s">
        <v>2790</v>
      </c>
      <c r="F610" s="22" t="s">
        <v>627</v>
      </c>
      <c r="G610" s="22" t="s">
        <v>2755</v>
      </c>
      <c r="H610" s="7"/>
      <c r="I610" s="35">
        <v>60</v>
      </c>
      <c r="J610" s="30">
        <f>IF(OR($F610="",$I610=""),0,IFERROR(INDEX(Nutrition!$D$2:$D$300,MATCH($F610,Nutrition!$A$2:$A$300,0))*$I610/100,0))</f>
        <v>1.56</v>
      </c>
      <c r="K610" s="30">
        <f>IF(OR($F610="",$I610=""),0,IFERROR(INDEX(Nutrition!$E$2:$E$300,MATCH($F610,Nutrition!$A$2:$A$300,0))*$I610/100,0))</f>
        <v>16.8</v>
      </c>
      <c r="L610" s="30">
        <f>IF(OR($F610="",$I610=""),0,IFERROR(INDEX(Nutrition!$F$2:$F$300,MATCH($F610,Nutrition!$A$2:$A$300,0))*$I610/100,0))</f>
        <v>168</v>
      </c>
      <c r="M610" s="30">
        <f>IF(OR($F610="",$I610=""),0,IFERROR(INDEX(Nutrition!$G$2:$G$300,MATCH($F610,Nutrition!$A$2:$A$300,0))*$I610/100,0))</f>
        <v>0</v>
      </c>
      <c r="N610" s="30">
        <f>IF(OR($F610="",$I610=""),0,IFERROR(INDEX(Nutrition!$H$2:$H$300,MATCH($F610,Nutrition!$A$2:$A$300,0))*$I610/100,0))</f>
        <v>51</v>
      </c>
      <c r="O610" s="30">
        <f>IF(OR($F610="",$I610=""),0,IFERROR(INDEX(Nutrition!$I$2:$I$300,MATCH($F610,Nutrition!$A$2:$A$300,0))*$I610/100,0))</f>
        <v>270</v>
      </c>
      <c r="P610" s="30">
        <f>IF(OR($F610="",$I610=""),0,IFERROR(INDEX(Nutrition!$J$2:$J$300,MATCH($F610,Nutrition!$A$2:$A$300,0))*$I610/100,0))</f>
        <v>0</v>
      </c>
      <c r="Q610" s="30">
        <f>IF(OR($F610="",$I610=""),0,IFERROR(INDEX(Nutrition!$K$2:$K$300,MATCH($F610,Nutrition!$A$2:$A$300,0))*$I610/100,0))</f>
        <v>0</v>
      </c>
      <c r="R610" s="30">
        <f>IF(OR($F610="",$I610=""),0,IFERROR(INDEX(Nutrition!$L$2:$L$300,MATCH($F610,Nutrition!$A$2:$A$300,0))*$I610/100,0))</f>
        <v>30</v>
      </c>
      <c r="S610" s="30">
        <f>IF(OR($F610="",$I610=""),0,IFERROR(INDEX(Nutrition!$M$2:$M$300,MATCH($F610,Nutrition!$A$2:$A$300,0))*$I610/100,0))</f>
        <v>1.5</v>
      </c>
    </row>
    <row r="611" spans="1:19" ht="15" customHeight="1" x14ac:dyDescent="0.25">
      <c r="A611" s="22" t="s">
        <v>1703</v>
      </c>
      <c r="B611" s="33" t="str">
        <f>IFERROR(INDEX(Recipes!$B$2:$B$500,MATCH(A611,Recipes!$A$2:$A$500,0)),"")</f>
        <v>Ugu &amp; Groundnut Pesto Pasta</v>
      </c>
      <c r="C611" s="7" t="s">
        <v>652</v>
      </c>
      <c r="D611" s="34">
        <v>1</v>
      </c>
      <c r="E611" s="22" t="s">
        <v>2809</v>
      </c>
      <c r="F611" s="22" t="s">
        <v>651</v>
      </c>
      <c r="G611" s="22" t="s">
        <v>2755</v>
      </c>
      <c r="H611" s="7" t="s">
        <v>2890</v>
      </c>
      <c r="I611" s="35">
        <v>30</v>
      </c>
      <c r="J611" s="30">
        <f>IF(OR($F611="",$I611=""),0,IFERROR(INDEX(Nutrition!$D$2:$D$300,MATCH($F611,Nutrition!$A$2:$A$300,0))*$I611/100,0))</f>
        <v>0.48</v>
      </c>
      <c r="K611" s="30">
        <f>IF(OR($F611="",$I611=""),0,IFERROR(INDEX(Nutrition!$E$2:$E$300,MATCH($F611,Nutrition!$A$2:$A$300,0))*$I611/100,0))</f>
        <v>7.2</v>
      </c>
      <c r="L611" s="30">
        <f>IF(OR($F611="",$I611=""),0,IFERROR(INDEX(Nutrition!$F$2:$F$300,MATCH($F611,Nutrition!$A$2:$A$300,0))*$I611/100,0))</f>
        <v>79.2</v>
      </c>
      <c r="M611" s="30">
        <f>IF(OR($F611="",$I611=""),0,IFERROR(INDEX(Nutrition!$G$2:$G$300,MATCH($F611,Nutrition!$A$2:$A$300,0))*$I611/100,0))</f>
        <v>124.44</v>
      </c>
      <c r="N611" s="30">
        <f>IF(OR($F611="",$I611=""),0,IFERROR(INDEX(Nutrition!$H$2:$H$300,MATCH($F611,Nutrition!$A$2:$A$300,0))*$I611/100,0))</f>
        <v>20.399999999999999</v>
      </c>
      <c r="O611" s="30">
        <f>IF(OR($F611="",$I611=""),0,IFERROR(INDEX(Nutrition!$I$2:$I$300,MATCH($F611,Nutrition!$A$2:$A$300,0))*$I611/100,0))</f>
        <v>166.8</v>
      </c>
      <c r="P611" s="30">
        <f>IF(OR($F611="",$I611=""),0,IFERROR(INDEX(Nutrition!$J$2:$J$300,MATCH($F611,Nutrition!$A$2:$A$300,0))*$I611/100,0))</f>
        <v>0.24</v>
      </c>
      <c r="Q611" s="30">
        <f>IF(OR($F611="",$I611=""),0,IFERROR(INDEX(Nutrition!$K$2:$K$300,MATCH($F611,Nutrition!$A$2:$A$300,0))*$I611/100,0))</f>
        <v>4.6500000000000007E-2</v>
      </c>
      <c r="R611" s="30">
        <f>IF(OR($F611="",$I611=""),0,IFERROR(INDEX(Nutrition!$L$2:$L$300,MATCH($F611,Nutrition!$A$2:$A$300,0))*$I611/100,0))</f>
        <v>19.2</v>
      </c>
      <c r="S611" s="30">
        <f>IF(OR($F611="",$I611=""),0,IFERROR(INDEX(Nutrition!$M$2:$M$300,MATCH($F611,Nutrition!$A$2:$A$300,0))*$I611/100,0))</f>
        <v>0.96</v>
      </c>
    </row>
    <row r="612" spans="1:19" ht="15" customHeight="1" x14ac:dyDescent="0.25">
      <c r="A612" s="22" t="s">
        <v>1703</v>
      </c>
      <c r="B612" s="33" t="str">
        <f>IFERROR(INDEX(Recipes!$B$2:$B$500,MATCH(A612,Recipes!$A$2:$A$500,0)),"")</f>
        <v>Ugu &amp; Groundnut Pesto Pasta</v>
      </c>
      <c r="C612" s="7" t="s">
        <v>428</v>
      </c>
      <c r="D612" s="34">
        <v>0.33</v>
      </c>
      <c r="E612" s="22" t="s">
        <v>2748</v>
      </c>
      <c r="F612" s="22" t="s">
        <v>427</v>
      </c>
      <c r="G612" s="22" t="s">
        <v>2755</v>
      </c>
      <c r="H612" s="7" t="s">
        <v>2800</v>
      </c>
      <c r="I612" s="35">
        <v>48</v>
      </c>
      <c r="J612" s="30">
        <f>IF(OR($F612="",$I612=""),0,IFERROR(INDEX(Nutrition!$D$2:$D$300,MATCH($F612,Nutrition!$A$2:$A$300,0))*$I612/100,0))</f>
        <v>4.08</v>
      </c>
      <c r="K612" s="30">
        <f>IF(OR($F612="",$I612=""),0,IFERROR(INDEX(Nutrition!$E$2:$E$300,MATCH($F612,Nutrition!$A$2:$A$300,0))*$I612/100,0))</f>
        <v>0</v>
      </c>
      <c r="L612" s="30">
        <f>IF(OR($F612="",$I612=""),0,IFERROR(INDEX(Nutrition!$F$2:$F$300,MATCH($F612,Nutrition!$A$2:$A$300,0))*$I612/100,0))</f>
        <v>0</v>
      </c>
      <c r="M612" s="30">
        <f>IF(OR($F612="",$I612=""),0,IFERROR(INDEX(Nutrition!$G$2:$G$300,MATCH($F612,Nutrition!$A$2:$A$300,0))*$I612/100,0))</f>
        <v>0</v>
      </c>
      <c r="N612" s="30">
        <f>IF(OR($F612="",$I612=""),0,IFERROR(INDEX(Nutrition!$H$2:$H$300,MATCH($F612,Nutrition!$A$2:$A$300,0))*$I612/100,0))</f>
        <v>115.2</v>
      </c>
      <c r="O612" s="30">
        <f>IF(OR($F612="",$I612=""),0,IFERROR(INDEX(Nutrition!$I$2:$I$300,MATCH($F612,Nutrition!$A$2:$A$300,0))*$I612/100,0))</f>
        <v>338.4</v>
      </c>
      <c r="P612" s="30">
        <f>IF(OR($F612="",$I612=""),0,IFERROR(INDEX(Nutrition!$J$2:$J$300,MATCH($F612,Nutrition!$A$2:$A$300,0))*$I612/100,0))</f>
        <v>3.9984000000000002</v>
      </c>
      <c r="Q612" s="30">
        <f>IF(OR($F612="",$I612=""),0,IFERROR(INDEX(Nutrition!$K$2:$K$300,MATCH($F612,Nutrition!$A$2:$A$300,0))*$I612/100,0))</f>
        <v>0.16703999999999999</v>
      </c>
      <c r="R612" s="30">
        <f>IF(OR($F612="",$I612=""),0,IFERROR(INDEX(Nutrition!$L$2:$L$300,MATCH($F612,Nutrition!$A$2:$A$300,0))*$I612/100,0))</f>
        <v>80.64</v>
      </c>
      <c r="S612" s="30">
        <f>IF(OR($F612="",$I612=""),0,IFERROR(INDEX(Nutrition!$M$2:$M$300,MATCH($F612,Nutrition!$A$2:$A$300,0))*$I612/100,0))</f>
        <v>2.1983999999999999</v>
      </c>
    </row>
    <row r="613" spans="1:19" ht="15" customHeight="1" x14ac:dyDescent="0.25">
      <c r="A613" s="22" t="s">
        <v>1703</v>
      </c>
      <c r="B613" s="33" t="str">
        <f>IFERROR(INDEX(Recipes!$B$2:$B$500,MATCH(A613,Recipes!$A$2:$A$500,0)),"")</f>
        <v>Ugu &amp; Groundnut Pesto Pasta</v>
      </c>
      <c r="C613" s="7" t="s">
        <v>500</v>
      </c>
      <c r="D613" s="34">
        <v>2</v>
      </c>
      <c r="E613" s="22" t="s">
        <v>2776</v>
      </c>
      <c r="F613" s="22" t="s">
        <v>499</v>
      </c>
      <c r="G613" s="22" t="s">
        <v>2755</v>
      </c>
      <c r="H613" s="7"/>
      <c r="I613" s="35">
        <v>6</v>
      </c>
      <c r="J613" s="30">
        <f>IF(OR($F613="",$I613=""),0,IFERROR(INDEX(Nutrition!$D$2:$D$300,MATCH($F613,Nutrition!$A$2:$A$300,0))*$I613/100,0))</f>
        <v>0.126</v>
      </c>
      <c r="K613" s="30">
        <f>IF(OR($F613="",$I613=""),0,IFERROR(INDEX(Nutrition!$E$2:$E$300,MATCH($F613,Nutrition!$A$2:$A$300,0))*$I613/100,0))</f>
        <v>1.8719999999999999</v>
      </c>
      <c r="L613" s="30">
        <f>IF(OR($F613="",$I613=""),0,IFERROR(INDEX(Nutrition!$F$2:$F$300,MATCH($F613,Nutrition!$A$2:$A$300,0))*$I613/100,0))</f>
        <v>0</v>
      </c>
      <c r="M613" s="30">
        <f>IF(OR($F613="",$I613=""),0,IFERROR(INDEX(Nutrition!$G$2:$G$300,MATCH($F613,Nutrition!$A$2:$A$300,0))*$I613/100,0))</f>
        <v>0.10199999999999999</v>
      </c>
      <c r="N613" s="30">
        <f>IF(OR($F613="",$I613=""),0,IFERROR(INDEX(Nutrition!$H$2:$H$300,MATCH($F613,Nutrition!$A$2:$A$300,0))*$I613/100,0))</f>
        <v>0.18</v>
      </c>
      <c r="O613" s="30">
        <f>IF(OR($F613="",$I613=""),0,IFERROR(INDEX(Nutrition!$I$2:$I$300,MATCH($F613,Nutrition!$A$2:$A$300,0))*$I613/100,0))</f>
        <v>24.06</v>
      </c>
      <c r="P613" s="30">
        <f>IF(OR($F613="",$I613=""),0,IFERROR(INDEX(Nutrition!$J$2:$J$300,MATCH($F613,Nutrition!$A$2:$A$300,0))*$I613/100,0))</f>
        <v>4.7999999999999996E-3</v>
      </c>
      <c r="Q613" s="30">
        <f>IF(OR($F613="",$I613=""),0,IFERROR(INDEX(Nutrition!$K$2:$K$300,MATCH($F613,Nutrition!$A$2:$A$300,0))*$I613/100,0))</f>
        <v>7.4099999999999999E-2</v>
      </c>
      <c r="R613" s="30">
        <f>IF(OR($F613="",$I613=""),0,IFERROR(INDEX(Nutrition!$L$2:$L$300,MATCH($F613,Nutrition!$A$2:$A$300,0))*$I613/100,0))</f>
        <v>1.5</v>
      </c>
      <c r="S613" s="30">
        <f>IF(OR($F613="",$I613=""),0,IFERROR(INDEX(Nutrition!$M$2:$M$300,MATCH($F613,Nutrition!$A$2:$A$300,0))*$I613/100,0))</f>
        <v>0.10199999999999999</v>
      </c>
    </row>
    <row r="614" spans="1:19" ht="15" customHeight="1" x14ac:dyDescent="0.25">
      <c r="A614" s="22" t="s">
        <v>1703</v>
      </c>
      <c r="B614" s="33" t="str">
        <f>IFERROR(INDEX(Recipes!$B$2:$B$500,MATCH(A614,Recipes!$A$2:$A$500,0)),"")</f>
        <v>Ugu &amp; Groundnut Pesto Pasta</v>
      </c>
      <c r="C614" s="7" t="s">
        <v>206</v>
      </c>
      <c r="D614" s="34">
        <v>1</v>
      </c>
      <c r="E614" s="22" t="s">
        <v>2754</v>
      </c>
      <c r="F614" s="22" t="s">
        <v>205</v>
      </c>
      <c r="G614" s="22" t="s">
        <v>2755</v>
      </c>
      <c r="H614" s="7"/>
      <c r="I614" s="35">
        <v>58</v>
      </c>
      <c r="J614" s="30">
        <f>IF(OR($F614="",$I614=""),0,IFERROR(INDEX(Nutrition!$D$2:$D$300,MATCH($F614,Nutrition!$A$2:$A$300,0))*$I614/100,0))</f>
        <v>1.6239999999999997</v>
      </c>
      <c r="K614" s="30">
        <f>IF(OR($F614="",$I614=""),0,IFERROR(INDEX(Nutrition!$E$2:$E$300,MATCH($F614,Nutrition!$A$2:$A$300,0))*$I614/100,0))</f>
        <v>30.74</v>
      </c>
      <c r="L614" s="30">
        <f>IF(OR($F614="",$I614=""),0,IFERROR(INDEX(Nutrition!$F$2:$F$300,MATCH($F614,Nutrition!$A$2:$A$300,0))*$I614/100,0))</f>
        <v>0.57999999999999996</v>
      </c>
      <c r="M614" s="30">
        <f>IF(OR($F614="",$I614=""),0,IFERROR(INDEX(Nutrition!$G$2:$G$300,MATCH($F614,Nutrition!$A$2:$A$300,0))*$I614/100,0))</f>
        <v>0</v>
      </c>
      <c r="N614" s="30">
        <f>IF(OR($F614="",$I614=""),0,IFERROR(INDEX(Nutrition!$H$2:$H$300,MATCH($F614,Nutrition!$A$2:$A$300,0))*$I614/100,0))</f>
        <v>6.38</v>
      </c>
      <c r="O614" s="30">
        <f>IF(OR($F614="",$I614=""),0,IFERROR(INDEX(Nutrition!$I$2:$I$300,MATCH($F614,Nutrition!$A$2:$A$300,0))*$I614/100,0))</f>
        <v>80.040000000000006</v>
      </c>
      <c r="P614" s="30">
        <f>IF(OR($F614="",$I614=""),0,IFERROR(INDEX(Nutrition!$J$2:$J$300,MATCH($F614,Nutrition!$A$2:$A$300,0))*$I614/100,0))</f>
        <v>8.6999999999999994E-2</v>
      </c>
      <c r="Q614" s="30">
        <f>IF(OR($F614="",$I614=""),0,IFERROR(INDEX(Nutrition!$K$2:$K$300,MATCH($F614,Nutrition!$A$2:$A$300,0))*$I614/100,0))</f>
        <v>4.6399999999999997E-2</v>
      </c>
      <c r="R614" s="30">
        <f>IF(OR($F614="",$I614=""),0,IFERROR(INDEX(Nutrition!$L$2:$L$300,MATCH($F614,Nutrition!$A$2:$A$300,0))*$I614/100,0))</f>
        <v>4.6399999999999997</v>
      </c>
      <c r="S614" s="30">
        <f>IF(OR($F614="",$I614=""),0,IFERROR(INDEX(Nutrition!$M$2:$M$300,MATCH($F614,Nutrition!$A$2:$A$300,0))*$I614/100,0))</f>
        <v>0.34799999999999998</v>
      </c>
    </row>
    <row r="615" spans="1:19" ht="15" customHeight="1" x14ac:dyDescent="0.25">
      <c r="A615" s="22" t="s">
        <v>1703</v>
      </c>
      <c r="B615" s="33" t="str">
        <f>IFERROR(INDEX(Recipes!$B$2:$B$500,MATCH(A615,Recipes!$A$2:$A$500,0)),"")</f>
        <v>Ugu &amp; Groundnut Pesto Pasta</v>
      </c>
      <c r="C615" s="7" t="s">
        <v>456</v>
      </c>
      <c r="D615" s="34">
        <v>1</v>
      </c>
      <c r="E615" s="22" t="s">
        <v>2748</v>
      </c>
      <c r="F615" s="22" t="s">
        <v>455</v>
      </c>
      <c r="G615" s="22" t="s">
        <v>2755</v>
      </c>
      <c r="H615" s="7" t="s">
        <v>2893</v>
      </c>
      <c r="I615" s="35">
        <v>149</v>
      </c>
      <c r="J615" s="30">
        <f>IF(OR($F615="",$I615=""),0,IFERROR(INDEX(Nutrition!$D$2:$D$300,MATCH($F615,Nutrition!$A$2:$A$300,0))*$I615/100,0))</f>
        <v>3.1290000000000004</v>
      </c>
      <c r="K615" s="30">
        <f>IF(OR($F615="",$I615=""),0,IFERROR(INDEX(Nutrition!$E$2:$E$300,MATCH($F615,Nutrition!$A$2:$A$300,0))*$I615/100,0))</f>
        <v>40.527999999999999</v>
      </c>
      <c r="L615" s="30">
        <f>IF(OR($F615="",$I615=""),0,IFERROR(INDEX(Nutrition!$F$2:$F$300,MATCH($F615,Nutrition!$A$2:$A$300,0))*$I615/100,0))</f>
        <v>62.58</v>
      </c>
      <c r="M615" s="30">
        <f>IF(OR($F615="",$I615=""),0,IFERROR(INDEX(Nutrition!$G$2:$G$300,MATCH($F615,Nutrition!$A$2:$A$300,0))*$I615/100,0))</f>
        <v>11.771000000000001</v>
      </c>
      <c r="N615" s="30">
        <f>IF(OR($F615="",$I615=""),0,IFERROR(INDEX(Nutrition!$H$2:$H$300,MATCH($F615,Nutrition!$A$2:$A$300,0))*$I615/100,0))</f>
        <v>22.35</v>
      </c>
      <c r="O615" s="30">
        <f>IF(OR($F615="",$I615=""),0,IFERROR(INDEX(Nutrition!$I$2:$I$300,MATCH($F615,Nutrition!$A$2:$A$300,0))*$I615/100,0))</f>
        <v>387.4</v>
      </c>
      <c r="P615" s="30">
        <f>IF(OR($F615="",$I615=""),0,IFERROR(INDEX(Nutrition!$J$2:$J$300,MATCH($F615,Nutrition!$A$2:$A$300,0))*$I615/100,0))</f>
        <v>0.80460000000000009</v>
      </c>
      <c r="Q615" s="30">
        <f>IF(OR($F615="",$I615=""),0,IFERROR(INDEX(Nutrition!$K$2:$K$300,MATCH($F615,Nutrition!$A$2:$A$300,0))*$I615/100,0))</f>
        <v>0.1192</v>
      </c>
      <c r="R615" s="30">
        <f>IF(OR($F615="",$I615=""),0,IFERROR(INDEX(Nutrition!$L$2:$L$300,MATCH($F615,Nutrition!$A$2:$A$300,0))*$I615/100,0))</f>
        <v>14.9</v>
      </c>
      <c r="S615" s="30">
        <f>IF(OR($F615="",$I615=""),0,IFERROR(INDEX(Nutrition!$M$2:$M$300,MATCH($F615,Nutrition!$A$2:$A$300,0))*$I615/100,0))</f>
        <v>0.44699999999999995</v>
      </c>
    </row>
    <row r="616" spans="1:19" ht="15" customHeight="1" x14ac:dyDescent="0.25">
      <c r="A616" s="22" t="s">
        <v>1703</v>
      </c>
      <c r="B616" s="33" t="str">
        <f>IFERROR(INDEX(Recipes!$B$2:$B$500,MATCH(A616,Recipes!$A$2:$A$500,0)),"")</f>
        <v>Ugu &amp; Groundnut Pesto Pasta</v>
      </c>
      <c r="C616" s="7" t="s">
        <v>2817</v>
      </c>
      <c r="D616" s="34">
        <v>3</v>
      </c>
      <c r="E616" s="22" t="s">
        <v>2753</v>
      </c>
      <c r="F616" s="22"/>
      <c r="G616" s="22" t="s">
        <v>2749</v>
      </c>
      <c r="H616" s="7"/>
      <c r="I616" s="35"/>
      <c r="J616" s="30">
        <f>IF(OR($F616="",$I616=""),0,IFERROR(INDEX(Nutrition!$D$2:$D$300,MATCH($F616,Nutrition!$A$2:$A$300,0))*$I616/100,0))</f>
        <v>0</v>
      </c>
      <c r="K616" s="30">
        <f>IF(OR($F616="",$I616=""),0,IFERROR(INDEX(Nutrition!$E$2:$E$300,MATCH($F616,Nutrition!$A$2:$A$300,0))*$I616/100,0))</f>
        <v>0</v>
      </c>
      <c r="L616" s="30">
        <f>IF(OR($F616="",$I616=""),0,IFERROR(INDEX(Nutrition!$F$2:$F$300,MATCH($F616,Nutrition!$A$2:$A$300,0))*$I616/100,0))</f>
        <v>0</v>
      </c>
      <c r="M616" s="30">
        <f>IF(OR($F616="",$I616=""),0,IFERROR(INDEX(Nutrition!$G$2:$G$300,MATCH($F616,Nutrition!$A$2:$A$300,0))*$I616/100,0))</f>
        <v>0</v>
      </c>
      <c r="N616" s="30">
        <f>IF(OR($F616="",$I616=""),0,IFERROR(INDEX(Nutrition!$H$2:$H$300,MATCH($F616,Nutrition!$A$2:$A$300,0))*$I616/100,0))</f>
        <v>0</v>
      </c>
      <c r="O616" s="30">
        <f>IF(OR($F616="",$I616=""),0,IFERROR(INDEX(Nutrition!$I$2:$I$300,MATCH($F616,Nutrition!$A$2:$A$300,0))*$I616/100,0))</f>
        <v>0</v>
      </c>
      <c r="P616" s="30">
        <f>IF(OR($F616="",$I616=""),0,IFERROR(INDEX(Nutrition!$J$2:$J$300,MATCH($F616,Nutrition!$A$2:$A$300,0))*$I616/100,0))</f>
        <v>0</v>
      </c>
      <c r="Q616" s="30">
        <f>IF(OR($F616="",$I616=""),0,IFERROR(INDEX(Nutrition!$K$2:$K$300,MATCH($F616,Nutrition!$A$2:$A$300,0))*$I616/100,0))</f>
        <v>0</v>
      </c>
      <c r="R616" s="30">
        <f>IF(OR($F616="",$I616=""),0,IFERROR(INDEX(Nutrition!$L$2:$L$300,MATCH($F616,Nutrition!$A$2:$A$300,0))*$I616/100,0))</f>
        <v>0</v>
      </c>
      <c r="S616" s="30">
        <f>IF(OR($F616="",$I616=""),0,IFERROR(INDEX(Nutrition!$M$2:$M$300,MATCH($F616,Nutrition!$A$2:$A$300,0))*$I616/100,0))</f>
        <v>0</v>
      </c>
    </row>
    <row r="617" spans="1:19" ht="15" customHeight="1" x14ac:dyDescent="0.25">
      <c r="A617" s="22" t="s">
        <v>1703</v>
      </c>
      <c r="B617" s="33" t="str">
        <f>IFERROR(INDEX(Recipes!$B$2:$B$500,MATCH(A617,Recipes!$A$2:$A$500,0)),"")</f>
        <v>Ugu &amp; Groundnut Pesto Pasta</v>
      </c>
      <c r="C617" s="7" t="s">
        <v>2805</v>
      </c>
      <c r="D617" s="34">
        <v>4</v>
      </c>
      <c r="E617" s="22" t="s">
        <v>2753</v>
      </c>
      <c r="F617" s="22"/>
      <c r="G617" s="22" t="s">
        <v>2773</v>
      </c>
      <c r="H617" s="7"/>
      <c r="I617" s="35"/>
      <c r="J617" s="30">
        <f>IF(OR($F617="",$I617=""),0,IFERROR(INDEX(Nutrition!$D$2:$D$300,MATCH($F617,Nutrition!$A$2:$A$300,0))*$I617/100,0))</f>
        <v>0</v>
      </c>
      <c r="K617" s="30">
        <f>IF(OR($F617="",$I617=""),0,IFERROR(INDEX(Nutrition!$E$2:$E$300,MATCH($F617,Nutrition!$A$2:$A$300,0))*$I617/100,0))</f>
        <v>0</v>
      </c>
      <c r="L617" s="30">
        <f>IF(OR($F617="",$I617=""),0,IFERROR(INDEX(Nutrition!$F$2:$F$300,MATCH($F617,Nutrition!$A$2:$A$300,0))*$I617/100,0))</f>
        <v>0</v>
      </c>
      <c r="M617" s="30">
        <f>IF(OR($F617="",$I617=""),0,IFERROR(INDEX(Nutrition!$G$2:$G$300,MATCH($F617,Nutrition!$A$2:$A$300,0))*$I617/100,0))</f>
        <v>0</v>
      </c>
      <c r="N617" s="30">
        <f>IF(OR($F617="",$I617=""),0,IFERROR(INDEX(Nutrition!$H$2:$H$300,MATCH($F617,Nutrition!$A$2:$A$300,0))*$I617/100,0))</f>
        <v>0</v>
      </c>
      <c r="O617" s="30">
        <f>IF(OR($F617="",$I617=""),0,IFERROR(INDEX(Nutrition!$I$2:$I$300,MATCH($F617,Nutrition!$A$2:$A$300,0))*$I617/100,0))</f>
        <v>0</v>
      </c>
      <c r="P617" s="30">
        <f>IF(OR($F617="",$I617=""),0,IFERROR(INDEX(Nutrition!$J$2:$J$300,MATCH($F617,Nutrition!$A$2:$A$300,0))*$I617/100,0))</f>
        <v>0</v>
      </c>
      <c r="Q617" s="30">
        <f>IF(OR($F617="",$I617=""),0,IFERROR(INDEX(Nutrition!$K$2:$K$300,MATCH($F617,Nutrition!$A$2:$A$300,0))*$I617/100,0))</f>
        <v>0</v>
      </c>
      <c r="R617" s="30">
        <f>IF(OR($F617="",$I617=""),0,IFERROR(INDEX(Nutrition!$L$2:$L$300,MATCH($F617,Nutrition!$A$2:$A$300,0))*$I617/100,0))</f>
        <v>0</v>
      </c>
      <c r="S617" s="30">
        <f>IF(OR($F617="",$I617=""),0,IFERROR(INDEX(Nutrition!$M$2:$M$300,MATCH($F617,Nutrition!$A$2:$A$300,0))*$I617/100,0))</f>
        <v>0</v>
      </c>
    </row>
    <row r="618" spans="1:19" ht="15" customHeight="1" x14ac:dyDescent="0.25">
      <c r="A618" s="22" t="s">
        <v>1715</v>
      </c>
      <c r="B618" s="33" t="str">
        <f>IFERROR(INDEX(Recipes!$B$2:$B$500,MATCH(A618,Recipes!$A$2:$A$500,0)),"")</f>
        <v>Vegetable Egg Sauce</v>
      </c>
      <c r="C618" s="7" t="s">
        <v>446</v>
      </c>
      <c r="D618" s="34">
        <v>3</v>
      </c>
      <c r="E618" s="22" t="s">
        <v>2754</v>
      </c>
      <c r="F618" s="22" t="s">
        <v>445</v>
      </c>
      <c r="G618" s="22" t="s">
        <v>2755</v>
      </c>
      <c r="H618" s="7" t="s">
        <v>2756</v>
      </c>
      <c r="I618" s="35">
        <v>186</v>
      </c>
      <c r="J618" s="30">
        <f>IF(OR($F618="",$I618=""),0,IFERROR(INDEX(Nutrition!$D$2:$D$300,MATCH($F618,Nutrition!$A$2:$A$300,0))*$I618/100,0))</f>
        <v>2.2319999999999998</v>
      </c>
      <c r="K618" s="30">
        <f>IF(OR($F618="",$I618=""),0,IFERROR(INDEX(Nutrition!$E$2:$E$300,MATCH($F618,Nutrition!$A$2:$A$300,0))*$I618/100,0))</f>
        <v>25.481999999999999</v>
      </c>
      <c r="L618" s="30">
        <f>IF(OR($F618="",$I618=""),0,IFERROR(INDEX(Nutrition!$F$2:$F$300,MATCH($F618,Nutrition!$A$2:$A$300,0))*$I618/100,0))</f>
        <v>78.12</v>
      </c>
      <c r="M618" s="30">
        <f>IF(OR($F618="",$I618=""),0,IFERROR(INDEX(Nutrition!$G$2:$G$300,MATCH($F618,Nutrition!$A$2:$A$300,0))*$I618/100,0))</f>
        <v>14.694000000000001</v>
      </c>
      <c r="N618" s="30">
        <f>IF(OR($F618="",$I618=""),0,IFERROR(INDEX(Nutrition!$H$2:$H$300,MATCH($F618,Nutrition!$A$2:$A$300,0))*$I618/100,0))</f>
        <v>27.9</v>
      </c>
      <c r="O618" s="30">
        <f>IF(OR($F618="",$I618=""),0,IFERROR(INDEX(Nutrition!$I$2:$I$300,MATCH($F618,Nutrition!$A$2:$A$300,0))*$I618/100,0))</f>
        <v>440.82</v>
      </c>
      <c r="P618" s="30">
        <f>IF(OR($F618="",$I618=""),0,IFERROR(INDEX(Nutrition!$J$2:$J$300,MATCH($F618,Nutrition!$A$2:$A$300,0))*$I618/100,0))</f>
        <v>1.0044000000000002</v>
      </c>
      <c r="Q618" s="30">
        <f>IF(OR($F618="",$I618=""),0,IFERROR(INDEX(Nutrition!$K$2:$K$300,MATCH($F618,Nutrition!$A$2:$A$300,0))*$I618/100,0))</f>
        <v>0.14880000000000002</v>
      </c>
      <c r="R618" s="30">
        <f>IF(OR($F618="",$I618=""),0,IFERROR(INDEX(Nutrition!$L$2:$L$300,MATCH($F618,Nutrition!$A$2:$A$300,0))*$I618/100,0))</f>
        <v>20.46</v>
      </c>
      <c r="S618" s="30">
        <f>IF(OR($F618="",$I618=""),0,IFERROR(INDEX(Nutrition!$M$2:$M$300,MATCH($F618,Nutrition!$A$2:$A$300,0))*$I618/100,0))</f>
        <v>0.50220000000000009</v>
      </c>
    </row>
    <row r="619" spans="1:19" ht="15" customHeight="1" x14ac:dyDescent="0.25">
      <c r="A619" s="22" t="s">
        <v>1715</v>
      </c>
      <c r="B619" s="33" t="str">
        <f>IFERROR(INDEX(Recipes!$B$2:$B$500,MATCH(A619,Recipes!$A$2:$A$500,0)),"")</f>
        <v>Vegetable Egg Sauce</v>
      </c>
      <c r="C619" s="7" t="s">
        <v>462</v>
      </c>
      <c r="D619" s="34">
        <v>1</v>
      </c>
      <c r="E619" s="22" t="s">
        <v>2754</v>
      </c>
      <c r="F619" s="22" t="s">
        <v>461</v>
      </c>
      <c r="G619" s="22" t="s">
        <v>2755</v>
      </c>
      <c r="H619" s="7" t="s">
        <v>2894</v>
      </c>
      <c r="I619" s="35">
        <v>119</v>
      </c>
      <c r="J619" s="30">
        <f>IF(OR($F619="",$I619=""),0,IFERROR(INDEX(Nutrition!$D$2:$D$300,MATCH($F619,Nutrition!$A$2:$A$300,0))*$I619/100,0))</f>
        <v>2.4990000000000001</v>
      </c>
      <c r="K619" s="30">
        <f>IF(OR($F619="",$I619=""),0,IFERROR(INDEX(Nutrition!$E$2:$E$300,MATCH($F619,Nutrition!$A$2:$A$300,0))*$I619/100,0))</f>
        <v>151.96300000000002</v>
      </c>
      <c r="L619" s="30">
        <f>IF(OR($F619="",$I619=""),0,IFERROR(INDEX(Nutrition!$F$2:$F$300,MATCH($F619,Nutrition!$A$2:$A$300,0))*$I619/100,0))</f>
        <v>186.83</v>
      </c>
      <c r="M619" s="30">
        <f>IF(OR($F619="",$I619=""),0,IFERROR(INDEX(Nutrition!$G$2:$G$300,MATCH($F619,Nutrition!$A$2:$A$300,0))*$I619/100,0))</f>
        <v>5.8310000000000004</v>
      </c>
      <c r="N619" s="30">
        <f>IF(OR($F619="",$I619=""),0,IFERROR(INDEX(Nutrition!$H$2:$H$300,MATCH($F619,Nutrition!$A$2:$A$300,0))*$I619/100,0))</f>
        <v>54.74</v>
      </c>
      <c r="O619" s="30">
        <f>IF(OR($F619="",$I619=""),0,IFERROR(INDEX(Nutrition!$I$2:$I$300,MATCH($F619,Nutrition!$A$2:$A$300,0))*$I619/100,0))</f>
        <v>251.09</v>
      </c>
      <c r="P619" s="30">
        <f>IF(OR($F619="",$I619=""),0,IFERROR(INDEX(Nutrition!$J$2:$J$300,MATCH($F619,Nutrition!$A$2:$A$300,0))*$I619/100,0))</f>
        <v>1.8802000000000001</v>
      </c>
      <c r="Q619" s="30">
        <f>IF(OR($F619="",$I619=""),0,IFERROR(INDEX(Nutrition!$K$2:$K$300,MATCH($F619,Nutrition!$A$2:$A$300,0))*$I619/100,0))</f>
        <v>0.34628999999999999</v>
      </c>
      <c r="R619" s="30">
        <f>IF(OR($F619="",$I619=""),0,IFERROR(INDEX(Nutrition!$L$2:$L$300,MATCH($F619,Nutrition!$A$2:$A$300,0))*$I619/100,0))</f>
        <v>14.28</v>
      </c>
      <c r="S619" s="30">
        <f>IF(OR($F619="",$I619=""),0,IFERROR(INDEX(Nutrition!$M$2:$M$300,MATCH($F619,Nutrition!$A$2:$A$300,0))*$I619/100,0))</f>
        <v>0.51170000000000004</v>
      </c>
    </row>
    <row r="620" spans="1:19" ht="15" customHeight="1" x14ac:dyDescent="0.25">
      <c r="A620" s="22" t="s">
        <v>1715</v>
      </c>
      <c r="B620" s="33" t="str">
        <f>IFERROR(INDEX(Recipes!$B$2:$B$500,MATCH(A620,Recipes!$A$2:$A$500,0)),"")</f>
        <v>Vegetable Egg Sauce</v>
      </c>
      <c r="C620" s="7" t="s">
        <v>473</v>
      </c>
      <c r="D620" s="34">
        <v>1</v>
      </c>
      <c r="E620" s="22" t="s">
        <v>2754</v>
      </c>
      <c r="F620" s="22" t="s">
        <v>472</v>
      </c>
      <c r="G620" s="22" t="s">
        <v>2755</v>
      </c>
      <c r="H620" s="7" t="s">
        <v>2895</v>
      </c>
      <c r="I620" s="35">
        <v>10</v>
      </c>
      <c r="J620" s="30">
        <f>IF(OR($F620="",$I620=""),0,IFERROR(INDEX(Nutrition!$D$2:$D$300,MATCH($F620,Nutrition!$A$2:$A$300,0))*$I620/100,0))</f>
        <v>0.15</v>
      </c>
      <c r="K620" s="30">
        <f>IF(OR($F620="",$I620=""),0,IFERROR(INDEX(Nutrition!$E$2:$E$300,MATCH($F620,Nutrition!$A$2:$A$300,0))*$I620/100,0))</f>
        <v>14.37</v>
      </c>
      <c r="L620" s="30">
        <f>IF(OR($F620="",$I620=""),0,IFERROR(INDEX(Nutrition!$F$2:$F$300,MATCH($F620,Nutrition!$A$2:$A$300,0))*$I620/100,0))</f>
        <v>4.8</v>
      </c>
      <c r="M620" s="30">
        <f>IF(OR($F620="",$I620=""),0,IFERROR(INDEX(Nutrition!$G$2:$G$300,MATCH($F620,Nutrition!$A$2:$A$300,0))*$I620/100,0))</f>
        <v>1.4</v>
      </c>
      <c r="N620" s="30">
        <f>IF(OR($F620="",$I620=""),0,IFERROR(INDEX(Nutrition!$H$2:$H$300,MATCH($F620,Nutrition!$A$2:$A$300,0))*$I620/100,0))</f>
        <v>2.2999999999999998</v>
      </c>
      <c r="O620" s="30">
        <f>IF(OR($F620="",$I620=""),0,IFERROR(INDEX(Nutrition!$I$2:$I$300,MATCH($F620,Nutrition!$A$2:$A$300,0))*$I620/100,0))</f>
        <v>32.200000000000003</v>
      </c>
      <c r="P620" s="30">
        <f>IF(OR($F620="",$I620=""),0,IFERROR(INDEX(Nutrition!$J$2:$J$300,MATCH($F620,Nutrition!$A$2:$A$300,0))*$I620/100,0))</f>
        <v>6.8999999999999992E-2</v>
      </c>
      <c r="Q620" s="30">
        <f>IF(OR($F620="",$I620=""),0,IFERROR(INDEX(Nutrition!$K$2:$K$300,MATCH($F620,Nutrition!$A$2:$A$300,0))*$I620/100,0))</f>
        <v>5.0600000000000006E-2</v>
      </c>
      <c r="R620" s="30">
        <f>IF(OR($F620="",$I620=""),0,IFERROR(INDEX(Nutrition!$L$2:$L$300,MATCH($F620,Nutrition!$A$2:$A$300,0))*$I620/100,0))</f>
        <v>2.2999999999999998</v>
      </c>
      <c r="S620" s="30">
        <f>IF(OR($F620="",$I620=""),0,IFERROR(INDEX(Nutrition!$M$2:$M$300,MATCH($F620,Nutrition!$A$2:$A$300,0))*$I620/100,0))</f>
        <v>0.10300000000000001</v>
      </c>
    </row>
    <row r="621" spans="1:19" ht="15" customHeight="1" x14ac:dyDescent="0.25">
      <c r="A621" s="22" t="s">
        <v>1715</v>
      </c>
      <c r="B621" s="33" t="str">
        <f>IFERROR(INDEX(Recipes!$B$2:$B$500,MATCH(A621,Recipes!$A$2:$A$500,0)),"")</f>
        <v>Vegetable Egg Sauce</v>
      </c>
      <c r="C621" s="7" t="s">
        <v>482</v>
      </c>
      <c r="D621" s="34">
        <v>0.5</v>
      </c>
      <c r="E621" s="22" t="s">
        <v>2754</v>
      </c>
      <c r="F621" s="22" t="s">
        <v>481</v>
      </c>
      <c r="G621" s="22" t="s">
        <v>2755</v>
      </c>
      <c r="H621" s="7" t="s">
        <v>2756</v>
      </c>
      <c r="I621" s="35">
        <v>55</v>
      </c>
      <c r="J621" s="30">
        <f>IF(OR($F621="",$I621=""),0,IFERROR(INDEX(Nutrition!$D$2:$D$300,MATCH($F621,Nutrition!$A$2:$A$300,0))*$I621/100,0))</f>
        <v>0.93500000000000005</v>
      </c>
      <c r="K621" s="30">
        <f>IF(OR($F621="",$I621=""),0,IFERROR(INDEX(Nutrition!$E$2:$E$300,MATCH($F621,Nutrition!$A$2:$A$300,0))*$I621/100,0))</f>
        <v>4.07</v>
      </c>
      <c r="L621" s="30">
        <f>IF(OR($F621="",$I621=""),0,IFERROR(INDEX(Nutrition!$F$2:$F$300,MATCH($F621,Nutrition!$A$2:$A$300,0))*$I621/100,0))</f>
        <v>0</v>
      </c>
      <c r="M621" s="30">
        <f>IF(OR($F621="",$I621=""),0,IFERROR(INDEX(Nutrition!$G$2:$G$300,MATCH($F621,Nutrition!$A$2:$A$300,0))*$I621/100,0))</f>
        <v>0.22</v>
      </c>
      <c r="N621" s="30">
        <f>IF(OR($F621="",$I621=""),0,IFERROR(INDEX(Nutrition!$H$2:$H$300,MATCH($F621,Nutrition!$A$2:$A$300,0))*$I621/100,0))</f>
        <v>10.45</v>
      </c>
      <c r="O621" s="30">
        <f>IF(OR($F621="",$I621=""),0,IFERROR(INDEX(Nutrition!$I$2:$I$300,MATCH($F621,Nutrition!$A$2:$A$300,0))*$I621/100,0))</f>
        <v>80.3</v>
      </c>
      <c r="P621" s="30">
        <f>IF(OR($F621="",$I621=""),0,IFERROR(INDEX(Nutrition!$J$2:$J$300,MATCH($F621,Nutrition!$A$2:$A$300,0))*$I621/100,0))</f>
        <v>1.1000000000000001E-2</v>
      </c>
      <c r="Q621" s="30">
        <f>IF(OR($F621="",$I621=""),0,IFERROR(INDEX(Nutrition!$K$2:$K$300,MATCH($F621,Nutrition!$A$2:$A$300,0))*$I621/100,0))</f>
        <v>6.6000000000000003E-2</v>
      </c>
      <c r="R621" s="30">
        <f>IF(OR($F621="",$I621=""),0,IFERROR(INDEX(Nutrition!$L$2:$L$300,MATCH($F621,Nutrition!$A$2:$A$300,0))*$I621/100,0))</f>
        <v>5.5</v>
      </c>
      <c r="S621" s="30">
        <f>IF(OR($F621="",$I621=""),0,IFERROR(INDEX(Nutrition!$M$2:$M$300,MATCH($F621,Nutrition!$A$2:$A$300,0))*$I621/100,0))</f>
        <v>0.11549999999999999</v>
      </c>
    </row>
    <row r="622" spans="1:19" ht="15" customHeight="1" x14ac:dyDescent="0.25">
      <c r="A622" s="22" t="s">
        <v>1715</v>
      </c>
      <c r="B622" s="33" t="str">
        <f>IFERROR(INDEX(Recipes!$B$2:$B$500,MATCH(A622,Recipes!$A$2:$A$500,0)),"")</f>
        <v>Vegetable Egg Sauce</v>
      </c>
      <c r="C622" s="7" t="s">
        <v>500</v>
      </c>
      <c r="D622" s="34">
        <v>1</v>
      </c>
      <c r="E622" s="22" t="s">
        <v>2816</v>
      </c>
      <c r="F622" s="22" t="s">
        <v>499</v>
      </c>
      <c r="G622" s="22" t="s">
        <v>2755</v>
      </c>
      <c r="H622" s="7" t="s">
        <v>2896</v>
      </c>
      <c r="I622" s="35">
        <v>3</v>
      </c>
      <c r="J622" s="30">
        <f>IF(OR($F622="",$I622=""),0,IFERROR(INDEX(Nutrition!$D$2:$D$300,MATCH($F622,Nutrition!$A$2:$A$300,0))*$I622/100,0))</f>
        <v>6.3E-2</v>
      </c>
      <c r="K622" s="30">
        <f>IF(OR($F622="",$I622=""),0,IFERROR(INDEX(Nutrition!$E$2:$E$300,MATCH($F622,Nutrition!$A$2:$A$300,0))*$I622/100,0))</f>
        <v>0.93599999999999994</v>
      </c>
      <c r="L622" s="30">
        <f>IF(OR($F622="",$I622=""),0,IFERROR(INDEX(Nutrition!$F$2:$F$300,MATCH($F622,Nutrition!$A$2:$A$300,0))*$I622/100,0))</f>
        <v>0</v>
      </c>
      <c r="M622" s="30">
        <f>IF(OR($F622="",$I622=""),0,IFERROR(INDEX(Nutrition!$G$2:$G$300,MATCH($F622,Nutrition!$A$2:$A$300,0))*$I622/100,0))</f>
        <v>5.0999999999999997E-2</v>
      </c>
      <c r="N622" s="30">
        <f>IF(OR($F622="",$I622=""),0,IFERROR(INDEX(Nutrition!$H$2:$H$300,MATCH($F622,Nutrition!$A$2:$A$300,0))*$I622/100,0))</f>
        <v>0.09</v>
      </c>
      <c r="O622" s="30">
        <f>IF(OR($F622="",$I622=""),0,IFERROR(INDEX(Nutrition!$I$2:$I$300,MATCH($F622,Nutrition!$A$2:$A$300,0))*$I622/100,0))</f>
        <v>12.03</v>
      </c>
      <c r="P622" s="30">
        <f>IF(OR($F622="",$I622=""),0,IFERROR(INDEX(Nutrition!$J$2:$J$300,MATCH($F622,Nutrition!$A$2:$A$300,0))*$I622/100,0))</f>
        <v>2.3999999999999998E-3</v>
      </c>
      <c r="Q622" s="30">
        <f>IF(OR($F622="",$I622=""),0,IFERROR(INDEX(Nutrition!$K$2:$K$300,MATCH($F622,Nutrition!$A$2:$A$300,0))*$I622/100,0))</f>
        <v>3.705E-2</v>
      </c>
      <c r="R622" s="30">
        <f>IF(OR($F622="",$I622=""),0,IFERROR(INDEX(Nutrition!$L$2:$L$300,MATCH($F622,Nutrition!$A$2:$A$300,0))*$I622/100,0))</f>
        <v>0.75</v>
      </c>
      <c r="S622" s="30">
        <f>IF(OR($F622="",$I622=""),0,IFERROR(INDEX(Nutrition!$M$2:$M$300,MATCH($F622,Nutrition!$A$2:$A$300,0))*$I622/100,0))</f>
        <v>5.0999999999999997E-2</v>
      </c>
    </row>
    <row r="623" spans="1:19" ht="15" customHeight="1" x14ac:dyDescent="0.25">
      <c r="A623" s="22" t="s">
        <v>1715</v>
      </c>
      <c r="B623" s="33" t="str">
        <f>IFERROR(INDEX(Recipes!$B$2:$B$500,MATCH(A623,Recipes!$A$2:$A$500,0)),"")</f>
        <v>Vegetable Egg Sauce</v>
      </c>
      <c r="C623" s="7" t="s">
        <v>628</v>
      </c>
      <c r="D623" s="34">
        <v>1</v>
      </c>
      <c r="E623" s="22" t="s">
        <v>2748</v>
      </c>
      <c r="F623" s="22" t="s">
        <v>627</v>
      </c>
      <c r="G623" s="22" t="s">
        <v>2755</v>
      </c>
      <c r="H623" s="7" t="s">
        <v>2897</v>
      </c>
      <c r="I623" s="35">
        <v>30</v>
      </c>
      <c r="J623" s="30">
        <f>IF(OR($F623="",$I623=""),0,IFERROR(INDEX(Nutrition!$D$2:$D$300,MATCH($F623,Nutrition!$A$2:$A$300,0))*$I623/100,0))</f>
        <v>0.78</v>
      </c>
      <c r="K623" s="30">
        <f>IF(OR($F623="",$I623=""),0,IFERROR(INDEX(Nutrition!$E$2:$E$300,MATCH($F623,Nutrition!$A$2:$A$300,0))*$I623/100,0))</f>
        <v>8.4</v>
      </c>
      <c r="L623" s="30">
        <f>IF(OR($F623="",$I623=""),0,IFERROR(INDEX(Nutrition!$F$2:$F$300,MATCH($F623,Nutrition!$A$2:$A$300,0))*$I623/100,0))</f>
        <v>84</v>
      </c>
      <c r="M623" s="30">
        <f>IF(OR($F623="",$I623=""),0,IFERROR(INDEX(Nutrition!$G$2:$G$300,MATCH($F623,Nutrition!$A$2:$A$300,0))*$I623/100,0))</f>
        <v>0</v>
      </c>
      <c r="N623" s="30">
        <f>IF(OR($F623="",$I623=""),0,IFERROR(INDEX(Nutrition!$H$2:$H$300,MATCH($F623,Nutrition!$A$2:$A$300,0))*$I623/100,0))</f>
        <v>25.5</v>
      </c>
      <c r="O623" s="30">
        <f>IF(OR($F623="",$I623=""),0,IFERROR(INDEX(Nutrition!$I$2:$I$300,MATCH($F623,Nutrition!$A$2:$A$300,0))*$I623/100,0))</f>
        <v>135</v>
      </c>
      <c r="P623" s="30">
        <f>IF(OR($F623="",$I623=""),0,IFERROR(INDEX(Nutrition!$J$2:$J$300,MATCH($F623,Nutrition!$A$2:$A$300,0))*$I623/100,0))</f>
        <v>0</v>
      </c>
      <c r="Q623" s="30">
        <f>IF(OR($F623="",$I623=""),0,IFERROR(INDEX(Nutrition!$K$2:$K$300,MATCH($F623,Nutrition!$A$2:$A$300,0))*$I623/100,0))</f>
        <v>0</v>
      </c>
      <c r="R623" s="30">
        <f>IF(OR($F623="",$I623=""),0,IFERROR(INDEX(Nutrition!$L$2:$L$300,MATCH($F623,Nutrition!$A$2:$A$300,0))*$I623/100,0))</f>
        <v>15</v>
      </c>
      <c r="S623" s="30">
        <f>IF(OR($F623="",$I623=""),0,IFERROR(INDEX(Nutrition!$M$2:$M$300,MATCH($F623,Nutrition!$A$2:$A$300,0))*$I623/100,0))</f>
        <v>0.75</v>
      </c>
    </row>
    <row r="624" spans="1:19" ht="15" customHeight="1" x14ac:dyDescent="0.25">
      <c r="A624" s="22" t="s">
        <v>1715</v>
      </c>
      <c r="B624" s="33" t="str">
        <f>IFERROR(INDEX(Recipes!$B$2:$B$500,MATCH(A624,Recipes!$A$2:$A$500,0)),"")</f>
        <v>Vegetable Egg Sauce</v>
      </c>
      <c r="C624" s="7" t="s">
        <v>2767</v>
      </c>
      <c r="D624" s="34">
        <v>6</v>
      </c>
      <c r="E624" s="22" t="s">
        <v>2754</v>
      </c>
      <c r="F624" s="22"/>
      <c r="G624" s="22" t="s">
        <v>2768</v>
      </c>
      <c r="H624" s="7"/>
      <c r="I624" s="35"/>
      <c r="J624" s="30">
        <f>IF(OR($F624="",$I624=""),0,IFERROR(INDEX(Nutrition!$D$2:$D$300,MATCH($F624,Nutrition!$A$2:$A$300,0))*$I624/100,0))</f>
        <v>0</v>
      </c>
      <c r="K624" s="30">
        <f>IF(OR($F624="",$I624=""),0,IFERROR(INDEX(Nutrition!$E$2:$E$300,MATCH($F624,Nutrition!$A$2:$A$300,0))*$I624/100,0))</f>
        <v>0</v>
      </c>
      <c r="L624" s="30">
        <f>IF(OR($F624="",$I624=""),0,IFERROR(INDEX(Nutrition!$F$2:$F$300,MATCH($F624,Nutrition!$A$2:$A$300,0))*$I624/100,0))</f>
        <v>0</v>
      </c>
      <c r="M624" s="30">
        <f>IF(OR($F624="",$I624=""),0,IFERROR(INDEX(Nutrition!$G$2:$G$300,MATCH($F624,Nutrition!$A$2:$A$300,0))*$I624/100,0))</f>
        <v>0</v>
      </c>
      <c r="N624" s="30">
        <f>IF(OR($F624="",$I624=""),0,IFERROR(INDEX(Nutrition!$H$2:$H$300,MATCH($F624,Nutrition!$A$2:$A$300,0))*$I624/100,0))</f>
        <v>0</v>
      </c>
      <c r="O624" s="30">
        <f>IF(OR($F624="",$I624=""),0,IFERROR(INDEX(Nutrition!$I$2:$I$300,MATCH($F624,Nutrition!$A$2:$A$300,0))*$I624/100,0))</f>
        <v>0</v>
      </c>
      <c r="P624" s="30">
        <f>IF(OR($F624="",$I624=""),0,IFERROR(INDEX(Nutrition!$J$2:$J$300,MATCH($F624,Nutrition!$A$2:$A$300,0))*$I624/100,0))</f>
        <v>0</v>
      </c>
      <c r="Q624" s="30">
        <f>IF(OR($F624="",$I624=""),0,IFERROR(INDEX(Nutrition!$K$2:$K$300,MATCH($F624,Nutrition!$A$2:$A$300,0))*$I624/100,0))</f>
        <v>0</v>
      </c>
      <c r="R624" s="30">
        <f>IF(OR($F624="",$I624=""),0,IFERROR(INDEX(Nutrition!$L$2:$L$300,MATCH($F624,Nutrition!$A$2:$A$300,0))*$I624/100,0))</f>
        <v>0</v>
      </c>
      <c r="S624" s="30">
        <f>IF(OR($F624="",$I624=""),0,IFERROR(INDEX(Nutrition!$M$2:$M$300,MATCH($F624,Nutrition!$A$2:$A$300,0))*$I624/100,0))</f>
        <v>0</v>
      </c>
    </row>
    <row r="625" spans="1:19" ht="15" customHeight="1" x14ac:dyDescent="0.25">
      <c r="A625" s="22" t="s">
        <v>1715</v>
      </c>
      <c r="B625" s="33" t="str">
        <f>IFERROR(INDEX(Recipes!$B$2:$B$500,MATCH(A625,Recipes!$A$2:$A$500,0)),"")</f>
        <v>Vegetable Egg Sauce</v>
      </c>
      <c r="C625" s="7" t="s">
        <v>2898</v>
      </c>
      <c r="D625" s="34">
        <v>3</v>
      </c>
      <c r="E625" s="22" t="s">
        <v>2753</v>
      </c>
      <c r="F625" s="22"/>
      <c r="G625" s="22" t="s">
        <v>2773</v>
      </c>
      <c r="H625" s="7"/>
      <c r="I625" s="35"/>
      <c r="J625" s="30">
        <f>IF(OR($F625="",$I625=""),0,IFERROR(INDEX(Nutrition!$D$2:$D$300,MATCH($F625,Nutrition!$A$2:$A$300,0))*$I625/100,0))</f>
        <v>0</v>
      </c>
      <c r="K625" s="30">
        <f>IF(OR($F625="",$I625=""),0,IFERROR(INDEX(Nutrition!$E$2:$E$300,MATCH($F625,Nutrition!$A$2:$A$300,0))*$I625/100,0))</f>
        <v>0</v>
      </c>
      <c r="L625" s="30">
        <f>IF(OR($F625="",$I625=""),0,IFERROR(INDEX(Nutrition!$F$2:$F$300,MATCH($F625,Nutrition!$A$2:$A$300,0))*$I625/100,0))</f>
        <v>0</v>
      </c>
      <c r="M625" s="30">
        <f>IF(OR($F625="",$I625=""),0,IFERROR(INDEX(Nutrition!$G$2:$G$300,MATCH($F625,Nutrition!$A$2:$A$300,0))*$I625/100,0))</f>
        <v>0</v>
      </c>
      <c r="N625" s="30">
        <f>IF(OR($F625="",$I625=""),0,IFERROR(INDEX(Nutrition!$H$2:$H$300,MATCH($F625,Nutrition!$A$2:$A$300,0))*$I625/100,0))</f>
        <v>0</v>
      </c>
      <c r="O625" s="30">
        <f>IF(OR($F625="",$I625=""),0,IFERROR(INDEX(Nutrition!$I$2:$I$300,MATCH($F625,Nutrition!$A$2:$A$300,0))*$I625/100,0))</f>
        <v>0</v>
      </c>
      <c r="P625" s="30">
        <f>IF(OR($F625="",$I625=""),0,IFERROR(INDEX(Nutrition!$J$2:$J$300,MATCH($F625,Nutrition!$A$2:$A$300,0))*$I625/100,0))</f>
        <v>0</v>
      </c>
      <c r="Q625" s="30">
        <f>IF(OR($F625="",$I625=""),0,IFERROR(INDEX(Nutrition!$K$2:$K$300,MATCH($F625,Nutrition!$A$2:$A$300,0))*$I625/100,0))</f>
        <v>0</v>
      </c>
      <c r="R625" s="30">
        <f>IF(OR($F625="",$I625=""),0,IFERROR(INDEX(Nutrition!$L$2:$L$300,MATCH($F625,Nutrition!$A$2:$A$300,0))*$I625/100,0))</f>
        <v>0</v>
      </c>
      <c r="S625" s="30">
        <f>IF(OR($F625="",$I625=""),0,IFERROR(INDEX(Nutrition!$M$2:$M$300,MATCH($F625,Nutrition!$A$2:$A$300,0))*$I625/100,0))</f>
        <v>0</v>
      </c>
    </row>
    <row r="626" spans="1:19" ht="15" customHeight="1" x14ac:dyDescent="0.25">
      <c r="A626" s="22" t="s">
        <v>1715</v>
      </c>
      <c r="B626" s="33" t="str">
        <f>IFERROR(INDEX(Recipes!$B$2:$B$500,MATCH(A626,Recipes!$A$2:$A$500,0)),"")</f>
        <v>Vegetable Egg Sauce</v>
      </c>
      <c r="C626" s="7" t="s">
        <v>2881</v>
      </c>
      <c r="D626" s="34">
        <v>0.5</v>
      </c>
      <c r="E626" s="22" t="s">
        <v>2759</v>
      </c>
      <c r="F626" s="22"/>
      <c r="G626" s="22" t="s">
        <v>2749</v>
      </c>
      <c r="H626" s="7"/>
      <c r="I626" s="35"/>
      <c r="J626" s="30">
        <f>IF(OR($F626="",$I626=""),0,IFERROR(INDEX(Nutrition!$D$2:$D$300,MATCH($F626,Nutrition!$A$2:$A$300,0))*$I626/100,0))</f>
        <v>0</v>
      </c>
      <c r="K626" s="30">
        <f>IF(OR($F626="",$I626=""),0,IFERROR(INDEX(Nutrition!$E$2:$E$300,MATCH($F626,Nutrition!$A$2:$A$300,0))*$I626/100,0))</f>
        <v>0</v>
      </c>
      <c r="L626" s="30">
        <f>IF(OR($F626="",$I626=""),0,IFERROR(INDEX(Nutrition!$F$2:$F$300,MATCH($F626,Nutrition!$A$2:$A$300,0))*$I626/100,0))</f>
        <v>0</v>
      </c>
      <c r="M626" s="30">
        <f>IF(OR($F626="",$I626=""),0,IFERROR(INDEX(Nutrition!$G$2:$G$300,MATCH($F626,Nutrition!$A$2:$A$300,0))*$I626/100,0))</f>
        <v>0</v>
      </c>
      <c r="N626" s="30">
        <f>IF(OR($F626="",$I626=""),0,IFERROR(INDEX(Nutrition!$H$2:$H$300,MATCH($F626,Nutrition!$A$2:$A$300,0))*$I626/100,0))</f>
        <v>0</v>
      </c>
      <c r="O626" s="30">
        <f>IF(OR($F626="",$I626=""),0,IFERROR(INDEX(Nutrition!$I$2:$I$300,MATCH($F626,Nutrition!$A$2:$A$300,0))*$I626/100,0))</f>
        <v>0</v>
      </c>
      <c r="P626" s="30">
        <f>IF(OR($F626="",$I626=""),0,IFERROR(INDEX(Nutrition!$J$2:$J$300,MATCH($F626,Nutrition!$A$2:$A$300,0))*$I626/100,0))</f>
        <v>0</v>
      </c>
      <c r="Q626" s="30">
        <f>IF(OR($F626="",$I626=""),0,IFERROR(INDEX(Nutrition!$K$2:$K$300,MATCH($F626,Nutrition!$A$2:$A$300,0))*$I626/100,0))</f>
        <v>0</v>
      </c>
      <c r="R626" s="30">
        <f>IF(OR($F626="",$I626=""),0,IFERROR(INDEX(Nutrition!$L$2:$L$300,MATCH($F626,Nutrition!$A$2:$A$300,0))*$I626/100,0))</f>
        <v>0</v>
      </c>
      <c r="S626" s="30">
        <f>IF(OR($F626="",$I626=""),0,IFERROR(INDEX(Nutrition!$M$2:$M$300,MATCH($F626,Nutrition!$A$2:$A$300,0))*$I626/100,0))</f>
        <v>0</v>
      </c>
    </row>
    <row r="627" spans="1:19" ht="15" customHeight="1" x14ac:dyDescent="0.25">
      <c r="A627" s="22" t="s">
        <v>1715</v>
      </c>
      <c r="B627" s="33" t="str">
        <f>IFERROR(INDEX(Recipes!$B$2:$B$500,MATCH(A627,Recipes!$A$2:$A$500,0)),"")</f>
        <v>Vegetable Egg Sauce</v>
      </c>
      <c r="C627" s="7" t="s">
        <v>2781</v>
      </c>
      <c r="D627" s="34">
        <v>1</v>
      </c>
      <c r="E627" s="22" t="s">
        <v>2782</v>
      </c>
      <c r="F627" s="22"/>
      <c r="G627" s="22" t="s">
        <v>2773</v>
      </c>
      <c r="H627" s="7"/>
      <c r="I627" s="35"/>
      <c r="J627" s="30">
        <f>IF(OR($F627="",$I627=""),0,IFERROR(INDEX(Nutrition!$D$2:$D$300,MATCH($F627,Nutrition!$A$2:$A$300,0))*$I627/100,0))</f>
        <v>0</v>
      </c>
      <c r="K627" s="30">
        <f>IF(OR($F627="",$I627=""),0,IFERROR(INDEX(Nutrition!$E$2:$E$300,MATCH($F627,Nutrition!$A$2:$A$300,0))*$I627/100,0))</f>
        <v>0</v>
      </c>
      <c r="L627" s="30">
        <f>IF(OR($F627="",$I627=""),0,IFERROR(INDEX(Nutrition!$F$2:$F$300,MATCH($F627,Nutrition!$A$2:$A$300,0))*$I627/100,0))</f>
        <v>0</v>
      </c>
      <c r="M627" s="30">
        <f>IF(OR($F627="",$I627=""),0,IFERROR(INDEX(Nutrition!$G$2:$G$300,MATCH($F627,Nutrition!$A$2:$A$300,0))*$I627/100,0))</f>
        <v>0</v>
      </c>
      <c r="N627" s="30">
        <f>IF(OR($F627="",$I627=""),0,IFERROR(INDEX(Nutrition!$H$2:$H$300,MATCH($F627,Nutrition!$A$2:$A$300,0))*$I627/100,0))</f>
        <v>0</v>
      </c>
      <c r="O627" s="30">
        <f>IF(OR($F627="",$I627=""),0,IFERROR(INDEX(Nutrition!$I$2:$I$300,MATCH($F627,Nutrition!$A$2:$A$300,0))*$I627/100,0))</f>
        <v>0</v>
      </c>
      <c r="P627" s="30">
        <f>IF(OR($F627="",$I627=""),0,IFERROR(INDEX(Nutrition!$J$2:$J$300,MATCH($F627,Nutrition!$A$2:$A$300,0))*$I627/100,0))</f>
        <v>0</v>
      </c>
      <c r="Q627" s="30">
        <f>IF(OR($F627="",$I627=""),0,IFERROR(INDEX(Nutrition!$K$2:$K$300,MATCH($F627,Nutrition!$A$2:$A$300,0))*$I627/100,0))</f>
        <v>0</v>
      </c>
      <c r="R627" s="30">
        <f>IF(OR($F627="",$I627=""),0,IFERROR(INDEX(Nutrition!$L$2:$L$300,MATCH($F627,Nutrition!$A$2:$A$300,0))*$I627/100,0))</f>
        <v>0</v>
      </c>
      <c r="S627" s="30">
        <f>IF(OR($F627="",$I627=""),0,IFERROR(INDEX(Nutrition!$M$2:$M$300,MATCH($F627,Nutrition!$A$2:$A$300,0))*$I627/100,0))</f>
        <v>0</v>
      </c>
    </row>
    <row r="628" spans="1:19" ht="15" customHeight="1" x14ac:dyDescent="0.25">
      <c r="A628" s="22" t="s">
        <v>1727</v>
      </c>
      <c r="B628" s="33" t="str">
        <f>IFERROR(INDEX(Recipes!$B$2:$B$500,MATCH(A628,Recipes!$A$2:$A$500,0)),"")</f>
        <v>Boiled Yam &amp; Pepper Egg Sauce</v>
      </c>
      <c r="C628" s="7" t="s">
        <v>622</v>
      </c>
      <c r="D628" s="34">
        <v>800</v>
      </c>
      <c r="E628" s="22" t="s">
        <v>2813</v>
      </c>
      <c r="F628" s="22" t="s">
        <v>621</v>
      </c>
      <c r="G628" s="22" t="s">
        <v>2755</v>
      </c>
      <c r="H628" s="7" t="s">
        <v>2899</v>
      </c>
      <c r="I628" s="35">
        <v>800</v>
      </c>
      <c r="J628" s="30">
        <f>IF(OR($F628="",$I628=""),0,IFERROR(INDEX(Nutrition!$D$2:$D$300,MATCH($F628,Nutrition!$A$2:$A$300,0))*$I628/100,0))</f>
        <v>32.799999999999997</v>
      </c>
      <c r="K628" s="30">
        <f>IF(OR($F628="",$I628=""),0,IFERROR(INDEX(Nutrition!$E$2:$E$300,MATCH($F628,Nutrition!$A$2:$A$300,0))*$I628/100,0))</f>
        <v>136.80000000000001</v>
      </c>
      <c r="L628" s="30">
        <f>IF(OR($F628="",$I628=""),0,IFERROR(INDEX(Nutrition!$F$2:$F$300,MATCH($F628,Nutrition!$A$2:$A$300,0))*$I628/100,0))</f>
        <v>56</v>
      </c>
      <c r="M628" s="30">
        <f>IF(OR($F628="",$I628=""),0,IFERROR(INDEX(Nutrition!$G$2:$G$300,MATCH($F628,Nutrition!$A$2:$A$300,0))*$I628/100,0))</f>
        <v>18.399999999999999</v>
      </c>
      <c r="N628" s="30">
        <f>IF(OR($F628="",$I628=""),0,IFERROR(INDEX(Nutrition!$H$2:$H$300,MATCH($F628,Nutrition!$A$2:$A$300,0))*$I628/100,0))</f>
        <v>184</v>
      </c>
      <c r="O628" s="30">
        <f>IF(OR($F628="",$I628=""),0,IFERROR(INDEX(Nutrition!$I$2:$I$300,MATCH($F628,Nutrition!$A$2:$A$300,0))*$I628/100,0))</f>
        <v>6528</v>
      </c>
      <c r="P628" s="30">
        <f>IF(OR($F628="",$I628=""),0,IFERROR(INDEX(Nutrition!$J$2:$J$300,MATCH($F628,Nutrition!$A$2:$A$300,0))*$I628/100,0))</f>
        <v>2.8</v>
      </c>
      <c r="Q628" s="30">
        <f>IF(OR($F628="",$I628=""),0,IFERROR(INDEX(Nutrition!$K$2:$K$300,MATCH($F628,Nutrition!$A$2:$A$300,0))*$I628/100,0))</f>
        <v>2.3439999999999999</v>
      </c>
      <c r="R628" s="30">
        <f>IF(OR($F628="",$I628=""),0,IFERROR(INDEX(Nutrition!$L$2:$L$300,MATCH($F628,Nutrition!$A$2:$A$300,0))*$I628/100,0))</f>
        <v>168</v>
      </c>
      <c r="S628" s="30">
        <f>IF(OR($F628="",$I628=""),0,IFERROR(INDEX(Nutrition!$M$2:$M$300,MATCH($F628,Nutrition!$A$2:$A$300,0))*$I628/100,0))</f>
        <v>4.32</v>
      </c>
    </row>
    <row r="629" spans="1:19" ht="15" customHeight="1" x14ac:dyDescent="0.25">
      <c r="A629" s="22" t="s">
        <v>1727</v>
      </c>
      <c r="B629" s="33" t="str">
        <f>IFERROR(INDEX(Recipes!$B$2:$B$500,MATCH(A629,Recipes!$A$2:$A$500,0)),"")</f>
        <v>Boiled Yam &amp; Pepper Egg Sauce</v>
      </c>
      <c r="C629" s="7" t="s">
        <v>446</v>
      </c>
      <c r="D629" s="34">
        <v>3</v>
      </c>
      <c r="E629" s="22" t="s">
        <v>2754</v>
      </c>
      <c r="F629" s="22" t="s">
        <v>445</v>
      </c>
      <c r="G629" s="22" t="s">
        <v>2755</v>
      </c>
      <c r="H629" s="7" t="s">
        <v>2756</v>
      </c>
      <c r="I629" s="35">
        <v>186</v>
      </c>
      <c r="J629" s="30">
        <f>IF(OR($F629="",$I629=""),0,IFERROR(INDEX(Nutrition!$D$2:$D$300,MATCH($F629,Nutrition!$A$2:$A$300,0))*$I629/100,0))</f>
        <v>2.2319999999999998</v>
      </c>
      <c r="K629" s="30">
        <f>IF(OR($F629="",$I629=""),0,IFERROR(INDEX(Nutrition!$E$2:$E$300,MATCH($F629,Nutrition!$A$2:$A$300,0))*$I629/100,0))</f>
        <v>25.481999999999999</v>
      </c>
      <c r="L629" s="30">
        <f>IF(OR($F629="",$I629=""),0,IFERROR(INDEX(Nutrition!$F$2:$F$300,MATCH($F629,Nutrition!$A$2:$A$300,0))*$I629/100,0))</f>
        <v>78.12</v>
      </c>
      <c r="M629" s="30">
        <f>IF(OR($F629="",$I629=""),0,IFERROR(INDEX(Nutrition!$G$2:$G$300,MATCH($F629,Nutrition!$A$2:$A$300,0))*$I629/100,0))</f>
        <v>14.694000000000001</v>
      </c>
      <c r="N629" s="30">
        <f>IF(OR($F629="",$I629=""),0,IFERROR(INDEX(Nutrition!$H$2:$H$300,MATCH($F629,Nutrition!$A$2:$A$300,0))*$I629/100,0))</f>
        <v>27.9</v>
      </c>
      <c r="O629" s="30">
        <f>IF(OR($F629="",$I629=""),0,IFERROR(INDEX(Nutrition!$I$2:$I$300,MATCH($F629,Nutrition!$A$2:$A$300,0))*$I629/100,0))</f>
        <v>440.82</v>
      </c>
      <c r="P629" s="30">
        <f>IF(OR($F629="",$I629=""),0,IFERROR(INDEX(Nutrition!$J$2:$J$300,MATCH($F629,Nutrition!$A$2:$A$300,0))*$I629/100,0))</f>
        <v>1.0044000000000002</v>
      </c>
      <c r="Q629" s="30">
        <f>IF(OR($F629="",$I629=""),0,IFERROR(INDEX(Nutrition!$K$2:$K$300,MATCH($F629,Nutrition!$A$2:$A$300,0))*$I629/100,0))</f>
        <v>0.14880000000000002</v>
      </c>
      <c r="R629" s="30">
        <f>IF(OR($F629="",$I629=""),0,IFERROR(INDEX(Nutrition!$L$2:$L$300,MATCH($F629,Nutrition!$A$2:$A$300,0))*$I629/100,0))</f>
        <v>20.46</v>
      </c>
      <c r="S629" s="30">
        <f>IF(OR($F629="",$I629=""),0,IFERROR(INDEX(Nutrition!$M$2:$M$300,MATCH($F629,Nutrition!$A$2:$A$300,0))*$I629/100,0))</f>
        <v>0.50220000000000009</v>
      </c>
    </row>
    <row r="630" spans="1:19" ht="15" customHeight="1" x14ac:dyDescent="0.25">
      <c r="A630" s="22" t="s">
        <v>1727</v>
      </c>
      <c r="B630" s="33" t="str">
        <f>IFERROR(INDEX(Recipes!$B$2:$B$500,MATCH(A630,Recipes!$A$2:$A$500,0)),"")</f>
        <v>Boiled Yam &amp; Pepper Egg Sauce</v>
      </c>
      <c r="C630" s="7" t="s">
        <v>462</v>
      </c>
      <c r="D630" s="34">
        <v>1</v>
      </c>
      <c r="E630" s="22" t="s">
        <v>2754</v>
      </c>
      <c r="F630" s="22" t="s">
        <v>461</v>
      </c>
      <c r="G630" s="22" t="s">
        <v>2755</v>
      </c>
      <c r="H630" s="7" t="s">
        <v>2894</v>
      </c>
      <c r="I630" s="35">
        <v>119</v>
      </c>
      <c r="J630" s="30">
        <f>IF(OR($F630="",$I630=""),0,IFERROR(INDEX(Nutrition!$D$2:$D$300,MATCH($F630,Nutrition!$A$2:$A$300,0))*$I630/100,0))</f>
        <v>2.4990000000000001</v>
      </c>
      <c r="K630" s="30">
        <f>IF(OR($F630="",$I630=""),0,IFERROR(INDEX(Nutrition!$E$2:$E$300,MATCH($F630,Nutrition!$A$2:$A$300,0))*$I630/100,0))</f>
        <v>151.96300000000002</v>
      </c>
      <c r="L630" s="30">
        <f>IF(OR($F630="",$I630=""),0,IFERROR(INDEX(Nutrition!$F$2:$F$300,MATCH($F630,Nutrition!$A$2:$A$300,0))*$I630/100,0))</f>
        <v>186.83</v>
      </c>
      <c r="M630" s="30">
        <f>IF(OR($F630="",$I630=""),0,IFERROR(INDEX(Nutrition!$G$2:$G$300,MATCH($F630,Nutrition!$A$2:$A$300,0))*$I630/100,0))</f>
        <v>5.8310000000000004</v>
      </c>
      <c r="N630" s="30">
        <f>IF(OR($F630="",$I630=""),0,IFERROR(INDEX(Nutrition!$H$2:$H$300,MATCH($F630,Nutrition!$A$2:$A$300,0))*$I630/100,0))</f>
        <v>54.74</v>
      </c>
      <c r="O630" s="30">
        <f>IF(OR($F630="",$I630=""),0,IFERROR(INDEX(Nutrition!$I$2:$I$300,MATCH($F630,Nutrition!$A$2:$A$300,0))*$I630/100,0))</f>
        <v>251.09</v>
      </c>
      <c r="P630" s="30">
        <f>IF(OR($F630="",$I630=""),0,IFERROR(INDEX(Nutrition!$J$2:$J$300,MATCH($F630,Nutrition!$A$2:$A$300,0))*$I630/100,0))</f>
        <v>1.8802000000000001</v>
      </c>
      <c r="Q630" s="30">
        <f>IF(OR($F630="",$I630=""),0,IFERROR(INDEX(Nutrition!$K$2:$K$300,MATCH($F630,Nutrition!$A$2:$A$300,0))*$I630/100,0))</f>
        <v>0.34628999999999999</v>
      </c>
      <c r="R630" s="30">
        <f>IF(OR($F630="",$I630=""),0,IFERROR(INDEX(Nutrition!$L$2:$L$300,MATCH($F630,Nutrition!$A$2:$A$300,0))*$I630/100,0))</f>
        <v>14.28</v>
      </c>
      <c r="S630" s="30">
        <f>IF(OR($F630="",$I630=""),0,IFERROR(INDEX(Nutrition!$M$2:$M$300,MATCH($F630,Nutrition!$A$2:$A$300,0))*$I630/100,0))</f>
        <v>0.51170000000000004</v>
      </c>
    </row>
    <row r="631" spans="1:19" ht="15" customHeight="1" x14ac:dyDescent="0.25">
      <c r="A631" s="22" t="s">
        <v>1727</v>
      </c>
      <c r="B631" s="33" t="str">
        <f>IFERROR(INDEX(Recipes!$B$2:$B$500,MATCH(A631,Recipes!$A$2:$A$500,0)),"")</f>
        <v>Boiled Yam &amp; Pepper Egg Sauce</v>
      </c>
      <c r="C631" s="7" t="s">
        <v>473</v>
      </c>
      <c r="D631" s="34">
        <v>1</v>
      </c>
      <c r="E631" s="22" t="s">
        <v>2754</v>
      </c>
      <c r="F631" s="22" t="s">
        <v>472</v>
      </c>
      <c r="G631" s="22" t="s">
        <v>2755</v>
      </c>
      <c r="H631" s="7" t="s">
        <v>2900</v>
      </c>
      <c r="I631" s="35">
        <v>10</v>
      </c>
      <c r="J631" s="30">
        <f>IF(OR($F631="",$I631=""),0,IFERROR(INDEX(Nutrition!$D$2:$D$300,MATCH($F631,Nutrition!$A$2:$A$300,0))*$I631/100,0))</f>
        <v>0.15</v>
      </c>
      <c r="K631" s="30">
        <f>IF(OR($F631="",$I631=""),0,IFERROR(INDEX(Nutrition!$E$2:$E$300,MATCH($F631,Nutrition!$A$2:$A$300,0))*$I631/100,0))</f>
        <v>14.37</v>
      </c>
      <c r="L631" s="30">
        <f>IF(OR($F631="",$I631=""),0,IFERROR(INDEX(Nutrition!$F$2:$F$300,MATCH($F631,Nutrition!$A$2:$A$300,0))*$I631/100,0))</f>
        <v>4.8</v>
      </c>
      <c r="M631" s="30">
        <f>IF(OR($F631="",$I631=""),0,IFERROR(INDEX(Nutrition!$G$2:$G$300,MATCH($F631,Nutrition!$A$2:$A$300,0))*$I631/100,0))</f>
        <v>1.4</v>
      </c>
      <c r="N631" s="30">
        <f>IF(OR($F631="",$I631=""),0,IFERROR(INDEX(Nutrition!$H$2:$H$300,MATCH($F631,Nutrition!$A$2:$A$300,0))*$I631/100,0))</f>
        <v>2.2999999999999998</v>
      </c>
      <c r="O631" s="30">
        <f>IF(OR($F631="",$I631=""),0,IFERROR(INDEX(Nutrition!$I$2:$I$300,MATCH($F631,Nutrition!$A$2:$A$300,0))*$I631/100,0))</f>
        <v>32.200000000000003</v>
      </c>
      <c r="P631" s="30">
        <f>IF(OR($F631="",$I631=""),0,IFERROR(INDEX(Nutrition!$J$2:$J$300,MATCH($F631,Nutrition!$A$2:$A$300,0))*$I631/100,0))</f>
        <v>6.8999999999999992E-2</v>
      </c>
      <c r="Q631" s="30">
        <f>IF(OR($F631="",$I631=""),0,IFERROR(INDEX(Nutrition!$K$2:$K$300,MATCH($F631,Nutrition!$A$2:$A$300,0))*$I631/100,0))</f>
        <v>5.0600000000000006E-2</v>
      </c>
      <c r="R631" s="30">
        <f>IF(OR($F631="",$I631=""),0,IFERROR(INDEX(Nutrition!$L$2:$L$300,MATCH($F631,Nutrition!$A$2:$A$300,0))*$I631/100,0))</f>
        <v>2.2999999999999998</v>
      </c>
      <c r="S631" s="30">
        <f>IF(OR($F631="",$I631=""),0,IFERROR(INDEX(Nutrition!$M$2:$M$300,MATCH($F631,Nutrition!$A$2:$A$300,0))*$I631/100,0))</f>
        <v>0.10300000000000001</v>
      </c>
    </row>
    <row r="632" spans="1:19" ht="15" customHeight="1" x14ac:dyDescent="0.25">
      <c r="A632" s="22" t="s">
        <v>1727</v>
      </c>
      <c r="B632" s="33" t="str">
        <f>IFERROR(INDEX(Recipes!$B$2:$B$500,MATCH(A632,Recipes!$A$2:$A$500,0)),"")</f>
        <v>Boiled Yam &amp; Pepper Egg Sauce</v>
      </c>
      <c r="C632" s="7" t="s">
        <v>482</v>
      </c>
      <c r="D632" s="34">
        <v>1</v>
      </c>
      <c r="E632" s="22" t="s">
        <v>2754</v>
      </c>
      <c r="F632" s="22" t="s">
        <v>481</v>
      </c>
      <c r="G632" s="22" t="s">
        <v>2755</v>
      </c>
      <c r="H632" s="7" t="s">
        <v>2901</v>
      </c>
      <c r="I632" s="35">
        <v>110</v>
      </c>
      <c r="J632" s="30">
        <f>IF(OR($F632="",$I632=""),0,IFERROR(INDEX(Nutrition!$D$2:$D$300,MATCH($F632,Nutrition!$A$2:$A$300,0))*$I632/100,0))</f>
        <v>1.87</v>
      </c>
      <c r="K632" s="30">
        <f>IF(OR($F632="",$I632=""),0,IFERROR(INDEX(Nutrition!$E$2:$E$300,MATCH($F632,Nutrition!$A$2:$A$300,0))*$I632/100,0))</f>
        <v>8.14</v>
      </c>
      <c r="L632" s="30">
        <f>IF(OR($F632="",$I632=""),0,IFERROR(INDEX(Nutrition!$F$2:$F$300,MATCH($F632,Nutrition!$A$2:$A$300,0))*$I632/100,0))</f>
        <v>0</v>
      </c>
      <c r="M632" s="30">
        <f>IF(OR($F632="",$I632=""),0,IFERROR(INDEX(Nutrition!$G$2:$G$300,MATCH($F632,Nutrition!$A$2:$A$300,0))*$I632/100,0))</f>
        <v>0.44</v>
      </c>
      <c r="N632" s="30">
        <f>IF(OR($F632="",$I632=""),0,IFERROR(INDEX(Nutrition!$H$2:$H$300,MATCH($F632,Nutrition!$A$2:$A$300,0))*$I632/100,0))</f>
        <v>20.9</v>
      </c>
      <c r="O632" s="30">
        <f>IF(OR($F632="",$I632=""),0,IFERROR(INDEX(Nutrition!$I$2:$I$300,MATCH($F632,Nutrition!$A$2:$A$300,0))*$I632/100,0))</f>
        <v>160.6</v>
      </c>
      <c r="P632" s="30">
        <f>IF(OR($F632="",$I632=""),0,IFERROR(INDEX(Nutrition!$J$2:$J$300,MATCH($F632,Nutrition!$A$2:$A$300,0))*$I632/100,0))</f>
        <v>2.2000000000000002E-2</v>
      </c>
      <c r="Q632" s="30">
        <f>IF(OR($F632="",$I632=""),0,IFERROR(INDEX(Nutrition!$K$2:$K$300,MATCH($F632,Nutrition!$A$2:$A$300,0))*$I632/100,0))</f>
        <v>0.13200000000000001</v>
      </c>
      <c r="R632" s="30">
        <f>IF(OR($F632="",$I632=""),0,IFERROR(INDEX(Nutrition!$L$2:$L$300,MATCH($F632,Nutrition!$A$2:$A$300,0))*$I632/100,0))</f>
        <v>11</v>
      </c>
      <c r="S632" s="30">
        <f>IF(OR($F632="",$I632=""),0,IFERROR(INDEX(Nutrition!$M$2:$M$300,MATCH($F632,Nutrition!$A$2:$A$300,0))*$I632/100,0))</f>
        <v>0.23099999999999998</v>
      </c>
    </row>
    <row r="633" spans="1:19" ht="15" customHeight="1" x14ac:dyDescent="0.25">
      <c r="A633" s="22" t="s">
        <v>1727</v>
      </c>
      <c r="B633" s="33" t="str">
        <f>IFERROR(INDEX(Recipes!$B$2:$B$500,MATCH(A633,Recipes!$A$2:$A$500,0)),"")</f>
        <v>Boiled Yam &amp; Pepper Egg Sauce</v>
      </c>
      <c r="C633" s="7" t="s">
        <v>508</v>
      </c>
      <c r="D633" s="34">
        <v>1</v>
      </c>
      <c r="E633" s="22" t="s">
        <v>2821</v>
      </c>
      <c r="F633" s="22" t="s">
        <v>507</v>
      </c>
      <c r="G633" s="22" t="s">
        <v>2755</v>
      </c>
      <c r="H633" s="7" t="s">
        <v>2791</v>
      </c>
      <c r="I633" s="35">
        <v>15</v>
      </c>
      <c r="J633" s="30">
        <f>IF(OR($F633="",$I633=""),0,IFERROR(INDEX(Nutrition!$D$2:$D$300,MATCH($F633,Nutrition!$A$2:$A$300,0))*$I633/100,0))</f>
        <v>0.3</v>
      </c>
      <c r="K633" s="30">
        <f>IF(OR($F633="",$I633=""),0,IFERROR(INDEX(Nutrition!$E$2:$E$300,MATCH($F633,Nutrition!$A$2:$A$300,0))*$I633/100,0))</f>
        <v>0.75</v>
      </c>
      <c r="L633" s="30">
        <f>IF(OR($F633="",$I633=""),0,IFERROR(INDEX(Nutrition!$F$2:$F$300,MATCH($F633,Nutrition!$A$2:$A$300,0))*$I633/100,0))</f>
        <v>0</v>
      </c>
      <c r="M633" s="30">
        <f>IF(OR($F633="",$I633=""),0,IFERROR(INDEX(Nutrition!$G$2:$G$300,MATCH($F633,Nutrition!$A$2:$A$300,0))*$I633/100,0))</f>
        <v>1.4999999999999999E-2</v>
      </c>
      <c r="N633" s="30">
        <f>IF(OR($F633="",$I633=""),0,IFERROR(INDEX(Nutrition!$H$2:$H$300,MATCH($F633,Nutrition!$A$2:$A$300,0))*$I633/100,0))</f>
        <v>1.65</v>
      </c>
      <c r="O633" s="30">
        <f>IF(OR($F633="",$I633=""),0,IFERROR(INDEX(Nutrition!$I$2:$I$300,MATCH($F633,Nutrition!$A$2:$A$300,0))*$I633/100,0))</f>
        <v>62.25</v>
      </c>
      <c r="P633" s="30">
        <f>IF(OR($F633="",$I633=""),0,IFERROR(INDEX(Nutrition!$J$2:$J$300,MATCH($F633,Nutrition!$A$2:$A$300,0))*$I633/100,0))</f>
        <v>3.9000000000000007E-2</v>
      </c>
      <c r="Q633" s="30">
        <f>IF(OR($F633="",$I633=""),0,IFERROR(INDEX(Nutrition!$K$2:$K$300,MATCH($F633,Nutrition!$A$2:$A$300,0))*$I633/100,0))</f>
        <v>2.4E-2</v>
      </c>
      <c r="R633" s="30">
        <f>IF(OR($F633="",$I633=""),0,IFERROR(INDEX(Nutrition!$L$2:$L$300,MATCH($F633,Nutrition!$A$2:$A$300,0))*$I633/100,0))</f>
        <v>6.45</v>
      </c>
      <c r="S633" s="30">
        <f>IF(OR($F633="",$I633=""),0,IFERROR(INDEX(Nutrition!$M$2:$M$300,MATCH($F633,Nutrition!$A$2:$A$300,0))*$I633/100,0))</f>
        <v>0.09</v>
      </c>
    </row>
    <row r="634" spans="1:19" ht="15" customHeight="1" x14ac:dyDescent="0.25">
      <c r="A634" s="22" t="s">
        <v>1727</v>
      </c>
      <c r="B634" s="33" t="str">
        <f>IFERROR(INDEX(Recipes!$B$2:$B$500,MATCH(A634,Recipes!$A$2:$A$500,0)),"")</f>
        <v>Boiled Yam &amp; Pepper Egg Sauce</v>
      </c>
      <c r="C634" s="7" t="s">
        <v>2767</v>
      </c>
      <c r="D634" s="34">
        <v>4</v>
      </c>
      <c r="E634" s="22" t="s">
        <v>2754</v>
      </c>
      <c r="F634" s="22"/>
      <c r="G634" s="22" t="s">
        <v>2768</v>
      </c>
      <c r="H634" s="7"/>
      <c r="I634" s="35"/>
      <c r="J634" s="30">
        <f>IF(OR($F634="",$I634=""),0,IFERROR(INDEX(Nutrition!$D$2:$D$300,MATCH($F634,Nutrition!$A$2:$A$300,0))*$I634/100,0))</f>
        <v>0</v>
      </c>
      <c r="K634" s="30">
        <f>IF(OR($F634="",$I634=""),0,IFERROR(INDEX(Nutrition!$E$2:$E$300,MATCH($F634,Nutrition!$A$2:$A$300,0))*$I634/100,0))</f>
        <v>0</v>
      </c>
      <c r="L634" s="30">
        <f>IF(OR($F634="",$I634=""),0,IFERROR(INDEX(Nutrition!$F$2:$F$300,MATCH($F634,Nutrition!$A$2:$A$300,0))*$I634/100,0))</f>
        <v>0</v>
      </c>
      <c r="M634" s="30">
        <f>IF(OR($F634="",$I634=""),0,IFERROR(INDEX(Nutrition!$G$2:$G$300,MATCH($F634,Nutrition!$A$2:$A$300,0))*$I634/100,0))</f>
        <v>0</v>
      </c>
      <c r="N634" s="30">
        <f>IF(OR($F634="",$I634=""),0,IFERROR(INDEX(Nutrition!$H$2:$H$300,MATCH($F634,Nutrition!$A$2:$A$300,0))*$I634/100,0))</f>
        <v>0</v>
      </c>
      <c r="O634" s="30">
        <f>IF(OR($F634="",$I634=""),0,IFERROR(INDEX(Nutrition!$I$2:$I$300,MATCH($F634,Nutrition!$A$2:$A$300,0))*$I634/100,0))</f>
        <v>0</v>
      </c>
      <c r="P634" s="30">
        <f>IF(OR($F634="",$I634=""),0,IFERROR(INDEX(Nutrition!$J$2:$J$300,MATCH($F634,Nutrition!$A$2:$A$300,0))*$I634/100,0))</f>
        <v>0</v>
      </c>
      <c r="Q634" s="30">
        <f>IF(OR($F634="",$I634=""),0,IFERROR(INDEX(Nutrition!$K$2:$K$300,MATCH($F634,Nutrition!$A$2:$A$300,0))*$I634/100,0))</f>
        <v>0</v>
      </c>
      <c r="R634" s="30">
        <f>IF(OR($F634="",$I634=""),0,IFERROR(INDEX(Nutrition!$L$2:$L$300,MATCH($F634,Nutrition!$A$2:$A$300,0))*$I634/100,0))</f>
        <v>0</v>
      </c>
      <c r="S634" s="30">
        <f>IF(OR($F634="",$I634=""),0,IFERROR(INDEX(Nutrition!$M$2:$M$300,MATCH($F634,Nutrition!$A$2:$A$300,0))*$I634/100,0))</f>
        <v>0</v>
      </c>
    </row>
    <row r="635" spans="1:19" ht="15" customHeight="1" x14ac:dyDescent="0.25">
      <c r="A635" s="22" t="s">
        <v>1727</v>
      </c>
      <c r="B635" s="33" t="str">
        <f>IFERROR(INDEX(Recipes!$B$2:$B$500,MATCH(A635,Recipes!$A$2:$A$500,0)),"")</f>
        <v>Boiled Yam &amp; Pepper Egg Sauce</v>
      </c>
      <c r="C635" s="7" t="s">
        <v>2898</v>
      </c>
      <c r="D635" s="34">
        <v>3</v>
      </c>
      <c r="E635" s="22" t="s">
        <v>2753</v>
      </c>
      <c r="F635" s="22"/>
      <c r="G635" s="22" t="s">
        <v>2773</v>
      </c>
      <c r="H635" s="7"/>
      <c r="I635" s="35"/>
      <c r="J635" s="30">
        <f>IF(OR($F635="",$I635=""),0,IFERROR(INDEX(Nutrition!$D$2:$D$300,MATCH($F635,Nutrition!$A$2:$A$300,0))*$I635/100,0))</f>
        <v>0</v>
      </c>
      <c r="K635" s="30">
        <f>IF(OR($F635="",$I635=""),0,IFERROR(INDEX(Nutrition!$E$2:$E$300,MATCH($F635,Nutrition!$A$2:$A$300,0))*$I635/100,0))</f>
        <v>0</v>
      </c>
      <c r="L635" s="30">
        <f>IF(OR($F635="",$I635=""),0,IFERROR(INDEX(Nutrition!$F$2:$F$300,MATCH($F635,Nutrition!$A$2:$A$300,0))*$I635/100,0))</f>
        <v>0</v>
      </c>
      <c r="M635" s="30">
        <f>IF(OR($F635="",$I635=""),0,IFERROR(INDEX(Nutrition!$G$2:$G$300,MATCH($F635,Nutrition!$A$2:$A$300,0))*$I635/100,0))</f>
        <v>0</v>
      </c>
      <c r="N635" s="30">
        <f>IF(OR($F635="",$I635=""),0,IFERROR(INDEX(Nutrition!$H$2:$H$300,MATCH($F635,Nutrition!$A$2:$A$300,0))*$I635/100,0))</f>
        <v>0</v>
      </c>
      <c r="O635" s="30">
        <f>IF(OR($F635="",$I635=""),0,IFERROR(INDEX(Nutrition!$I$2:$I$300,MATCH($F635,Nutrition!$A$2:$A$300,0))*$I635/100,0))</f>
        <v>0</v>
      </c>
      <c r="P635" s="30">
        <f>IF(OR($F635="",$I635=""),0,IFERROR(INDEX(Nutrition!$J$2:$J$300,MATCH($F635,Nutrition!$A$2:$A$300,0))*$I635/100,0))</f>
        <v>0</v>
      </c>
      <c r="Q635" s="30">
        <f>IF(OR($F635="",$I635=""),0,IFERROR(INDEX(Nutrition!$K$2:$K$300,MATCH($F635,Nutrition!$A$2:$A$300,0))*$I635/100,0))</f>
        <v>0</v>
      </c>
      <c r="R635" s="30">
        <f>IF(OR($F635="",$I635=""),0,IFERROR(INDEX(Nutrition!$L$2:$L$300,MATCH($F635,Nutrition!$A$2:$A$300,0))*$I635/100,0))</f>
        <v>0</v>
      </c>
      <c r="S635" s="30">
        <f>IF(OR($F635="",$I635=""),0,IFERROR(INDEX(Nutrition!$M$2:$M$300,MATCH($F635,Nutrition!$A$2:$A$300,0))*$I635/100,0))</f>
        <v>0</v>
      </c>
    </row>
    <row r="636" spans="1:19" ht="15" customHeight="1" x14ac:dyDescent="0.25">
      <c r="A636" s="22" t="s">
        <v>1727</v>
      </c>
      <c r="B636" s="33" t="str">
        <f>IFERROR(INDEX(Recipes!$B$2:$B$500,MATCH(A636,Recipes!$A$2:$A$500,0)),"")</f>
        <v>Boiled Yam &amp; Pepper Egg Sauce</v>
      </c>
      <c r="C636" s="7" t="s">
        <v>2881</v>
      </c>
      <c r="D636" s="34">
        <v>0.5</v>
      </c>
      <c r="E636" s="22" t="s">
        <v>2759</v>
      </c>
      <c r="F636" s="22"/>
      <c r="G636" s="22" t="s">
        <v>2749</v>
      </c>
      <c r="H636" s="7"/>
      <c r="I636" s="35"/>
      <c r="J636" s="30">
        <f>IF(OR($F636="",$I636=""),0,IFERROR(INDEX(Nutrition!$D$2:$D$300,MATCH($F636,Nutrition!$A$2:$A$300,0))*$I636/100,0))</f>
        <v>0</v>
      </c>
      <c r="K636" s="30">
        <f>IF(OR($F636="",$I636=""),0,IFERROR(INDEX(Nutrition!$E$2:$E$300,MATCH($F636,Nutrition!$A$2:$A$300,0))*$I636/100,0))</f>
        <v>0</v>
      </c>
      <c r="L636" s="30">
        <f>IF(OR($F636="",$I636=""),0,IFERROR(INDEX(Nutrition!$F$2:$F$300,MATCH($F636,Nutrition!$A$2:$A$300,0))*$I636/100,0))</f>
        <v>0</v>
      </c>
      <c r="M636" s="30">
        <f>IF(OR($F636="",$I636=""),0,IFERROR(INDEX(Nutrition!$G$2:$G$300,MATCH($F636,Nutrition!$A$2:$A$300,0))*$I636/100,0))</f>
        <v>0</v>
      </c>
      <c r="N636" s="30">
        <f>IF(OR($F636="",$I636=""),0,IFERROR(INDEX(Nutrition!$H$2:$H$300,MATCH($F636,Nutrition!$A$2:$A$300,0))*$I636/100,0))</f>
        <v>0</v>
      </c>
      <c r="O636" s="30">
        <f>IF(OR($F636="",$I636=""),0,IFERROR(INDEX(Nutrition!$I$2:$I$300,MATCH($F636,Nutrition!$A$2:$A$300,0))*$I636/100,0))</f>
        <v>0</v>
      </c>
      <c r="P636" s="30">
        <f>IF(OR($F636="",$I636=""),0,IFERROR(INDEX(Nutrition!$J$2:$J$300,MATCH($F636,Nutrition!$A$2:$A$300,0))*$I636/100,0))</f>
        <v>0</v>
      </c>
      <c r="Q636" s="30">
        <f>IF(OR($F636="",$I636=""),0,IFERROR(INDEX(Nutrition!$K$2:$K$300,MATCH($F636,Nutrition!$A$2:$A$300,0))*$I636/100,0))</f>
        <v>0</v>
      </c>
      <c r="R636" s="30">
        <f>IF(OR($F636="",$I636=""),0,IFERROR(INDEX(Nutrition!$L$2:$L$300,MATCH($F636,Nutrition!$A$2:$A$300,0))*$I636/100,0))</f>
        <v>0</v>
      </c>
      <c r="S636" s="30">
        <f>IF(OR($F636="",$I636=""),0,IFERROR(INDEX(Nutrition!$M$2:$M$300,MATCH($F636,Nutrition!$A$2:$A$300,0))*$I636/100,0))</f>
        <v>0</v>
      </c>
    </row>
    <row r="637" spans="1:19" ht="15" customHeight="1" x14ac:dyDescent="0.25">
      <c r="A637" s="22" t="s">
        <v>1727</v>
      </c>
      <c r="B637" s="33" t="str">
        <f>IFERROR(INDEX(Recipes!$B$2:$B$500,MATCH(A637,Recipes!$A$2:$A$500,0)),"")</f>
        <v>Boiled Yam &amp; Pepper Egg Sauce</v>
      </c>
      <c r="C637" s="7" t="s">
        <v>2884</v>
      </c>
      <c r="D637" s="34">
        <v>0.5</v>
      </c>
      <c r="E637" s="22" t="s">
        <v>2759</v>
      </c>
      <c r="F637" s="22"/>
      <c r="G637" s="22" t="s">
        <v>2749</v>
      </c>
      <c r="H637" s="7"/>
      <c r="I637" s="35"/>
      <c r="J637" s="30">
        <f>IF(OR($F637="",$I637=""),0,IFERROR(INDEX(Nutrition!$D$2:$D$300,MATCH($F637,Nutrition!$A$2:$A$300,0))*$I637/100,0))</f>
        <v>0</v>
      </c>
      <c r="K637" s="30">
        <f>IF(OR($F637="",$I637=""),0,IFERROR(INDEX(Nutrition!$E$2:$E$300,MATCH($F637,Nutrition!$A$2:$A$300,0))*$I637/100,0))</f>
        <v>0</v>
      </c>
      <c r="L637" s="30">
        <f>IF(OR($F637="",$I637=""),0,IFERROR(INDEX(Nutrition!$F$2:$F$300,MATCH($F637,Nutrition!$A$2:$A$300,0))*$I637/100,0))</f>
        <v>0</v>
      </c>
      <c r="M637" s="30">
        <f>IF(OR($F637="",$I637=""),0,IFERROR(INDEX(Nutrition!$G$2:$G$300,MATCH($F637,Nutrition!$A$2:$A$300,0))*$I637/100,0))</f>
        <v>0</v>
      </c>
      <c r="N637" s="30">
        <f>IF(OR($F637="",$I637=""),0,IFERROR(INDEX(Nutrition!$H$2:$H$300,MATCH($F637,Nutrition!$A$2:$A$300,0))*$I637/100,0))</f>
        <v>0</v>
      </c>
      <c r="O637" s="30">
        <f>IF(OR($F637="",$I637=""),0,IFERROR(INDEX(Nutrition!$I$2:$I$300,MATCH($F637,Nutrition!$A$2:$A$300,0))*$I637/100,0))</f>
        <v>0</v>
      </c>
      <c r="P637" s="30">
        <f>IF(OR($F637="",$I637=""),0,IFERROR(INDEX(Nutrition!$J$2:$J$300,MATCH($F637,Nutrition!$A$2:$A$300,0))*$I637/100,0))</f>
        <v>0</v>
      </c>
      <c r="Q637" s="30">
        <f>IF(OR($F637="",$I637=""),0,IFERROR(INDEX(Nutrition!$K$2:$K$300,MATCH($F637,Nutrition!$A$2:$A$300,0))*$I637/100,0))</f>
        <v>0</v>
      </c>
      <c r="R637" s="30">
        <f>IF(OR($F637="",$I637=""),0,IFERROR(INDEX(Nutrition!$L$2:$L$300,MATCH($F637,Nutrition!$A$2:$A$300,0))*$I637/100,0))</f>
        <v>0</v>
      </c>
      <c r="S637" s="30">
        <f>IF(OR($F637="",$I637=""),0,IFERROR(INDEX(Nutrition!$M$2:$M$300,MATCH($F637,Nutrition!$A$2:$A$300,0))*$I637/100,0))</f>
        <v>0</v>
      </c>
    </row>
    <row r="638" spans="1:19" ht="15" customHeight="1" x14ac:dyDescent="0.25">
      <c r="A638" s="22" t="s">
        <v>1727</v>
      </c>
      <c r="B638" s="33" t="str">
        <f>IFERROR(INDEX(Recipes!$B$2:$B$500,MATCH(A638,Recipes!$A$2:$A$500,0)),"")</f>
        <v>Boiled Yam &amp; Pepper Egg Sauce</v>
      </c>
      <c r="C638" s="7" t="s">
        <v>2781</v>
      </c>
      <c r="D638" s="34">
        <v>1</v>
      </c>
      <c r="E638" s="22" t="s">
        <v>2782</v>
      </c>
      <c r="F638" s="22"/>
      <c r="G638" s="22" t="s">
        <v>2773</v>
      </c>
      <c r="H638" s="7"/>
      <c r="I638" s="35"/>
      <c r="J638" s="30">
        <f>IF(OR($F638="",$I638=""),0,IFERROR(INDEX(Nutrition!$D$2:$D$300,MATCH($F638,Nutrition!$A$2:$A$300,0))*$I638/100,0))</f>
        <v>0</v>
      </c>
      <c r="K638" s="30">
        <f>IF(OR($F638="",$I638=""),0,IFERROR(INDEX(Nutrition!$E$2:$E$300,MATCH($F638,Nutrition!$A$2:$A$300,0))*$I638/100,0))</f>
        <v>0</v>
      </c>
      <c r="L638" s="30">
        <f>IF(OR($F638="",$I638=""),0,IFERROR(INDEX(Nutrition!$F$2:$F$300,MATCH($F638,Nutrition!$A$2:$A$300,0))*$I638/100,0))</f>
        <v>0</v>
      </c>
      <c r="M638" s="30">
        <f>IF(OR($F638="",$I638=""),0,IFERROR(INDEX(Nutrition!$G$2:$G$300,MATCH($F638,Nutrition!$A$2:$A$300,0))*$I638/100,0))</f>
        <v>0</v>
      </c>
      <c r="N638" s="30">
        <f>IF(OR($F638="",$I638=""),0,IFERROR(INDEX(Nutrition!$H$2:$H$300,MATCH($F638,Nutrition!$A$2:$A$300,0))*$I638/100,0))</f>
        <v>0</v>
      </c>
      <c r="O638" s="30">
        <f>IF(OR($F638="",$I638=""),0,IFERROR(INDEX(Nutrition!$I$2:$I$300,MATCH($F638,Nutrition!$A$2:$A$300,0))*$I638/100,0))</f>
        <v>0</v>
      </c>
      <c r="P638" s="30">
        <f>IF(OR($F638="",$I638=""),0,IFERROR(INDEX(Nutrition!$J$2:$J$300,MATCH($F638,Nutrition!$A$2:$A$300,0))*$I638/100,0))</f>
        <v>0</v>
      </c>
      <c r="Q638" s="30">
        <f>IF(OR($F638="",$I638=""),0,IFERROR(INDEX(Nutrition!$K$2:$K$300,MATCH($F638,Nutrition!$A$2:$A$300,0))*$I638/100,0))</f>
        <v>0</v>
      </c>
      <c r="R638" s="30">
        <f>IF(OR($F638="",$I638=""),0,IFERROR(INDEX(Nutrition!$L$2:$L$300,MATCH($F638,Nutrition!$A$2:$A$300,0))*$I638/100,0))</f>
        <v>0</v>
      </c>
      <c r="S638" s="30">
        <f>IF(OR($F638="",$I638=""),0,IFERROR(INDEX(Nutrition!$M$2:$M$300,MATCH($F638,Nutrition!$A$2:$A$300,0))*$I638/100,0))</f>
        <v>0</v>
      </c>
    </row>
    <row r="639" spans="1:19" ht="15" customHeight="1" x14ac:dyDescent="0.25">
      <c r="A639" s="22" t="s">
        <v>1741</v>
      </c>
      <c r="B639" s="33" t="str">
        <f>IFERROR(INDEX(Recipes!$B$2:$B$500,MATCH(A639,Recipes!$A$2:$A$500,0)),"")</f>
        <v>Menemen</v>
      </c>
      <c r="C639" s="7" t="s">
        <v>446</v>
      </c>
      <c r="D639" s="34">
        <v>4</v>
      </c>
      <c r="E639" s="22" t="s">
        <v>2754</v>
      </c>
      <c r="F639" s="22" t="s">
        <v>445</v>
      </c>
      <c r="G639" s="22" t="s">
        <v>2755</v>
      </c>
      <c r="H639" s="7" t="s">
        <v>2771</v>
      </c>
      <c r="I639" s="35">
        <v>248</v>
      </c>
      <c r="J639" s="30">
        <f>IF(OR($F639="",$I639=""),0,IFERROR(INDEX(Nutrition!$D$2:$D$300,MATCH($F639,Nutrition!$A$2:$A$300,0))*$I639/100,0))</f>
        <v>2.9759999999999995</v>
      </c>
      <c r="K639" s="30">
        <f>IF(OR($F639="",$I639=""),0,IFERROR(INDEX(Nutrition!$E$2:$E$300,MATCH($F639,Nutrition!$A$2:$A$300,0))*$I639/100,0))</f>
        <v>33.975999999999999</v>
      </c>
      <c r="L639" s="30">
        <f>IF(OR($F639="",$I639=""),0,IFERROR(INDEX(Nutrition!$F$2:$F$300,MATCH($F639,Nutrition!$A$2:$A$300,0))*$I639/100,0))</f>
        <v>104.16</v>
      </c>
      <c r="M639" s="30">
        <f>IF(OR($F639="",$I639=""),0,IFERROR(INDEX(Nutrition!$G$2:$G$300,MATCH($F639,Nutrition!$A$2:$A$300,0))*$I639/100,0))</f>
        <v>19.591999999999999</v>
      </c>
      <c r="N639" s="30">
        <f>IF(OR($F639="",$I639=""),0,IFERROR(INDEX(Nutrition!$H$2:$H$300,MATCH($F639,Nutrition!$A$2:$A$300,0))*$I639/100,0))</f>
        <v>37.200000000000003</v>
      </c>
      <c r="O639" s="30">
        <f>IF(OR($F639="",$I639=""),0,IFERROR(INDEX(Nutrition!$I$2:$I$300,MATCH($F639,Nutrition!$A$2:$A$300,0))*$I639/100,0))</f>
        <v>587.76</v>
      </c>
      <c r="P639" s="30">
        <f>IF(OR($F639="",$I639=""),0,IFERROR(INDEX(Nutrition!$J$2:$J$300,MATCH($F639,Nutrition!$A$2:$A$300,0))*$I639/100,0))</f>
        <v>1.3392000000000002</v>
      </c>
      <c r="Q639" s="30">
        <f>IF(OR($F639="",$I639=""),0,IFERROR(INDEX(Nutrition!$K$2:$K$300,MATCH($F639,Nutrition!$A$2:$A$300,0))*$I639/100,0))</f>
        <v>0.19839999999999999</v>
      </c>
      <c r="R639" s="30">
        <f>IF(OR($F639="",$I639=""),0,IFERROR(INDEX(Nutrition!$L$2:$L$300,MATCH($F639,Nutrition!$A$2:$A$300,0))*$I639/100,0))</f>
        <v>27.28</v>
      </c>
      <c r="S639" s="30">
        <f>IF(OR($F639="",$I639=""),0,IFERROR(INDEX(Nutrition!$M$2:$M$300,MATCH($F639,Nutrition!$A$2:$A$300,0))*$I639/100,0))</f>
        <v>0.66960000000000008</v>
      </c>
    </row>
    <row r="640" spans="1:19" ht="15" customHeight="1" x14ac:dyDescent="0.25">
      <c r="A640" s="22" t="s">
        <v>1741</v>
      </c>
      <c r="B640" s="33" t="str">
        <f>IFERROR(INDEX(Recipes!$B$2:$B$500,MATCH(A640,Recipes!$A$2:$A$500,0)),"")</f>
        <v>Menemen</v>
      </c>
      <c r="C640" s="7" t="s">
        <v>468</v>
      </c>
      <c r="D640" s="34">
        <v>1</v>
      </c>
      <c r="E640" s="22" t="s">
        <v>2754</v>
      </c>
      <c r="F640" s="22" t="s">
        <v>467</v>
      </c>
      <c r="G640" s="22" t="s">
        <v>2755</v>
      </c>
      <c r="H640" s="7" t="s">
        <v>2902</v>
      </c>
      <c r="I640" s="35">
        <v>119</v>
      </c>
      <c r="J640" s="30">
        <f>IF(OR($F640="",$I640=""),0,IFERROR(INDEX(Nutrition!$D$2:$D$300,MATCH($F640,Nutrition!$A$2:$A$300,0))*$I640/100,0))</f>
        <v>2.0229999999999997</v>
      </c>
      <c r="K640" s="30">
        <f>IF(OR($F640="",$I640=""),0,IFERROR(INDEX(Nutrition!$E$2:$E$300,MATCH($F640,Nutrition!$A$2:$A$300,0))*$I640/100,0))</f>
        <v>95.676000000000002</v>
      </c>
      <c r="L640" s="30">
        <f>IF(OR($F640="",$I640=""),0,IFERROR(INDEX(Nutrition!$F$2:$F$300,MATCH($F640,Nutrition!$A$2:$A$300,0))*$I640/100,0))</f>
        <v>21.42</v>
      </c>
      <c r="M640" s="30">
        <f>IF(OR($F640="",$I640=""),0,IFERROR(INDEX(Nutrition!$G$2:$G$300,MATCH($F640,Nutrition!$A$2:$A$300,0))*$I640/100,0))</f>
        <v>8.8060000000000009</v>
      </c>
      <c r="N640" s="30">
        <f>IF(OR($F640="",$I640=""),0,IFERROR(INDEX(Nutrition!$H$2:$H$300,MATCH($F640,Nutrition!$A$2:$A$300,0))*$I640/100,0))</f>
        <v>11.9</v>
      </c>
      <c r="O640" s="30">
        <f>IF(OR($F640="",$I640=""),0,IFERROR(INDEX(Nutrition!$I$2:$I$300,MATCH($F640,Nutrition!$A$2:$A$300,0))*$I640/100,0))</f>
        <v>208.25</v>
      </c>
      <c r="P640" s="30">
        <f>IF(OR($F640="",$I640=""),0,IFERROR(INDEX(Nutrition!$J$2:$J$300,MATCH($F640,Nutrition!$A$2:$A$300,0))*$I640/100,0))</f>
        <v>0.44030000000000002</v>
      </c>
      <c r="Q640" s="30">
        <f>IF(OR($F640="",$I640=""),0,IFERROR(INDEX(Nutrition!$K$2:$K$300,MATCH($F640,Nutrition!$A$2:$A$300,0))*$I640/100,0))</f>
        <v>0.26655999999999996</v>
      </c>
      <c r="R640" s="30">
        <f>IF(OR($F640="",$I640=""),0,IFERROR(INDEX(Nutrition!$L$2:$L$300,MATCH($F640,Nutrition!$A$2:$A$300,0))*$I640/100,0))</f>
        <v>11.9</v>
      </c>
      <c r="S640" s="30">
        <f>IF(OR($F640="",$I640=""),0,IFERROR(INDEX(Nutrition!$M$2:$M$300,MATCH($F640,Nutrition!$A$2:$A$300,0))*$I640/100,0))</f>
        <v>0.40460000000000002</v>
      </c>
    </row>
    <row r="641" spans="1:19" ht="15" customHeight="1" x14ac:dyDescent="0.25">
      <c r="A641" s="22" t="s">
        <v>1741</v>
      </c>
      <c r="B641" s="33" t="str">
        <f>IFERROR(INDEX(Recipes!$B$2:$B$500,MATCH(A641,Recipes!$A$2:$A$500,0)),"")</f>
        <v>Menemen</v>
      </c>
      <c r="C641" s="7" t="s">
        <v>490</v>
      </c>
      <c r="D641" s="34">
        <v>3</v>
      </c>
      <c r="E641" s="22" t="s">
        <v>2820</v>
      </c>
      <c r="F641" s="22" t="s">
        <v>489</v>
      </c>
      <c r="G641" s="22" t="s">
        <v>2755</v>
      </c>
      <c r="H641" s="7" t="s">
        <v>2830</v>
      </c>
      <c r="I641" s="35">
        <v>45</v>
      </c>
      <c r="J641" s="30">
        <f>IF(OR($F641="",$I641=""),0,IFERROR(INDEX(Nutrition!$D$2:$D$300,MATCH($F641,Nutrition!$A$2:$A$300,0))*$I641/100,0))</f>
        <v>1.17</v>
      </c>
      <c r="K641" s="30">
        <f>IF(OR($F641="",$I641=""),0,IFERROR(INDEX(Nutrition!$E$2:$E$300,MATCH($F641,Nutrition!$A$2:$A$300,0))*$I641/100,0))</f>
        <v>8.4600000000000009</v>
      </c>
      <c r="L641" s="30">
        <f>IF(OR($F641="",$I641=""),0,IFERROR(INDEX(Nutrition!$F$2:$F$300,MATCH($F641,Nutrition!$A$2:$A$300,0))*$I641/100,0))</f>
        <v>22.5</v>
      </c>
      <c r="M641" s="30">
        <f>IF(OR($F641="",$I641=""),0,IFERROR(INDEX(Nutrition!$G$2:$G$300,MATCH($F641,Nutrition!$A$2:$A$300,0))*$I641/100,0))</f>
        <v>93.15</v>
      </c>
      <c r="N641" s="30">
        <f>IF(OR($F641="",$I641=""),0,IFERROR(INDEX(Nutrition!$H$2:$H$300,MATCH($F641,Nutrition!$A$2:$A$300,0))*$I641/100,0))</f>
        <v>28.8</v>
      </c>
      <c r="O641" s="30">
        <f>IF(OR($F641="",$I641=""),0,IFERROR(INDEX(Nutrition!$I$2:$I$300,MATCH($F641,Nutrition!$A$2:$A$300,0))*$I641/100,0))</f>
        <v>124.2</v>
      </c>
      <c r="P641" s="30">
        <f>IF(OR($F641="",$I641=""),0,IFERROR(INDEX(Nutrition!$J$2:$J$300,MATCH($F641,Nutrition!$A$2:$A$300,0))*$I641/100,0))</f>
        <v>0.24750000000000003</v>
      </c>
      <c r="Q641" s="30">
        <f>IF(OR($F641="",$I641=""),0,IFERROR(INDEX(Nutrition!$K$2:$K$300,MATCH($F641,Nutrition!$A$2:$A$300,0))*$I641/100,0))</f>
        <v>2.7450000000000002E-2</v>
      </c>
      <c r="R641" s="30">
        <f>IF(OR($F641="",$I641=""),0,IFERROR(INDEX(Nutrition!$L$2:$L$300,MATCH($F641,Nutrition!$A$2:$A$300,0))*$I641/100,0))</f>
        <v>9</v>
      </c>
      <c r="S641" s="30">
        <f>IF(OR($F641="",$I641=""),0,IFERROR(INDEX(Nutrition!$M$2:$M$300,MATCH($F641,Nutrition!$A$2:$A$300,0))*$I641/100,0))</f>
        <v>0.66599999999999993</v>
      </c>
    </row>
    <row r="642" spans="1:19" ht="15" customHeight="1" x14ac:dyDescent="0.25">
      <c r="A642" s="22" t="s">
        <v>1741</v>
      </c>
      <c r="B642" s="33" t="str">
        <f>IFERROR(INDEX(Recipes!$B$2:$B$500,MATCH(A642,Recipes!$A$2:$A$500,0)),"")</f>
        <v>Menemen</v>
      </c>
      <c r="C642" s="7" t="s">
        <v>473</v>
      </c>
      <c r="D642" s="34">
        <v>0.5</v>
      </c>
      <c r="E642" s="22" t="s">
        <v>2754</v>
      </c>
      <c r="F642" s="22" t="s">
        <v>472</v>
      </c>
      <c r="G642" s="22" t="s">
        <v>2755</v>
      </c>
      <c r="H642" s="7" t="s">
        <v>2903</v>
      </c>
      <c r="I642" s="35">
        <v>5</v>
      </c>
      <c r="J642" s="30">
        <f>IF(OR($F642="",$I642=""),0,IFERROR(INDEX(Nutrition!$D$2:$D$300,MATCH($F642,Nutrition!$A$2:$A$300,0))*$I642/100,0))</f>
        <v>7.4999999999999997E-2</v>
      </c>
      <c r="K642" s="30">
        <f>IF(OR($F642="",$I642=""),0,IFERROR(INDEX(Nutrition!$E$2:$E$300,MATCH($F642,Nutrition!$A$2:$A$300,0))*$I642/100,0))</f>
        <v>7.1849999999999996</v>
      </c>
      <c r="L642" s="30">
        <f>IF(OR($F642="",$I642=""),0,IFERROR(INDEX(Nutrition!$F$2:$F$300,MATCH($F642,Nutrition!$A$2:$A$300,0))*$I642/100,0))</f>
        <v>2.4</v>
      </c>
      <c r="M642" s="30">
        <f>IF(OR($F642="",$I642=""),0,IFERROR(INDEX(Nutrition!$G$2:$G$300,MATCH($F642,Nutrition!$A$2:$A$300,0))*$I642/100,0))</f>
        <v>0.7</v>
      </c>
      <c r="N642" s="30">
        <f>IF(OR($F642="",$I642=""),0,IFERROR(INDEX(Nutrition!$H$2:$H$300,MATCH($F642,Nutrition!$A$2:$A$300,0))*$I642/100,0))</f>
        <v>1.1499999999999999</v>
      </c>
      <c r="O642" s="30">
        <f>IF(OR($F642="",$I642=""),0,IFERROR(INDEX(Nutrition!$I$2:$I$300,MATCH($F642,Nutrition!$A$2:$A$300,0))*$I642/100,0))</f>
        <v>16.100000000000001</v>
      </c>
      <c r="P642" s="30">
        <f>IF(OR($F642="",$I642=""),0,IFERROR(INDEX(Nutrition!$J$2:$J$300,MATCH($F642,Nutrition!$A$2:$A$300,0))*$I642/100,0))</f>
        <v>3.4499999999999996E-2</v>
      </c>
      <c r="Q642" s="30">
        <f>IF(OR($F642="",$I642=""),0,IFERROR(INDEX(Nutrition!$K$2:$K$300,MATCH($F642,Nutrition!$A$2:$A$300,0))*$I642/100,0))</f>
        <v>2.5300000000000003E-2</v>
      </c>
      <c r="R642" s="30">
        <f>IF(OR($F642="",$I642=""),0,IFERROR(INDEX(Nutrition!$L$2:$L$300,MATCH($F642,Nutrition!$A$2:$A$300,0))*$I642/100,0))</f>
        <v>1.1499999999999999</v>
      </c>
      <c r="S642" s="30">
        <f>IF(OR($F642="",$I642=""),0,IFERROR(INDEX(Nutrition!$M$2:$M$300,MATCH($F642,Nutrition!$A$2:$A$300,0))*$I642/100,0))</f>
        <v>5.1500000000000004E-2</v>
      </c>
    </row>
    <row r="643" spans="1:19" ht="15" customHeight="1" x14ac:dyDescent="0.25">
      <c r="A643" s="22" t="s">
        <v>1741</v>
      </c>
      <c r="B643" s="33" t="str">
        <f>IFERROR(INDEX(Recipes!$B$2:$B$500,MATCH(A643,Recipes!$A$2:$A$500,0)),"")</f>
        <v>Menemen</v>
      </c>
      <c r="C643" s="7" t="s">
        <v>2767</v>
      </c>
      <c r="D643" s="34">
        <v>8</v>
      </c>
      <c r="E643" s="22" t="s">
        <v>2754</v>
      </c>
      <c r="F643" s="22"/>
      <c r="G643" s="22" t="s">
        <v>2768</v>
      </c>
      <c r="H643" s="7"/>
      <c r="I643" s="35"/>
      <c r="J643" s="30">
        <f>IF(OR($F643="",$I643=""),0,IFERROR(INDEX(Nutrition!$D$2:$D$300,MATCH($F643,Nutrition!$A$2:$A$300,0))*$I643/100,0))</f>
        <v>0</v>
      </c>
      <c r="K643" s="30">
        <f>IF(OR($F643="",$I643=""),0,IFERROR(INDEX(Nutrition!$E$2:$E$300,MATCH($F643,Nutrition!$A$2:$A$300,0))*$I643/100,0))</f>
        <v>0</v>
      </c>
      <c r="L643" s="30">
        <f>IF(OR($F643="",$I643=""),0,IFERROR(INDEX(Nutrition!$F$2:$F$300,MATCH($F643,Nutrition!$A$2:$A$300,0))*$I643/100,0))</f>
        <v>0</v>
      </c>
      <c r="M643" s="30">
        <f>IF(OR($F643="",$I643=""),0,IFERROR(INDEX(Nutrition!$G$2:$G$300,MATCH($F643,Nutrition!$A$2:$A$300,0))*$I643/100,0))</f>
        <v>0</v>
      </c>
      <c r="N643" s="30">
        <f>IF(OR($F643="",$I643=""),0,IFERROR(INDEX(Nutrition!$H$2:$H$300,MATCH($F643,Nutrition!$A$2:$A$300,0))*$I643/100,0))</f>
        <v>0</v>
      </c>
      <c r="O643" s="30">
        <f>IF(OR($F643="",$I643=""),0,IFERROR(INDEX(Nutrition!$I$2:$I$300,MATCH($F643,Nutrition!$A$2:$A$300,0))*$I643/100,0))</f>
        <v>0</v>
      </c>
      <c r="P643" s="30">
        <f>IF(OR($F643="",$I643=""),0,IFERROR(INDEX(Nutrition!$J$2:$J$300,MATCH($F643,Nutrition!$A$2:$A$300,0))*$I643/100,0))</f>
        <v>0</v>
      </c>
      <c r="Q643" s="30">
        <f>IF(OR($F643="",$I643=""),0,IFERROR(INDEX(Nutrition!$K$2:$K$300,MATCH($F643,Nutrition!$A$2:$A$300,0))*$I643/100,0))</f>
        <v>0</v>
      </c>
      <c r="R643" s="30">
        <f>IF(OR($F643="",$I643=""),0,IFERROR(INDEX(Nutrition!$L$2:$L$300,MATCH($F643,Nutrition!$A$2:$A$300,0))*$I643/100,0))</f>
        <v>0</v>
      </c>
      <c r="S643" s="30">
        <f>IF(OR($F643="",$I643=""),0,IFERROR(INDEX(Nutrition!$M$2:$M$300,MATCH($F643,Nutrition!$A$2:$A$300,0))*$I643/100,0))</f>
        <v>0</v>
      </c>
    </row>
    <row r="644" spans="1:19" ht="15" customHeight="1" x14ac:dyDescent="0.25">
      <c r="A644" s="22" t="s">
        <v>1741</v>
      </c>
      <c r="B644" s="33" t="str">
        <f>IFERROR(INDEX(Recipes!$B$2:$B$500,MATCH(A644,Recipes!$A$2:$A$500,0)),"")</f>
        <v>Menemen</v>
      </c>
      <c r="C644" s="7" t="s">
        <v>2805</v>
      </c>
      <c r="D644" s="34">
        <v>1</v>
      </c>
      <c r="E644" s="22" t="s">
        <v>2753</v>
      </c>
      <c r="F644" s="22"/>
      <c r="G644" s="22" t="s">
        <v>2773</v>
      </c>
      <c r="H644" s="7"/>
      <c r="I644" s="35"/>
      <c r="J644" s="30">
        <f>IF(OR($F644="",$I644=""),0,IFERROR(INDEX(Nutrition!$D$2:$D$300,MATCH($F644,Nutrition!$A$2:$A$300,0))*$I644/100,0))</f>
        <v>0</v>
      </c>
      <c r="K644" s="30">
        <f>IF(OR($F644="",$I644=""),0,IFERROR(INDEX(Nutrition!$E$2:$E$300,MATCH($F644,Nutrition!$A$2:$A$300,0))*$I644/100,0))</f>
        <v>0</v>
      </c>
      <c r="L644" s="30">
        <f>IF(OR($F644="",$I644=""),0,IFERROR(INDEX(Nutrition!$F$2:$F$300,MATCH($F644,Nutrition!$A$2:$A$300,0))*$I644/100,0))</f>
        <v>0</v>
      </c>
      <c r="M644" s="30">
        <f>IF(OR($F644="",$I644=""),0,IFERROR(INDEX(Nutrition!$G$2:$G$300,MATCH($F644,Nutrition!$A$2:$A$300,0))*$I644/100,0))</f>
        <v>0</v>
      </c>
      <c r="N644" s="30">
        <f>IF(OR($F644="",$I644=""),0,IFERROR(INDEX(Nutrition!$H$2:$H$300,MATCH($F644,Nutrition!$A$2:$A$300,0))*$I644/100,0))</f>
        <v>0</v>
      </c>
      <c r="O644" s="30">
        <f>IF(OR($F644="",$I644=""),0,IFERROR(INDEX(Nutrition!$I$2:$I$300,MATCH($F644,Nutrition!$A$2:$A$300,0))*$I644/100,0))</f>
        <v>0</v>
      </c>
      <c r="P644" s="30">
        <f>IF(OR($F644="",$I644=""),0,IFERROR(INDEX(Nutrition!$J$2:$J$300,MATCH($F644,Nutrition!$A$2:$A$300,0))*$I644/100,0))</f>
        <v>0</v>
      </c>
      <c r="Q644" s="30">
        <f>IF(OR($F644="",$I644=""),0,IFERROR(INDEX(Nutrition!$K$2:$K$300,MATCH($F644,Nutrition!$A$2:$A$300,0))*$I644/100,0))</f>
        <v>0</v>
      </c>
      <c r="R644" s="30">
        <f>IF(OR($F644="",$I644=""),0,IFERROR(INDEX(Nutrition!$L$2:$L$300,MATCH($F644,Nutrition!$A$2:$A$300,0))*$I644/100,0))</f>
        <v>0</v>
      </c>
      <c r="S644" s="30">
        <f>IF(OR($F644="",$I644=""),0,IFERROR(INDEX(Nutrition!$M$2:$M$300,MATCH($F644,Nutrition!$A$2:$A$300,0))*$I644/100,0))</f>
        <v>0</v>
      </c>
    </row>
    <row r="645" spans="1:19" ht="15" customHeight="1" x14ac:dyDescent="0.25">
      <c r="A645" s="22" t="s">
        <v>1741</v>
      </c>
      <c r="B645" s="33" t="str">
        <f>IFERROR(INDEX(Recipes!$B$2:$B$500,MATCH(A645,Recipes!$A$2:$A$500,0)),"")</f>
        <v>Menemen</v>
      </c>
      <c r="C645" s="7" t="s">
        <v>2842</v>
      </c>
      <c r="D645" s="34">
        <v>1</v>
      </c>
      <c r="E645" s="22" t="s">
        <v>2753</v>
      </c>
      <c r="F645" s="22"/>
      <c r="G645" s="22" t="s">
        <v>2749</v>
      </c>
      <c r="H645" s="7"/>
      <c r="I645" s="35"/>
      <c r="J645" s="30">
        <f>IF(OR($F645="",$I645=""),0,IFERROR(INDEX(Nutrition!$D$2:$D$300,MATCH($F645,Nutrition!$A$2:$A$300,0))*$I645/100,0))</f>
        <v>0</v>
      </c>
      <c r="K645" s="30">
        <f>IF(OR($F645="",$I645=""),0,IFERROR(INDEX(Nutrition!$E$2:$E$300,MATCH($F645,Nutrition!$A$2:$A$300,0))*$I645/100,0))</f>
        <v>0</v>
      </c>
      <c r="L645" s="30">
        <f>IF(OR($F645="",$I645=""),0,IFERROR(INDEX(Nutrition!$F$2:$F$300,MATCH($F645,Nutrition!$A$2:$A$300,0))*$I645/100,0))</f>
        <v>0</v>
      </c>
      <c r="M645" s="30">
        <f>IF(OR($F645="",$I645=""),0,IFERROR(INDEX(Nutrition!$G$2:$G$300,MATCH($F645,Nutrition!$A$2:$A$300,0))*$I645/100,0))</f>
        <v>0</v>
      </c>
      <c r="N645" s="30">
        <f>IF(OR($F645="",$I645=""),0,IFERROR(INDEX(Nutrition!$H$2:$H$300,MATCH($F645,Nutrition!$A$2:$A$300,0))*$I645/100,0))</f>
        <v>0</v>
      </c>
      <c r="O645" s="30">
        <f>IF(OR($F645="",$I645=""),0,IFERROR(INDEX(Nutrition!$I$2:$I$300,MATCH($F645,Nutrition!$A$2:$A$300,0))*$I645/100,0))</f>
        <v>0</v>
      </c>
      <c r="P645" s="30">
        <f>IF(OR($F645="",$I645=""),0,IFERROR(INDEX(Nutrition!$J$2:$J$300,MATCH($F645,Nutrition!$A$2:$A$300,0))*$I645/100,0))</f>
        <v>0</v>
      </c>
      <c r="Q645" s="30">
        <f>IF(OR($F645="",$I645=""),0,IFERROR(INDEX(Nutrition!$K$2:$K$300,MATCH($F645,Nutrition!$A$2:$A$300,0))*$I645/100,0))</f>
        <v>0</v>
      </c>
      <c r="R645" s="30">
        <f>IF(OR($F645="",$I645=""),0,IFERROR(INDEX(Nutrition!$L$2:$L$300,MATCH($F645,Nutrition!$A$2:$A$300,0))*$I645/100,0))</f>
        <v>0</v>
      </c>
      <c r="S645" s="30">
        <f>IF(OR($F645="",$I645=""),0,IFERROR(INDEX(Nutrition!$M$2:$M$300,MATCH($F645,Nutrition!$A$2:$A$300,0))*$I645/100,0))</f>
        <v>0</v>
      </c>
    </row>
    <row r="646" spans="1:19" ht="15" customHeight="1" x14ac:dyDescent="0.25">
      <c r="A646" s="22" t="s">
        <v>1741</v>
      </c>
      <c r="B646" s="33" t="str">
        <f>IFERROR(INDEX(Recipes!$B$2:$B$500,MATCH(A646,Recipes!$A$2:$A$500,0)),"")</f>
        <v>Menemen</v>
      </c>
      <c r="C646" s="7" t="s">
        <v>2904</v>
      </c>
      <c r="D646" s="34">
        <v>100</v>
      </c>
      <c r="E646" s="22" t="s">
        <v>2813</v>
      </c>
      <c r="F646" s="22"/>
      <c r="G646" s="22" t="s">
        <v>2749</v>
      </c>
      <c r="H646" s="7" t="s">
        <v>2905</v>
      </c>
      <c r="I646" s="35"/>
      <c r="J646" s="30">
        <f>IF(OR($F646="",$I646=""),0,IFERROR(INDEX(Nutrition!$D$2:$D$300,MATCH($F646,Nutrition!$A$2:$A$300,0))*$I646/100,0))</f>
        <v>0</v>
      </c>
      <c r="K646" s="30">
        <f>IF(OR($F646="",$I646=""),0,IFERROR(INDEX(Nutrition!$E$2:$E$300,MATCH($F646,Nutrition!$A$2:$A$300,0))*$I646/100,0))</f>
        <v>0</v>
      </c>
      <c r="L646" s="30">
        <f>IF(OR($F646="",$I646=""),0,IFERROR(INDEX(Nutrition!$F$2:$F$300,MATCH($F646,Nutrition!$A$2:$A$300,0))*$I646/100,0))</f>
        <v>0</v>
      </c>
      <c r="M646" s="30">
        <f>IF(OR($F646="",$I646=""),0,IFERROR(INDEX(Nutrition!$G$2:$G$300,MATCH($F646,Nutrition!$A$2:$A$300,0))*$I646/100,0))</f>
        <v>0</v>
      </c>
      <c r="N646" s="30">
        <f>IF(OR($F646="",$I646=""),0,IFERROR(INDEX(Nutrition!$H$2:$H$300,MATCH($F646,Nutrition!$A$2:$A$300,0))*$I646/100,0))</f>
        <v>0</v>
      </c>
      <c r="O646" s="30">
        <f>IF(OR($F646="",$I646=""),0,IFERROR(INDEX(Nutrition!$I$2:$I$300,MATCH($F646,Nutrition!$A$2:$A$300,0))*$I646/100,0))</f>
        <v>0</v>
      </c>
      <c r="P646" s="30">
        <f>IF(OR($F646="",$I646=""),0,IFERROR(INDEX(Nutrition!$J$2:$J$300,MATCH($F646,Nutrition!$A$2:$A$300,0))*$I646/100,0))</f>
        <v>0</v>
      </c>
      <c r="Q646" s="30">
        <f>IF(OR($F646="",$I646=""),0,IFERROR(INDEX(Nutrition!$K$2:$K$300,MATCH($F646,Nutrition!$A$2:$A$300,0))*$I646/100,0))</f>
        <v>0</v>
      </c>
      <c r="R646" s="30">
        <f>IF(OR($F646="",$I646=""),0,IFERROR(INDEX(Nutrition!$L$2:$L$300,MATCH($F646,Nutrition!$A$2:$A$300,0))*$I646/100,0))</f>
        <v>0</v>
      </c>
      <c r="S646" s="30">
        <f>IF(OR($F646="",$I646=""),0,IFERROR(INDEX(Nutrition!$M$2:$M$300,MATCH($F646,Nutrition!$A$2:$A$300,0))*$I646/100,0))</f>
        <v>0</v>
      </c>
    </row>
    <row r="647" spans="1:19" ht="15" customHeight="1" x14ac:dyDescent="0.25">
      <c r="A647" s="22" t="s">
        <v>1741</v>
      </c>
      <c r="B647" s="33" t="str">
        <f>IFERROR(INDEX(Recipes!$B$2:$B$500,MATCH(A647,Recipes!$A$2:$A$500,0)),"")</f>
        <v>Menemen</v>
      </c>
      <c r="C647" s="7" t="s">
        <v>2906</v>
      </c>
      <c r="D647" s="34">
        <v>1</v>
      </c>
      <c r="E647" s="22" t="s">
        <v>2782</v>
      </c>
      <c r="F647" s="22"/>
      <c r="G647" s="22" t="s">
        <v>2773</v>
      </c>
      <c r="H647" s="7"/>
      <c r="I647" s="35"/>
      <c r="J647" s="30">
        <f>IF(OR($F647="",$I647=""),0,IFERROR(INDEX(Nutrition!$D$2:$D$300,MATCH($F647,Nutrition!$A$2:$A$300,0))*$I647/100,0))</f>
        <v>0</v>
      </c>
      <c r="K647" s="30">
        <f>IF(OR($F647="",$I647=""),0,IFERROR(INDEX(Nutrition!$E$2:$E$300,MATCH($F647,Nutrition!$A$2:$A$300,0))*$I647/100,0))</f>
        <v>0</v>
      </c>
      <c r="L647" s="30">
        <f>IF(OR($F647="",$I647=""),0,IFERROR(INDEX(Nutrition!$F$2:$F$300,MATCH($F647,Nutrition!$A$2:$A$300,0))*$I647/100,0))</f>
        <v>0</v>
      </c>
      <c r="M647" s="30">
        <f>IF(OR($F647="",$I647=""),0,IFERROR(INDEX(Nutrition!$G$2:$G$300,MATCH($F647,Nutrition!$A$2:$A$300,0))*$I647/100,0))</f>
        <v>0</v>
      </c>
      <c r="N647" s="30">
        <f>IF(OR($F647="",$I647=""),0,IFERROR(INDEX(Nutrition!$H$2:$H$300,MATCH($F647,Nutrition!$A$2:$A$300,0))*$I647/100,0))</f>
        <v>0</v>
      </c>
      <c r="O647" s="30">
        <f>IF(OR($F647="",$I647=""),0,IFERROR(INDEX(Nutrition!$I$2:$I$300,MATCH($F647,Nutrition!$A$2:$A$300,0))*$I647/100,0))</f>
        <v>0</v>
      </c>
      <c r="P647" s="30">
        <f>IF(OR($F647="",$I647=""),0,IFERROR(INDEX(Nutrition!$J$2:$J$300,MATCH($F647,Nutrition!$A$2:$A$300,0))*$I647/100,0))</f>
        <v>0</v>
      </c>
      <c r="Q647" s="30">
        <f>IF(OR($F647="",$I647=""),0,IFERROR(INDEX(Nutrition!$K$2:$K$300,MATCH($F647,Nutrition!$A$2:$A$300,0))*$I647/100,0))</f>
        <v>0</v>
      </c>
      <c r="R647" s="30">
        <f>IF(OR($F647="",$I647=""),0,IFERROR(INDEX(Nutrition!$L$2:$L$300,MATCH($F647,Nutrition!$A$2:$A$300,0))*$I647/100,0))</f>
        <v>0</v>
      </c>
      <c r="S647" s="30">
        <f>IF(OR($F647="",$I647=""),0,IFERROR(INDEX(Nutrition!$M$2:$M$300,MATCH($F647,Nutrition!$A$2:$A$300,0))*$I647/100,0))</f>
        <v>0</v>
      </c>
    </row>
    <row r="648" spans="1:19" ht="15" customHeight="1" x14ac:dyDescent="0.25">
      <c r="A648" s="22" t="s">
        <v>1753</v>
      </c>
      <c r="B648" s="33" t="str">
        <f>IFERROR(INDEX(Recipes!$B$2:$B$500,MATCH(A648,Recipes!$A$2:$A$500,0)),"")</f>
        <v>Pan con Tomate</v>
      </c>
      <c r="C648" s="7" t="s">
        <v>446</v>
      </c>
      <c r="D648" s="34">
        <v>3</v>
      </c>
      <c r="E648" s="22" t="s">
        <v>2754</v>
      </c>
      <c r="F648" s="22" t="s">
        <v>445</v>
      </c>
      <c r="G648" s="22" t="s">
        <v>2755</v>
      </c>
      <c r="H648" s="7" t="s">
        <v>2766</v>
      </c>
      <c r="I648" s="35">
        <v>186</v>
      </c>
      <c r="J648" s="30">
        <f>IF(OR($F648="",$I648=""),0,IFERROR(INDEX(Nutrition!$D$2:$D$300,MATCH($F648,Nutrition!$A$2:$A$300,0))*$I648/100,0))</f>
        <v>2.2319999999999998</v>
      </c>
      <c r="K648" s="30">
        <f>IF(OR($F648="",$I648=""),0,IFERROR(INDEX(Nutrition!$E$2:$E$300,MATCH($F648,Nutrition!$A$2:$A$300,0))*$I648/100,0))</f>
        <v>25.481999999999999</v>
      </c>
      <c r="L648" s="30">
        <f>IF(OR($F648="",$I648=""),0,IFERROR(INDEX(Nutrition!$F$2:$F$300,MATCH($F648,Nutrition!$A$2:$A$300,0))*$I648/100,0))</f>
        <v>78.12</v>
      </c>
      <c r="M648" s="30">
        <f>IF(OR($F648="",$I648=""),0,IFERROR(INDEX(Nutrition!$G$2:$G$300,MATCH($F648,Nutrition!$A$2:$A$300,0))*$I648/100,0))</f>
        <v>14.694000000000001</v>
      </c>
      <c r="N648" s="30">
        <f>IF(OR($F648="",$I648=""),0,IFERROR(INDEX(Nutrition!$H$2:$H$300,MATCH($F648,Nutrition!$A$2:$A$300,0))*$I648/100,0))</f>
        <v>27.9</v>
      </c>
      <c r="O648" s="30">
        <f>IF(OR($F648="",$I648=""),0,IFERROR(INDEX(Nutrition!$I$2:$I$300,MATCH($F648,Nutrition!$A$2:$A$300,0))*$I648/100,0))</f>
        <v>440.82</v>
      </c>
      <c r="P648" s="30">
        <f>IF(OR($F648="",$I648=""),0,IFERROR(INDEX(Nutrition!$J$2:$J$300,MATCH($F648,Nutrition!$A$2:$A$300,0))*$I648/100,0))</f>
        <v>1.0044000000000002</v>
      </c>
      <c r="Q648" s="30">
        <f>IF(OR($F648="",$I648=""),0,IFERROR(INDEX(Nutrition!$K$2:$K$300,MATCH($F648,Nutrition!$A$2:$A$300,0))*$I648/100,0))</f>
        <v>0.14880000000000002</v>
      </c>
      <c r="R648" s="30">
        <f>IF(OR($F648="",$I648=""),0,IFERROR(INDEX(Nutrition!$L$2:$L$300,MATCH($F648,Nutrition!$A$2:$A$300,0))*$I648/100,0))</f>
        <v>20.46</v>
      </c>
      <c r="S648" s="30">
        <f>IF(OR($F648="",$I648=""),0,IFERROR(INDEX(Nutrition!$M$2:$M$300,MATCH($F648,Nutrition!$A$2:$A$300,0))*$I648/100,0))</f>
        <v>0.50220000000000009</v>
      </c>
    </row>
    <row r="649" spans="1:19" ht="15" customHeight="1" x14ac:dyDescent="0.25">
      <c r="A649" s="22" t="s">
        <v>1753</v>
      </c>
      <c r="B649" s="33" t="str">
        <f>IFERROR(INDEX(Recipes!$B$2:$B$500,MATCH(A649,Recipes!$A$2:$A$500,0)),"")</f>
        <v>Pan con Tomate</v>
      </c>
      <c r="C649" s="7" t="s">
        <v>500</v>
      </c>
      <c r="D649" s="34">
        <v>1</v>
      </c>
      <c r="E649" s="22" t="s">
        <v>2816</v>
      </c>
      <c r="F649" s="22" t="s">
        <v>499</v>
      </c>
      <c r="G649" s="22" t="s">
        <v>2755</v>
      </c>
      <c r="H649" s="7" t="s">
        <v>2907</v>
      </c>
      <c r="I649" s="35">
        <v>3</v>
      </c>
      <c r="J649" s="30">
        <f>IF(OR($F649="",$I649=""),0,IFERROR(INDEX(Nutrition!$D$2:$D$300,MATCH($F649,Nutrition!$A$2:$A$300,0))*$I649/100,0))</f>
        <v>6.3E-2</v>
      </c>
      <c r="K649" s="30">
        <f>IF(OR($F649="",$I649=""),0,IFERROR(INDEX(Nutrition!$E$2:$E$300,MATCH($F649,Nutrition!$A$2:$A$300,0))*$I649/100,0))</f>
        <v>0.93599999999999994</v>
      </c>
      <c r="L649" s="30">
        <f>IF(OR($F649="",$I649=""),0,IFERROR(INDEX(Nutrition!$F$2:$F$300,MATCH($F649,Nutrition!$A$2:$A$300,0))*$I649/100,0))</f>
        <v>0</v>
      </c>
      <c r="M649" s="30">
        <f>IF(OR($F649="",$I649=""),0,IFERROR(INDEX(Nutrition!$G$2:$G$300,MATCH($F649,Nutrition!$A$2:$A$300,0))*$I649/100,0))</f>
        <v>5.0999999999999997E-2</v>
      </c>
      <c r="N649" s="30">
        <f>IF(OR($F649="",$I649=""),0,IFERROR(INDEX(Nutrition!$H$2:$H$300,MATCH($F649,Nutrition!$A$2:$A$300,0))*$I649/100,0))</f>
        <v>0.09</v>
      </c>
      <c r="O649" s="30">
        <f>IF(OR($F649="",$I649=""),0,IFERROR(INDEX(Nutrition!$I$2:$I$300,MATCH($F649,Nutrition!$A$2:$A$300,0))*$I649/100,0))</f>
        <v>12.03</v>
      </c>
      <c r="P649" s="30">
        <f>IF(OR($F649="",$I649=""),0,IFERROR(INDEX(Nutrition!$J$2:$J$300,MATCH($F649,Nutrition!$A$2:$A$300,0))*$I649/100,0))</f>
        <v>2.3999999999999998E-3</v>
      </c>
      <c r="Q649" s="30">
        <f>IF(OR($F649="",$I649=""),0,IFERROR(INDEX(Nutrition!$K$2:$K$300,MATCH($F649,Nutrition!$A$2:$A$300,0))*$I649/100,0))</f>
        <v>3.705E-2</v>
      </c>
      <c r="R649" s="30">
        <f>IF(OR($F649="",$I649=""),0,IFERROR(INDEX(Nutrition!$L$2:$L$300,MATCH($F649,Nutrition!$A$2:$A$300,0))*$I649/100,0))</f>
        <v>0.75</v>
      </c>
      <c r="S649" s="30">
        <f>IF(OR($F649="",$I649=""),0,IFERROR(INDEX(Nutrition!$M$2:$M$300,MATCH($F649,Nutrition!$A$2:$A$300,0))*$I649/100,0))</f>
        <v>5.0999999999999997E-2</v>
      </c>
    </row>
    <row r="650" spans="1:19" ht="15" customHeight="1" x14ac:dyDescent="0.25">
      <c r="A650" s="22" t="s">
        <v>1753</v>
      </c>
      <c r="B650" s="33" t="str">
        <f>IFERROR(INDEX(Recipes!$B$2:$B$500,MATCH(A650,Recipes!$A$2:$A$500,0)),"")</f>
        <v>Pan con Tomate</v>
      </c>
      <c r="C650" s="7" t="s">
        <v>2908</v>
      </c>
      <c r="D650" s="34">
        <v>4</v>
      </c>
      <c r="E650" s="22" t="s">
        <v>2840</v>
      </c>
      <c r="F650" s="22" t="s">
        <v>651</v>
      </c>
      <c r="G650" s="22" t="s">
        <v>2755</v>
      </c>
      <c r="H650" s="7" t="s">
        <v>2909</v>
      </c>
      <c r="I650" s="35">
        <v>4</v>
      </c>
      <c r="J650" s="30">
        <f>IF(OR($F650="",$I650=""),0,IFERROR(INDEX(Nutrition!$D$2:$D$300,MATCH($F650,Nutrition!$A$2:$A$300,0))*$I650/100,0))</f>
        <v>6.4000000000000001E-2</v>
      </c>
      <c r="K650" s="30">
        <f>IF(OR($F650="",$I650=""),0,IFERROR(INDEX(Nutrition!$E$2:$E$300,MATCH($F650,Nutrition!$A$2:$A$300,0))*$I650/100,0))</f>
        <v>0.96</v>
      </c>
      <c r="L650" s="30">
        <f>IF(OR($F650="",$I650=""),0,IFERROR(INDEX(Nutrition!$F$2:$F$300,MATCH($F650,Nutrition!$A$2:$A$300,0))*$I650/100,0))</f>
        <v>10.56</v>
      </c>
      <c r="M650" s="30">
        <f>IF(OR($F650="",$I650=""),0,IFERROR(INDEX(Nutrition!$G$2:$G$300,MATCH($F650,Nutrition!$A$2:$A$300,0))*$I650/100,0))</f>
        <v>16.591999999999999</v>
      </c>
      <c r="N650" s="30">
        <f>IF(OR($F650="",$I650=""),0,IFERROR(INDEX(Nutrition!$H$2:$H$300,MATCH($F650,Nutrition!$A$2:$A$300,0))*$I650/100,0))</f>
        <v>2.72</v>
      </c>
      <c r="O650" s="30">
        <f>IF(OR($F650="",$I650=""),0,IFERROR(INDEX(Nutrition!$I$2:$I$300,MATCH($F650,Nutrition!$A$2:$A$300,0))*$I650/100,0))</f>
        <v>22.24</v>
      </c>
      <c r="P650" s="30">
        <f>IF(OR($F650="",$I650=""),0,IFERROR(INDEX(Nutrition!$J$2:$J$300,MATCH($F650,Nutrition!$A$2:$A$300,0))*$I650/100,0))</f>
        <v>3.2000000000000001E-2</v>
      </c>
      <c r="Q650" s="30">
        <f>IF(OR($F650="",$I650=""),0,IFERROR(INDEX(Nutrition!$K$2:$K$300,MATCH($F650,Nutrition!$A$2:$A$300,0))*$I650/100,0))</f>
        <v>6.1999999999999998E-3</v>
      </c>
      <c r="R650" s="30">
        <f>IF(OR($F650="",$I650=""),0,IFERROR(INDEX(Nutrition!$L$2:$L$300,MATCH($F650,Nutrition!$A$2:$A$300,0))*$I650/100,0))</f>
        <v>2.56</v>
      </c>
      <c r="S650" s="30">
        <f>IF(OR($F650="",$I650=""),0,IFERROR(INDEX(Nutrition!$M$2:$M$300,MATCH($F650,Nutrition!$A$2:$A$300,0))*$I650/100,0))</f>
        <v>0.128</v>
      </c>
    </row>
    <row r="651" spans="1:19" ht="15" customHeight="1" x14ac:dyDescent="0.25">
      <c r="A651" s="22" t="s">
        <v>1753</v>
      </c>
      <c r="B651" s="33" t="str">
        <f>IFERROR(INDEX(Recipes!$B$2:$B$500,MATCH(A651,Recipes!$A$2:$A$500,0)),"")</f>
        <v>Pan con Tomate</v>
      </c>
      <c r="C651" s="7" t="s">
        <v>213</v>
      </c>
      <c r="D651" s="34">
        <v>0.5</v>
      </c>
      <c r="E651" s="22" t="s">
        <v>2754</v>
      </c>
      <c r="F651" s="22" t="s">
        <v>212</v>
      </c>
      <c r="G651" s="22" t="s">
        <v>2755</v>
      </c>
      <c r="H651" s="7"/>
      <c r="I651" s="35">
        <v>34</v>
      </c>
      <c r="J651" s="30">
        <f>IF(OR($F651="",$I651=""),0,IFERROR(INDEX(Nutrition!$D$2:$D$300,MATCH($F651,Nutrition!$A$2:$A$300,0))*$I651/100,0))</f>
        <v>0.95199999999999985</v>
      </c>
      <c r="K651" s="30">
        <f>IF(OR($F651="",$I651=""),0,IFERROR(INDEX(Nutrition!$E$2:$E$300,MATCH($F651,Nutrition!$A$2:$A$300,0))*$I651/100,0))</f>
        <v>9.8940000000000001</v>
      </c>
      <c r="L651" s="30">
        <f>IF(OR($F651="",$I651=""),0,IFERROR(INDEX(Nutrition!$F$2:$F$300,MATCH($F651,Nutrition!$A$2:$A$300,0))*$I651/100,0))</f>
        <v>0.68</v>
      </c>
      <c r="M651" s="30">
        <f>IF(OR($F651="",$I651=""),0,IFERROR(INDEX(Nutrition!$G$2:$G$300,MATCH($F651,Nutrition!$A$2:$A$300,0))*$I651/100,0))</f>
        <v>0.20399999999999999</v>
      </c>
      <c r="N651" s="30">
        <f>IF(OR($F651="",$I651=""),0,IFERROR(INDEX(Nutrition!$H$2:$H$300,MATCH($F651,Nutrition!$A$2:$A$300,0))*$I651/100,0))</f>
        <v>2.72</v>
      </c>
      <c r="O651" s="30">
        <f>IF(OR($F651="",$I651=""),0,IFERROR(INDEX(Nutrition!$I$2:$I$300,MATCH($F651,Nutrition!$A$2:$A$300,0))*$I651/100,0))</f>
        <v>34.68</v>
      </c>
      <c r="P651" s="30">
        <f>IF(OR($F651="",$I651=""),0,IFERROR(INDEX(Nutrition!$J$2:$J$300,MATCH($F651,Nutrition!$A$2:$A$300,0))*$I651/100,0))</f>
        <v>7.4800000000000005E-2</v>
      </c>
      <c r="Q651" s="30">
        <f>IF(OR($F651="",$I651=""),0,IFERROR(INDEX(Nutrition!$K$2:$K$300,MATCH($F651,Nutrition!$A$2:$A$300,0))*$I651/100,0))</f>
        <v>1.4619999999999999E-2</v>
      </c>
      <c r="R651" s="30">
        <f>IF(OR($F651="",$I651=""),0,IFERROR(INDEX(Nutrition!$L$2:$L$300,MATCH($F651,Nutrition!$A$2:$A$300,0))*$I651/100,0))</f>
        <v>2.04</v>
      </c>
      <c r="S651" s="30">
        <f>IF(OR($F651="",$I651=""),0,IFERROR(INDEX(Nutrition!$M$2:$M$300,MATCH($F651,Nutrition!$A$2:$A$300,0))*$I651/100,0))</f>
        <v>0.20399999999999999</v>
      </c>
    </row>
    <row r="652" spans="1:19" ht="15" customHeight="1" x14ac:dyDescent="0.25">
      <c r="A652" s="22" t="s">
        <v>1753</v>
      </c>
      <c r="B652" s="33" t="str">
        <f>IFERROR(INDEX(Recipes!$B$2:$B$500,MATCH(A652,Recipes!$A$2:$A$500,0)),"")</f>
        <v>Pan con Tomate</v>
      </c>
      <c r="C652" s="7" t="s">
        <v>2778</v>
      </c>
      <c r="D652" s="34">
        <v>4</v>
      </c>
      <c r="E652" s="22" t="s">
        <v>2779</v>
      </c>
      <c r="F652" s="22"/>
      <c r="G652" s="22" t="s">
        <v>2749</v>
      </c>
      <c r="H652" s="7" t="s">
        <v>2910</v>
      </c>
      <c r="I652" s="35"/>
      <c r="J652" s="30">
        <f>IF(OR($F652="",$I652=""),0,IFERROR(INDEX(Nutrition!$D$2:$D$300,MATCH($F652,Nutrition!$A$2:$A$300,0))*$I652/100,0))</f>
        <v>0</v>
      </c>
      <c r="K652" s="30">
        <f>IF(OR($F652="",$I652=""),0,IFERROR(INDEX(Nutrition!$E$2:$E$300,MATCH($F652,Nutrition!$A$2:$A$300,0))*$I652/100,0))</f>
        <v>0</v>
      </c>
      <c r="L652" s="30">
        <f>IF(OR($F652="",$I652=""),0,IFERROR(INDEX(Nutrition!$F$2:$F$300,MATCH($F652,Nutrition!$A$2:$A$300,0))*$I652/100,0))</f>
        <v>0</v>
      </c>
      <c r="M652" s="30">
        <f>IF(OR($F652="",$I652=""),0,IFERROR(INDEX(Nutrition!$G$2:$G$300,MATCH($F652,Nutrition!$A$2:$A$300,0))*$I652/100,0))</f>
        <v>0</v>
      </c>
      <c r="N652" s="30">
        <f>IF(OR($F652="",$I652=""),0,IFERROR(INDEX(Nutrition!$H$2:$H$300,MATCH($F652,Nutrition!$A$2:$A$300,0))*$I652/100,0))</f>
        <v>0</v>
      </c>
      <c r="O652" s="30">
        <f>IF(OR($F652="",$I652=""),0,IFERROR(INDEX(Nutrition!$I$2:$I$300,MATCH($F652,Nutrition!$A$2:$A$300,0))*$I652/100,0))</f>
        <v>0</v>
      </c>
      <c r="P652" s="30">
        <f>IF(OR($F652="",$I652=""),0,IFERROR(INDEX(Nutrition!$J$2:$J$300,MATCH($F652,Nutrition!$A$2:$A$300,0))*$I652/100,0))</f>
        <v>0</v>
      </c>
      <c r="Q652" s="30">
        <f>IF(OR($F652="",$I652=""),0,IFERROR(INDEX(Nutrition!$K$2:$K$300,MATCH($F652,Nutrition!$A$2:$A$300,0))*$I652/100,0))</f>
        <v>0</v>
      </c>
      <c r="R652" s="30">
        <f>IF(OR($F652="",$I652=""),0,IFERROR(INDEX(Nutrition!$L$2:$L$300,MATCH($F652,Nutrition!$A$2:$A$300,0))*$I652/100,0))</f>
        <v>0</v>
      </c>
      <c r="S652" s="30">
        <f>IF(OR($F652="",$I652=""),0,IFERROR(INDEX(Nutrition!$M$2:$M$300,MATCH($F652,Nutrition!$A$2:$A$300,0))*$I652/100,0))</f>
        <v>0</v>
      </c>
    </row>
    <row r="653" spans="1:19" ht="15" customHeight="1" x14ac:dyDescent="0.25">
      <c r="A653" s="22" t="s">
        <v>1753</v>
      </c>
      <c r="B653" s="33" t="str">
        <f>IFERROR(INDEX(Recipes!$B$2:$B$500,MATCH(A653,Recipes!$A$2:$A$500,0)),"")</f>
        <v>Pan con Tomate</v>
      </c>
      <c r="C653" s="7" t="s">
        <v>2805</v>
      </c>
      <c r="D653" s="34">
        <v>1</v>
      </c>
      <c r="E653" s="22" t="s">
        <v>2753</v>
      </c>
      <c r="F653" s="22"/>
      <c r="G653" s="22" t="s">
        <v>2773</v>
      </c>
      <c r="H653" s="7"/>
      <c r="I653" s="35"/>
      <c r="J653" s="30">
        <f>IF(OR($F653="",$I653=""),0,IFERROR(INDEX(Nutrition!$D$2:$D$300,MATCH($F653,Nutrition!$A$2:$A$300,0))*$I653/100,0))</f>
        <v>0</v>
      </c>
      <c r="K653" s="30">
        <f>IF(OR($F653="",$I653=""),0,IFERROR(INDEX(Nutrition!$E$2:$E$300,MATCH($F653,Nutrition!$A$2:$A$300,0))*$I653/100,0))</f>
        <v>0</v>
      </c>
      <c r="L653" s="30">
        <f>IF(OR($F653="",$I653=""),0,IFERROR(INDEX(Nutrition!$F$2:$F$300,MATCH($F653,Nutrition!$A$2:$A$300,0))*$I653/100,0))</f>
        <v>0</v>
      </c>
      <c r="M653" s="30">
        <f>IF(OR($F653="",$I653=""),0,IFERROR(INDEX(Nutrition!$G$2:$G$300,MATCH($F653,Nutrition!$A$2:$A$300,0))*$I653/100,0))</f>
        <v>0</v>
      </c>
      <c r="N653" s="30">
        <f>IF(OR($F653="",$I653=""),0,IFERROR(INDEX(Nutrition!$H$2:$H$300,MATCH($F653,Nutrition!$A$2:$A$300,0))*$I653/100,0))</f>
        <v>0</v>
      </c>
      <c r="O653" s="30">
        <f>IF(OR($F653="",$I653=""),0,IFERROR(INDEX(Nutrition!$I$2:$I$300,MATCH($F653,Nutrition!$A$2:$A$300,0))*$I653/100,0))</f>
        <v>0</v>
      </c>
      <c r="P653" s="30">
        <f>IF(OR($F653="",$I653=""),0,IFERROR(INDEX(Nutrition!$J$2:$J$300,MATCH($F653,Nutrition!$A$2:$A$300,0))*$I653/100,0))</f>
        <v>0</v>
      </c>
      <c r="Q653" s="30">
        <f>IF(OR($F653="",$I653=""),0,IFERROR(INDEX(Nutrition!$K$2:$K$300,MATCH($F653,Nutrition!$A$2:$A$300,0))*$I653/100,0))</f>
        <v>0</v>
      </c>
      <c r="R653" s="30">
        <f>IF(OR($F653="",$I653=""),0,IFERROR(INDEX(Nutrition!$L$2:$L$300,MATCH($F653,Nutrition!$A$2:$A$300,0))*$I653/100,0))</f>
        <v>0</v>
      </c>
      <c r="S653" s="30">
        <f>IF(OR($F653="",$I653=""),0,IFERROR(INDEX(Nutrition!$M$2:$M$300,MATCH($F653,Nutrition!$A$2:$A$300,0))*$I653/100,0))</f>
        <v>0</v>
      </c>
    </row>
    <row r="654" spans="1:19" ht="15" customHeight="1" x14ac:dyDescent="0.25">
      <c r="A654" s="22" t="s">
        <v>1753</v>
      </c>
      <c r="B654" s="33" t="str">
        <f>IFERROR(INDEX(Recipes!$B$2:$B$500,MATCH(A654,Recipes!$A$2:$A$500,0)),"")</f>
        <v>Pan con Tomate</v>
      </c>
      <c r="C654" s="7" t="s">
        <v>2781</v>
      </c>
      <c r="D654" s="34">
        <v>1</v>
      </c>
      <c r="E654" s="22" t="s">
        <v>2782</v>
      </c>
      <c r="F654" s="22"/>
      <c r="G654" s="22" t="s">
        <v>2773</v>
      </c>
      <c r="H654" s="7"/>
      <c r="I654" s="35"/>
      <c r="J654" s="30">
        <f>IF(OR($F654="",$I654=""),0,IFERROR(INDEX(Nutrition!$D$2:$D$300,MATCH($F654,Nutrition!$A$2:$A$300,0))*$I654/100,0))</f>
        <v>0</v>
      </c>
      <c r="K654" s="30">
        <f>IF(OR($F654="",$I654=""),0,IFERROR(INDEX(Nutrition!$E$2:$E$300,MATCH($F654,Nutrition!$A$2:$A$300,0))*$I654/100,0))</f>
        <v>0</v>
      </c>
      <c r="L654" s="30">
        <f>IF(OR($F654="",$I654=""),0,IFERROR(INDEX(Nutrition!$F$2:$F$300,MATCH($F654,Nutrition!$A$2:$A$300,0))*$I654/100,0))</f>
        <v>0</v>
      </c>
      <c r="M654" s="30">
        <f>IF(OR($F654="",$I654=""),0,IFERROR(INDEX(Nutrition!$G$2:$G$300,MATCH($F654,Nutrition!$A$2:$A$300,0))*$I654/100,0))</f>
        <v>0</v>
      </c>
      <c r="N654" s="30">
        <f>IF(OR($F654="",$I654=""),0,IFERROR(INDEX(Nutrition!$H$2:$H$300,MATCH($F654,Nutrition!$A$2:$A$300,0))*$I654/100,0))</f>
        <v>0</v>
      </c>
      <c r="O654" s="30">
        <f>IF(OR($F654="",$I654=""),0,IFERROR(INDEX(Nutrition!$I$2:$I$300,MATCH($F654,Nutrition!$A$2:$A$300,0))*$I654/100,0))</f>
        <v>0</v>
      </c>
      <c r="P654" s="30">
        <f>IF(OR($F654="",$I654=""),0,IFERROR(INDEX(Nutrition!$J$2:$J$300,MATCH($F654,Nutrition!$A$2:$A$300,0))*$I654/100,0))</f>
        <v>0</v>
      </c>
      <c r="Q654" s="30">
        <f>IF(OR($F654="",$I654=""),0,IFERROR(INDEX(Nutrition!$K$2:$K$300,MATCH($F654,Nutrition!$A$2:$A$300,0))*$I654/100,0))</f>
        <v>0</v>
      </c>
      <c r="R654" s="30">
        <f>IF(OR($F654="",$I654=""),0,IFERROR(INDEX(Nutrition!$L$2:$L$300,MATCH($F654,Nutrition!$A$2:$A$300,0))*$I654/100,0))</f>
        <v>0</v>
      </c>
      <c r="S654" s="30">
        <f>IF(OR($F654="",$I654=""),0,IFERROR(INDEX(Nutrition!$M$2:$M$300,MATCH($F654,Nutrition!$A$2:$A$300,0))*$I654/100,0))</f>
        <v>0</v>
      </c>
    </row>
    <row r="655" spans="1:19" ht="15" customHeight="1" x14ac:dyDescent="0.25">
      <c r="A655" s="22" t="s">
        <v>1763</v>
      </c>
      <c r="B655" s="33" t="str">
        <f>IFERROR(INDEX(Recipes!$B$2:$B$500,MATCH(A655,Recipes!$A$2:$A$500,0)),"")</f>
        <v>Bruschetta al Pomodoro</v>
      </c>
      <c r="C655" s="7" t="s">
        <v>446</v>
      </c>
      <c r="D655" s="34">
        <v>4</v>
      </c>
      <c r="E655" s="22" t="s">
        <v>2754</v>
      </c>
      <c r="F655" s="22" t="s">
        <v>445</v>
      </c>
      <c r="G655" s="22" t="s">
        <v>2755</v>
      </c>
      <c r="H655" s="7" t="s">
        <v>2756</v>
      </c>
      <c r="I655" s="35">
        <v>248</v>
      </c>
      <c r="J655" s="30">
        <f>IF(OR($F655="",$I655=""),0,IFERROR(INDEX(Nutrition!$D$2:$D$300,MATCH($F655,Nutrition!$A$2:$A$300,0))*$I655/100,0))</f>
        <v>2.9759999999999995</v>
      </c>
      <c r="K655" s="30">
        <f>IF(OR($F655="",$I655=""),0,IFERROR(INDEX(Nutrition!$E$2:$E$300,MATCH($F655,Nutrition!$A$2:$A$300,0))*$I655/100,0))</f>
        <v>33.975999999999999</v>
      </c>
      <c r="L655" s="30">
        <f>IF(OR($F655="",$I655=""),0,IFERROR(INDEX(Nutrition!$F$2:$F$300,MATCH($F655,Nutrition!$A$2:$A$300,0))*$I655/100,0))</f>
        <v>104.16</v>
      </c>
      <c r="M655" s="30">
        <f>IF(OR($F655="",$I655=""),0,IFERROR(INDEX(Nutrition!$G$2:$G$300,MATCH($F655,Nutrition!$A$2:$A$300,0))*$I655/100,0))</f>
        <v>19.591999999999999</v>
      </c>
      <c r="N655" s="30">
        <f>IF(OR($F655="",$I655=""),0,IFERROR(INDEX(Nutrition!$H$2:$H$300,MATCH($F655,Nutrition!$A$2:$A$300,0))*$I655/100,0))</f>
        <v>37.200000000000003</v>
      </c>
      <c r="O655" s="30">
        <f>IF(OR($F655="",$I655=""),0,IFERROR(INDEX(Nutrition!$I$2:$I$300,MATCH($F655,Nutrition!$A$2:$A$300,0))*$I655/100,0))</f>
        <v>587.76</v>
      </c>
      <c r="P655" s="30">
        <f>IF(OR($F655="",$I655=""),0,IFERROR(INDEX(Nutrition!$J$2:$J$300,MATCH($F655,Nutrition!$A$2:$A$300,0))*$I655/100,0))</f>
        <v>1.3392000000000002</v>
      </c>
      <c r="Q655" s="30">
        <f>IF(OR($F655="",$I655=""),0,IFERROR(INDEX(Nutrition!$K$2:$K$300,MATCH($F655,Nutrition!$A$2:$A$300,0))*$I655/100,0))</f>
        <v>0.19839999999999999</v>
      </c>
      <c r="R655" s="30">
        <f>IF(OR($F655="",$I655=""),0,IFERROR(INDEX(Nutrition!$L$2:$L$300,MATCH($F655,Nutrition!$A$2:$A$300,0))*$I655/100,0))</f>
        <v>27.28</v>
      </c>
      <c r="S655" s="30">
        <f>IF(OR($F655="",$I655=""),0,IFERROR(INDEX(Nutrition!$M$2:$M$300,MATCH($F655,Nutrition!$A$2:$A$300,0))*$I655/100,0))</f>
        <v>0.66960000000000008</v>
      </c>
    </row>
    <row r="656" spans="1:19" ht="15" customHeight="1" x14ac:dyDescent="0.25">
      <c r="A656" s="22" t="s">
        <v>1763</v>
      </c>
      <c r="B656" s="33" t="str">
        <f>IFERROR(INDEX(Recipes!$B$2:$B$500,MATCH(A656,Recipes!$A$2:$A$500,0)),"")</f>
        <v>Bruschetta al Pomodoro</v>
      </c>
      <c r="C656" s="7" t="s">
        <v>456</v>
      </c>
      <c r="D656" s="34">
        <v>1</v>
      </c>
      <c r="E656" s="22" t="s">
        <v>2748</v>
      </c>
      <c r="F656" s="22" t="s">
        <v>455</v>
      </c>
      <c r="G656" s="22" t="s">
        <v>2755</v>
      </c>
      <c r="H656" s="7" t="s">
        <v>2911</v>
      </c>
      <c r="I656" s="35">
        <v>149</v>
      </c>
      <c r="J656" s="30">
        <f>IF(OR($F656="",$I656=""),0,IFERROR(INDEX(Nutrition!$D$2:$D$300,MATCH($F656,Nutrition!$A$2:$A$300,0))*$I656/100,0))</f>
        <v>3.1290000000000004</v>
      </c>
      <c r="K656" s="30">
        <f>IF(OR($F656="",$I656=""),0,IFERROR(INDEX(Nutrition!$E$2:$E$300,MATCH($F656,Nutrition!$A$2:$A$300,0))*$I656/100,0))</f>
        <v>40.527999999999999</v>
      </c>
      <c r="L656" s="30">
        <f>IF(OR($F656="",$I656=""),0,IFERROR(INDEX(Nutrition!$F$2:$F$300,MATCH($F656,Nutrition!$A$2:$A$300,0))*$I656/100,0))</f>
        <v>62.58</v>
      </c>
      <c r="M656" s="30">
        <f>IF(OR($F656="",$I656=""),0,IFERROR(INDEX(Nutrition!$G$2:$G$300,MATCH($F656,Nutrition!$A$2:$A$300,0))*$I656/100,0))</f>
        <v>11.771000000000001</v>
      </c>
      <c r="N656" s="30">
        <f>IF(OR($F656="",$I656=""),0,IFERROR(INDEX(Nutrition!$H$2:$H$300,MATCH($F656,Nutrition!$A$2:$A$300,0))*$I656/100,0))</f>
        <v>22.35</v>
      </c>
      <c r="O656" s="30">
        <f>IF(OR($F656="",$I656=""),0,IFERROR(INDEX(Nutrition!$I$2:$I$300,MATCH($F656,Nutrition!$A$2:$A$300,0))*$I656/100,0))</f>
        <v>387.4</v>
      </c>
      <c r="P656" s="30">
        <f>IF(OR($F656="",$I656=""),0,IFERROR(INDEX(Nutrition!$J$2:$J$300,MATCH($F656,Nutrition!$A$2:$A$300,0))*$I656/100,0))</f>
        <v>0.80460000000000009</v>
      </c>
      <c r="Q656" s="30">
        <f>IF(OR($F656="",$I656=""),0,IFERROR(INDEX(Nutrition!$K$2:$K$300,MATCH($F656,Nutrition!$A$2:$A$300,0))*$I656/100,0))</f>
        <v>0.1192</v>
      </c>
      <c r="R656" s="30">
        <f>IF(OR($F656="",$I656=""),0,IFERROR(INDEX(Nutrition!$L$2:$L$300,MATCH($F656,Nutrition!$A$2:$A$300,0))*$I656/100,0))</f>
        <v>14.9</v>
      </c>
      <c r="S656" s="30">
        <f>IF(OR($F656="",$I656=""),0,IFERROR(INDEX(Nutrition!$M$2:$M$300,MATCH($F656,Nutrition!$A$2:$A$300,0))*$I656/100,0))</f>
        <v>0.44699999999999995</v>
      </c>
    </row>
    <row r="657" spans="1:19" ht="15" customHeight="1" x14ac:dyDescent="0.25">
      <c r="A657" s="22" t="s">
        <v>1763</v>
      </c>
      <c r="B657" s="33" t="str">
        <f>IFERROR(INDEX(Recipes!$B$2:$B$500,MATCH(A657,Recipes!$A$2:$A$500,0)),"")</f>
        <v>Bruschetta al Pomodoro</v>
      </c>
      <c r="C657" s="7" t="s">
        <v>674</v>
      </c>
      <c r="D657" s="34">
        <v>0.5</v>
      </c>
      <c r="E657" s="22" t="s">
        <v>2748</v>
      </c>
      <c r="F657" s="22" t="s">
        <v>673</v>
      </c>
      <c r="G657" s="22" t="s">
        <v>2755</v>
      </c>
      <c r="H657" s="7" t="s">
        <v>2830</v>
      </c>
      <c r="I657" s="35">
        <v>12</v>
      </c>
      <c r="J657" s="30">
        <f>IF(OR($F657="",$I657=""),0,IFERROR(INDEX(Nutrition!$D$2:$D$300,MATCH($F657,Nutrition!$A$2:$A$300,0))*$I657/100,0))</f>
        <v>0.19200000000000003</v>
      </c>
      <c r="K657" s="30">
        <f>IF(OR($F657="",$I657=""),0,IFERROR(INDEX(Nutrition!$E$2:$E$300,MATCH($F657,Nutrition!$A$2:$A$300,0))*$I657/100,0))</f>
        <v>2.16</v>
      </c>
      <c r="L657" s="30">
        <f>IF(OR($F657="",$I657=""),0,IFERROR(INDEX(Nutrition!$F$2:$F$300,MATCH($F657,Nutrition!$A$2:$A$300,0))*$I657/100,0))</f>
        <v>31.68</v>
      </c>
      <c r="M657" s="30">
        <f>IF(OR($F657="",$I657=""),0,IFERROR(INDEX(Nutrition!$G$2:$G$300,MATCH($F657,Nutrition!$A$2:$A$300,0))*$I657/100,0))</f>
        <v>49.776000000000003</v>
      </c>
      <c r="N657" s="30">
        <f>IF(OR($F657="",$I657=""),0,IFERROR(INDEX(Nutrition!$H$2:$H$300,MATCH($F657,Nutrition!$A$2:$A$300,0))*$I657/100,0))</f>
        <v>8.16</v>
      </c>
      <c r="O657" s="30">
        <f>IF(OR($F657="",$I657=""),0,IFERROR(INDEX(Nutrition!$I$2:$I$300,MATCH($F657,Nutrition!$A$2:$A$300,0))*$I657/100,0))</f>
        <v>35.4</v>
      </c>
      <c r="P657" s="30">
        <f>IF(OR($F657="",$I657=""),0,IFERROR(INDEX(Nutrition!$J$2:$J$300,MATCH($F657,Nutrition!$A$2:$A$300,0))*$I657/100,0))</f>
        <v>9.6000000000000016E-2</v>
      </c>
      <c r="Q657" s="30">
        <f>IF(OR($F657="",$I657=""),0,IFERROR(INDEX(Nutrition!$K$2:$K$300,MATCH($F657,Nutrition!$A$2:$A$300,0))*$I657/100,0))</f>
        <v>1.8599999999999998E-2</v>
      </c>
      <c r="R657" s="30">
        <f>IF(OR($F657="",$I657=""),0,IFERROR(INDEX(Nutrition!$L$2:$L$300,MATCH($F657,Nutrition!$A$2:$A$300,0))*$I657/100,0))</f>
        <v>7.68</v>
      </c>
      <c r="S657" s="30">
        <f>IF(OR($F657="",$I657=""),0,IFERROR(INDEX(Nutrition!$M$2:$M$300,MATCH($F657,Nutrition!$A$2:$A$300,0))*$I657/100,0))</f>
        <v>0.38040000000000002</v>
      </c>
    </row>
    <row r="658" spans="1:19" ht="15" customHeight="1" x14ac:dyDescent="0.25">
      <c r="A658" s="22" t="s">
        <v>1763</v>
      </c>
      <c r="B658" s="33" t="str">
        <f>IFERROR(INDEX(Recipes!$B$2:$B$500,MATCH(A658,Recipes!$A$2:$A$500,0)),"")</f>
        <v>Bruschetta al Pomodoro</v>
      </c>
      <c r="C658" s="7" t="s">
        <v>500</v>
      </c>
      <c r="D658" s="34">
        <v>2</v>
      </c>
      <c r="E658" s="22" t="s">
        <v>2776</v>
      </c>
      <c r="F658" s="22" t="s">
        <v>499</v>
      </c>
      <c r="G658" s="22" t="s">
        <v>2755</v>
      </c>
      <c r="H658" s="7" t="s">
        <v>2791</v>
      </c>
      <c r="I658" s="35">
        <v>6</v>
      </c>
      <c r="J658" s="30">
        <f>IF(OR($F658="",$I658=""),0,IFERROR(INDEX(Nutrition!$D$2:$D$300,MATCH($F658,Nutrition!$A$2:$A$300,0))*$I658/100,0))</f>
        <v>0.126</v>
      </c>
      <c r="K658" s="30">
        <f>IF(OR($F658="",$I658=""),0,IFERROR(INDEX(Nutrition!$E$2:$E$300,MATCH($F658,Nutrition!$A$2:$A$300,0))*$I658/100,0))</f>
        <v>1.8719999999999999</v>
      </c>
      <c r="L658" s="30">
        <f>IF(OR($F658="",$I658=""),0,IFERROR(INDEX(Nutrition!$F$2:$F$300,MATCH($F658,Nutrition!$A$2:$A$300,0))*$I658/100,0))</f>
        <v>0</v>
      </c>
      <c r="M658" s="30">
        <f>IF(OR($F658="",$I658=""),0,IFERROR(INDEX(Nutrition!$G$2:$G$300,MATCH($F658,Nutrition!$A$2:$A$300,0))*$I658/100,0))</f>
        <v>0.10199999999999999</v>
      </c>
      <c r="N658" s="30">
        <f>IF(OR($F658="",$I658=""),0,IFERROR(INDEX(Nutrition!$H$2:$H$300,MATCH($F658,Nutrition!$A$2:$A$300,0))*$I658/100,0))</f>
        <v>0.18</v>
      </c>
      <c r="O658" s="30">
        <f>IF(OR($F658="",$I658=""),0,IFERROR(INDEX(Nutrition!$I$2:$I$300,MATCH($F658,Nutrition!$A$2:$A$300,0))*$I658/100,0))</f>
        <v>24.06</v>
      </c>
      <c r="P658" s="30">
        <f>IF(OR($F658="",$I658=""),0,IFERROR(INDEX(Nutrition!$J$2:$J$300,MATCH($F658,Nutrition!$A$2:$A$300,0))*$I658/100,0))</f>
        <v>4.7999999999999996E-3</v>
      </c>
      <c r="Q658" s="30">
        <f>IF(OR($F658="",$I658=""),0,IFERROR(INDEX(Nutrition!$K$2:$K$300,MATCH($F658,Nutrition!$A$2:$A$300,0))*$I658/100,0))</f>
        <v>7.4099999999999999E-2</v>
      </c>
      <c r="R658" s="30">
        <f>IF(OR($F658="",$I658=""),0,IFERROR(INDEX(Nutrition!$L$2:$L$300,MATCH($F658,Nutrition!$A$2:$A$300,0))*$I658/100,0))</f>
        <v>1.5</v>
      </c>
      <c r="S658" s="30">
        <f>IF(OR($F658="",$I658=""),0,IFERROR(INDEX(Nutrition!$M$2:$M$300,MATCH($F658,Nutrition!$A$2:$A$300,0))*$I658/100,0))</f>
        <v>0.10199999999999999</v>
      </c>
    </row>
    <row r="659" spans="1:19" ht="15" customHeight="1" x14ac:dyDescent="0.25">
      <c r="A659" s="22" t="s">
        <v>1763</v>
      </c>
      <c r="B659" s="33" t="str">
        <f>IFERROR(INDEX(Recipes!$B$2:$B$500,MATCH(A659,Recipes!$A$2:$A$500,0)),"")</f>
        <v>Bruschetta al Pomodoro</v>
      </c>
      <c r="C659" s="7" t="s">
        <v>213</v>
      </c>
      <c r="D659" s="34">
        <v>1</v>
      </c>
      <c r="E659" s="22" t="s">
        <v>2754</v>
      </c>
      <c r="F659" s="22" t="s">
        <v>212</v>
      </c>
      <c r="G659" s="22" t="s">
        <v>2755</v>
      </c>
      <c r="H659" s="7" t="s">
        <v>2912</v>
      </c>
      <c r="I659" s="35">
        <v>67</v>
      </c>
      <c r="J659" s="30">
        <f>IF(OR($F659="",$I659=""),0,IFERROR(INDEX(Nutrition!$D$2:$D$300,MATCH($F659,Nutrition!$A$2:$A$300,0))*$I659/100,0))</f>
        <v>1.8759999999999999</v>
      </c>
      <c r="K659" s="30">
        <f>IF(OR($F659="",$I659=""),0,IFERROR(INDEX(Nutrition!$E$2:$E$300,MATCH($F659,Nutrition!$A$2:$A$300,0))*$I659/100,0))</f>
        <v>19.497</v>
      </c>
      <c r="L659" s="30">
        <f>IF(OR($F659="",$I659=""),0,IFERROR(INDEX(Nutrition!$F$2:$F$300,MATCH($F659,Nutrition!$A$2:$A$300,0))*$I659/100,0))</f>
        <v>1.34</v>
      </c>
      <c r="M659" s="30">
        <f>IF(OR($F659="",$I659=""),0,IFERROR(INDEX(Nutrition!$G$2:$G$300,MATCH($F659,Nutrition!$A$2:$A$300,0))*$I659/100,0))</f>
        <v>0.40199999999999997</v>
      </c>
      <c r="N659" s="30">
        <f>IF(OR($F659="",$I659=""),0,IFERROR(INDEX(Nutrition!$H$2:$H$300,MATCH($F659,Nutrition!$A$2:$A$300,0))*$I659/100,0))</f>
        <v>5.36</v>
      </c>
      <c r="O659" s="30">
        <f>IF(OR($F659="",$I659=""),0,IFERROR(INDEX(Nutrition!$I$2:$I$300,MATCH($F659,Nutrition!$A$2:$A$300,0))*$I659/100,0))</f>
        <v>68.34</v>
      </c>
      <c r="P659" s="30">
        <f>IF(OR($F659="",$I659=""),0,IFERROR(INDEX(Nutrition!$J$2:$J$300,MATCH($F659,Nutrition!$A$2:$A$300,0))*$I659/100,0))</f>
        <v>0.1474</v>
      </c>
      <c r="Q659" s="30">
        <f>IF(OR($F659="",$I659=""),0,IFERROR(INDEX(Nutrition!$K$2:$K$300,MATCH($F659,Nutrition!$A$2:$A$300,0))*$I659/100,0))</f>
        <v>2.8809999999999999E-2</v>
      </c>
      <c r="R659" s="30">
        <f>IF(OR($F659="",$I659=""),0,IFERROR(INDEX(Nutrition!$L$2:$L$300,MATCH($F659,Nutrition!$A$2:$A$300,0))*$I659/100,0))</f>
        <v>4.0199999999999996</v>
      </c>
      <c r="S659" s="30">
        <f>IF(OR($F659="",$I659=""),0,IFERROR(INDEX(Nutrition!$M$2:$M$300,MATCH($F659,Nutrition!$A$2:$A$300,0))*$I659/100,0))</f>
        <v>0.40199999999999997</v>
      </c>
    </row>
    <row r="660" spans="1:19" ht="15" customHeight="1" x14ac:dyDescent="0.25">
      <c r="A660" s="22" t="s">
        <v>1763</v>
      </c>
      <c r="B660" s="33" t="str">
        <f>IFERROR(INDEX(Recipes!$B$2:$B$500,MATCH(A660,Recipes!$A$2:$A$500,0)),"")</f>
        <v>Bruschetta al Pomodoro</v>
      </c>
      <c r="C660" s="7" t="s">
        <v>2778</v>
      </c>
      <c r="D660" s="34">
        <v>8</v>
      </c>
      <c r="E660" s="22" t="s">
        <v>2779</v>
      </c>
      <c r="F660" s="22"/>
      <c r="G660" s="22" t="s">
        <v>2749</v>
      </c>
      <c r="H660" s="7" t="s">
        <v>2913</v>
      </c>
      <c r="I660" s="35"/>
      <c r="J660" s="30">
        <f>IF(OR($F660="",$I660=""),0,IFERROR(INDEX(Nutrition!$D$2:$D$300,MATCH($F660,Nutrition!$A$2:$A$300,0))*$I660/100,0))</f>
        <v>0</v>
      </c>
      <c r="K660" s="30">
        <f>IF(OR($F660="",$I660=""),0,IFERROR(INDEX(Nutrition!$E$2:$E$300,MATCH($F660,Nutrition!$A$2:$A$300,0))*$I660/100,0))</f>
        <v>0</v>
      </c>
      <c r="L660" s="30">
        <f>IF(OR($F660="",$I660=""),0,IFERROR(INDEX(Nutrition!$F$2:$F$300,MATCH($F660,Nutrition!$A$2:$A$300,0))*$I660/100,0))</f>
        <v>0</v>
      </c>
      <c r="M660" s="30">
        <f>IF(OR($F660="",$I660=""),0,IFERROR(INDEX(Nutrition!$G$2:$G$300,MATCH($F660,Nutrition!$A$2:$A$300,0))*$I660/100,0))</f>
        <v>0</v>
      </c>
      <c r="N660" s="30">
        <f>IF(OR($F660="",$I660=""),0,IFERROR(INDEX(Nutrition!$H$2:$H$300,MATCH($F660,Nutrition!$A$2:$A$300,0))*$I660/100,0))</f>
        <v>0</v>
      </c>
      <c r="O660" s="30">
        <f>IF(OR($F660="",$I660=""),0,IFERROR(INDEX(Nutrition!$I$2:$I$300,MATCH($F660,Nutrition!$A$2:$A$300,0))*$I660/100,0))</f>
        <v>0</v>
      </c>
      <c r="P660" s="30">
        <f>IF(OR($F660="",$I660=""),0,IFERROR(INDEX(Nutrition!$J$2:$J$300,MATCH($F660,Nutrition!$A$2:$A$300,0))*$I660/100,0))</f>
        <v>0</v>
      </c>
      <c r="Q660" s="30">
        <f>IF(OR($F660="",$I660=""),0,IFERROR(INDEX(Nutrition!$K$2:$K$300,MATCH($F660,Nutrition!$A$2:$A$300,0))*$I660/100,0))</f>
        <v>0</v>
      </c>
      <c r="R660" s="30">
        <f>IF(OR($F660="",$I660=""),0,IFERROR(INDEX(Nutrition!$L$2:$L$300,MATCH($F660,Nutrition!$A$2:$A$300,0))*$I660/100,0))</f>
        <v>0</v>
      </c>
      <c r="S660" s="30">
        <f>IF(OR($F660="",$I660=""),0,IFERROR(INDEX(Nutrition!$M$2:$M$300,MATCH($F660,Nutrition!$A$2:$A$300,0))*$I660/100,0))</f>
        <v>0</v>
      </c>
    </row>
    <row r="661" spans="1:19" ht="15" customHeight="1" x14ac:dyDescent="0.25">
      <c r="A661" s="22" t="s">
        <v>1763</v>
      </c>
      <c r="B661" s="33" t="str">
        <f>IFERROR(INDEX(Recipes!$B$2:$B$500,MATCH(A661,Recipes!$A$2:$A$500,0)),"")</f>
        <v>Bruschetta al Pomodoro</v>
      </c>
      <c r="C661" s="7" t="s">
        <v>2805</v>
      </c>
      <c r="D661" s="34">
        <v>2</v>
      </c>
      <c r="E661" s="22" t="s">
        <v>2753</v>
      </c>
      <c r="F661" s="22"/>
      <c r="G661" s="22" t="s">
        <v>2773</v>
      </c>
      <c r="H661" s="7"/>
      <c r="I661" s="35"/>
      <c r="J661" s="30">
        <f>IF(OR($F661="",$I661=""),0,IFERROR(INDEX(Nutrition!$D$2:$D$300,MATCH($F661,Nutrition!$A$2:$A$300,0))*$I661/100,0))</f>
        <v>0</v>
      </c>
      <c r="K661" s="30">
        <f>IF(OR($F661="",$I661=""),0,IFERROR(INDEX(Nutrition!$E$2:$E$300,MATCH($F661,Nutrition!$A$2:$A$300,0))*$I661/100,0))</f>
        <v>0</v>
      </c>
      <c r="L661" s="30">
        <f>IF(OR($F661="",$I661=""),0,IFERROR(INDEX(Nutrition!$F$2:$F$300,MATCH($F661,Nutrition!$A$2:$A$300,0))*$I661/100,0))</f>
        <v>0</v>
      </c>
      <c r="M661" s="30">
        <f>IF(OR($F661="",$I661=""),0,IFERROR(INDEX(Nutrition!$G$2:$G$300,MATCH($F661,Nutrition!$A$2:$A$300,0))*$I661/100,0))</f>
        <v>0</v>
      </c>
      <c r="N661" s="30">
        <f>IF(OR($F661="",$I661=""),0,IFERROR(INDEX(Nutrition!$H$2:$H$300,MATCH($F661,Nutrition!$A$2:$A$300,0))*$I661/100,0))</f>
        <v>0</v>
      </c>
      <c r="O661" s="30">
        <f>IF(OR($F661="",$I661=""),0,IFERROR(INDEX(Nutrition!$I$2:$I$300,MATCH($F661,Nutrition!$A$2:$A$300,0))*$I661/100,0))</f>
        <v>0</v>
      </c>
      <c r="P661" s="30">
        <f>IF(OR($F661="",$I661=""),0,IFERROR(INDEX(Nutrition!$J$2:$J$300,MATCH($F661,Nutrition!$A$2:$A$300,0))*$I661/100,0))</f>
        <v>0</v>
      </c>
      <c r="Q661" s="30">
        <f>IF(OR($F661="",$I661=""),0,IFERROR(INDEX(Nutrition!$K$2:$K$300,MATCH($F661,Nutrition!$A$2:$A$300,0))*$I661/100,0))</f>
        <v>0</v>
      </c>
      <c r="R661" s="30">
        <f>IF(OR($F661="",$I661=""),0,IFERROR(INDEX(Nutrition!$L$2:$L$300,MATCH($F661,Nutrition!$A$2:$A$300,0))*$I661/100,0))</f>
        <v>0</v>
      </c>
      <c r="S661" s="30">
        <f>IF(OR($F661="",$I661=""),0,IFERROR(INDEX(Nutrition!$M$2:$M$300,MATCH($F661,Nutrition!$A$2:$A$300,0))*$I661/100,0))</f>
        <v>0</v>
      </c>
    </row>
    <row r="662" spans="1:19" ht="15" customHeight="1" x14ac:dyDescent="0.25">
      <c r="A662" s="22" t="s">
        <v>1763</v>
      </c>
      <c r="B662" s="33" t="str">
        <f>IFERROR(INDEX(Recipes!$B$2:$B$500,MATCH(A662,Recipes!$A$2:$A$500,0)),"")</f>
        <v>Bruschetta al Pomodoro</v>
      </c>
      <c r="C662" s="7" t="s">
        <v>2906</v>
      </c>
      <c r="D662" s="34">
        <v>1</v>
      </c>
      <c r="E662" s="22" t="s">
        <v>2782</v>
      </c>
      <c r="F662" s="22"/>
      <c r="G662" s="22" t="s">
        <v>2773</v>
      </c>
      <c r="H662" s="7"/>
      <c r="I662" s="35"/>
      <c r="J662" s="30">
        <f>IF(OR($F662="",$I662=""),0,IFERROR(INDEX(Nutrition!$D$2:$D$300,MATCH($F662,Nutrition!$A$2:$A$300,0))*$I662/100,0))</f>
        <v>0</v>
      </c>
      <c r="K662" s="30">
        <f>IF(OR($F662="",$I662=""),0,IFERROR(INDEX(Nutrition!$E$2:$E$300,MATCH($F662,Nutrition!$A$2:$A$300,0))*$I662/100,0))</f>
        <v>0</v>
      </c>
      <c r="L662" s="30">
        <f>IF(OR($F662="",$I662=""),0,IFERROR(INDEX(Nutrition!$F$2:$F$300,MATCH($F662,Nutrition!$A$2:$A$300,0))*$I662/100,0))</f>
        <v>0</v>
      </c>
      <c r="M662" s="30">
        <f>IF(OR($F662="",$I662=""),0,IFERROR(INDEX(Nutrition!$G$2:$G$300,MATCH($F662,Nutrition!$A$2:$A$300,0))*$I662/100,0))</f>
        <v>0</v>
      </c>
      <c r="N662" s="30">
        <f>IF(OR($F662="",$I662=""),0,IFERROR(INDEX(Nutrition!$H$2:$H$300,MATCH($F662,Nutrition!$A$2:$A$300,0))*$I662/100,0))</f>
        <v>0</v>
      </c>
      <c r="O662" s="30">
        <f>IF(OR($F662="",$I662=""),0,IFERROR(INDEX(Nutrition!$I$2:$I$300,MATCH($F662,Nutrition!$A$2:$A$300,0))*$I662/100,0))</f>
        <v>0</v>
      </c>
      <c r="P662" s="30">
        <f>IF(OR($F662="",$I662=""),0,IFERROR(INDEX(Nutrition!$J$2:$J$300,MATCH($F662,Nutrition!$A$2:$A$300,0))*$I662/100,0))</f>
        <v>0</v>
      </c>
      <c r="Q662" s="30">
        <f>IF(OR($F662="",$I662=""),0,IFERROR(INDEX(Nutrition!$K$2:$K$300,MATCH($F662,Nutrition!$A$2:$A$300,0))*$I662/100,0))</f>
        <v>0</v>
      </c>
      <c r="R662" s="30">
        <f>IF(OR($F662="",$I662=""),0,IFERROR(INDEX(Nutrition!$L$2:$L$300,MATCH($F662,Nutrition!$A$2:$A$300,0))*$I662/100,0))</f>
        <v>0</v>
      </c>
      <c r="S662" s="30">
        <f>IF(OR($F662="",$I662=""),0,IFERROR(INDEX(Nutrition!$M$2:$M$300,MATCH($F662,Nutrition!$A$2:$A$300,0))*$I662/100,0))</f>
        <v>0</v>
      </c>
    </row>
    <row r="663" spans="1:19" ht="15" customHeight="1" x14ac:dyDescent="0.25">
      <c r="A663" s="22" t="s">
        <v>1774</v>
      </c>
      <c r="B663" s="33" t="str">
        <f>IFERROR(INDEX(Recipes!$B$2:$B$500,MATCH(A663,Recipes!$A$2:$A$500,0)),"")</f>
        <v>Garlic Mushroom Toast</v>
      </c>
      <c r="C663" s="7" t="s">
        <v>595</v>
      </c>
      <c r="D663" s="34">
        <v>300</v>
      </c>
      <c r="E663" s="22" t="s">
        <v>2813</v>
      </c>
      <c r="F663" s="22" t="s">
        <v>594</v>
      </c>
      <c r="G663" s="22" t="s">
        <v>2755</v>
      </c>
      <c r="H663" s="7" t="s">
        <v>2914</v>
      </c>
      <c r="I663" s="35">
        <v>300</v>
      </c>
      <c r="J663" s="30">
        <f>IF(OR($F663="",$I663=""),0,IFERROR(INDEX(Nutrition!$D$2:$D$300,MATCH($F663,Nutrition!$A$2:$A$300,0))*$I663/100,0))</f>
        <v>6.9</v>
      </c>
      <c r="K663" s="30">
        <f>IF(OR($F663="",$I663=""),0,IFERROR(INDEX(Nutrition!$E$2:$E$300,MATCH($F663,Nutrition!$A$2:$A$300,0))*$I663/100,0))</f>
        <v>0</v>
      </c>
      <c r="L663" s="30">
        <f>IF(OR($F663="",$I663=""),0,IFERROR(INDEX(Nutrition!$F$2:$F$300,MATCH($F663,Nutrition!$A$2:$A$300,0))*$I663/100,0))</f>
        <v>0</v>
      </c>
      <c r="M663" s="30">
        <f>IF(OR($F663="",$I663=""),0,IFERROR(INDEX(Nutrition!$G$2:$G$300,MATCH($F663,Nutrition!$A$2:$A$300,0))*$I663/100,0))</f>
        <v>0</v>
      </c>
      <c r="N663" s="30">
        <f>IF(OR($F663="",$I663=""),0,IFERROR(INDEX(Nutrition!$H$2:$H$300,MATCH($F663,Nutrition!$A$2:$A$300,0))*$I663/100,0))</f>
        <v>114</v>
      </c>
      <c r="O663" s="30">
        <f>IF(OR($F663="",$I663=""),0,IFERROR(INDEX(Nutrition!$I$2:$I$300,MATCH($F663,Nutrition!$A$2:$A$300,0))*$I663/100,0))</f>
        <v>1260</v>
      </c>
      <c r="P663" s="30">
        <f>IF(OR($F663="",$I663=""),0,IFERROR(INDEX(Nutrition!$J$2:$J$300,MATCH($F663,Nutrition!$A$2:$A$300,0))*$I663/100,0))</f>
        <v>0</v>
      </c>
      <c r="Q663" s="30">
        <f>IF(OR($F663="",$I663=""),0,IFERROR(INDEX(Nutrition!$K$2:$K$300,MATCH($F663,Nutrition!$A$2:$A$300,0))*$I663/100,0))</f>
        <v>0.33</v>
      </c>
      <c r="R663" s="30">
        <f>IF(OR($F663="",$I663=""),0,IFERROR(INDEX(Nutrition!$L$2:$L$300,MATCH($F663,Nutrition!$A$2:$A$300,0))*$I663/100,0))</f>
        <v>54</v>
      </c>
      <c r="S663" s="30">
        <f>IF(OR($F663="",$I663=""),0,IFERROR(INDEX(Nutrition!$M$2:$M$300,MATCH($F663,Nutrition!$A$2:$A$300,0))*$I663/100,0))</f>
        <v>3.99</v>
      </c>
    </row>
    <row r="664" spans="1:19" ht="15" customHeight="1" x14ac:dyDescent="0.25">
      <c r="A664" s="22" t="s">
        <v>1774</v>
      </c>
      <c r="B664" s="33" t="str">
        <f>IFERROR(INDEX(Recipes!$B$2:$B$500,MATCH(A664,Recipes!$A$2:$A$500,0)),"")</f>
        <v>Garlic Mushroom Toast</v>
      </c>
      <c r="C664" s="7" t="s">
        <v>500</v>
      </c>
      <c r="D664" s="34">
        <v>2</v>
      </c>
      <c r="E664" s="22" t="s">
        <v>2776</v>
      </c>
      <c r="F664" s="22" t="s">
        <v>499</v>
      </c>
      <c r="G664" s="22" t="s">
        <v>2755</v>
      </c>
      <c r="H664" s="7" t="s">
        <v>2915</v>
      </c>
      <c r="I664" s="35">
        <v>6</v>
      </c>
      <c r="J664" s="30">
        <f>IF(OR($F664="",$I664=""),0,IFERROR(INDEX(Nutrition!$D$2:$D$300,MATCH($F664,Nutrition!$A$2:$A$300,0))*$I664/100,0))</f>
        <v>0.126</v>
      </c>
      <c r="K664" s="30">
        <f>IF(OR($F664="",$I664=""),0,IFERROR(INDEX(Nutrition!$E$2:$E$300,MATCH($F664,Nutrition!$A$2:$A$300,0))*$I664/100,0))</f>
        <v>1.8719999999999999</v>
      </c>
      <c r="L664" s="30">
        <f>IF(OR($F664="",$I664=""),0,IFERROR(INDEX(Nutrition!$F$2:$F$300,MATCH($F664,Nutrition!$A$2:$A$300,0))*$I664/100,0))</f>
        <v>0</v>
      </c>
      <c r="M664" s="30">
        <f>IF(OR($F664="",$I664=""),0,IFERROR(INDEX(Nutrition!$G$2:$G$300,MATCH($F664,Nutrition!$A$2:$A$300,0))*$I664/100,0))</f>
        <v>0.10199999999999999</v>
      </c>
      <c r="N664" s="30">
        <f>IF(OR($F664="",$I664=""),0,IFERROR(INDEX(Nutrition!$H$2:$H$300,MATCH($F664,Nutrition!$A$2:$A$300,0))*$I664/100,0))</f>
        <v>0.18</v>
      </c>
      <c r="O664" s="30">
        <f>IF(OR($F664="",$I664=""),0,IFERROR(INDEX(Nutrition!$I$2:$I$300,MATCH($F664,Nutrition!$A$2:$A$300,0))*$I664/100,0))</f>
        <v>24.06</v>
      </c>
      <c r="P664" s="30">
        <f>IF(OR($F664="",$I664=""),0,IFERROR(INDEX(Nutrition!$J$2:$J$300,MATCH($F664,Nutrition!$A$2:$A$300,0))*$I664/100,0))</f>
        <v>4.7999999999999996E-3</v>
      </c>
      <c r="Q664" s="30">
        <f>IF(OR($F664="",$I664=""),0,IFERROR(INDEX(Nutrition!$K$2:$K$300,MATCH($F664,Nutrition!$A$2:$A$300,0))*$I664/100,0))</f>
        <v>7.4099999999999999E-2</v>
      </c>
      <c r="R664" s="30">
        <f>IF(OR($F664="",$I664=""),0,IFERROR(INDEX(Nutrition!$L$2:$L$300,MATCH($F664,Nutrition!$A$2:$A$300,0))*$I664/100,0))</f>
        <v>1.5</v>
      </c>
      <c r="S664" s="30">
        <f>IF(OR($F664="",$I664=""),0,IFERROR(INDEX(Nutrition!$M$2:$M$300,MATCH($F664,Nutrition!$A$2:$A$300,0))*$I664/100,0))</f>
        <v>0.10199999999999999</v>
      </c>
    </row>
    <row r="665" spans="1:19" ht="15" customHeight="1" x14ac:dyDescent="0.25">
      <c r="A665" s="22" t="s">
        <v>1774</v>
      </c>
      <c r="B665" s="33" t="str">
        <f>IFERROR(INDEX(Recipes!$B$2:$B$500,MATCH(A665,Recipes!$A$2:$A$500,0)),"")</f>
        <v>Garlic Mushroom Toast</v>
      </c>
      <c r="C665" s="7" t="s">
        <v>671</v>
      </c>
      <c r="D665" s="34">
        <v>2</v>
      </c>
      <c r="E665" s="22" t="s">
        <v>2753</v>
      </c>
      <c r="F665" s="22" t="s">
        <v>670</v>
      </c>
      <c r="G665" s="22" t="s">
        <v>2755</v>
      </c>
      <c r="H665" s="7" t="s">
        <v>2775</v>
      </c>
      <c r="I665" s="35">
        <v>8</v>
      </c>
      <c r="J665" s="30">
        <f>IF(OR($F665="",$I665=""),0,IFERROR(INDEX(Nutrition!$D$2:$D$300,MATCH($F665,Nutrition!$A$2:$A$300,0))*$I665/100,0))</f>
        <v>0.26400000000000001</v>
      </c>
      <c r="K665" s="30">
        <f>IF(OR($F665="",$I665=""),0,IFERROR(INDEX(Nutrition!$E$2:$E$300,MATCH($F665,Nutrition!$A$2:$A$300,0))*$I665/100,0))</f>
        <v>10.64</v>
      </c>
      <c r="L665" s="30">
        <f>IF(OR($F665="",$I665=""),0,IFERROR(INDEX(Nutrition!$F$2:$F$300,MATCH($F665,Nutrition!$A$2:$A$300,0))*$I665/100,0))</f>
        <v>33.68</v>
      </c>
      <c r="M665" s="30">
        <f>IF(OR($F665="",$I665=""),0,IFERROR(INDEX(Nutrition!$G$2:$G$300,MATCH($F665,Nutrition!$A$2:$A$300,0))*$I665/100,0))</f>
        <v>131.19999999999999</v>
      </c>
      <c r="N665" s="30">
        <f>IF(OR($F665="",$I665=""),0,IFERROR(INDEX(Nutrition!$H$2:$H$300,MATCH($F665,Nutrition!$A$2:$A$300,0))*$I665/100,0))</f>
        <v>12.16</v>
      </c>
      <c r="O665" s="30">
        <f>IF(OR($F665="",$I665=""),0,IFERROR(INDEX(Nutrition!$I$2:$I$300,MATCH($F665,Nutrition!$A$2:$A$300,0))*$I665/100,0))</f>
        <v>44.32</v>
      </c>
      <c r="P665" s="30">
        <f>IF(OR($F665="",$I665=""),0,IFERROR(INDEX(Nutrition!$J$2:$J$300,MATCH($F665,Nutrition!$A$2:$A$300,0))*$I665/100,0))</f>
        <v>0.06</v>
      </c>
      <c r="Q665" s="30">
        <f>IF(OR($F665="",$I665=""),0,IFERROR(INDEX(Nutrition!$K$2:$K$300,MATCH($F665,Nutrition!$A$2:$A$300,0))*$I665/100,0))</f>
        <v>7.1999999999999998E-3</v>
      </c>
      <c r="R665" s="30">
        <f>IF(OR($F665="",$I665=""),0,IFERROR(INDEX(Nutrition!$L$2:$L$300,MATCH($F665,Nutrition!$A$2:$A$300,0))*$I665/100,0))</f>
        <v>4</v>
      </c>
      <c r="S665" s="30">
        <f>IF(OR($F665="",$I665=""),0,IFERROR(INDEX(Nutrition!$M$2:$M$300,MATCH($F665,Nutrition!$A$2:$A$300,0))*$I665/100,0))</f>
        <v>0.496</v>
      </c>
    </row>
    <row r="666" spans="1:19" ht="15" customHeight="1" x14ac:dyDescent="0.25">
      <c r="A666" s="22" t="s">
        <v>1774</v>
      </c>
      <c r="B666" s="33" t="str">
        <f>IFERROR(INDEX(Recipes!$B$2:$B$500,MATCH(A666,Recipes!$A$2:$A$500,0)),"")</f>
        <v>Garlic Mushroom Toast</v>
      </c>
      <c r="C666" s="7" t="s">
        <v>490</v>
      </c>
      <c r="D666" s="34">
        <v>1</v>
      </c>
      <c r="E666" s="22" t="s">
        <v>2788</v>
      </c>
      <c r="F666" s="22" t="s">
        <v>489</v>
      </c>
      <c r="G666" s="22" t="s">
        <v>2755</v>
      </c>
      <c r="H666" s="7" t="s">
        <v>2830</v>
      </c>
      <c r="I666" s="35">
        <v>15</v>
      </c>
      <c r="J666" s="30">
        <f>IF(OR($F666="",$I666=""),0,IFERROR(INDEX(Nutrition!$D$2:$D$300,MATCH($F666,Nutrition!$A$2:$A$300,0))*$I666/100,0))</f>
        <v>0.39</v>
      </c>
      <c r="K666" s="30">
        <f>IF(OR($F666="",$I666=""),0,IFERROR(INDEX(Nutrition!$E$2:$E$300,MATCH($F666,Nutrition!$A$2:$A$300,0))*$I666/100,0))</f>
        <v>2.82</v>
      </c>
      <c r="L666" s="30">
        <f>IF(OR($F666="",$I666=""),0,IFERROR(INDEX(Nutrition!$F$2:$F$300,MATCH($F666,Nutrition!$A$2:$A$300,0))*$I666/100,0))</f>
        <v>7.5</v>
      </c>
      <c r="M666" s="30">
        <f>IF(OR($F666="",$I666=""),0,IFERROR(INDEX(Nutrition!$G$2:$G$300,MATCH($F666,Nutrition!$A$2:$A$300,0))*$I666/100,0))</f>
        <v>31.05</v>
      </c>
      <c r="N666" s="30">
        <f>IF(OR($F666="",$I666=""),0,IFERROR(INDEX(Nutrition!$H$2:$H$300,MATCH($F666,Nutrition!$A$2:$A$300,0))*$I666/100,0))</f>
        <v>9.6</v>
      </c>
      <c r="O666" s="30">
        <f>IF(OR($F666="",$I666=""),0,IFERROR(INDEX(Nutrition!$I$2:$I$300,MATCH($F666,Nutrition!$A$2:$A$300,0))*$I666/100,0))</f>
        <v>41.4</v>
      </c>
      <c r="P666" s="30">
        <f>IF(OR($F666="",$I666=""),0,IFERROR(INDEX(Nutrition!$J$2:$J$300,MATCH($F666,Nutrition!$A$2:$A$300,0))*$I666/100,0))</f>
        <v>8.2500000000000004E-2</v>
      </c>
      <c r="Q666" s="30">
        <f>IF(OR($F666="",$I666=""),0,IFERROR(INDEX(Nutrition!$K$2:$K$300,MATCH($F666,Nutrition!$A$2:$A$300,0))*$I666/100,0))</f>
        <v>9.1500000000000001E-3</v>
      </c>
      <c r="R666" s="30">
        <f>IF(OR($F666="",$I666=""),0,IFERROR(INDEX(Nutrition!$L$2:$L$300,MATCH($F666,Nutrition!$A$2:$A$300,0))*$I666/100,0))</f>
        <v>3</v>
      </c>
      <c r="S666" s="30">
        <f>IF(OR($F666="",$I666=""),0,IFERROR(INDEX(Nutrition!$M$2:$M$300,MATCH($F666,Nutrition!$A$2:$A$300,0))*$I666/100,0))</f>
        <v>0.222</v>
      </c>
    </row>
    <row r="667" spans="1:19" ht="15" customHeight="1" x14ac:dyDescent="0.25">
      <c r="A667" s="22" t="s">
        <v>1774</v>
      </c>
      <c r="B667" s="33" t="str">
        <f>IFERROR(INDEX(Recipes!$B$2:$B$500,MATCH(A667,Recipes!$A$2:$A$500,0)),"")</f>
        <v>Garlic Mushroom Toast</v>
      </c>
      <c r="C667" s="7" t="s">
        <v>2778</v>
      </c>
      <c r="D667" s="34">
        <v>4</v>
      </c>
      <c r="E667" s="22" t="s">
        <v>2779</v>
      </c>
      <c r="F667" s="22"/>
      <c r="G667" s="22" t="s">
        <v>2749</v>
      </c>
      <c r="H667" s="7"/>
      <c r="I667" s="35"/>
      <c r="J667" s="30">
        <f>IF(OR($F667="",$I667=""),0,IFERROR(INDEX(Nutrition!$D$2:$D$300,MATCH($F667,Nutrition!$A$2:$A$300,0))*$I667/100,0))</f>
        <v>0</v>
      </c>
      <c r="K667" s="30">
        <f>IF(OR($F667="",$I667=""),0,IFERROR(INDEX(Nutrition!$E$2:$E$300,MATCH($F667,Nutrition!$A$2:$A$300,0))*$I667/100,0))</f>
        <v>0</v>
      </c>
      <c r="L667" s="30">
        <f>IF(OR($F667="",$I667=""),0,IFERROR(INDEX(Nutrition!$F$2:$F$300,MATCH($F667,Nutrition!$A$2:$A$300,0))*$I667/100,0))</f>
        <v>0</v>
      </c>
      <c r="M667" s="30">
        <f>IF(OR($F667="",$I667=""),0,IFERROR(INDEX(Nutrition!$G$2:$G$300,MATCH($F667,Nutrition!$A$2:$A$300,0))*$I667/100,0))</f>
        <v>0</v>
      </c>
      <c r="N667" s="30">
        <f>IF(OR($F667="",$I667=""),0,IFERROR(INDEX(Nutrition!$H$2:$H$300,MATCH($F667,Nutrition!$A$2:$A$300,0))*$I667/100,0))</f>
        <v>0</v>
      </c>
      <c r="O667" s="30">
        <f>IF(OR($F667="",$I667=""),0,IFERROR(INDEX(Nutrition!$I$2:$I$300,MATCH($F667,Nutrition!$A$2:$A$300,0))*$I667/100,0))</f>
        <v>0</v>
      </c>
      <c r="P667" s="30">
        <f>IF(OR($F667="",$I667=""),0,IFERROR(INDEX(Nutrition!$J$2:$J$300,MATCH($F667,Nutrition!$A$2:$A$300,0))*$I667/100,0))</f>
        <v>0</v>
      </c>
      <c r="Q667" s="30">
        <f>IF(OR($F667="",$I667=""),0,IFERROR(INDEX(Nutrition!$K$2:$K$300,MATCH($F667,Nutrition!$A$2:$A$300,0))*$I667/100,0))</f>
        <v>0</v>
      </c>
      <c r="R667" s="30">
        <f>IF(OR($F667="",$I667=""),0,IFERROR(INDEX(Nutrition!$L$2:$L$300,MATCH($F667,Nutrition!$A$2:$A$300,0))*$I667/100,0))</f>
        <v>0</v>
      </c>
      <c r="S667" s="30">
        <f>IF(OR($F667="",$I667=""),0,IFERROR(INDEX(Nutrition!$M$2:$M$300,MATCH($F667,Nutrition!$A$2:$A$300,0))*$I667/100,0))</f>
        <v>0</v>
      </c>
    </row>
    <row r="668" spans="1:19" ht="15" customHeight="1" x14ac:dyDescent="0.25">
      <c r="A668" s="22" t="s">
        <v>1774</v>
      </c>
      <c r="B668" s="33" t="str">
        <f>IFERROR(INDEX(Recipes!$B$2:$B$500,MATCH(A668,Recipes!$A$2:$A$500,0)),"")</f>
        <v>Garlic Mushroom Toast</v>
      </c>
      <c r="C668" s="7" t="s">
        <v>2751</v>
      </c>
      <c r="D668" s="34">
        <v>2</v>
      </c>
      <c r="E668" s="22" t="s">
        <v>2753</v>
      </c>
      <c r="F668" s="22"/>
      <c r="G668" s="22" t="s">
        <v>2749</v>
      </c>
      <c r="H668" s="7"/>
      <c r="I668" s="35"/>
      <c r="J668" s="30">
        <f>IF(OR($F668="",$I668=""),0,IFERROR(INDEX(Nutrition!$D$2:$D$300,MATCH($F668,Nutrition!$A$2:$A$300,0))*$I668/100,0))</f>
        <v>0</v>
      </c>
      <c r="K668" s="30">
        <f>IF(OR($F668="",$I668=""),0,IFERROR(INDEX(Nutrition!$E$2:$E$300,MATCH($F668,Nutrition!$A$2:$A$300,0))*$I668/100,0))</f>
        <v>0</v>
      </c>
      <c r="L668" s="30">
        <f>IF(OR($F668="",$I668=""),0,IFERROR(INDEX(Nutrition!$F$2:$F$300,MATCH($F668,Nutrition!$A$2:$A$300,0))*$I668/100,0))</f>
        <v>0</v>
      </c>
      <c r="M668" s="30">
        <f>IF(OR($F668="",$I668=""),0,IFERROR(INDEX(Nutrition!$G$2:$G$300,MATCH($F668,Nutrition!$A$2:$A$300,0))*$I668/100,0))</f>
        <v>0</v>
      </c>
      <c r="N668" s="30">
        <f>IF(OR($F668="",$I668=""),0,IFERROR(INDEX(Nutrition!$H$2:$H$300,MATCH($F668,Nutrition!$A$2:$A$300,0))*$I668/100,0))</f>
        <v>0</v>
      </c>
      <c r="O668" s="30">
        <f>IF(OR($F668="",$I668=""),0,IFERROR(INDEX(Nutrition!$I$2:$I$300,MATCH($F668,Nutrition!$A$2:$A$300,0))*$I668/100,0))</f>
        <v>0</v>
      </c>
      <c r="P668" s="30">
        <f>IF(OR($F668="",$I668=""),0,IFERROR(INDEX(Nutrition!$J$2:$J$300,MATCH($F668,Nutrition!$A$2:$A$300,0))*$I668/100,0))</f>
        <v>0</v>
      </c>
      <c r="Q668" s="30">
        <f>IF(OR($F668="",$I668=""),0,IFERROR(INDEX(Nutrition!$K$2:$K$300,MATCH($F668,Nutrition!$A$2:$A$300,0))*$I668/100,0))</f>
        <v>0</v>
      </c>
      <c r="R668" s="30">
        <f>IF(OR($F668="",$I668=""),0,IFERROR(INDEX(Nutrition!$L$2:$L$300,MATCH($F668,Nutrition!$A$2:$A$300,0))*$I668/100,0))</f>
        <v>0</v>
      </c>
      <c r="S668" s="30">
        <f>IF(OR($F668="",$I668=""),0,IFERROR(INDEX(Nutrition!$M$2:$M$300,MATCH($F668,Nutrition!$A$2:$A$300,0))*$I668/100,0))</f>
        <v>0</v>
      </c>
    </row>
    <row r="669" spans="1:19" ht="15" customHeight="1" x14ac:dyDescent="0.25">
      <c r="A669" s="22" t="s">
        <v>1774</v>
      </c>
      <c r="B669" s="33" t="str">
        <f>IFERROR(INDEX(Recipes!$B$2:$B$500,MATCH(A669,Recipes!$A$2:$A$500,0)),"")</f>
        <v>Garlic Mushroom Toast</v>
      </c>
      <c r="C669" s="7" t="s">
        <v>2898</v>
      </c>
      <c r="D669" s="34">
        <v>1</v>
      </c>
      <c r="E669" s="22" t="s">
        <v>2753</v>
      </c>
      <c r="F669" s="22"/>
      <c r="G669" s="22" t="s">
        <v>2773</v>
      </c>
      <c r="H669" s="7"/>
      <c r="I669" s="35"/>
      <c r="J669" s="30">
        <f>IF(OR($F669="",$I669=""),0,IFERROR(INDEX(Nutrition!$D$2:$D$300,MATCH($F669,Nutrition!$A$2:$A$300,0))*$I669/100,0))</f>
        <v>0</v>
      </c>
      <c r="K669" s="30">
        <f>IF(OR($F669="",$I669=""),0,IFERROR(INDEX(Nutrition!$E$2:$E$300,MATCH($F669,Nutrition!$A$2:$A$300,0))*$I669/100,0))</f>
        <v>0</v>
      </c>
      <c r="L669" s="30">
        <f>IF(OR($F669="",$I669=""),0,IFERROR(INDEX(Nutrition!$F$2:$F$300,MATCH($F669,Nutrition!$A$2:$A$300,0))*$I669/100,0))</f>
        <v>0</v>
      </c>
      <c r="M669" s="30">
        <f>IF(OR($F669="",$I669=""),0,IFERROR(INDEX(Nutrition!$G$2:$G$300,MATCH($F669,Nutrition!$A$2:$A$300,0))*$I669/100,0))</f>
        <v>0</v>
      </c>
      <c r="N669" s="30">
        <f>IF(OR($F669="",$I669=""),0,IFERROR(INDEX(Nutrition!$H$2:$H$300,MATCH($F669,Nutrition!$A$2:$A$300,0))*$I669/100,0))</f>
        <v>0</v>
      </c>
      <c r="O669" s="30">
        <f>IF(OR($F669="",$I669=""),0,IFERROR(INDEX(Nutrition!$I$2:$I$300,MATCH($F669,Nutrition!$A$2:$A$300,0))*$I669/100,0))</f>
        <v>0</v>
      </c>
      <c r="P669" s="30">
        <f>IF(OR($F669="",$I669=""),0,IFERROR(INDEX(Nutrition!$J$2:$J$300,MATCH($F669,Nutrition!$A$2:$A$300,0))*$I669/100,0))</f>
        <v>0</v>
      </c>
      <c r="Q669" s="30">
        <f>IF(OR($F669="",$I669=""),0,IFERROR(INDEX(Nutrition!$K$2:$K$300,MATCH($F669,Nutrition!$A$2:$A$300,0))*$I669/100,0))</f>
        <v>0</v>
      </c>
      <c r="R669" s="30">
        <f>IF(OR($F669="",$I669=""),0,IFERROR(INDEX(Nutrition!$L$2:$L$300,MATCH($F669,Nutrition!$A$2:$A$300,0))*$I669/100,0))</f>
        <v>0</v>
      </c>
      <c r="S669" s="30">
        <f>IF(OR($F669="",$I669=""),0,IFERROR(INDEX(Nutrition!$M$2:$M$300,MATCH($F669,Nutrition!$A$2:$A$300,0))*$I669/100,0))</f>
        <v>0</v>
      </c>
    </row>
    <row r="670" spans="1:19" ht="15" customHeight="1" x14ac:dyDescent="0.25">
      <c r="A670" s="22" t="s">
        <v>1774</v>
      </c>
      <c r="B670" s="33" t="str">
        <f>IFERROR(INDEX(Recipes!$B$2:$B$500,MATCH(A670,Recipes!$A$2:$A$500,0)),"")</f>
        <v>Garlic Mushroom Toast</v>
      </c>
      <c r="C670" s="7" t="s">
        <v>2906</v>
      </c>
      <c r="D670" s="34">
        <v>1</v>
      </c>
      <c r="E670" s="22" t="s">
        <v>2782</v>
      </c>
      <c r="F670" s="22"/>
      <c r="G670" s="22" t="s">
        <v>2773</v>
      </c>
      <c r="H670" s="7"/>
      <c r="I670" s="35"/>
      <c r="J670" s="30">
        <f>IF(OR($F670="",$I670=""),0,IFERROR(INDEX(Nutrition!$D$2:$D$300,MATCH($F670,Nutrition!$A$2:$A$300,0))*$I670/100,0))</f>
        <v>0</v>
      </c>
      <c r="K670" s="30">
        <f>IF(OR($F670="",$I670=""),0,IFERROR(INDEX(Nutrition!$E$2:$E$300,MATCH($F670,Nutrition!$A$2:$A$300,0))*$I670/100,0))</f>
        <v>0</v>
      </c>
      <c r="L670" s="30">
        <f>IF(OR($F670="",$I670=""),0,IFERROR(INDEX(Nutrition!$F$2:$F$300,MATCH($F670,Nutrition!$A$2:$A$300,0))*$I670/100,0))</f>
        <v>0</v>
      </c>
      <c r="M670" s="30">
        <f>IF(OR($F670="",$I670=""),0,IFERROR(INDEX(Nutrition!$G$2:$G$300,MATCH($F670,Nutrition!$A$2:$A$300,0))*$I670/100,0))</f>
        <v>0</v>
      </c>
      <c r="N670" s="30">
        <f>IF(OR($F670="",$I670=""),0,IFERROR(INDEX(Nutrition!$H$2:$H$300,MATCH($F670,Nutrition!$A$2:$A$300,0))*$I670/100,0))</f>
        <v>0</v>
      </c>
      <c r="O670" s="30">
        <f>IF(OR($F670="",$I670=""),0,IFERROR(INDEX(Nutrition!$I$2:$I$300,MATCH($F670,Nutrition!$A$2:$A$300,0))*$I670/100,0))</f>
        <v>0</v>
      </c>
      <c r="P670" s="30">
        <f>IF(OR($F670="",$I670=""),0,IFERROR(INDEX(Nutrition!$J$2:$J$300,MATCH($F670,Nutrition!$A$2:$A$300,0))*$I670/100,0))</f>
        <v>0</v>
      </c>
      <c r="Q670" s="30">
        <f>IF(OR($F670="",$I670=""),0,IFERROR(INDEX(Nutrition!$K$2:$K$300,MATCH($F670,Nutrition!$A$2:$A$300,0))*$I670/100,0))</f>
        <v>0</v>
      </c>
      <c r="R670" s="30">
        <f>IF(OR($F670="",$I670=""),0,IFERROR(INDEX(Nutrition!$L$2:$L$300,MATCH($F670,Nutrition!$A$2:$A$300,0))*$I670/100,0))</f>
        <v>0</v>
      </c>
      <c r="S670" s="30">
        <f>IF(OR($F670="",$I670=""),0,IFERROR(INDEX(Nutrition!$M$2:$M$300,MATCH($F670,Nutrition!$A$2:$A$300,0))*$I670/100,0))</f>
        <v>0</v>
      </c>
    </row>
    <row r="671" spans="1:19" ht="15" customHeight="1" x14ac:dyDescent="0.25">
      <c r="A671" s="22" t="s">
        <v>1785</v>
      </c>
      <c r="B671" s="33" t="str">
        <f>IFERROR(INDEX(Recipes!$B$2:$B$500,MATCH(A671,Recipes!$A$2:$A$500,0)),"")</f>
        <v>Tomato &amp; Egg Stir-Fry</v>
      </c>
      <c r="C671" s="7" t="s">
        <v>446</v>
      </c>
      <c r="D671" s="34">
        <v>4</v>
      </c>
      <c r="E671" s="22" t="s">
        <v>2754</v>
      </c>
      <c r="F671" s="22" t="s">
        <v>445</v>
      </c>
      <c r="G671" s="22" t="s">
        <v>2755</v>
      </c>
      <c r="H671" s="7" t="s">
        <v>2916</v>
      </c>
      <c r="I671" s="35">
        <v>248</v>
      </c>
      <c r="J671" s="30">
        <f>IF(OR($F671="",$I671=""),0,IFERROR(INDEX(Nutrition!$D$2:$D$300,MATCH($F671,Nutrition!$A$2:$A$300,0))*$I671/100,0))</f>
        <v>2.9759999999999995</v>
      </c>
      <c r="K671" s="30">
        <f>IF(OR($F671="",$I671=""),0,IFERROR(INDEX(Nutrition!$E$2:$E$300,MATCH($F671,Nutrition!$A$2:$A$300,0))*$I671/100,0))</f>
        <v>33.975999999999999</v>
      </c>
      <c r="L671" s="30">
        <f>IF(OR($F671="",$I671=""),0,IFERROR(INDEX(Nutrition!$F$2:$F$300,MATCH($F671,Nutrition!$A$2:$A$300,0))*$I671/100,0))</f>
        <v>104.16</v>
      </c>
      <c r="M671" s="30">
        <f>IF(OR($F671="",$I671=""),0,IFERROR(INDEX(Nutrition!$G$2:$G$300,MATCH($F671,Nutrition!$A$2:$A$300,0))*$I671/100,0))</f>
        <v>19.591999999999999</v>
      </c>
      <c r="N671" s="30">
        <f>IF(OR($F671="",$I671=""),0,IFERROR(INDEX(Nutrition!$H$2:$H$300,MATCH($F671,Nutrition!$A$2:$A$300,0))*$I671/100,0))</f>
        <v>37.200000000000003</v>
      </c>
      <c r="O671" s="30">
        <f>IF(OR($F671="",$I671=""),0,IFERROR(INDEX(Nutrition!$I$2:$I$300,MATCH($F671,Nutrition!$A$2:$A$300,0))*$I671/100,0))</f>
        <v>587.76</v>
      </c>
      <c r="P671" s="30">
        <f>IF(OR($F671="",$I671=""),0,IFERROR(INDEX(Nutrition!$J$2:$J$300,MATCH($F671,Nutrition!$A$2:$A$300,0))*$I671/100,0))</f>
        <v>1.3392000000000002</v>
      </c>
      <c r="Q671" s="30">
        <f>IF(OR($F671="",$I671=""),0,IFERROR(INDEX(Nutrition!$K$2:$K$300,MATCH($F671,Nutrition!$A$2:$A$300,0))*$I671/100,0))</f>
        <v>0.19839999999999999</v>
      </c>
      <c r="R671" s="30">
        <f>IF(OR($F671="",$I671=""),0,IFERROR(INDEX(Nutrition!$L$2:$L$300,MATCH($F671,Nutrition!$A$2:$A$300,0))*$I671/100,0))</f>
        <v>27.28</v>
      </c>
      <c r="S671" s="30">
        <f>IF(OR($F671="",$I671=""),0,IFERROR(INDEX(Nutrition!$M$2:$M$300,MATCH($F671,Nutrition!$A$2:$A$300,0))*$I671/100,0))</f>
        <v>0.66960000000000008</v>
      </c>
    </row>
    <row r="672" spans="1:19" ht="15" customHeight="1" x14ac:dyDescent="0.25">
      <c r="A672" s="22" t="s">
        <v>1785</v>
      </c>
      <c r="B672" s="33" t="str">
        <f>IFERROR(INDEX(Recipes!$B$2:$B$500,MATCH(A672,Recipes!$A$2:$A$500,0)),"")</f>
        <v>Tomato &amp; Egg Stir-Fry</v>
      </c>
      <c r="C672" s="7" t="s">
        <v>490</v>
      </c>
      <c r="D672" s="34">
        <v>2</v>
      </c>
      <c r="E672" s="22" t="s">
        <v>2820</v>
      </c>
      <c r="F672" s="22" t="s">
        <v>489</v>
      </c>
      <c r="G672" s="22" t="s">
        <v>2755</v>
      </c>
      <c r="H672" s="7" t="s">
        <v>2775</v>
      </c>
      <c r="I672" s="35">
        <v>30</v>
      </c>
      <c r="J672" s="30">
        <f>IF(OR($F672="",$I672=""),0,IFERROR(INDEX(Nutrition!$D$2:$D$300,MATCH($F672,Nutrition!$A$2:$A$300,0))*$I672/100,0))</f>
        <v>0.78</v>
      </c>
      <c r="K672" s="30">
        <f>IF(OR($F672="",$I672=""),0,IFERROR(INDEX(Nutrition!$E$2:$E$300,MATCH($F672,Nutrition!$A$2:$A$300,0))*$I672/100,0))</f>
        <v>5.64</v>
      </c>
      <c r="L672" s="30">
        <f>IF(OR($F672="",$I672=""),0,IFERROR(INDEX(Nutrition!$F$2:$F$300,MATCH($F672,Nutrition!$A$2:$A$300,0))*$I672/100,0))</f>
        <v>15</v>
      </c>
      <c r="M672" s="30">
        <f>IF(OR($F672="",$I672=""),0,IFERROR(INDEX(Nutrition!$G$2:$G$300,MATCH($F672,Nutrition!$A$2:$A$300,0))*$I672/100,0))</f>
        <v>62.1</v>
      </c>
      <c r="N672" s="30">
        <f>IF(OR($F672="",$I672=""),0,IFERROR(INDEX(Nutrition!$H$2:$H$300,MATCH($F672,Nutrition!$A$2:$A$300,0))*$I672/100,0))</f>
        <v>19.2</v>
      </c>
      <c r="O672" s="30">
        <f>IF(OR($F672="",$I672=""),0,IFERROR(INDEX(Nutrition!$I$2:$I$300,MATCH($F672,Nutrition!$A$2:$A$300,0))*$I672/100,0))</f>
        <v>82.8</v>
      </c>
      <c r="P672" s="30">
        <f>IF(OR($F672="",$I672=""),0,IFERROR(INDEX(Nutrition!$J$2:$J$300,MATCH($F672,Nutrition!$A$2:$A$300,0))*$I672/100,0))</f>
        <v>0.16500000000000001</v>
      </c>
      <c r="Q672" s="30">
        <f>IF(OR($F672="",$I672=""),0,IFERROR(INDEX(Nutrition!$K$2:$K$300,MATCH($F672,Nutrition!$A$2:$A$300,0))*$I672/100,0))</f>
        <v>1.83E-2</v>
      </c>
      <c r="R672" s="30">
        <f>IF(OR($F672="",$I672=""),0,IFERROR(INDEX(Nutrition!$L$2:$L$300,MATCH($F672,Nutrition!$A$2:$A$300,0))*$I672/100,0))</f>
        <v>6</v>
      </c>
      <c r="S672" s="30">
        <f>IF(OR($F672="",$I672=""),0,IFERROR(INDEX(Nutrition!$M$2:$M$300,MATCH($F672,Nutrition!$A$2:$A$300,0))*$I672/100,0))</f>
        <v>0.44400000000000001</v>
      </c>
    </row>
    <row r="673" spans="1:19" ht="15" customHeight="1" x14ac:dyDescent="0.25">
      <c r="A673" s="22" t="s">
        <v>1785</v>
      </c>
      <c r="B673" s="33" t="str">
        <f>IFERROR(INDEX(Recipes!$B$2:$B$500,MATCH(A673,Recipes!$A$2:$A$500,0)),"")</f>
        <v>Tomato &amp; Egg Stir-Fry</v>
      </c>
      <c r="C673" s="7" t="s">
        <v>2767</v>
      </c>
      <c r="D673" s="34">
        <v>4</v>
      </c>
      <c r="E673" s="22" t="s">
        <v>2754</v>
      </c>
      <c r="F673" s="22"/>
      <c r="G673" s="22" t="s">
        <v>2768</v>
      </c>
      <c r="H673" s="7"/>
      <c r="I673" s="35"/>
      <c r="J673" s="30">
        <f>IF(OR($F673="",$I673=""),0,IFERROR(INDEX(Nutrition!$D$2:$D$300,MATCH($F673,Nutrition!$A$2:$A$300,0))*$I673/100,0))</f>
        <v>0</v>
      </c>
      <c r="K673" s="30">
        <f>IF(OR($F673="",$I673=""),0,IFERROR(INDEX(Nutrition!$E$2:$E$300,MATCH($F673,Nutrition!$A$2:$A$300,0))*$I673/100,0))</f>
        <v>0</v>
      </c>
      <c r="L673" s="30">
        <f>IF(OR($F673="",$I673=""),0,IFERROR(INDEX(Nutrition!$F$2:$F$300,MATCH($F673,Nutrition!$A$2:$A$300,0))*$I673/100,0))</f>
        <v>0</v>
      </c>
      <c r="M673" s="30">
        <f>IF(OR($F673="",$I673=""),0,IFERROR(INDEX(Nutrition!$G$2:$G$300,MATCH($F673,Nutrition!$A$2:$A$300,0))*$I673/100,0))</f>
        <v>0</v>
      </c>
      <c r="N673" s="30">
        <f>IF(OR($F673="",$I673=""),0,IFERROR(INDEX(Nutrition!$H$2:$H$300,MATCH($F673,Nutrition!$A$2:$A$300,0))*$I673/100,0))</f>
        <v>0</v>
      </c>
      <c r="O673" s="30">
        <f>IF(OR($F673="",$I673=""),0,IFERROR(INDEX(Nutrition!$I$2:$I$300,MATCH($F673,Nutrition!$A$2:$A$300,0))*$I673/100,0))</f>
        <v>0</v>
      </c>
      <c r="P673" s="30">
        <f>IF(OR($F673="",$I673=""),0,IFERROR(INDEX(Nutrition!$J$2:$J$300,MATCH($F673,Nutrition!$A$2:$A$300,0))*$I673/100,0))</f>
        <v>0</v>
      </c>
      <c r="Q673" s="30">
        <f>IF(OR($F673="",$I673=""),0,IFERROR(INDEX(Nutrition!$K$2:$K$300,MATCH($F673,Nutrition!$A$2:$A$300,0))*$I673/100,0))</f>
        <v>0</v>
      </c>
      <c r="R673" s="30">
        <f>IF(OR($F673="",$I673=""),0,IFERROR(INDEX(Nutrition!$L$2:$L$300,MATCH($F673,Nutrition!$A$2:$A$300,0))*$I673/100,0))</f>
        <v>0</v>
      </c>
      <c r="S673" s="30">
        <f>IF(OR($F673="",$I673=""),0,IFERROR(INDEX(Nutrition!$M$2:$M$300,MATCH($F673,Nutrition!$A$2:$A$300,0))*$I673/100,0))</f>
        <v>0</v>
      </c>
    </row>
    <row r="674" spans="1:19" ht="15" customHeight="1" x14ac:dyDescent="0.25">
      <c r="A674" s="22" t="s">
        <v>1785</v>
      </c>
      <c r="B674" s="33" t="str">
        <f>IFERROR(INDEX(Recipes!$B$2:$B$500,MATCH(A674,Recipes!$A$2:$A$500,0)),"")</f>
        <v>Tomato &amp; Egg Stir-Fry</v>
      </c>
      <c r="C674" s="7" t="s">
        <v>2898</v>
      </c>
      <c r="D674" s="34">
        <v>2</v>
      </c>
      <c r="E674" s="22" t="s">
        <v>2753</v>
      </c>
      <c r="F674" s="22"/>
      <c r="G674" s="22" t="s">
        <v>2773</v>
      </c>
      <c r="H674" s="7"/>
      <c r="I674" s="35"/>
      <c r="J674" s="30">
        <f>IF(OR($F674="",$I674=""),0,IFERROR(INDEX(Nutrition!$D$2:$D$300,MATCH($F674,Nutrition!$A$2:$A$300,0))*$I674/100,0))</f>
        <v>0</v>
      </c>
      <c r="K674" s="30">
        <f>IF(OR($F674="",$I674=""),0,IFERROR(INDEX(Nutrition!$E$2:$E$300,MATCH($F674,Nutrition!$A$2:$A$300,0))*$I674/100,0))</f>
        <v>0</v>
      </c>
      <c r="L674" s="30">
        <f>IF(OR($F674="",$I674=""),0,IFERROR(INDEX(Nutrition!$F$2:$F$300,MATCH($F674,Nutrition!$A$2:$A$300,0))*$I674/100,0))</f>
        <v>0</v>
      </c>
      <c r="M674" s="30">
        <f>IF(OR($F674="",$I674=""),0,IFERROR(INDEX(Nutrition!$G$2:$G$300,MATCH($F674,Nutrition!$A$2:$A$300,0))*$I674/100,0))</f>
        <v>0</v>
      </c>
      <c r="N674" s="30">
        <f>IF(OR($F674="",$I674=""),0,IFERROR(INDEX(Nutrition!$H$2:$H$300,MATCH($F674,Nutrition!$A$2:$A$300,0))*$I674/100,0))</f>
        <v>0</v>
      </c>
      <c r="O674" s="30">
        <f>IF(OR($F674="",$I674=""),0,IFERROR(INDEX(Nutrition!$I$2:$I$300,MATCH($F674,Nutrition!$A$2:$A$300,0))*$I674/100,0))</f>
        <v>0</v>
      </c>
      <c r="P674" s="30">
        <f>IF(OR($F674="",$I674=""),0,IFERROR(INDEX(Nutrition!$J$2:$J$300,MATCH($F674,Nutrition!$A$2:$A$300,0))*$I674/100,0))</f>
        <v>0</v>
      </c>
      <c r="Q674" s="30">
        <f>IF(OR($F674="",$I674=""),0,IFERROR(INDEX(Nutrition!$K$2:$K$300,MATCH($F674,Nutrition!$A$2:$A$300,0))*$I674/100,0))</f>
        <v>0</v>
      </c>
      <c r="R674" s="30">
        <f>IF(OR($F674="",$I674=""),0,IFERROR(INDEX(Nutrition!$L$2:$L$300,MATCH($F674,Nutrition!$A$2:$A$300,0))*$I674/100,0))</f>
        <v>0</v>
      </c>
      <c r="S674" s="30">
        <f>IF(OR($F674="",$I674=""),0,IFERROR(INDEX(Nutrition!$M$2:$M$300,MATCH($F674,Nutrition!$A$2:$A$300,0))*$I674/100,0))</f>
        <v>0</v>
      </c>
    </row>
    <row r="675" spans="1:19" ht="15" customHeight="1" x14ac:dyDescent="0.25">
      <c r="A675" s="22" t="s">
        <v>1785</v>
      </c>
      <c r="B675" s="33" t="str">
        <f>IFERROR(INDEX(Recipes!$B$2:$B$500,MATCH(A675,Recipes!$A$2:$A$500,0)),"")</f>
        <v>Tomato &amp; Egg Stir-Fry</v>
      </c>
      <c r="C675" s="7" t="s">
        <v>2917</v>
      </c>
      <c r="D675" s="34">
        <v>1</v>
      </c>
      <c r="E675" s="22" t="s">
        <v>2759</v>
      </c>
      <c r="F675" s="22"/>
      <c r="G675" s="22" t="s">
        <v>2749</v>
      </c>
      <c r="H675" s="7"/>
      <c r="I675" s="35"/>
      <c r="J675" s="30">
        <f>IF(OR($F675="",$I675=""),0,IFERROR(INDEX(Nutrition!$D$2:$D$300,MATCH($F675,Nutrition!$A$2:$A$300,0))*$I675/100,0))</f>
        <v>0</v>
      </c>
      <c r="K675" s="30">
        <f>IF(OR($F675="",$I675=""),0,IFERROR(INDEX(Nutrition!$E$2:$E$300,MATCH($F675,Nutrition!$A$2:$A$300,0))*$I675/100,0))</f>
        <v>0</v>
      </c>
      <c r="L675" s="30">
        <f>IF(OR($F675="",$I675=""),0,IFERROR(INDEX(Nutrition!$F$2:$F$300,MATCH($F675,Nutrition!$A$2:$A$300,0))*$I675/100,0))</f>
        <v>0</v>
      </c>
      <c r="M675" s="30">
        <f>IF(OR($F675="",$I675=""),0,IFERROR(INDEX(Nutrition!$G$2:$G$300,MATCH($F675,Nutrition!$A$2:$A$300,0))*$I675/100,0))</f>
        <v>0</v>
      </c>
      <c r="N675" s="30">
        <f>IF(OR($F675="",$I675=""),0,IFERROR(INDEX(Nutrition!$H$2:$H$300,MATCH($F675,Nutrition!$A$2:$A$300,0))*$I675/100,0))</f>
        <v>0</v>
      </c>
      <c r="O675" s="30">
        <f>IF(OR($F675="",$I675=""),0,IFERROR(INDEX(Nutrition!$I$2:$I$300,MATCH($F675,Nutrition!$A$2:$A$300,0))*$I675/100,0))</f>
        <v>0</v>
      </c>
      <c r="P675" s="30">
        <f>IF(OR($F675="",$I675=""),0,IFERROR(INDEX(Nutrition!$J$2:$J$300,MATCH($F675,Nutrition!$A$2:$A$300,0))*$I675/100,0))</f>
        <v>0</v>
      </c>
      <c r="Q675" s="30">
        <f>IF(OR($F675="",$I675=""),0,IFERROR(INDEX(Nutrition!$K$2:$K$300,MATCH($F675,Nutrition!$A$2:$A$300,0))*$I675/100,0))</f>
        <v>0</v>
      </c>
      <c r="R675" s="30">
        <f>IF(OR($F675="",$I675=""),0,IFERROR(INDEX(Nutrition!$L$2:$L$300,MATCH($F675,Nutrition!$A$2:$A$300,0))*$I675/100,0))</f>
        <v>0</v>
      </c>
      <c r="S675" s="30">
        <f>IF(OR($F675="",$I675=""),0,IFERROR(INDEX(Nutrition!$M$2:$M$300,MATCH($F675,Nutrition!$A$2:$A$300,0))*$I675/100,0))</f>
        <v>0</v>
      </c>
    </row>
    <row r="676" spans="1:19" ht="15" customHeight="1" x14ac:dyDescent="0.25">
      <c r="A676" s="22" t="s">
        <v>1785</v>
      </c>
      <c r="B676" s="33" t="str">
        <f>IFERROR(INDEX(Recipes!$B$2:$B$500,MATCH(A676,Recipes!$A$2:$A$500,0)),"")</f>
        <v>Tomato &amp; Egg Stir-Fry</v>
      </c>
      <c r="C676" s="7" t="s">
        <v>2781</v>
      </c>
      <c r="D676" s="34">
        <v>0.5</v>
      </c>
      <c r="E676" s="22" t="s">
        <v>2759</v>
      </c>
      <c r="F676" s="22"/>
      <c r="G676" s="22" t="s">
        <v>2773</v>
      </c>
      <c r="H676" s="7"/>
      <c r="I676" s="35"/>
      <c r="J676" s="30">
        <f>IF(OR($F676="",$I676=""),0,IFERROR(INDEX(Nutrition!$D$2:$D$300,MATCH($F676,Nutrition!$A$2:$A$300,0))*$I676/100,0))</f>
        <v>0</v>
      </c>
      <c r="K676" s="30">
        <f>IF(OR($F676="",$I676=""),0,IFERROR(INDEX(Nutrition!$E$2:$E$300,MATCH($F676,Nutrition!$A$2:$A$300,0))*$I676/100,0))</f>
        <v>0</v>
      </c>
      <c r="L676" s="30">
        <f>IF(OR($F676="",$I676=""),0,IFERROR(INDEX(Nutrition!$F$2:$F$300,MATCH($F676,Nutrition!$A$2:$A$300,0))*$I676/100,0))</f>
        <v>0</v>
      </c>
      <c r="M676" s="30">
        <f>IF(OR($F676="",$I676=""),0,IFERROR(INDEX(Nutrition!$G$2:$G$300,MATCH($F676,Nutrition!$A$2:$A$300,0))*$I676/100,0))</f>
        <v>0</v>
      </c>
      <c r="N676" s="30">
        <f>IF(OR($F676="",$I676=""),0,IFERROR(INDEX(Nutrition!$H$2:$H$300,MATCH($F676,Nutrition!$A$2:$A$300,0))*$I676/100,0))</f>
        <v>0</v>
      </c>
      <c r="O676" s="30">
        <f>IF(OR($F676="",$I676=""),0,IFERROR(INDEX(Nutrition!$I$2:$I$300,MATCH($F676,Nutrition!$A$2:$A$300,0))*$I676/100,0))</f>
        <v>0</v>
      </c>
      <c r="P676" s="30">
        <f>IF(OR($F676="",$I676=""),0,IFERROR(INDEX(Nutrition!$J$2:$J$300,MATCH($F676,Nutrition!$A$2:$A$300,0))*$I676/100,0))</f>
        <v>0</v>
      </c>
      <c r="Q676" s="30">
        <f>IF(OR($F676="",$I676=""),0,IFERROR(INDEX(Nutrition!$K$2:$K$300,MATCH($F676,Nutrition!$A$2:$A$300,0))*$I676/100,0))</f>
        <v>0</v>
      </c>
      <c r="R676" s="30">
        <f>IF(OR($F676="",$I676=""),0,IFERROR(INDEX(Nutrition!$L$2:$L$300,MATCH($F676,Nutrition!$A$2:$A$300,0))*$I676/100,0))</f>
        <v>0</v>
      </c>
      <c r="S676" s="30">
        <f>IF(OR($F676="",$I676=""),0,IFERROR(INDEX(Nutrition!$M$2:$M$300,MATCH($F676,Nutrition!$A$2:$A$300,0))*$I676/100,0))</f>
        <v>0</v>
      </c>
    </row>
    <row r="677" spans="1:19" ht="15" customHeight="1" x14ac:dyDescent="0.25">
      <c r="A677" s="22" t="s">
        <v>1785</v>
      </c>
      <c r="B677" s="33" t="str">
        <f>IFERROR(INDEX(Recipes!$B$2:$B$500,MATCH(A677,Recipes!$A$2:$A$500,0)),"")</f>
        <v>Tomato &amp; Egg Stir-Fry</v>
      </c>
      <c r="C677" s="7" t="s">
        <v>2918</v>
      </c>
      <c r="D677" s="34">
        <v>0.25</v>
      </c>
      <c r="E677" s="22" t="s">
        <v>2748</v>
      </c>
      <c r="F677" s="22"/>
      <c r="G677" s="22" t="s">
        <v>2773</v>
      </c>
      <c r="H677" s="7"/>
      <c r="I677" s="35"/>
      <c r="J677" s="30">
        <f>IF(OR($F677="",$I677=""),0,IFERROR(INDEX(Nutrition!$D$2:$D$300,MATCH($F677,Nutrition!$A$2:$A$300,0))*$I677/100,0))</f>
        <v>0</v>
      </c>
      <c r="K677" s="30">
        <f>IF(OR($F677="",$I677=""),0,IFERROR(INDEX(Nutrition!$E$2:$E$300,MATCH($F677,Nutrition!$A$2:$A$300,0))*$I677/100,0))</f>
        <v>0</v>
      </c>
      <c r="L677" s="30">
        <f>IF(OR($F677="",$I677=""),0,IFERROR(INDEX(Nutrition!$F$2:$F$300,MATCH($F677,Nutrition!$A$2:$A$300,0))*$I677/100,0))</f>
        <v>0</v>
      </c>
      <c r="M677" s="30">
        <f>IF(OR($F677="",$I677=""),0,IFERROR(INDEX(Nutrition!$G$2:$G$300,MATCH($F677,Nutrition!$A$2:$A$300,0))*$I677/100,0))</f>
        <v>0</v>
      </c>
      <c r="N677" s="30">
        <f>IF(OR($F677="",$I677=""),0,IFERROR(INDEX(Nutrition!$H$2:$H$300,MATCH($F677,Nutrition!$A$2:$A$300,0))*$I677/100,0))</f>
        <v>0</v>
      </c>
      <c r="O677" s="30">
        <f>IF(OR($F677="",$I677=""),0,IFERROR(INDEX(Nutrition!$I$2:$I$300,MATCH($F677,Nutrition!$A$2:$A$300,0))*$I677/100,0))</f>
        <v>0</v>
      </c>
      <c r="P677" s="30">
        <f>IF(OR($F677="",$I677=""),0,IFERROR(INDEX(Nutrition!$J$2:$J$300,MATCH($F677,Nutrition!$A$2:$A$300,0))*$I677/100,0))</f>
        <v>0</v>
      </c>
      <c r="Q677" s="30">
        <f>IF(OR($F677="",$I677=""),0,IFERROR(INDEX(Nutrition!$K$2:$K$300,MATCH($F677,Nutrition!$A$2:$A$300,0))*$I677/100,0))</f>
        <v>0</v>
      </c>
      <c r="R677" s="30">
        <f>IF(OR($F677="",$I677=""),0,IFERROR(INDEX(Nutrition!$L$2:$L$300,MATCH($F677,Nutrition!$A$2:$A$300,0))*$I677/100,0))</f>
        <v>0</v>
      </c>
      <c r="S677" s="30">
        <f>IF(OR($F677="",$I677=""),0,IFERROR(INDEX(Nutrition!$M$2:$M$300,MATCH($F677,Nutrition!$A$2:$A$300,0))*$I677/100,0))</f>
        <v>0</v>
      </c>
    </row>
    <row r="678" spans="1:19" ht="15" customHeight="1" x14ac:dyDescent="0.25">
      <c r="A678" s="22" t="s">
        <v>1799</v>
      </c>
      <c r="B678" s="33" t="str">
        <f>IFERROR(INDEX(Recipes!$B$2:$B$500,MATCH(A678,Recipes!$A$2:$A$500,0)),"")</f>
        <v>Masala Omelette</v>
      </c>
      <c r="C678" s="7" t="s">
        <v>482</v>
      </c>
      <c r="D678" s="34">
        <v>0.25</v>
      </c>
      <c r="E678" s="22" t="s">
        <v>2754</v>
      </c>
      <c r="F678" s="22" t="s">
        <v>481</v>
      </c>
      <c r="G678" s="22" t="s">
        <v>2755</v>
      </c>
      <c r="H678" s="7" t="s">
        <v>2903</v>
      </c>
      <c r="I678" s="35">
        <v>28</v>
      </c>
      <c r="J678" s="30">
        <f>IF(OR($F678="",$I678=""),0,IFERROR(INDEX(Nutrition!$D$2:$D$300,MATCH($F678,Nutrition!$A$2:$A$300,0))*$I678/100,0))</f>
        <v>0.47600000000000003</v>
      </c>
      <c r="K678" s="30">
        <f>IF(OR($F678="",$I678=""),0,IFERROR(INDEX(Nutrition!$E$2:$E$300,MATCH($F678,Nutrition!$A$2:$A$300,0))*$I678/100,0))</f>
        <v>2.0720000000000001</v>
      </c>
      <c r="L678" s="30">
        <f>IF(OR($F678="",$I678=""),0,IFERROR(INDEX(Nutrition!$F$2:$F$300,MATCH($F678,Nutrition!$A$2:$A$300,0))*$I678/100,0))</f>
        <v>0</v>
      </c>
      <c r="M678" s="30">
        <f>IF(OR($F678="",$I678=""),0,IFERROR(INDEX(Nutrition!$G$2:$G$300,MATCH($F678,Nutrition!$A$2:$A$300,0))*$I678/100,0))</f>
        <v>0.11200000000000002</v>
      </c>
      <c r="N678" s="30">
        <f>IF(OR($F678="",$I678=""),0,IFERROR(INDEX(Nutrition!$H$2:$H$300,MATCH($F678,Nutrition!$A$2:$A$300,0))*$I678/100,0))</f>
        <v>5.32</v>
      </c>
      <c r="O678" s="30">
        <f>IF(OR($F678="",$I678=""),0,IFERROR(INDEX(Nutrition!$I$2:$I$300,MATCH($F678,Nutrition!$A$2:$A$300,0))*$I678/100,0))</f>
        <v>40.880000000000003</v>
      </c>
      <c r="P678" s="30">
        <f>IF(OR($F678="",$I678=""),0,IFERROR(INDEX(Nutrition!$J$2:$J$300,MATCH($F678,Nutrition!$A$2:$A$300,0))*$I678/100,0))</f>
        <v>5.6000000000000008E-3</v>
      </c>
      <c r="Q678" s="30">
        <f>IF(OR($F678="",$I678=""),0,IFERROR(INDEX(Nutrition!$K$2:$K$300,MATCH($F678,Nutrition!$A$2:$A$300,0))*$I678/100,0))</f>
        <v>3.3599999999999998E-2</v>
      </c>
      <c r="R678" s="30">
        <f>IF(OR($F678="",$I678=""),0,IFERROR(INDEX(Nutrition!$L$2:$L$300,MATCH($F678,Nutrition!$A$2:$A$300,0))*$I678/100,0))</f>
        <v>2.8</v>
      </c>
      <c r="S678" s="30">
        <f>IF(OR($F678="",$I678=""),0,IFERROR(INDEX(Nutrition!$M$2:$M$300,MATCH($F678,Nutrition!$A$2:$A$300,0))*$I678/100,0))</f>
        <v>5.8799999999999998E-2</v>
      </c>
    </row>
    <row r="679" spans="1:19" ht="15" customHeight="1" x14ac:dyDescent="0.25">
      <c r="A679" s="22" t="s">
        <v>1799</v>
      </c>
      <c r="B679" s="33" t="str">
        <f>IFERROR(INDEX(Recipes!$B$2:$B$500,MATCH(A679,Recipes!$A$2:$A$500,0)),"")</f>
        <v>Masala Omelette</v>
      </c>
      <c r="C679" s="7" t="s">
        <v>446</v>
      </c>
      <c r="D679" s="34">
        <v>1</v>
      </c>
      <c r="E679" s="22" t="s">
        <v>2754</v>
      </c>
      <c r="F679" s="22" t="s">
        <v>445</v>
      </c>
      <c r="G679" s="22" t="s">
        <v>2755</v>
      </c>
      <c r="H679" s="7" t="s">
        <v>2903</v>
      </c>
      <c r="I679" s="35">
        <v>62</v>
      </c>
      <c r="J679" s="30">
        <f>IF(OR($F679="",$I679=""),0,IFERROR(INDEX(Nutrition!$D$2:$D$300,MATCH($F679,Nutrition!$A$2:$A$300,0))*$I679/100,0))</f>
        <v>0.74399999999999988</v>
      </c>
      <c r="K679" s="30">
        <f>IF(OR($F679="",$I679=""),0,IFERROR(INDEX(Nutrition!$E$2:$E$300,MATCH($F679,Nutrition!$A$2:$A$300,0))*$I679/100,0))</f>
        <v>8.4939999999999998</v>
      </c>
      <c r="L679" s="30">
        <f>IF(OR($F679="",$I679=""),0,IFERROR(INDEX(Nutrition!$F$2:$F$300,MATCH($F679,Nutrition!$A$2:$A$300,0))*$I679/100,0))</f>
        <v>26.04</v>
      </c>
      <c r="M679" s="30">
        <f>IF(OR($F679="",$I679=""),0,IFERROR(INDEX(Nutrition!$G$2:$G$300,MATCH($F679,Nutrition!$A$2:$A$300,0))*$I679/100,0))</f>
        <v>4.8979999999999997</v>
      </c>
      <c r="N679" s="30">
        <f>IF(OR($F679="",$I679=""),0,IFERROR(INDEX(Nutrition!$H$2:$H$300,MATCH($F679,Nutrition!$A$2:$A$300,0))*$I679/100,0))</f>
        <v>9.3000000000000007</v>
      </c>
      <c r="O679" s="30">
        <f>IF(OR($F679="",$I679=""),0,IFERROR(INDEX(Nutrition!$I$2:$I$300,MATCH($F679,Nutrition!$A$2:$A$300,0))*$I679/100,0))</f>
        <v>146.94</v>
      </c>
      <c r="P679" s="30">
        <f>IF(OR($F679="",$I679=""),0,IFERROR(INDEX(Nutrition!$J$2:$J$300,MATCH($F679,Nutrition!$A$2:$A$300,0))*$I679/100,0))</f>
        <v>0.33480000000000004</v>
      </c>
      <c r="Q679" s="30">
        <f>IF(OR($F679="",$I679=""),0,IFERROR(INDEX(Nutrition!$K$2:$K$300,MATCH($F679,Nutrition!$A$2:$A$300,0))*$I679/100,0))</f>
        <v>4.9599999999999998E-2</v>
      </c>
      <c r="R679" s="30">
        <f>IF(OR($F679="",$I679=""),0,IFERROR(INDEX(Nutrition!$L$2:$L$300,MATCH($F679,Nutrition!$A$2:$A$300,0))*$I679/100,0))</f>
        <v>6.82</v>
      </c>
      <c r="S679" s="30">
        <f>IF(OR($F679="",$I679=""),0,IFERROR(INDEX(Nutrition!$M$2:$M$300,MATCH($F679,Nutrition!$A$2:$A$300,0))*$I679/100,0))</f>
        <v>0.16740000000000002</v>
      </c>
    </row>
    <row r="680" spans="1:19" ht="15" customHeight="1" x14ac:dyDescent="0.25">
      <c r="A680" s="22" t="s">
        <v>1799</v>
      </c>
      <c r="B680" s="33" t="str">
        <f>IFERROR(INDEX(Recipes!$B$2:$B$500,MATCH(A680,Recipes!$A$2:$A$500,0)),"")</f>
        <v>Masala Omelette</v>
      </c>
      <c r="C680" s="7" t="s">
        <v>668</v>
      </c>
      <c r="D680" s="34">
        <v>2</v>
      </c>
      <c r="E680" s="22" t="s">
        <v>2753</v>
      </c>
      <c r="F680" s="22" t="s">
        <v>667</v>
      </c>
      <c r="G680" s="22" t="s">
        <v>2755</v>
      </c>
      <c r="H680" s="7" t="s">
        <v>2775</v>
      </c>
      <c r="I680" s="35">
        <v>8</v>
      </c>
      <c r="J680" s="30">
        <f>IF(OR($F680="",$I680=""),0,IFERROR(INDEX(Nutrition!$D$2:$D$300,MATCH($F680,Nutrition!$A$2:$A$300,0))*$I680/100,0))</f>
        <v>0.22399999999999998</v>
      </c>
      <c r="K680" s="30">
        <f>IF(OR($F680="",$I680=""),0,IFERROR(INDEX(Nutrition!$E$2:$E$300,MATCH($F680,Nutrition!$A$2:$A$300,0))*$I680/100,0))</f>
        <v>2.16</v>
      </c>
      <c r="L680" s="30">
        <f>IF(OR($F680="",$I680=""),0,IFERROR(INDEX(Nutrition!$F$2:$F$300,MATCH($F680,Nutrition!$A$2:$A$300,0))*$I680/100,0))</f>
        <v>26.96</v>
      </c>
      <c r="M680" s="30">
        <f>IF(OR($F680="",$I680=""),0,IFERROR(INDEX(Nutrition!$G$2:$G$300,MATCH($F680,Nutrition!$A$2:$A$300,0))*$I680/100,0))</f>
        <v>24.8</v>
      </c>
      <c r="N680" s="30">
        <f>IF(OR($F680="",$I680=""),0,IFERROR(INDEX(Nutrition!$H$2:$H$300,MATCH($F680,Nutrition!$A$2:$A$300,0))*$I680/100,0))</f>
        <v>4.96</v>
      </c>
      <c r="O680" s="30">
        <f>IF(OR($F680="",$I680=""),0,IFERROR(INDEX(Nutrition!$I$2:$I$300,MATCH($F680,Nutrition!$A$2:$A$300,0))*$I680/100,0))</f>
        <v>41.68</v>
      </c>
      <c r="P680" s="30">
        <f>IF(OR($F680="",$I680=""),0,IFERROR(INDEX(Nutrition!$J$2:$J$300,MATCH($F680,Nutrition!$A$2:$A$300,0))*$I680/100,0))</f>
        <v>0.2</v>
      </c>
      <c r="Q680" s="30">
        <f>IF(OR($F680="",$I680=""),0,IFERROR(INDEX(Nutrition!$K$2:$K$300,MATCH($F680,Nutrition!$A$2:$A$300,0))*$I680/100,0))</f>
        <v>1.192E-2</v>
      </c>
      <c r="R680" s="30">
        <f>IF(OR($F680="",$I680=""),0,IFERROR(INDEX(Nutrition!$L$2:$L$300,MATCH($F680,Nutrition!$A$2:$A$300,0))*$I680/100,0))</f>
        <v>2.08</v>
      </c>
      <c r="S680" s="30">
        <f>IF(OR($F680="",$I680=""),0,IFERROR(INDEX(Nutrition!$M$2:$M$300,MATCH($F680,Nutrition!$A$2:$A$300,0))*$I680/100,0))</f>
        <v>0.1416</v>
      </c>
    </row>
    <row r="681" spans="1:19" ht="15" customHeight="1" x14ac:dyDescent="0.25">
      <c r="A681" s="22" t="s">
        <v>1799</v>
      </c>
      <c r="B681" s="33" t="str">
        <f>IFERROR(INDEX(Recipes!$B$2:$B$500,MATCH(A681,Recipes!$A$2:$A$500,0)),"")</f>
        <v>Masala Omelette</v>
      </c>
      <c r="C681" s="7" t="s">
        <v>478</v>
      </c>
      <c r="D681" s="34">
        <v>1</v>
      </c>
      <c r="E681" s="22" t="s">
        <v>2754</v>
      </c>
      <c r="F681" s="22" t="s">
        <v>477</v>
      </c>
      <c r="G681" s="22" t="s">
        <v>2755</v>
      </c>
      <c r="H681" s="7" t="s">
        <v>2902</v>
      </c>
      <c r="I681" s="35">
        <v>20</v>
      </c>
      <c r="J681" s="30">
        <f>IF(OR($F681="",$I681=""),0,IFERROR(INDEX(Nutrition!$D$2:$D$300,MATCH($F681,Nutrition!$A$2:$A$300,0))*$I681/100,0))</f>
        <v>0.3</v>
      </c>
      <c r="K681" s="30">
        <f>IF(OR($F681="",$I681=""),0,IFERROR(INDEX(Nutrition!$E$2:$E$300,MATCH($F681,Nutrition!$A$2:$A$300,0))*$I681/100,0))</f>
        <v>28.74</v>
      </c>
      <c r="L681" s="30">
        <f>IF(OR($F681="",$I681=""),0,IFERROR(INDEX(Nutrition!$F$2:$F$300,MATCH($F681,Nutrition!$A$2:$A$300,0))*$I681/100,0))</f>
        <v>9.6</v>
      </c>
      <c r="M681" s="30">
        <f>IF(OR($F681="",$I681=""),0,IFERROR(INDEX(Nutrition!$G$2:$G$300,MATCH($F681,Nutrition!$A$2:$A$300,0))*$I681/100,0))</f>
        <v>2.8</v>
      </c>
      <c r="N681" s="30">
        <f>IF(OR($F681="",$I681=""),0,IFERROR(INDEX(Nutrition!$H$2:$H$300,MATCH($F681,Nutrition!$A$2:$A$300,0))*$I681/100,0))</f>
        <v>4.5999999999999996</v>
      </c>
      <c r="O681" s="30">
        <f>IF(OR($F681="",$I681=""),0,IFERROR(INDEX(Nutrition!$I$2:$I$300,MATCH($F681,Nutrition!$A$2:$A$300,0))*$I681/100,0))</f>
        <v>64.400000000000006</v>
      </c>
      <c r="P681" s="30">
        <f>IF(OR($F681="",$I681=""),0,IFERROR(INDEX(Nutrition!$J$2:$J$300,MATCH($F681,Nutrition!$A$2:$A$300,0))*$I681/100,0))</f>
        <v>0.13799999999999998</v>
      </c>
      <c r="Q681" s="30">
        <f>IF(OR($F681="",$I681=""),0,IFERROR(INDEX(Nutrition!$K$2:$K$300,MATCH($F681,Nutrition!$A$2:$A$300,0))*$I681/100,0))</f>
        <v>0.10120000000000001</v>
      </c>
      <c r="R681" s="30">
        <f>IF(OR($F681="",$I681=""),0,IFERROR(INDEX(Nutrition!$L$2:$L$300,MATCH($F681,Nutrition!$A$2:$A$300,0))*$I681/100,0))</f>
        <v>4.5999999999999996</v>
      </c>
      <c r="S681" s="30">
        <f>IF(OR($F681="",$I681=""),0,IFERROR(INDEX(Nutrition!$M$2:$M$300,MATCH($F681,Nutrition!$A$2:$A$300,0))*$I681/100,0))</f>
        <v>0.20600000000000002</v>
      </c>
    </row>
    <row r="682" spans="1:19" ht="15" customHeight="1" x14ac:dyDescent="0.25">
      <c r="A682" s="22" t="s">
        <v>1799</v>
      </c>
      <c r="B682" s="33" t="str">
        <f>IFERROR(INDEX(Recipes!$B$2:$B$500,MATCH(A682,Recipes!$A$2:$A$500,0)),"")</f>
        <v>Masala Omelette</v>
      </c>
      <c r="C682" s="7" t="s">
        <v>2767</v>
      </c>
      <c r="D682" s="34">
        <v>4</v>
      </c>
      <c r="E682" s="22" t="s">
        <v>2754</v>
      </c>
      <c r="F682" s="22"/>
      <c r="G682" s="22" t="s">
        <v>2768</v>
      </c>
      <c r="H682" s="7"/>
      <c r="I682" s="35"/>
      <c r="J682" s="30">
        <f>IF(OR($F682="",$I682=""),0,IFERROR(INDEX(Nutrition!$D$2:$D$300,MATCH($F682,Nutrition!$A$2:$A$300,0))*$I682/100,0))</f>
        <v>0</v>
      </c>
      <c r="K682" s="30">
        <f>IF(OR($F682="",$I682=""),0,IFERROR(INDEX(Nutrition!$E$2:$E$300,MATCH($F682,Nutrition!$A$2:$A$300,0))*$I682/100,0))</f>
        <v>0</v>
      </c>
      <c r="L682" s="30">
        <f>IF(OR($F682="",$I682=""),0,IFERROR(INDEX(Nutrition!$F$2:$F$300,MATCH($F682,Nutrition!$A$2:$A$300,0))*$I682/100,0))</f>
        <v>0</v>
      </c>
      <c r="M682" s="30">
        <f>IF(OR($F682="",$I682=""),0,IFERROR(INDEX(Nutrition!$G$2:$G$300,MATCH($F682,Nutrition!$A$2:$A$300,0))*$I682/100,0))</f>
        <v>0</v>
      </c>
      <c r="N682" s="30">
        <f>IF(OR($F682="",$I682=""),0,IFERROR(INDEX(Nutrition!$H$2:$H$300,MATCH($F682,Nutrition!$A$2:$A$300,0))*$I682/100,0))</f>
        <v>0</v>
      </c>
      <c r="O682" s="30">
        <f>IF(OR($F682="",$I682=""),0,IFERROR(INDEX(Nutrition!$I$2:$I$300,MATCH($F682,Nutrition!$A$2:$A$300,0))*$I682/100,0))</f>
        <v>0</v>
      </c>
      <c r="P682" s="30">
        <f>IF(OR($F682="",$I682=""),0,IFERROR(INDEX(Nutrition!$J$2:$J$300,MATCH($F682,Nutrition!$A$2:$A$300,0))*$I682/100,0))</f>
        <v>0</v>
      </c>
      <c r="Q682" s="30">
        <f>IF(OR($F682="",$I682=""),0,IFERROR(INDEX(Nutrition!$K$2:$K$300,MATCH($F682,Nutrition!$A$2:$A$300,0))*$I682/100,0))</f>
        <v>0</v>
      </c>
      <c r="R682" s="30">
        <f>IF(OR($F682="",$I682=""),0,IFERROR(INDEX(Nutrition!$L$2:$L$300,MATCH($F682,Nutrition!$A$2:$A$300,0))*$I682/100,0))</f>
        <v>0</v>
      </c>
      <c r="S682" s="30">
        <f>IF(OR($F682="",$I682=""),0,IFERROR(INDEX(Nutrition!$M$2:$M$300,MATCH($F682,Nutrition!$A$2:$A$300,0))*$I682/100,0))</f>
        <v>0</v>
      </c>
    </row>
    <row r="683" spans="1:19" ht="15" customHeight="1" x14ac:dyDescent="0.25">
      <c r="A683" s="22" t="s">
        <v>1799</v>
      </c>
      <c r="B683" s="33" t="str">
        <f>IFERROR(INDEX(Recipes!$B$2:$B$500,MATCH(A683,Recipes!$A$2:$A$500,0)),"")</f>
        <v>Masala Omelette</v>
      </c>
      <c r="C683" s="7" t="s">
        <v>2919</v>
      </c>
      <c r="D683" s="34">
        <v>0.5</v>
      </c>
      <c r="E683" s="22" t="s">
        <v>2759</v>
      </c>
      <c r="F683" s="22"/>
      <c r="G683" s="22" t="s">
        <v>2749</v>
      </c>
      <c r="H683" s="7"/>
      <c r="I683" s="35"/>
      <c r="J683" s="30">
        <f>IF(OR($F683="",$I683=""),0,IFERROR(INDEX(Nutrition!$D$2:$D$300,MATCH($F683,Nutrition!$A$2:$A$300,0))*$I683/100,0))</f>
        <v>0</v>
      </c>
      <c r="K683" s="30">
        <f>IF(OR($F683="",$I683=""),0,IFERROR(INDEX(Nutrition!$E$2:$E$300,MATCH($F683,Nutrition!$A$2:$A$300,0))*$I683/100,0))</f>
        <v>0</v>
      </c>
      <c r="L683" s="30">
        <f>IF(OR($F683="",$I683=""),0,IFERROR(INDEX(Nutrition!$F$2:$F$300,MATCH($F683,Nutrition!$A$2:$A$300,0))*$I683/100,0))</f>
        <v>0</v>
      </c>
      <c r="M683" s="30">
        <f>IF(OR($F683="",$I683=""),0,IFERROR(INDEX(Nutrition!$G$2:$G$300,MATCH($F683,Nutrition!$A$2:$A$300,0))*$I683/100,0))</f>
        <v>0</v>
      </c>
      <c r="N683" s="30">
        <f>IF(OR($F683="",$I683=""),0,IFERROR(INDEX(Nutrition!$H$2:$H$300,MATCH($F683,Nutrition!$A$2:$A$300,0))*$I683/100,0))</f>
        <v>0</v>
      </c>
      <c r="O683" s="30">
        <f>IF(OR($F683="",$I683=""),0,IFERROR(INDEX(Nutrition!$I$2:$I$300,MATCH($F683,Nutrition!$A$2:$A$300,0))*$I683/100,0))</f>
        <v>0</v>
      </c>
      <c r="P683" s="30">
        <f>IF(OR($F683="",$I683=""),0,IFERROR(INDEX(Nutrition!$J$2:$J$300,MATCH($F683,Nutrition!$A$2:$A$300,0))*$I683/100,0))</f>
        <v>0</v>
      </c>
      <c r="Q683" s="30">
        <f>IF(OR($F683="",$I683=""),0,IFERROR(INDEX(Nutrition!$K$2:$K$300,MATCH($F683,Nutrition!$A$2:$A$300,0))*$I683/100,0))</f>
        <v>0</v>
      </c>
      <c r="R683" s="30">
        <f>IF(OR($F683="",$I683=""),0,IFERROR(INDEX(Nutrition!$L$2:$L$300,MATCH($F683,Nutrition!$A$2:$A$300,0))*$I683/100,0))</f>
        <v>0</v>
      </c>
      <c r="S683" s="30">
        <f>IF(OR($F683="",$I683=""),0,IFERROR(INDEX(Nutrition!$M$2:$M$300,MATCH($F683,Nutrition!$A$2:$A$300,0))*$I683/100,0))</f>
        <v>0</v>
      </c>
    </row>
    <row r="684" spans="1:19" ht="15" customHeight="1" x14ac:dyDescent="0.25">
      <c r="A684" s="22" t="s">
        <v>1799</v>
      </c>
      <c r="B684" s="33" t="str">
        <f>IFERROR(INDEX(Recipes!$B$2:$B$500,MATCH(A684,Recipes!$A$2:$A$500,0)),"")</f>
        <v>Masala Omelette</v>
      </c>
      <c r="C684" s="7" t="s">
        <v>2898</v>
      </c>
      <c r="D684" s="34">
        <v>1</v>
      </c>
      <c r="E684" s="22" t="s">
        <v>2753</v>
      </c>
      <c r="F684" s="22"/>
      <c r="G684" s="22" t="s">
        <v>2773</v>
      </c>
      <c r="H684" s="7"/>
      <c r="I684" s="35"/>
      <c r="J684" s="30">
        <f>IF(OR($F684="",$I684=""),0,IFERROR(INDEX(Nutrition!$D$2:$D$300,MATCH($F684,Nutrition!$A$2:$A$300,0))*$I684/100,0))</f>
        <v>0</v>
      </c>
      <c r="K684" s="30">
        <f>IF(OR($F684="",$I684=""),0,IFERROR(INDEX(Nutrition!$E$2:$E$300,MATCH($F684,Nutrition!$A$2:$A$300,0))*$I684/100,0))</f>
        <v>0</v>
      </c>
      <c r="L684" s="30">
        <f>IF(OR($F684="",$I684=""),0,IFERROR(INDEX(Nutrition!$F$2:$F$300,MATCH($F684,Nutrition!$A$2:$A$300,0))*$I684/100,0))</f>
        <v>0</v>
      </c>
      <c r="M684" s="30">
        <f>IF(OR($F684="",$I684=""),0,IFERROR(INDEX(Nutrition!$G$2:$G$300,MATCH($F684,Nutrition!$A$2:$A$300,0))*$I684/100,0))</f>
        <v>0</v>
      </c>
      <c r="N684" s="30">
        <f>IF(OR($F684="",$I684=""),0,IFERROR(INDEX(Nutrition!$H$2:$H$300,MATCH($F684,Nutrition!$A$2:$A$300,0))*$I684/100,0))</f>
        <v>0</v>
      </c>
      <c r="O684" s="30">
        <f>IF(OR($F684="",$I684=""),0,IFERROR(INDEX(Nutrition!$I$2:$I$300,MATCH($F684,Nutrition!$A$2:$A$300,0))*$I684/100,0))</f>
        <v>0</v>
      </c>
      <c r="P684" s="30">
        <f>IF(OR($F684="",$I684=""),0,IFERROR(INDEX(Nutrition!$J$2:$J$300,MATCH($F684,Nutrition!$A$2:$A$300,0))*$I684/100,0))</f>
        <v>0</v>
      </c>
      <c r="Q684" s="30">
        <f>IF(OR($F684="",$I684=""),0,IFERROR(INDEX(Nutrition!$K$2:$K$300,MATCH($F684,Nutrition!$A$2:$A$300,0))*$I684/100,0))</f>
        <v>0</v>
      </c>
      <c r="R684" s="30">
        <f>IF(OR($F684="",$I684=""),0,IFERROR(INDEX(Nutrition!$L$2:$L$300,MATCH($F684,Nutrition!$A$2:$A$300,0))*$I684/100,0))</f>
        <v>0</v>
      </c>
      <c r="S684" s="30">
        <f>IF(OR($F684="",$I684=""),0,IFERROR(INDEX(Nutrition!$M$2:$M$300,MATCH($F684,Nutrition!$A$2:$A$300,0))*$I684/100,0))</f>
        <v>0</v>
      </c>
    </row>
    <row r="685" spans="1:19" ht="15" customHeight="1" x14ac:dyDescent="0.25">
      <c r="A685" s="22" t="s">
        <v>1799</v>
      </c>
      <c r="B685" s="33" t="str">
        <f>IFERROR(INDEX(Recipes!$B$2:$B$500,MATCH(A685,Recipes!$A$2:$A$500,0)),"")</f>
        <v>Masala Omelette</v>
      </c>
      <c r="C685" s="7" t="s">
        <v>2781</v>
      </c>
      <c r="D685" s="34">
        <v>1</v>
      </c>
      <c r="E685" s="22" t="s">
        <v>2782</v>
      </c>
      <c r="F685" s="22"/>
      <c r="G685" s="22" t="s">
        <v>2773</v>
      </c>
      <c r="H685" s="7"/>
      <c r="I685" s="35"/>
      <c r="J685" s="30">
        <f>IF(OR($F685="",$I685=""),0,IFERROR(INDEX(Nutrition!$D$2:$D$300,MATCH($F685,Nutrition!$A$2:$A$300,0))*$I685/100,0))</f>
        <v>0</v>
      </c>
      <c r="K685" s="30">
        <f>IF(OR($F685="",$I685=""),0,IFERROR(INDEX(Nutrition!$E$2:$E$300,MATCH($F685,Nutrition!$A$2:$A$300,0))*$I685/100,0))</f>
        <v>0</v>
      </c>
      <c r="L685" s="30">
        <f>IF(OR($F685="",$I685=""),0,IFERROR(INDEX(Nutrition!$F$2:$F$300,MATCH($F685,Nutrition!$A$2:$A$300,0))*$I685/100,0))</f>
        <v>0</v>
      </c>
      <c r="M685" s="30">
        <f>IF(OR($F685="",$I685=""),0,IFERROR(INDEX(Nutrition!$G$2:$G$300,MATCH($F685,Nutrition!$A$2:$A$300,0))*$I685/100,0))</f>
        <v>0</v>
      </c>
      <c r="N685" s="30">
        <f>IF(OR($F685="",$I685=""),0,IFERROR(INDEX(Nutrition!$H$2:$H$300,MATCH($F685,Nutrition!$A$2:$A$300,0))*$I685/100,0))</f>
        <v>0</v>
      </c>
      <c r="O685" s="30">
        <f>IF(OR($F685="",$I685=""),0,IFERROR(INDEX(Nutrition!$I$2:$I$300,MATCH($F685,Nutrition!$A$2:$A$300,0))*$I685/100,0))</f>
        <v>0</v>
      </c>
      <c r="P685" s="30">
        <f>IF(OR($F685="",$I685=""),0,IFERROR(INDEX(Nutrition!$J$2:$J$300,MATCH($F685,Nutrition!$A$2:$A$300,0))*$I685/100,0))</f>
        <v>0</v>
      </c>
      <c r="Q685" s="30">
        <f>IF(OR($F685="",$I685=""),0,IFERROR(INDEX(Nutrition!$K$2:$K$300,MATCH($F685,Nutrition!$A$2:$A$300,0))*$I685/100,0))</f>
        <v>0</v>
      </c>
      <c r="R685" s="30">
        <f>IF(OR($F685="",$I685=""),0,IFERROR(INDEX(Nutrition!$L$2:$L$300,MATCH($F685,Nutrition!$A$2:$A$300,0))*$I685/100,0))</f>
        <v>0</v>
      </c>
      <c r="S685" s="30">
        <f>IF(OR($F685="",$I685=""),0,IFERROR(INDEX(Nutrition!$M$2:$M$300,MATCH($F685,Nutrition!$A$2:$A$300,0))*$I685/100,0))</f>
        <v>0</v>
      </c>
    </row>
    <row r="686" spans="1:19" ht="15" customHeight="1" x14ac:dyDescent="0.25">
      <c r="A686" s="22" t="s">
        <v>1810</v>
      </c>
      <c r="B686" s="33" t="str">
        <f>IFERROR(INDEX(Recipes!$B$2:$B$500,MATCH(A686,Recipes!$A$2:$A$500,0)),"")</f>
        <v>Huevos a la Mexicana</v>
      </c>
      <c r="C686" s="7" t="s">
        <v>446</v>
      </c>
      <c r="D686" s="34">
        <v>2</v>
      </c>
      <c r="E686" s="22" t="s">
        <v>2754</v>
      </c>
      <c r="F686" s="22" t="s">
        <v>445</v>
      </c>
      <c r="G686" s="22" t="s">
        <v>2755</v>
      </c>
      <c r="H686" s="7" t="s">
        <v>2756</v>
      </c>
      <c r="I686" s="35">
        <v>124</v>
      </c>
      <c r="J686" s="30">
        <f>IF(OR($F686="",$I686=""),0,IFERROR(INDEX(Nutrition!$D$2:$D$300,MATCH($F686,Nutrition!$A$2:$A$300,0))*$I686/100,0))</f>
        <v>1.4879999999999998</v>
      </c>
      <c r="K686" s="30">
        <f>IF(OR($F686="",$I686=""),0,IFERROR(INDEX(Nutrition!$E$2:$E$300,MATCH($F686,Nutrition!$A$2:$A$300,0))*$I686/100,0))</f>
        <v>16.988</v>
      </c>
      <c r="L686" s="30">
        <f>IF(OR($F686="",$I686=""),0,IFERROR(INDEX(Nutrition!$F$2:$F$300,MATCH($F686,Nutrition!$A$2:$A$300,0))*$I686/100,0))</f>
        <v>52.08</v>
      </c>
      <c r="M686" s="30">
        <f>IF(OR($F686="",$I686=""),0,IFERROR(INDEX(Nutrition!$G$2:$G$300,MATCH($F686,Nutrition!$A$2:$A$300,0))*$I686/100,0))</f>
        <v>9.7959999999999994</v>
      </c>
      <c r="N686" s="30">
        <f>IF(OR($F686="",$I686=""),0,IFERROR(INDEX(Nutrition!$H$2:$H$300,MATCH($F686,Nutrition!$A$2:$A$300,0))*$I686/100,0))</f>
        <v>18.600000000000001</v>
      </c>
      <c r="O686" s="30">
        <f>IF(OR($F686="",$I686=""),0,IFERROR(INDEX(Nutrition!$I$2:$I$300,MATCH($F686,Nutrition!$A$2:$A$300,0))*$I686/100,0))</f>
        <v>293.88</v>
      </c>
      <c r="P686" s="30">
        <f>IF(OR($F686="",$I686=""),0,IFERROR(INDEX(Nutrition!$J$2:$J$300,MATCH($F686,Nutrition!$A$2:$A$300,0))*$I686/100,0))</f>
        <v>0.66960000000000008</v>
      </c>
      <c r="Q686" s="30">
        <f>IF(OR($F686="",$I686=""),0,IFERROR(INDEX(Nutrition!$K$2:$K$300,MATCH($F686,Nutrition!$A$2:$A$300,0))*$I686/100,0))</f>
        <v>9.9199999999999997E-2</v>
      </c>
      <c r="R686" s="30">
        <f>IF(OR($F686="",$I686=""),0,IFERROR(INDEX(Nutrition!$L$2:$L$300,MATCH($F686,Nutrition!$A$2:$A$300,0))*$I686/100,0))</f>
        <v>13.64</v>
      </c>
      <c r="S686" s="30">
        <f>IF(OR($F686="",$I686=""),0,IFERROR(INDEX(Nutrition!$M$2:$M$300,MATCH($F686,Nutrition!$A$2:$A$300,0))*$I686/100,0))</f>
        <v>0.33480000000000004</v>
      </c>
    </row>
    <row r="687" spans="1:19" ht="15" customHeight="1" x14ac:dyDescent="0.25">
      <c r="A687" s="22" t="s">
        <v>1810</v>
      </c>
      <c r="B687" s="33" t="str">
        <f>IFERROR(INDEX(Recipes!$B$2:$B$500,MATCH(A687,Recipes!$A$2:$A$500,0)),"")</f>
        <v>Huevos a la Mexicana</v>
      </c>
      <c r="C687" s="7" t="s">
        <v>482</v>
      </c>
      <c r="D687" s="34">
        <v>0.33</v>
      </c>
      <c r="E687" s="22" t="s">
        <v>2748</v>
      </c>
      <c r="F687" s="22" t="s">
        <v>481</v>
      </c>
      <c r="G687" s="22" t="s">
        <v>2755</v>
      </c>
      <c r="H687" s="7" t="s">
        <v>2920</v>
      </c>
      <c r="I687" s="35">
        <v>53</v>
      </c>
      <c r="J687" s="30">
        <f>IF(OR($F687="",$I687=""),0,IFERROR(INDEX(Nutrition!$D$2:$D$300,MATCH($F687,Nutrition!$A$2:$A$300,0))*$I687/100,0))</f>
        <v>0.90099999999999991</v>
      </c>
      <c r="K687" s="30">
        <f>IF(OR($F687="",$I687=""),0,IFERROR(INDEX(Nutrition!$E$2:$E$300,MATCH($F687,Nutrition!$A$2:$A$300,0))*$I687/100,0))</f>
        <v>3.9220000000000006</v>
      </c>
      <c r="L687" s="30">
        <f>IF(OR($F687="",$I687=""),0,IFERROR(INDEX(Nutrition!$F$2:$F$300,MATCH($F687,Nutrition!$A$2:$A$300,0))*$I687/100,0))</f>
        <v>0</v>
      </c>
      <c r="M687" s="30">
        <f>IF(OR($F687="",$I687=""),0,IFERROR(INDEX(Nutrition!$G$2:$G$300,MATCH($F687,Nutrition!$A$2:$A$300,0))*$I687/100,0))</f>
        <v>0.21200000000000002</v>
      </c>
      <c r="N687" s="30">
        <f>IF(OR($F687="",$I687=""),0,IFERROR(INDEX(Nutrition!$H$2:$H$300,MATCH($F687,Nutrition!$A$2:$A$300,0))*$I687/100,0))</f>
        <v>10.07</v>
      </c>
      <c r="O687" s="30">
        <f>IF(OR($F687="",$I687=""),0,IFERROR(INDEX(Nutrition!$I$2:$I$300,MATCH($F687,Nutrition!$A$2:$A$300,0))*$I687/100,0))</f>
        <v>77.38</v>
      </c>
      <c r="P687" s="30">
        <f>IF(OR($F687="",$I687=""),0,IFERROR(INDEX(Nutrition!$J$2:$J$300,MATCH($F687,Nutrition!$A$2:$A$300,0))*$I687/100,0))</f>
        <v>1.06E-2</v>
      </c>
      <c r="Q687" s="30">
        <f>IF(OR($F687="",$I687=""),0,IFERROR(INDEX(Nutrition!$K$2:$K$300,MATCH($F687,Nutrition!$A$2:$A$300,0))*$I687/100,0))</f>
        <v>6.359999999999999E-2</v>
      </c>
      <c r="R687" s="30">
        <f>IF(OR($F687="",$I687=""),0,IFERROR(INDEX(Nutrition!$L$2:$L$300,MATCH($F687,Nutrition!$A$2:$A$300,0))*$I687/100,0))</f>
        <v>5.3</v>
      </c>
      <c r="S687" s="30">
        <f>IF(OR($F687="",$I687=""),0,IFERROR(INDEX(Nutrition!$M$2:$M$300,MATCH($F687,Nutrition!$A$2:$A$300,0))*$I687/100,0))</f>
        <v>0.1113</v>
      </c>
    </row>
    <row r="688" spans="1:19" ht="15" customHeight="1" x14ac:dyDescent="0.25">
      <c r="A688" s="22" t="s">
        <v>1810</v>
      </c>
      <c r="B688" s="33" t="str">
        <f>IFERROR(INDEX(Recipes!$B$2:$B$500,MATCH(A688,Recipes!$A$2:$A$500,0)),"")</f>
        <v>Huevos a la Mexicana</v>
      </c>
      <c r="C688" s="7" t="s">
        <v>473</v>
      </c>
      <c r="D688" s="34">
        <v>0.5</v>
      </c>
      <c r="E688" s="22" t="s">
        <v>2754</v>
      </c>
      <c r="F688" s="22" t="s">
        <v>472</v>
      </c>
      <c r="G688" s="22" t="s">
        <v>2755</v>
      </c>
      <c r="H688" s="7" t="s">
        <v>2771</v>
      </c>
      <c r="I688" s="35">
        <v>5</v>
      </c>
      <c r="J688" s="30">
        <f>IF(OR($F688="",$I688=""),0,IFERROR(INDEX(Nutrition!$D$2:$D$300,MATCH($F688,Nutrition!$A$2:$A$300,0))*$I688/100,0))</f>
        <v>7.4999999999999997E-2</v>
      </c>
      <c r="K688" s="30">
        <f>IF(OR($F688="",$I688=""),0,IFERROR(INDEX(Nutrition!$E$2:$E$300,MATCH($F688,Nutrition!$A$2:$A$300,0))*$I688/100,0))</f>
        <v>7.1849999999999996</v>
      </c>
      <c r="L688" s="30">
        <f>IF(OR($F688="",$I688=""),0,IFERROR(INDEX(Nutrition!$F$2:$F$300,MATCH($F688,Nutrition!$A$2:$A$300,0))*$I688/100,0))</f>
        <v>2.4</v>
      </c>
      <c r="M688" s="30">
        <f>IF(OR($F688="",$I688=""),0,IFERROR(INDEX(Nutrition!$G$2:$G$300,MATCH($F688,Nutrition!$A$2:$A$300,0))*$I688/100,0))</f>
        <v>0.7</v>
      </c>
      <c r="N688" s="30">
        <f>IF(OR($F688="",$I688=""),0,IFERROR(INDEX(Nutrition!$H$2:$H$300,MATCH($F688,Nutrition!$A$2:$A$300,0))*$I688/100,0))</f>
        <v>1.1499999999999999</v>
      </c>
      <c r="O688" s="30">
        <f>IF(OR($F688="",$I688=""),0,IFERROR(INDEX(Nutrition!$I$2:$I$300,MATCH($F688,Nutrition!$A$2:$A$300,0))*$I688/100,0))</f>
        <v>16.100000000000001</v>
      </c>
      <c r="P688" s="30">
        <f>IF(OR($F688="",$I688=""),0,IFERROR(INDEX(Nutrition!$J$2:$J$300,MATCH($F688,Nutrition!$A$2:$A$300,0))*$I688/100,0))</f>
        <v>3.4499999999999996E-2</v>
      </c>
      <c r="Q688" s="30">
        <f>IF(OR($F688="",$I688=""),0,IFERROR(INDEX(Nutrition!$K$2:$K$300,MATCH($F688,Nutrition!$A$2:$A$300,0))*$I688/100,0))</f>
        <v>2.5300000000000003E-2</v>
      </c>
      <c r="R688" s="30">
        <f>IF(OR($F688="",$I688=""),0,IFERROR(INDEX(Nutrition!$L$2:$L$300,MATCH($F688,Nutrition!$A$2:$A$300,0))*$I688/100,0))</f>
        <v>1.1499999999999999</v>
      </c>
      <c r="S688" s="30">
        <f>IF(OR($F688="",$I688=""),0,IFERROR(INDEX(Nutrition!$M$2:$M$300,MATCH($F688,Nutrition!$A$2:$A$300,0))*$I688/100,0))</f>
        <v>5.1500000000000004E-2</v>
      </c>
    </row>
    <row r="689" spans="1:19" ht="15" customHeight="1" x14ac:dyDescent="0.25">
      <c r="A689" s="22" t="s">
        <v>1810</v>
      </c>
      <c r="B689" s="33" t="str">
        <f>IFERROR(INDEX(Recipes!$B$2:$B$500,MATCH(A689,Recipes!$A$2:$A$500,0)),"")</f>
        <v>Huevos a la Mexicana</v>
      </c>
      <c r="C689" s="7" t="s">
        <v>227</v>
      </c>
      <c r="D689" s="34">
        <v>1</v>
      </c>
      <c r="E689" s="22" t="s">
        <v>2754</v>
      </c>
      <c r="F689" s="22" t="s">
        <v>226</v>
      </c>
      <c r="G689" s="22" t="s">
        <v>2755</v>
      </c>
      <c r="H689" s="7" t="s">
        <v>2921</v>
      </c>
      <c r="I689" s="35">
        <v>201</v>
      </c>
      <c r="J689" s="30">
        <f>IF(OR($F689="",$I689=""),0,IFERROR(INDEX(Nutrition!$D$2:$D$300,MATCH($F689,Nutrition!$A$2:$A$300,0))*$I689/100,0))</f>
        <v>13.467000000000001</v>
      </c>
      <c r="K689" s="30">
        <f>IF(OR($F689="",$I689=""),0,IFERROR(INDEX(Nutrition!$E$2:$E$300,MATCH($F689,Nutrition!$A$2:$A$300,0))*$I689/100,0))</f>
        <v>20.100000000000001</v>
      </c>
      <c r="L689" s="30">
        <f>IF(OR($F689="",$I689=""),0,IFERROR(INDEX(Nutrition!$F$2:$F$300,MATCH($F689,Nutrition!$A$2:$A$300,0))*$I689/100,0))</f>
        <v>14.07</v>
      </c>
      <c r="M689" s="30">
        <f>IF(OR($F689="",$I689=""),0,IFERROR(INDEX(Nutrition!$G$2:$G$300,MATCH($F689,Nutrition!$A$2:$A$300,0))*$I689/100,0))</f>
        <v>42.21</v>
      </c>
      <c r="N689" s="30">
        <f>IF(OR($F689="",$I689=""),0,IFERROR(INDEX(Nutrition!$H$2:$H$300,MATCH($F689,Nutrition!$A$2:$A$300,0))*$I689/100,0))</f>
        <v>162.81</v>
      </c>
      <c r="O689" s="30">
        <f>IF(OR($F689="",$I689=""),0,IFERROR(INDEX(Nutrition!$I$2:$I$300,MATCH($F689,Nutrition!$A$2:$A$300,0))*$I689/100,0))</f>
        <v>974.85</v>
      </c>
      <c r="P689" s="30">
        <f>IF(OR($F689="",$I689=""),0,IFERROR(INDEX(Nutrition!$J$2:$J$300,MATCH($F689,Nutrition!$A$2:$A$300,0))*$I689/100,0))</f>
        <v>4.1607000000000003</v>
      </c>
      <c r="Q689" s="30">
        <f>IF(OR($F689="",$I689=""),0,IFERROR(INDEX(Nutrition!$K$2:$K$300,MATCH($F689,Nutrition!$A$2:$A$300,0))*$I689/100,0))</f>
        <v>0.51657000000000008</v>
      </c>
      <c r="R689" s="30">
        <f>IF(OR($F689="",$I689=""),0,IFERROR(INDEX(Nutrition!$L$2:$L$300,MATCH($F689,Nutrition!$A$2:$A$300,0))*$I689/100,0))</f>
        <v>58.29</v>
      </c>
      <c r="S689" s="30">
        <f>IF(OR($F689="",$I689=""),0,IFERROR(INDEX(Nutrition!$M$2:$M$300,MATCH($F689,Nutrition!$A$2:$A$300,0))*$I689/100,0))</f>
        <v>1.1055000000000001</v>
      </c>
    </row>
    <row r="690" spans="1:19" ht="15" customHeight="1" x14ac:dyDescent="0.25">
      <c r="A690" s="22" t="s">
        <v>1810</v>
      </c>
      <c r="B690" s="33" t="str">
        <f>IFERROR(INDEX(Recipes!$B$2:$B$500,MATCH(A690,Recipes!$A$2:$A$500,0)),"")</f>
        <v>Huevos a la Mexicana</v>
      </c>
      <c r="C690" s="7" t="s">
        <v>668</v>
      </c>
      <c r="D690" s="34">
        <v>2</v>
      </c>
      <c r="E690" s="22" t="s">
        <v>2753</v>
      </c>
      <c r="F690" s="22" t="s">
        <v>667</v>
      </c>
      <c r="G690" s="22" t="s">
        <v>2755</v>
      </c>
      <c r="H690" s="7" t="s">
        <v>2760</v>
      </c>
      <c r="I690" s="35">
        <v>8</v>
      </c>
      <c r="J690" s="30">
        <f>IF(OR($F690="",$I690=""),0,IFERROR(INDEX(Nutrition!$D$2:$D$300,MATCH($F690,Nutrition!$A$2:$A$300,0))*$I690/100,0))</f>
        <v>0.22399999999999998</v>
      </c>
      <c r="K690" s="30">
        <f>IF(OR($F690="",$I690=""),0,IFERROR(INDEX(Nutrition!$E$2:$E$300,MATCH($F690,Nutrition!$A$2:$A$300,0))*$I690/100,0))</f>
        <v>2.16</v>
      </c>
      <c r="L690" s="30">
        <f>IF(OR($F690="",$I690=""),0,IFERROR(INDEX(Nutrition!$F$2:$F$300,MATCH($F690,Nutrition!$A$2:$A$300,0))*$I690/100,0))</f>
        <v>26.96</v>
      </c>
      <c r="M690" s="30">
        <f>IF(OR($F690="",$I690=""),0,IFERROR(INDEX(Nutrition!$G$2:$G$300,MATCH($F690,Nutrition!$A$2:$A$300,0))*$I690/100,0))</f>
        <v>24.8</v>
      </c>
      <c r="N690" s="30">
        <f>IF(OR($F690="",$I690=""),0,IFERROR(INDEX(Nutrition!$H$2:$H$300,MATCH($F690,Nutrition!$A$2:$A$300,0))*$I690/100,0))</f>
        <v>4.96</v>
      </c>
      <c r="O690" s="30">
        <f>IF(OR($F690="",$I690=""),0,IFERROR(INDEX(Nutrition!$I$2:$I$300,MATCH($F690,Nutrition!$A$2:$A$300,0))*$I690/100,0))</f>
        <v>41.68</v>
      </c>
      <c r="P690" s="30">
        <f>IF(OR($F690="",$I690=""),0,IFERROR(INDEX(Nutrition!$J$2:$J$300,MATCH($F690,Nutrition!$A$2:$A$300,0))*$I690/100,0))</f>
        <v>0.2</v>
      </c>
      <c r="Q690" s="30">
        <f>IF(OR($F690="",$I690=""),0,IFERROR(INDEX(Nutrition!$K$2:$K$300,MATCH($F690,Nutrition!$A$2:$A$300,0))*$I690/100,0))</f>
        <v>1.192E-2</v>
      </c>
      <c r="R690" s="30">
        <f>IF(OR($F690="",$I690=""),0,IFERROR(INDEX(Nutrition!$L$2:$L$300,MATCH($F690,Nutrition!$A$2:$A$300,0))*$I690/100,0))</f>
        <v>2.08</v>
      </c>
      <c r="S690" s="30">
        <f>IF(OR($F690="",$I690=""),0,IFERROR(INDEX(Nutrition!$M$2:$M$300,MATCH($F690,Nutrition!$A$2:$A$300,0))*$I690/100,0))</f>
        <v>0.1416</v>
      </c>
    </row>
    <row r="691" spans="1:19" ht="15" customHeight="1" x14ac:dyDescent="0.25">
      <c r="A691" s="22" t="s">
        <v>1810</v>
      </c>
      <c r="B691" s="33" t="str">
        <f>IFERROR(INDEX(Recipes!$B$2:$B$500,MATCH(A691,Recipes!$A$2:$A$500,0)),"")</f>
        <v>Huevos a la Mexicana</v>
      </c>
      <c r="C691" s="7" t="s">
        <v>2767</v>
      </c>
      <c r="D691" s="34">
        <v>4</v>
      </c>
      <c r="E691" s="22" t="s">
        <v>2754</v>
      </c>
      <c r="F691" s="22"/>
      <c r="G691" s="22" t="s">
        <v>2768</v>
      </c>
      <c r="H691" s="7"/>
      <c r="I691" s="35"/>
      <c r="J691" s="30">
        <f>IF(OR($F691="",$I691=""),0,IFERROR(INDEX(Nutrition!$D$2:$D$300,MATCH($F691,Nutrition!$A$2:$A$300,0))*$I691/100,0))</f>
        <v>0</v>
      </c>
      <c r="K691" s="30">
        <f>IF(OR($F691="",$I691=""),0,IFERROR(INDEX(Nutrition!$E$2:$E$300,MATCH($F691,Nutrition!$A$2:$A$300,0))*$I691/100,0))</f>
        <v>0</v>
      </c>
      <c r="L691" s="30">
        <f>IF(OR($F691="",$I691=""),0,IFERROR(INDEX(Nutrition!$F$2:$F$300,MATCH($F691,Nutrition!$A$2:$A$300,0))*$I691/100,0))</f>
        <v>0</v>
      </c>
      <c r="M691" s="30">
        <f>IF(OR($F691="",$I691=""),0,IFERROR(INDEX(Nutrition!$G$2:$G$300,MATCH($F691,Nutrition!$A$2:$A$300,0))*$I691/100,0))</f>
        <v>0</v>
      </c>
      <c r="N691" s="30">
        <f>IF(OR($F691="",$I691=""),0,IFERROR(INDEX(Nutrition!$H$2:$H$300,MATCH($F691,Nutrition!$A$2:$A$300,0))*$I691/100,0))</f>
        <v>0</v>
      </c>
      <c r="O691" s="30">
        <f>IF(OR($F691="",$I691=""),0,IFERROR(INDEX(Nutrition!$I$2:$I$300,MATCH($F691,Nutrition!$A$2:$A$300,0))*$I691/100,0))</f>
        <v>0</v>
      </c>
      <c r="P691" s="30">
        <f>IF(OR($F691="",$I691=""),0,IFERROR(INDEX(Nutrition!$J$2:$J$300,MATCH($F691,Nutrition!$A$2:$A$300,0))*$I691/100,0))</f>
        <v>0</v>
      </c>
      <c r="Q691" s="30">
        <f>IF(OR($F691="",$I691=""),0,IFERROR(INDEX(Nutrition!$K$2:$K$300,MATCH($F691,Nutrition!$A$2:$A$300,0))*$I691/100,0))</f>
        <v>0</v>
      </c>
      <c r="R691" s="30">
        <f>IF(OR($F691="",$I691=""),0,IFERROR(INDEX(Nutrition!$L$2:$L$300,MATCH($F691,Nutrition!$A$2:$A$300,0))*$I691/100,0))</f>
        <v>0</v>
      </c>
      <c r="S691" s="30">
        <f>IF(OR($F691="",$I691=""),0,IFERROR(INDEX(Nutrition!$M$2:$M$300,MATCH($F691,Nutrition!$A$2:$A$300,0))*$I691/100,0))</f>
        <v>0</v>
      </c>
    </row>
    <row r="692" spans="1:19" ht="15" customHeight="1" x14ac:dyDescent="0.25">
      <c r="A692" s="22" t="s">
        <v>1810</v>
      </c>
      <c r="B692" s="33" t="str">
        <f>IFERROR(INDEX(Recipes!$B$2:$B$500,MATCH(A692,Recipes!$A$2:$A$500,0)),"")</f>
        <v>Huevos a la Mexicana</v>
      </c>
      <c r="C692" s="7" t="s">
        <v>2898</v>
      </c>
      <c r="D692" s="34">
        <v>1</v>
      </c>
      <c r="E692" s="22" t="s">
        <v>2753</v>
      </c>
      <c r="F692" s="22"/>
      <c r="G692" s="22" t="s">
        <v>2773</v>
      </c>
      <c r="H692" s="7"/>
      <c r="I692" s="35"/>
      <c r="J692" s="30">
        <f>IF(OR($F692="",$I692=""),0,IFERROR(INDEX(Nutrition!$D$2:$D$300,MATCH($F692,Nutrition!$A$2:$A$300,0))*$I692/100,0))</f>
        <v>0</v>
      </c>
      <c r="K692" s="30">
        <f>IF(OR($F692="",$I692=""),0,IFERROR(INDEX(Nutrition!$E$2:$E$300,MATCH($F692,Nutrition!$A$2:$A$300,0))*$I692/100,0))</f>
        <v>0</v>
      </c>
      <c r="L692" s="30">
        <f>IF(OR($F692="",$I692=""),0,IFERROR(INDEX(Nutrition!$F$2:$F$300,MATCH($F692,Nutrition!$A$2:$A$300,0))*$I692/100,0))</f>
        <v>0</v>
      </c>
      <c r="M692" s="30">
        <f>IF(OR($F692="",$I692=""),0,IFERROR(INDEX(Nutrition!$G$2:$G$300,MATCH($F692,Nutrition!$A$2:$A$300,0))*$I692/100,0))</f>
        <v>0</v>
      </c>
      <c r="N692" s="30">
        <f>IF(OR($F692="",$I692=""),0,IFERROR(INDEX(Nutrition!$H$2:$H$300,MATCH($F692,Nutrition!$A$2:$A$300,0))*$I692/100,0))</f>
        <v>0</v>
      </c>
      <c r="O692" s="30">
        <f>IF(OR($F692="",$I692=""),0,IFERROR(INDEX(Nutrition!$I$2:$I$300,MATCH($F692,Nutrition!$A$2:$A$300,0))*$I692/100,0))</f>
        <v>0</v>
      </c>
      <c r="P692" s="30">
        <f>IF(OR($F692="",$I692=""),0,IFERROR(INDEX(Nutrition!$J$2:$J$300,MATCH($F692,Nutrition!$A$2:$A$300,0))*$I692/100,0))</f>
        <v>0</v>
      </c>
      <c r="Q692" s="30">
        <f>IF(OR($F692="",$I692=""),0,IFERROR(INDEX(Nutrition!$K$2:$K$300,MATCH($F692,Nutrition!$A$2:$A$300,0))*$I692/100,0))</f>
        <v>0</v>
      </c>
      <c r="R692" s="30">
        <f>IF(OR($F692="",$I692=""),0,IFERROR(INDEX(Nutrition!$L$2:$L$300,MATCH($F692,Nutrition!$A$2:$A$300,0))*$I692/100,0))</f>
        <v>0</v>
      </c>
      <c r="S692" s="30">
        <f>IF(OR($F692="",$I692=""),0,IFERROR(INDEX(Nutrition!$M$2:$M$300,MATCH($F692,Nutrition!$A$2:$A$300,0))*$I692/100,0))</f>
        <v>0</v>
      </c>
    </row>
    <row r="693" spans="1:19" ht="15" customHeight="1" x14ac:dyDescent="0.25">
      <c r="A693" s="22" t="s">
        <v>1810</v>
      </c>
      <c r="B693" s="33" t="str">
        <f>IFERROR(INDEX(Recipes!$B$2:$B$500,MATCH(A693,Recipes!$A$2:$A$500,0)),"")</f>
        <v>Huevos a la Mexicana</v>
      </c>
      <c r="C693" s="7" t="s">
        <v>2781</v>
      </c>
      <c r="D693" s="34">
        <v>1</v>
      </c>
      <c r="E693" s="22" t="s">
        <v>2782</v>
      </c>
      <c r="F693" s="22"/>
      <c r="G693" s="22" t="s">
        <v>2773</v>
      </c>
      <c r="H693" s="7"/>
      <c r="I693" s="35"/>
      <c r="J693" s="30">
        <f>IF(OR($F693="",$I693=""),0,IFERROR(INDEX(Nutrition!$D$2:$D$300,MATCH($F693,Nutrition!$A$2:$A$300,0))*$I693/100,0))</f>
        <v>0</v>
      </c>
      <c r="K693" s="30">
        <f>IF(OR($F693="",$I693=""),0,IFERROR(INDEX(Nutrition!$E$2:$E$300,MATCH($F693,Nutrition!$A$2:$A$300,0))*$I693/100,0))</f>
        <v>0</v>
      </c>
      <c r="L693" s="30">
        <f>IF(OR($F693="",$I693=""),0,IFERROR(INDEX(Nutrition!$F$2:$F$300,MATCH($F693,Nutrition!$A$2:$A$300,0))*$I693/100,0))</f>
        <v>0</v>
      </c>
      <c r="M693" s="30">
        <f>IF(OR($F693="",$I693=""),0,IFERROR(INDEX(Nutrition!$G$2:$G$300,MATCH($F693,Nutrition!$A$2:$A$300,0))*$I693/100,0))</f>
        <v>0</v>
      </c>
      <c r="N693" s="30">
        <f>IF(OR($F693="",$I693=""),0,IFERROR(INDEX(Nutrition!$H$2:$H$300,MATCH($F693,Nutrition!$A$2:$A$300,0))*$I693/100,0))</f>
        <v>0</v>
      </c>
      <c r="O693" s="30">
        <f>IF(OR($F693="",$I693=""),0,IFERROR(INDEX(Nutrition!$I$2:$I$300,MATCH($F693,Nutrition!$A$2:$A$300,0))*$I693/100,0))</f>
        <v>0</v>
      </c>
      <c r="P693" s="30">
        <f>IF(OR($F693="",$I693=""),0,IFERROR(INDEX(Nutrition!$J$2:$J$300,MATCH($F693,Nutrition!$A$2:$A$300,0))*$I693/100,0))</f>
        <v>0</v>
      </c>
      <c r="Q693" s="30">
        <f>IF(OR($F693="",$I693=""),0,IFERROR(INDEX(Nutrition!$K$2:$K$300,MATCH($F693,Nutrition!$A$2:$A$300,0))*$I693/100,0))</f>
        <v>0</v>
      </c>
      <c r="R693" s="30">
        <f>IF(OR($F693="",$I693=""),0,IFERROR(INDEX(Nutrition!$L$2:$L$300,MATCH($F693,Nutrition!$A$2:$A$300,0))*$I693/100,0))</f>
        <v>0</v>
      </c>
      <c r="S693" s="30">
        <f>IF(OR($F693="",$I693=""),0,IFERROR(INDEX(Nutrition!$M$2:$M$300,MATCH($F693,Nutrition!$A$2:$A$300,0))*$I693/100,0))</f>
        <v>0</v>
      </c>
    </row>
    <row r="694" spans="1:19" ht="15" customHeight="1" x14ac:dyDescent="0.25">
      <c r="A694" s="22" t="s">
        <v>1821</v>
      </c>
      <c r="B694" s="33" t="str">
        <f>IFERROR(INDEX(Recipes!$B$2:$B$500,MATCH(A694,Recipes!$A$2:$A$500,0)),"")</f>
        <v>Cherry Tomato &amp; Wara Scramble (Strapatsada)</v>
      </c>
      <c r="C694" s="7" t="s">
        <v>456</v>
      </c>
      <c r="D694" s="34">
        <v>1</v>
      </c>
      <c r="E694" s="22" t="s">
        <v>2748</v>
      </c>
      <c r="F694" s="22" t="s">
        <v>455</v>
      </c>
      <c r="G694" s="22" t="s">
        <v>2755</v>
      </c>
      <c r="H694" s="7" t="s">
        <v>2907</v>
      </c>
      <c r="I694" s="35">
        <v>149</v>
      </c>
      <c r="J694" s="30">
        <f>IF(OR($F694="",$I694=""),0,IFERROR(INDEX(Nutrition!$D$2:$D$300,MATCH($F694,Nutrition!$A$2:$A$300,0))*$I694/100,0))</f>
        <v>3.1290000000000004</v>
      </c>
      <c r="K694" s="30">
        <f>IF(OR($F694="",$I694=""),0,IFERROR(INDEX(Nutrition!$E$2:$E$300,MATCH($F694,Nutrition!$A$2:$A$300,0))*$I694/100,0))</f>
        <v>40.527999999999999</v>
      </c>
      <c r="L694" s="30">
        <f>IF(OR($F694="",$I694=""),0,IFERROR(INDEX(Nutrition!$F$2:$F$300,MATCH($F694,Nutrition!$A$2:$A$300,0))*$I694/100,0))</f>
        <v>62.58</v>
      </c>
      <c r="M694" s="30">
        <f>IF(OR($F694="",$I694=""),0,IFERROR(INDEX(Nutrition!$G$2:$G$300,MATCH($F694,Nutrition!$A$2:$A$300,0))*$I694/100,0))</f>
        <v>11.771000000000001</v>
      </c>
      <c r="N694" s="30">
        <f>IF(OR($F694="",$I694=""),0,IFERROR(INDEX(Nutrition!$H$2:$H$300,MATCH($F694,Nutrition!$A$2:$A$300,0))*$I694/100,0))</f>
        <v>22.35</v>
      </c>
      <c r="O694" s="30">
        <f>IF(OR($F694="",$I694=""),0,IFERROR(INDEX(Nutrition!$I$2:$I$300,MATCH($F694,Nutrition!$A$2:$A$300,0))*$I694/100,0))</f>
        <v>387.4</v>
      </c>
      <c r="P694" s="30">
        <f>IF(OR($F694="",$I694=""),0,IFERROR(INDEX(Nutrition!$J$2:$J$300,MATCH($F694,Nutrition!$A$2:$A$300,0))*$I694/100,0))</f>
        <v>0.80460000000000009</v>
      </c>
      <c r="Q694" s="30">
        <f>IF(OR($F694="",$I694=""),0,IFERROR(INDEX(Nutrition!$K$2:$K$300,MATCH($F694,Nutrition!$A$2:$A$300,0))*$I694/100,0))</f>
        <v>0.1192</v>
      </c>
      <c r="R694" s="30">
        <f>IF(OR($F694="",$I694=""),0,IFERROR(INDEX(Nutrition!$L$2:$L$300,MATCH($F694,Nutrition!$A$2:$A$300,0))*$I694/100,0))</f>
        <v>14.9</v>
      </c>
      <c r="S694" s="30">
        <f>IF(OR($F694="",$I694=""),0,IFERROR(INDEX(Nutrition!$M$2:$M$300,MATCH($F694,Nutrition!$A$2:$A$300,0))*$I694/100,0))</f>
        <v>0.44699999999999995</v>
      </c>
    </row>
    <row r="695" spans="1:19" ht="15" customHeight="1" x14ac:dyDescent="0.25">
      <c r="A695" s="22" t="s">
        <v>1821</v>
      </c>
      <c r="B695" s="33" t="str">
        <f>IFERROR(INDEX(Recipes!$B$2:$B$500,MATCH(A695,Recipes!$A$2:$A$500,0)),"")</f>
        <v>Cherry Tomato &amp; Wara Scramble (Strapatsada)</v>
      </c>
      <c r="C695" s="7" t="s">
        <v>446</v>
      </c>
      <c r="D695" s="34">
        <v>1</v>
      </c>
      <c r="E695" s="22" t="s">
        <v>2754</v>
      </c>
      <c r="F695" s="22" t="s">
        <v>445</v>
      </c>
      <c r="G695" s="22" t="s">
        <v>2755</v>
      </c>
      <c r="H695" s="7" t="s">
        <v>2791</v>
      </c>
      <c r="I695" s="35">
        <v>62</v>
      </c>
      <c r="J695" s="30">
        <f>IF(OR($F695="",$I695=""),0,IFERROR(INDEX(Nutrition!$D$2:$D$300,MATCH($F695,Nutrition!$A$2:$A$300,0))*$I695/100,0))</f>
        <v>0.74399999999999988</v>
      </c>
      <c r="K695" s="30">
        <f>IF(OR($F695="",$I695=""),0,IFERROR(INDEX(Nutrition!$E$2:$E$300,MATCH($F695,Nutrition!$A$2:$A$300,0))*$I695/100,0))</f>
        <v>8.4939999999999998</v>
      </c>
      <c r="L695" s="30">
        <f>IF(OR($F695="",$I695=""),0,IFERROR(INDEX(Nutrition!$F$2:$F$300,MATCH($F695,Nutrition!$A$2:$A$300,0))*$I695/100,0))</f>
        <v>26.04</v>
      </c>
      <c r="M695" s="30">
        <f>IF(OR($F695="",$I695=""),0,IFERROR(INDEX(Nutrition!$G$2:$G$300,MATCH($F695,Nutrition!$A$2:$A$300,0))*$I695/100,0))</f>
        <v>4.8979999999999997</v>
      </c>
      <c r="N695" s="30">
        <f>IF(OR($F695="",$I695=""),0,IFERROR(INDEX(Nutrition!$H$2:$H$300,MATCH($F695,Nutrition!$A$2:$A$300,0))*$I695/100,0))</f>
        <v>9.3000000000000007</v>
      </c>
      <c r="O695" s="30">
        <f>IF(OR($F695="",$I695=""),0,IFERROR(INDEX(Nutrition!$I$2:$I$300,MATCH($F695,Nutrition!$A$2:$A$300,0))*$I695/100,0))</f>
        <v>146.94</v>
      </c>
      <c r="P695" s="30">
        <f>IF(OR($F695="",$I695=""),0,IFERROR(INDEX(Nutrition!$J$2:$J$300,MATCH($F695,Nutrition!$A$2:$A$300,0))*$I695/100,0))</f>
        <v>0.33480000000000004</v>
      </c>
      <c r="Q695" s="30">
        <f>IF(OR($F695="",$I695=""),0,IFERROR(INDEX(Nutrition!$K$2:$K$300,MATCH($F695,Nutrition!$A$2:$A$300,0))*$I695/100,0))</f>
        <v>4.9599999999999998E-2</v>
      </c>
      <c r="R695" s="30">
        <f>IF(OR($F695="",$I695=""),0,IFERROR(INDEX(Nutrition!$L$2:$L$300,MATCH($F695,Nutrition!$A$2:$A$300,0))*$I695/100,0))</f>
        <v>6.82</v>
      </c>
      <c r="S695" s="30">
        <f>IF(OR($F695="",$I695=""),0,IFERROR(INDEX(Nutrition!$M$2:$M$300,MATCH($F695,Nutrition!$A$2:$A$300,0))*$I695/100,0))</f>
        <v>0.16740000000000002</v>
      </c>
    </row>
    <row r="696" spans="1:19" ht="15" customHeight="1" x14ac:dyDescent="0.25">
      <c r="A696" s="22" t="s">
        <v>1821</v>
      </c>
      <c r="B696" s="33" t="str">
        <f>IFERROR(INDEX(Recipes!$B$2:$B$500,MATCH(A696,Recipes!$A$2:$A$500,0)),"")</f>
        <v>Cherry Tomato &amp; Wara Scramble (Strapatsada)</v>
      </c>
      <c r="C696" s="7" t="s">
        <v>500</v>
      </c>
      <c r="D696" s="34">
        <v>1</v>
      </c>
      <c r="E696" s="22" t="s">
        <v>2816</v>
      </c>
      <c r="F696" s="22" t="s">
        <v>499</v>
      </c>
      <c r="G696" s="22" t="s">
        <v>2755</v>
      </c>
      <c r="H696" s="7" t="s">
        <v>2896</v>
      </c>
      <c r="I696" s="35">
        <v>3</v>
      </c>
      <c r="J696" s="30">
        <f>IF(OR($F696="",$I696=""),0,IFERROR(INDEX(Nutrition!$D$2:$D$300,MATCH($F696,Nutrition!$A$2:$A$300,0))*$I696/100,0))</f>
        <v>6.3E-2</v>
      </c>
      <c r="K696" s="30">
        <f>IF(OR($F696="",$I696=""),0,IFERROR(INDEX(Nutrition!$E$2:$E$300,MATCH($F696,Nutrition!$A$2:$A$300,0))*$I696/100,0))</f>
        <v>0.93599999999999994</v>
      </c>
      <c r="L696" s="30">
        <f>IF(OR($F696="",$I696=""),0,IFERROR(INDEX(Nutrition!$F$2:$F$300,MATCH($F696,Nutrition!$A$2:$A$300,0))*$I696/100,0))</f>
        <v>0</v>
      </c>
      <c r="M696" s="30">
        <f>IF(OR($F696="",$I696=""),0,IFERROR(INDEX(Nutrition!$G$2:$G$300,MATCH($F696,Nutrition!$A$2:$A$300,0))*$I696/100,0))</f>
        <v>5.0999999999999997E-2</v>
      </c>
      <c r="N696" s="30">
        <f>IF(OR($F696="",$I696=""),0,IFERROR(INDEX(Nutrition!$H$2:$H$300,MATCH($F696,Nutrition!$A$2:$A$300,0))*$I696/100,0))</f>
        <v>0.09</v>
      </c>
      <c r="O696" s="30">
        <f>IF(OR($F696="",$I696=""),0,IFERROR(INDEX(Nutrition!$I$2:$I$300,MATCH($F696,Nutrition!$A$2:$A$300,0))*$I696/100,0))</f>
        <v>12.03</v>
      </c>
      <c r="P696" s="30">
        <f>IF(OR($F696="",$I696=""),0,IFERROR(INDEX(Nutrition!$J$2:$J$300,MATCH($F696,Nutrition!$A$2:$A$300,0))*$I696/100,0))</f>
        <v>2.3999999999999998E-3</v>
      </c>
      <c r="Q696" s="30">
        <f>IF(OR($F696="",$I696=""),0,IFERROR(INDEX(Nutrition!$K$2:$K$300,MATCH($F696,Nutrition!$A$2:$A$300,0))*$I696/100,0))</f>
        <v>3.705E-2</v>
      </c>
      <c r="R696" s="30">
        <f>IF(OR($F696="",$I696=""),0,IFERROR(INDEX(Nutrition!$L$2:$L$300,MATCH($F696,Nutrition!$A$2:$A$300,0))*$I696/100,0))</f>
        <v>0.75</v>
      </c>
      <c r="S696" s="30">
        <f>IF(OR($F696="",$I696=""),0,IFERROR(INDEX(Nutrition!$M$2:$M$300,MATCH($F696,Nutrition!$A$2:$A$300,0))*$I696/100,0))</f>
        <v>5.0999999999999997E-2</v>
      </c>
    </row>
    <row r="697" spans="1:19" ht="15" customHeight="1" x14ac:dyDescent="0.25">
      <c r="A697" s="22" t="s">
        <v>1821</v>
      </c>
      <c r="B697" s="33" t="str">
        <f>IFERROR(INDEX(Recipes!$B$2:$B$500,MATCH(A697,Recipes!$A$2:$A$500,0)),"")</f>
        <v>Cherry Tomato &amp; Wara Scramble (Strapatsada)</v>
      </c>
      <c r="C697" s="7" t="s">
        <v>2908</v>
      </c>
      <c r="D697" s="34">
        <v>1</v>
      </c>
      <c r="E697" s="22" t="s">
        <v>2753</v>
      </c>
      <c r="F697" s="22" t="s">
        <v>651</v>
      </c>
      <c r="G697" s="22" t="s">
        <v>2755</v>
      </c>
      <c r="H697" s="7" t="s">
        <v>2775</v>
      </c>
      <c r="I697" s="35">
        <v>4</v>
      </c>
      <c r="J697" s="30">
        <f>IF(OR($F697="",$I697=""),0,IFERROR(INDEX(Nutrition!$D$2:$D$300,MATCH($F697,Nutrition!$A$2:$A$300,0))*$I697/100,0))</f>
        <v>6.4000000000000001E-2</v>
      </c>
      <c r="K697" s="30">
        <f>IF(OR($F697="",$I697=""),0,IFERROR(INDEX(Nutrition!$E$2:$E$300,MATCH($F697,Nutrition!$A$2:$A$300,0))*$I697/100,0))</f>
        <v>0.96</v>
      </c>
      <c r="L697" s="30">
        <f>IF(OR($F697="",$I697=""),0,IFERROR(INDEX(Nutrition!$F$2:$F$300,MATCH($F697,Nutrition!$A$2:$A$300,0))*$I697/100,0))</f>
        <v>10.56</v>
      </c>
      <c r="M697" s="30">
        <f>IF(OR($F697="",$I697=""),0,IFERROR(INDEX(Nutrition!$G$2:$G$300,MATCH($F697,Nutrition!$A$2:$A$300,0))*$I697/100,0))</f>
        <v>16.591999999999999</v>
      </c>
      <c r="N697" s="30">
        <f>IF(OR($F697="",$I697=""),0,IFERROR(INDEX(Nutrition!$H$2:$H$300,MATCH($F697,Nutrition!$A$2:$A$300,0))*$I697/100,0))</f>
        <v>2.72</v>
      </c>
      <c r="O697" s="30">
        <f>IF(OR($F697="",$I697=""),0,IFERROR(INDEX(Nutrition!$I$2:$I$300,MATCH($F697,Nutrition!$A$2:$A$300,0))*$I697/100,0))</f>
        <v>22.24</v>
      </c>
      <c r="P697" s="30">
        <f>IF(OR($F697="",$I697=""),0,IFERROR(INDEX(Nutrition!$J$2:$J$300,MATCH($F697,Nutrition!$A$2:$A$300,0))*$I697/100,0))</f>
        <v>3.2000000000000001E-2</v>
      </c>
      <c r="Q697" s="30">
        <f>IF(OR($F697="",$I697=""),0,IFERROR(INDEX(Nutrition!$K$2:$K$300,MATCH($F697,Nutrition!$A$2:$A$300,0))*$I697/100,0))</f>
        <v>6.1999999999999998E-3</v>
      </c>
      <c r="R697" s="30">
        <f>IF(OR($F697="",$I697=""),0,IFERROR(INDEX(Nutrition!$L$2:$L$300,MATCH($F697,Nutrition!$A$2:$A$300,0))*$I697/100,0))</f>
        <v>2.56</v>
      </c>
      <c r="S697" s="30">
        <f>IF(OR($F697="",$I697=""),0,IFERROR(INDEX(Nutrition!$M$2:$M$300,MATCH($F697,Nutrition!$A$2:$A$300,0))*$I697/100,0))</f>
        <v>0.128</v>
      </c>
    </row>
    <row r="698" spans="1:19" ht="15" customHeight="1" x14ac:dyDescent="0.25">
      <c r="A698" s="22" t="s">
        <v>1821</v>
      </c>
      <c r="B698" s="33" t="str">
        <f>IFERROR(INDEX(Recipes!$B$2:$B$500,MATCH(A698,Recipes!$A$2:$A$500,0)),"")</f>
        <v>Cherry Tomato &amp; Wara Scramble (Strapatsada)</v>
      </c>
      <c r="C698" s="7" t="s">
        <v>2767</v>
      </c>
      <c r="D698" s="34">
        <v>5</v>
      </c>
      <c r="E698" s="22" t="s">
        <v>2754</v>
      </c>
      <c r="F698" s="22"/>
      <c r="G698" s="22" t="s">
        <v>2768</v>
      </c>
      <c r="H698" s="7"/>
      <c r="I698" s="35"/>
      <c r="J698" s="30">
        <f>IF(OR($F698="",$I698=""),0,IFERROR(INDEX(Nutrition!$D$2:$D$300,MATCH($F698,Nutrition!$A$2:$A$300,0))*$I698/100,0))</f>
        <v>0</v>
      </c>
      <c r="K698" s="30">
        <f>IF(OR($F698="",$I698=""),0,IFERROR(INDEX(Nutrition!$E$2:$E$300,MATCH($F698,Nutrition!$A$2:$A$300,0))*$I698/100,0))</f>
        <v>0</v>
      </c>
      <c r="L698" s="30">
        <f>IF(OR($F698="",$I698=""),0,IFERROR(INDEX(Nutrition!$F$2:$F$300,MATCH($F698,Nutrition!$A$2:$A$300,0))*$I698/100,0))</f>
        <v>0</v>
      </c>
      <c r="M698" s="30">
        <f>IF(OR($F698="",$I698=""),0,IFERROR(INDEX(Nutrition!$G$2:$G$300,MATCH($F698,Nutrition!$A$2:$A$300,0))*$I698/100,0))</f>
        <v>0</v>
      </c>
      <c r="N698" s="30">
        <f>IF(OR($F698="",$I698=""),0,IFERROR(INDEX(Nutrition!$H$2:$H$300,MATCH($F698,Nutrition!$A$2:$A$300,0))*$I698/100,0))</f>
        <v>0</v>
      </c>
      <c r="O698" s="30">
        <f>IF(OR($F698="",$I698=""),0,IFERROR(INDEX(Nutrition!$I$2:$I$300,MATCH($F698,Nutrition!$A$2:$A$300,0))*$I698/100,0))</f>
        <v>0</v>
      </c>
      <c r="P698" s="30">
        <f>IF(OR($F698="",$I698=""),0,IFERROR(INDEX(Nutrition!$J$2:$J$300,MATCH($F698,Nutrition!$A$2:$A$300,0))*$I698/100,0))</f>
        <v>0</v>
      </c>
      <c r="Q698" s="30">
        <f>IF(OR($F698="",$I698=""),0,IFERROR(INDEX(Nutrition!$K$2:$K$300,MATCH($F698,Nutrition!$A$2:$A$300,0))*$I698/100,0))</f>
        <v>0</v>
      </c>
      <c r="R698" s="30">
        <f>IF(OR($F698="",$I698=""),0,IFERROR(INDEX(Nutrition!$L$2:$L$300,MATCH($F698,Nutrition!$A$2:$A$300,0))*$I698/100,0))</f>
        <v>0</v>
      </c>
      <c r="S698" s="30">
        <f>IF(OR($F698="",$I698=""),0,IFERROR(INDEX(Nutrition!$M$2:$M$300,MATCH($F698,Nutrition!$A$2:$A$300,0))*$I698/100,0))</f>
        <v>0</v>
      </c>
    </row>
    <row r="699" spans="1:19" ht="15" customHeight="1" x14ac:dyDescent="0.25">
      <c r="A699" s="22" t="s">
        <v>1821</v>
      </c>
      <c r="B699" s="33" t="str">
        <f>IFERROR(INDEX(Recipes!$B$2:$B$500,MATCH(A699,Recipes!$A$2:$A$500,0)),"")</f>
        <v>Cherry Tomato &amp; Wara Scramble (Strapatsada)</v>
      </c>
      <c r="C699" s="7" t="s">
        <v>2904</v>
      </c>
      <c r="D699" s="34">
        <v>80</v>
      </c>
      <c r="E699" s="22" t="s">
        <v>2813</v>
      </c>
      <c r="F699" s="22"/>
      <c r="G699" s="22" t="s">
        <v>2749</v>
      </c>
      <c r="H699" s="7" t="s">
        <v>2905</v>
      </c>
      <c r="I699" s="35"/>
      <c r="J699" s="30">
        <f>IF(OR($F699="",$I699=""),0,IFERROR(INDEX(Nutrition!$D$2:$D$300,MATCH($F699,Nutrition!$A$2:$A$300,0))*$I699/100,0))</f>
        <v>0</v>
      </c>
      <c r="K699" s="30">
        <f>IF(OR($F699="",$I699=""),0,IFERROR(INDEX(Nutrition!$E$2:$E$300,MATCH($F699,Nutrition!$A$2:$A$300,0))*$I699/100,0))</f>
        <v>0</v>
      </c>
      <c r="L699" s="30">
        <f>IF(OR($F699="",$I699=""),0,IFERROR(INDEX(Nutrition!$F$2:$F$300,MATCH($F699,Nutrition!$A$2:$A$300,0))*$I699/100,0))</f>
        <v>0</v>
      </c>
      <c r="M699" s="30">
        <f>IF(OR($F699="",$I699=""),0,IFERROR(INDEX(Nutrition!$G$2:$G$300,MATCH($F699,Nutrition!$A$2:$A$300,0))*$I699/100,0))</f>
        <v>0</v>
      </c>
      <c r="N699" s="30">
        <f>IF(OR($F699="",$I699=""),0,IFERROR(INDEX(Nutrition!$H$2:$H$300,MATCH($F699,Nutrition!$A$2:$A$300,0))*$I699/100,0))</f>
        <v>0</v>
      </c>
      <c r="O699" s="30">
        <f>IF(OR($F699="",$I699=""),0,IFERROR(INDEX(Nutrition!$I$2:$I$300,MATCH($F699,Nutrition!$A$2:$A$300,0))*$I699/100,0))</f>
        <v>0</v>
      </c>
      <c r="P699" s="30">
        <f>IF(OR($F699="",$I699=""),0,IFERROR(INDEX(Nutrition!$J$2:$J$300,MATCH($F699,Nutrition!$A$2:$A$300,0))*$I699/100,0))</f>
        <v>0</v>
      </c>
      <c r="Q699" s="30">
        <f>IF(OR($F699="",$I699=""),0,IFERROR(INDEX(Nutrition!$K$2:$K$300,MATCH($F699,Nutrition!$A$2:$A$300,0))*$I699/100,0))</f>
        <v>0</v>
      </c>
      <c r="R699" s="30">
        <f>IF(OR($F699="",$I699=""),0,IFERROR(INDEX(Nutrition!$L$2:$L$300,MATCH($F699,Nutrition!$A$2:$A$300,0))*$I699/100,0))</f>
        <v>0</v>
      </c>
      <c r="S699" s="30">
        <f>IF(OR($F699="",$I699=""),0,IFERROR(INDEX(Nutrition!$M$2:$M$300,MATCH($F699,Nutrition!$A$2:$A$300,0))*$I699/100,0))</f>
        <v>0</v>
      </c>
    </row>
    <row r="700" spans="1:19" ht="15" customHeight="1" x14ac:dyDescent="0.25">
      <c r="A700" s="22" t="s">
        <v>1821</v>
      </c>
      <c r="B700" s="33" t="str">
        <f>IFERROR(INDEX(Recipes!$B$2:$B$500,MATCH(A700,Recipes!$A$2:$A$500,0)),"")</f>
        <v>Cherry Tomato &amp; Wara Scramble (Strapatsada)</v>
      </c>
      <c r="C700" s="7" t="s">
        <v>2805</v>
      </c>
      <c r="D700" s="34">
        <v>2</v>
      </c>
      <c r="E700" s="22" t="s">
        <v>2753</v>
      </c>
      <c r="F700" s="22"/>
      <c r="G700" s="22" t="s">
        <v>2773</v>
      </c>
      <c r="H700" s="7"/>
      <c r="I700" s="35"/>
      <c r="J700" s="30">
        <f>IF(OR($F700="",$I700=""),0,IFERROR(INDEX(Nutrition!$D$2:$D$300,MATCH($F700,Nutrition!$A$2:$A$300,0))*$I700/100,0))</f>
        <v>0</v>
      </c>
      <c r="K700" s="30">
        <f>IF(OR($F700="",$I700=""),0,IFERROR(INDEX(Nutrition!$E$2:$E$300,MATCH($F700,Nutrition!$A$2:$A$300,0))*$I700/100,0))</f>
        <v>0</v>
      </c>
      <c r="L700" s="30">
        <f>IF(OR($F700="",$I700=""),0,IFERROR(INDEX(Nutrition!$F$2:$F$300,MATCH($F700,Nutrition!$A$2:$A$300,0))*$I700/100,0))</f>
        <v>0</v>
      </c>
      <c r="M700" s="30">
        <f>IF(OR($F700="",$I700=""),0,IFERROR(INDEX(Nutrition!$G$2:$G$300,MATCH($F700,Nutrition!$A$2:$A$300,0))*$I700/100,0))</f>
        <v>0</v>
      </c>
      <c r="N700" s="30">
        <f>IF(OR($F700="",$I700=""),0,IFERROR(INDEX(Nutrition!$H$2:$H$300,MATCH($F700,Nutrition!$A$2:$A$300,0))*$I700/100,0))</f>
        <v>0</v>
      </c>
      <c r="O700" s="30">
        <f>IF(OR($F700="",$I700=""),0,IFERROR(INDEX(Nutrition!$I$2:$I$300,MATCH($F700,Nutrition!$A$2:$A$300,0))*$I700/100,0))</f>
        <v>0</v>
      </c>
      <c r="P700" s="30">
        <f>IF(OR($F700="",$I700=""),0,IFERROR(INDEX(Nutrition!$J$2:$J$300,MATCH($F700,Nutrition!$A$2:$A$300,0))*$I700/100,0))</f>
        <v>0</v>
      </c>
      <c r="Q700" s="30">
        <f>IF(OR($F700="",$I700=""),0,IFERROR(INDEX(Nutrition!$K$2:$K$300,MATCH($F700,Nutrition!$A$2:$A$300,0))*$I700/100,0))</f>
        <v>0</v>
      </c>
      <c r="R700" s="30">
        <f>IF(OR($F700="",$I700=""),0,IFERROR(INDEX(Nutrition!$L$2:$L$300,MATCH($F700,Nutrition!$A$2:$A$300,0))*$I700/100,0))</f>
        <v>0</v>
      </c>
      <c r="S700" s="30">
        <f>IF(OR($F700="",$I700=""),0,IFERROR(INDEX(Nutrition!$M$2:$M$300,MATCH($F700,Nutrition!$A$2:$A$300,0))*$I700/100,0))</f>
        <v>0</v>
      </c>
    </row>
    <row r="701" spans="1:19" ht="15" customHeight="1" x14ac:dyDescent="0.25">
      <c r="A701" s="22" t="s">
        <v>1821</v>
      </c>
      <c r="B701" s="33" t="str">
        <f>IFERROR(INDEX(Recipes!$B$2:$B$500,MATCH(A701,Recipes!$A$2:$A$500,0)),"")</f>
        <v>Cherry Tomato &amp; Wara Scramble (Strapatsada)</v>
      </c>
      <c r="C701" s="7" t="s">
        <v>2906</v>
      </c>
      <c r="D701" s="34">
        <v>1</v>
      </c>
      <c r="E701" s="22" t="s">
        <v>2782</v>
      </c>
      <c r="F701" s="22"/>
      <c r="G701" s="22" t="s">
        <v>2773</v>
      </c>
      <c r="H701" s="7"/>
      <c r="I701" s="35"/>
      <c r="J701" s="30">
        <f>IF(OR($F701="",$I701=""),0,IFERROR(INDEX(Nutrition!$D$2:$D$300,MATCH($F701,Nutrition!$A$2:$A$300,0))*$I701/100,0))</f>
        <v>0</v>
      </c>
      <c r="K701" s="30">
        <f>IF(OR($F701="",$I701=""),0,IFERROR(INDEX(Nutrition!$E$2:$E$300,MATCH($F701,Nutrition!$A$2:$A$300,0))*$I701/100,0))</f>
        <v>0</v>
      </c>
      <c r="L701" s="30">
        <f>IF(OR($F701="",$I701=""),0,IFERROR(INDEX(Nutrition!$F$2:$F$300,MATCH($F701,Nutrition!$A$2:$A$300,0))*$I701/100,0))</f>
        <v>0</v>
      </c>
      <c r="M701" s="30">
        <f>IF(OR($F701="",$I701=""),0,IFERROR(INDEX(Nutrition!$G$2:$G$300,MATCH($F701,Nutrition!$A$2:$A$300,0))*$I701/100,0))</f>
        <v>0</v>
      </c>
      <c r="N701" s="30">
        <f>IF(OR($F701="",$I701=""),0,IFERROR(INDEX(Nutrition!$H$2:$H$300,MATCH($F701,Nutrition!$A$2:$A$300,0))*$I701/100,0))</f>
        <v>0</v>
      </c>
      <c r="O701" s="30">
        <f>IF(OR($F701="",$I701=""),0,IFERROR(INDEX(Nutrition!$I$2:$I$300,MATCH($F701,Nutrition!$A$2:$A$300,0))*$I701/100,0))</f>
        <v>0</v>
      </c>
      <c r="P701" s="30">
        <f>IF(OR($F701="",$I701=""),0,IFERROR(INDEX(Nutrition!$J$2:$J$300,MATCH($F701,Nutrition!$A$2:$A$300,0))*$I701/100,0))</f>
        <v>0</v>
      </c>
      <c r="Q701" s="30">
        <f>IF(OR($F701="",$I701=""),0,IFERROR(INDEX(Nutrition!$K$2:$K$300,MATCH($F701,Nutrition!$A$2:$A$300,0))*$I701/100,0))</f>
        <v>0</v>
      </c>
      <c r="R701" s="30">
        <f>IF(OR($F701="",$I701=""),0,IFERROR(INDEX(Nutrition!$L$2:$L$300,MATCH($F701,Nutrition!$A$2:$A$300,0))*$I701/100,0))</f>
        <v>0</v>
      </c>
      <c r="S701" s="30">
        <f>IF(OR($F701="",$I701=""),0,IFERROR(INDEX(Nutrition!$M$2:$M$300,MATCH($F701,Nutrition!$A$2:$A$300,0))*$I701/100,0))</f>
        <v>0</v>
      </c>
    </row>
    <row r="702" spans="1:19" ht="15" customHeight="1" x14ac:dyDescent="0.25">
      <c r="A702" s="22" t="s">
        <v>1831</v>
      </c>
      <c r="B702" s="33" t="str">
        <f>IFERROR(INDEX(Recipes!$B$2:$B$500,MATCH(A702,Recipes!$A$2:$A$500,0)),"")</f>
        <v>Persian Tomato Omelette with Turmeric</v>
      </c>
      <c r="C702" s="7" t="s">
        <v>446</v>
      </c>
      <c r="D702" s="34">
        <v>6</v>
      </c>
      <c r="E702" s="22" t="s">
        <v>2754</v>
      </c>
      <c r="F702" s="22" t="s">
        <v>445</v>
      </c>
      <c r="G702" s="22" t="s">
        <v>2755</v>
      </c>
      <c r="H702" s="7" t="s">
        <v>2756</v>
      </c>
      <c r="I702" s="35">
        <v>372</v>
      </c>
      <c r="J702" s="30">
        <f>IF(OR($F702="",$I702=""),0,IFERROR(INDEX(Nutrition!$D$2:$D$300,MATCH($F702,Nutrition!$A$2:$A$300,0))*$I702/100,0))</f>
        <v>4.4639999999999995</v>
      </c>
      <c r="K702" s="30">
        <f>IF(OR($F702="",$I702=""),0,IFERROR(INDEX(Nutrition!$E$2:$E$300,MATCH($F702,Nutrition!$A$2:$A$300,0))*$I702/100,0))</f>
        <v>50.963999999999999</v>
      </c>
      <c r="L702" s="30">
        <f>IF(OR($F702="",$I702=""),0,IFERROR(INDEX(Nutrition!$F$2:$F$300,MATCH($F702,Nutrition!$A$2:$A$300,0))*$I702/100,0))</f>
        <v>156.24</v>
      </c>
      <c r="M702" s="30">
        <f>IF(OR($F702="",$I702=""),0,IFERROR(INDEX(Nutrition!$G$2:$G$300,MATCH($F702,Nutrition!$A$2:$A$300,0))*$I702/100,0))</f>
        <v>29.388000000000002</v>
      </c>
      <c r="N702" s="30">
        <f>IF(OR($F702="",$I702=""),0,IFERROR(INDEX(Nutrition!$H$2:$H$300,MATCH($F702,Nutrition!$A$2:$A$300,0))*$I702/100,0))</f>
        <v>55.8</v>
      </c>
      <c r="O702" s="30">
        <f>IF(OR($F702="",$I702=""),0,IFERROR(INDEX(Nutrition!$I$2:$I$300,MATCH($F702,Nutrition!$A$2:$A$300,0))*$I702/100,0))</f>
        <v>881.64</v>
      </c>
      <c r="P702" s="30">
        <f>IF(OR($F702="",$I702=""),0,IFERROR(INDEX(Nutrition!$J$2:$J$300,MATCH($F702,Nutrition!$A$2:$A$300,0))*$I702/100,0))</f>
        <v>2.0088000000000004</v>
      </c>
      <c r="Q702" s="30">
        <f>IF(OR($F702="",$I702=""),0,IFERROR(INDEX(Nutrition!$K$2:$K$300,MATCH($F702,Nutrition!$A$2:$A$300,0))*$I702/100,0))</f>
        <v>0.29760000000000003</v>
      </c>
      <c r="R702" s="30">
        <f>IF(OR($F702="",$I702=""),0,IFERROR(INDEX(Nutrition!$L$2:$L$300,MATCH($F702,Nutrition!$A$2:$A$300,0))*$I702/100,0))</f>
        <v>40.92</v>
      </c>
      <c r="S702" s="30">
        <f>IF(OR($F702="",$I702=""),0,IFERROR(INDEX(Nutrition!$M$2:$M$300,MATCH($F702,Nutrition!$A$2:$A$300,0))*$I702/100,0))</f>
        <v>1.0044000000000002</v>
      </c>
    </row>
    <row r="703" spans="1:19" ht="15" customHeight="1" x14ac:dyDescent="0.25">
      <c r="A703" s="22" t="s">
        <v>1831</v>
      </c>
      <c r="B703" s="33" t="str">
        <f>IFERROR(INDEX(Recipes!$B$2:$B$500,MATCH(A703,Recipes!$A$2:$A$500,0)),"")</f>
        <v>Persian Tomato Omelette with Turmeric</v>
      </c>
      <c r="C703" s="7" t="s">
        <v>482</v>
      </c>
      <c r="D703" s="34">
        <v>1</v>
      </c>
      <c r="E703" s="22" t="s">
        <v>2754</v>
      </c>
      <c r="F703" s="22" t="s">
        <v>481</v>
      </c>
      <c r="G703" s="22" t="s">
        <v>2755</v>
      </c>
      <c r="H703" s="7" t="s">
        <v>2922</v>
      </c>
      <c r="I703" s="35">
        <v>110</v>
      </c>
      <c r="J703" s="30">
        <f>IF(OR($F703="",$I703=""),0,IFERROR(INDEX(Nutrition!$D$2:$D$300,MATCH($F703,Nutrition!$A$2:$A$300,0))*$I703/100,0))</f>
        <v>1.87</v>
      </c>
      <c r="K703" s="30">
        <f>IF(OR($F703="",$I703=""),0,IFERROR(INDEX(Nutrition!$E$2:$E$300,MATCH($F703,Nutrition!$A$2:$A$300,0))*$I703/100,0))</f>
        <v>8.14</v>
      </c>
      <c r="L703" s="30">
        <f>IF(OR($F703="",$I703=""),0,IFERROR(INDEX(Nutrition!$F$2:$F$300,MATCH($F703,Nutrition!$A$2:$A$300,0))*$I703/100,0))</f>
        <v>0</v>
      </c>
      <c r="M703" s="30">
        <f>IF(OR($F703="",$I703=""),0,IFERROR(INDEX(Nutrition!$G$2:$G$300,MATCH($F703,Nutrition!$A$2:$A$300,0))*$I703/100,0))</f>
        <v>0.44</v>
      </c>
      <c r="N703" s="30">
        <f>IF(OR($F703="",$I703=""),0,IFERROR(INDEX(Nutrition!$H$2:$H$300,MATCH($F703,Nutrition!$A$2:$A$300,0))*$I703/100,0))</f>
        <v>20.9</v>
      </c>
      <c r="O703" s="30">
        <f>IF(OR($F703="",$I703=""),0,IFERROR(INDEX(Nutrition!$I$2:$I$300,MATCH($F703,Nutrition!$A$2:$A$300,0))*$I703/100,0))</f>
        <v>160.6</v>
      </c>
      <c r="P703" s="30">
        <f>IF(OR($F703="",$I703=""),0,IFERROR(INDEX(Nutrition!$J$2:$J$300,MATCH($F703,Nutrition!$A$2:$A$300,0))*$I703/100,0))</f>
        <v>2.2000000000000002E-2</v>
      </c>
      <c r="Q703" s="30">
        <f>IF(OR($F703="",$I703=""),0,IFERROR(INDEX(Nutrition!$K$2:$K$300,MATCH($F703,Nutrition!$A$2:$A$300,0))*$I703/100,0))</f>
        <v>0.13200000000000001</v>
      </c>
      <c r="R703" s="30">
        <f>IF(OR($F703="",$I703=""),0,IFERROR(INDEX(Nutrition!$L$2:$L$300,MATCH($F703,Nutrition!$A$2:$A$300,0))*$I703/100,0))</f>
        <v>11</v>
      </c>
      <c r="S703" s="30">
        <f>IF(OR($F703="",$I703=""),0,IFERROR(INDEX(Nutrition!$M$2:$M$300,MATCH($F703,Nutrition!$A$2:$A$300,0))*$I703/100,0))</f>
        <v>0.23099999999999998</v>
      </c>
    </row>
    <row r="704" spans="1:19" ht="15" customHeight="1" x14ac:dyDescent="0.25">
      <c r="A704" s="22" t="s">
        <v>1831</v>
      </c>
      <c r="B704" s="33" t="str">
        <f>IFERROR(INDEX(Recipes!$B$2:$B$500,MATCH(A704,Recipes!$A$2:$A$500,0)),"")</f>
        <v>Persian Tomato Omelette with Turmeric</v>
      </c>
      <c r="C704" s="7" t="s">
        <v>500</v>
      </c>
      <c r="D704" s="34">
        <v>2</v>
      </c>
      <c r="E704" s="22" t="s">
        <v>2776</v>
      </c>
      <c r="F704" s="22" t="s">
        <v>499</v>
      </c>
      <c r="G704" s="22" t="s">
        <v>2755</v>
      </c>
      <c r="H704" s="7" t="s">
        <v>2896</v>
      </c>
      <c r="I704" s="35">
        <v>6</v>
      </c>
      <c r="J704" s="30">
        <f>IF(OR($F704="",$I704=""),0,IFERROR(INDEX(Nutrition!$D$2:$D$300,MATCH($F704,Nutrition!$A$2:$A$300,0))*$I704/100,0))</f>
        <v>0.126</v>
      </c>
      <c r="K704" s="30">
        <f>IF(OR($F704="",$I704=""),0,IFERROR(INDEX(Nutrition!$E$2:$E$300,MATCH($F704,Nutrition!$A$2:$A$300,0))*$I704/100,0))</f>
        <v>1.8719999999999999</v>
      </c>
      <c r="L704" s="30">
        <f>IF(OR($F704="",$I704=""),0,IFERROR(INDEX(Nutrition!$F$2:$F$300,MATCH($F704,Nutrition!$A$2:$A$300,0))*$I704/100,0))</f>
        <v>0</v>
      </c>
      <c r="M704" s="30">
        <f>IF(OR($F704="",$I704=""),0,IFERROR(INDEX(Nutrition!$G$2:$G$300,MATCH($F704,Nutrition!$A$2:$A$300,0))*$I704/100,0))</f>
        <v>0.10199999999999999</v>
      </c>
      <c r="N704" s="30">
        <f>IF(OR($F704="",$I704=""),0,IFERROR(INDEX(Nutrition!$H$2:$H$300,MATCH($F704,Nutrition!$A$2:$A$300,0))*$I704/100,0))</f>
        <v>0.18</v>
      </c>
      <c r="O704" s="30">
        <f>IF(OR($F704="",$I704=""),0,IFERROR(INDEX(Nutrition!$I$2:$I$300,MATCH($F704,Nutrition!$A$2:$A$300,0))*$I704/100,0))</f>
        <v>24.06</v>
      </c>
      <c r="P704" s="30">
        <f>IF(OR($F704="",$I704=""),0,IFERROR(INDEX(Nutrition!$J$2:$J$300,MATCH($F704,Nutrition!$A$2:$A$300,0))*$I704/100,0))</f>
        <v>4.7999999999999996E-3</v>
      </c>
      <c r="Q704" s="30">
        <f>IF(OR($F704="",$I704=""),0,IFERROR(INDEX(Nutrition!$K$2:$K$300,MATCH($F704,Nutrition!$A$2:$A$300,0))*$I704/100,0))</f>
        <v>7.4099999999999999E-2</v>
      </c>
      <c r="R704" s="30">
        <f>IF(OR($F704="",$I704=""),0,IFERROR(INDEX(Nutrition!$L$2:$L$300,MATCH($F704,Nutrition!$A$2:$A$300,0))*$I704/100,0))</f>
        <v>1.5</v>
      </c>
      <c r="S704" s="30">
        <f>IF(OR($F704="",$I704=""),0,IFERROR(INDEX(Nutrition!$M$2:$M$300,MATCH($F704,Nutrition!$A$2:$A$300,0))*$I704/100,0))</f>
        <v>0.10199999999999999</v>
      </c>
    </row>
    <row r="705" spans="1:19" ht="15" customHeight="1" x14ac:dyDescent="0.25">
      <c r="A705" s="22" t="s">
        <v>1831</v>
      </c>
      <c r="B705" s="33" t="str">
        <f>IFERROR(INDEX(Recipes!$B$2:$B$500,MATCH(A705,Recipes!$A$2:$A$500,0)),"")</f>
        <v>Persian Tomato Omelette with Turmeric</v>
      </c>
      <c r="C705" s="7" t="s">
        <v>516</v>
      </c>
      <c r="D705" s="34">
        <v>1</v>
      </c>
      <c r="E705" s="22" t="s">
        <v>2821</v>
      </c>
      <c r="F705" s="22" t="s">
        <v>515</v>
      </c>
      <c r="G705" s="22" t="s">
        <v>2755</v>
      </c>
      <c r="H705" s="7" t="s">
        <v>2791</v>
      </c>
      <c r="I705" s="35">
        <v>10</v>
      </c>
      <c r="J705" s="30">
        <f>IF(OR($F705="",$I705=""),0,IFERROR(INDEX(Nutrition!$D$2:$D$300,MATCH($F705,Nutrition!$A$2:$A$300,0))*$I705/100,0))</f>
        <v>0.56999999999999995</v>
      </c>
      <c r="K705" s="30">
        <f>IF(OR($F705="",$I705=""),0,IFERROR(INDEX(Nutrition!$E$2:$E$300,MATCH($F705,Nutrition!$A$2:$A$300,0))*$I705/100,0))</f>
        <v>0.3</v>
      </c>
      <c r="L705" s="30">
        <f>IF(OR($F705="",$I705=""),0,IFERROR(INDEX(Nutrition!$F$2:$F$300,MATCH($F705,Nutrition!$A$2:$A$300,0))*$I705/100,0))</f>
        <v>0</v>
      </c>
      <c r="M705" s="30">
        <f>IF(OR($F705="",$I705=""),0,IFERROR(INDEX(Nutrition!$G$2:$G$300,MATCH($F705,Nutrition!$A$2:$A$300,0))*$I705/100,0))</f>
        <v>0.34</v>
      </c>
      <c r="N705" s="30">
        <f>IF(OR($F705="",$I705=""),0,IFERROR(INDEX(Nutrition!$H$2:$H$300,MATCH($F705,Nutrition!$A$2:$A$300,0))*$I705/100,0))</f>
        <v>0.5</v>
      </c>
      <c r="O705" s="30">
        <f>IF(OR($F705="",$I705=""),0,IFERROR(INDEX(Nutrition!$I$2:$I$300,MATCH($F705,Nutrition!$A$2:$A$300,0))*$I705/100,0))</f>
        <v>52</v>
      </c>
      <c r="P705" s="30">
        <f>IF(OR($F705="",$I705=""),0,IFERROR(INDEX(Nutrition!$J$2:$J$300,MATCH($F705,Nutrition!$A$2:$A$300,0))*$I705/100,0))</f>
        <v>0.11</v>
      </c>
      <c r="Q705" s="30">
        <f>IF(OR($F705="",$I705=""),0,IFERROR(INDEX(Nutrition!$K$2:$K$300,MATCH($F705,Nutrition!$A$2:$A$300,0))*$I705/100,0))</f>
        <v>3.0000000000000001E-3</v>
      </c>
      <c r="R705" s="30">
        <f>IF(OR($F705="",$I705=""),0,IFERROR(INDEX(Nutrition!$L$2:$L$300,MATCH($F705,Nutrition!$A$2:$A$300,0))*$I705/100,0))</f>
        <v>5.2</v>
      </c>
      <c r="S705" s="30">
        <f>IF(OR($F705="",$I705=""),0,IFERROR(INDEX(Nutrition!$M$2:$M$300,MATCH($F705,Nutrition!$A$2:$A$300,0))*$I705/100,0))</f>
        <v>1.38</v>
      </c>
    </row>
    <row r="706" spans="1:19" ht="15" customHeight="1" x14ac:dyDescent="0.25">
      <c r="A706" s="22" t="s">
        <v>1831</v>
      </c>
      <c r="B706" s="33" t="str">
        <f>IFERROR(INDEX(Recipes!$B$2:$B$500,MATCH(A706,Recipes!$A$2:$A$500,0)),"")</f>
        <v>Persian Tomato Omelette with Turmeric</v>
      </c>
      <c r="C706" s="7" t="s">
        <v>473</v>
      </c>
      <c r="D706" s="34">
        <v>1</v>
      </c>
      <c r="E706" s="22" t="s">
        <v>2754</v>
      </c>
      <c r="F706" s="22" t="s">
        <v>472</v>
      </c>
      <c r="G706" s="22" t="s">
        <v>2755</v>
      </c>
      <c r="H706" s="7" t="s">
        <v>2923</v>
      </c>
      <c r="I706" s="35">
        <v>10</v>
      </c>
      <c r="J706" s="30">
        <f>IF(OR($F706="",$I706=""),0,IFERROR(INDEX(Nutrition!$D$2:$D$300,MATCH($F706,Nutrition!$A$2:$A$300,0))*$I706/100,0))</f>
        <v>0.15</v>
      </c>
      <c r="K706" s="30">
        <f>IF(OR($F706="",$I706=""),0,IFERROR(INDEX(Nutrition!$E$2:$E$300,MATCH($F706,Nutrition!$A$2:$A$300,0))*$I706/100,0))</f>
        <v>14.37</v>
      </c>
      <c r="L706" s="30">
        <f>IF(OR($F706="",$I706=""),0,IFERROR(INDEX(Nutrition!$F$2:$F$300,MATCH($F706,Nutrition!$A$2:$A$300,0))*$I706/100,0))</f>
        <v>4.8</v>
      </c>
      <c r="M706" s="30">
        <f>IF(OR($F706="",$I706=""),0,IFERROR(INDEX(Nutrition!$G$2:$G$300,MATCH($F706,Nutrition!$A$2:$A$300,0))*$I706/100,0))</f>
        <v>1.4</v>
      </c>
      <c r="N706" s="30">
        <f>IF(OR($F706="",$I706=""),0,IFERROR(INDEX(Nutrition!$H$2:$H$300,MATCH($F706,Nutrition!$A$2:$A$300,0))*$I706/100,0))</f>
        <v>2.2999999999999998</v>
      </c>
      <c r="O706" s="30">
        <f>IF(OR($F706="",$I706=""),0,IFERROR(INDEX(Nutrition!$I$2:$I$300,MATCH($F706,Nutrition!$A$2:$A$300,0))*$I706/100,0))</f>
        <v>32.200000000000003</v>
      </c>
      <c r="P706" s="30">
        <f>IF(OR($F706="",$I706=""),0,IFERROR(INDEX(Nutrition!$J$2:$J$300,MATCH($F706,Nutrition!$A$2:$A$300,0))*$I706/100,0))</f>
        <v>6.8999999999999992E-2</v>
      </c>
      <c r="Q706" s="30">
        <f>IF(OR($F706="",$I706=""),0,IFERROR(INDEX(Nutrition!$K$2:$K$300,MATCH($F706,Nutrition!$A$2:$A$300,0))*$I706/100,0))</f>
        <v>5.0600000000000006E-2</v>
      </c>
      <c r="R706" s="30">
        <f>IF(OR($F706="",$I706=""),0,IFERROR(INDEX(Nutrition!$L$2:$L$300,MATCH($F706,Nutrition!$A$2:$A$300,0))*$I706/100,0))</f>
        <v>2.2999999999999998</v>
      </c>
      <c r="S706" s="30">
        <f>IF(OR($F706="",$I706=""),0,IFERROR(INDEX(Nutrition!$M$2:$M$300,MATCH($F706,Nutrition!$A$2:$A$300,0))*$I706/100,0))</f>
        <v>0.10300000000000001</v>
      </c>
    </row>
    <row r="707" spans="1:19" ht="15" customHeight="1" x14ac:dyDescent="0.25">
      <c r="A707" s="22" t="s">
        <v>1831</v>
      </c>
      <c r="B707" s="33" t="str">
        <f>IFERROR(INDEX(Recipes!$B$2:$B$500,MATCH(A707,Recipes!$A$2:$A$500,0)),"")</f>
        <v>Persian Tomato Omelette with Turmeric</v>
      </c>
      <c r="C707" s="7" t="s">
        <v>2767</v>
      </c>
      <c r="D707" s="34">
        <v>5</v>
      </c>
      <c r="E707" s="22" t="s">
        <v>2754</v>
      </c>
      <c r="F707" s="22"/>
      <c r="G707" s="22" t="s">
        <v>2768</v>
      </c>
      <c r="H707" s="7"/>
      <c r="I707" s="35"/>
      <c r="J707" s="30">
        <f>IF(OR($F707="",$I707=""),0,IFERROR(INDEX(Nutrition!$D$2:$D$300,MATCH($F707,Nutrition!$A$2:$A$300,0))*$I707/100,0))</f>
        <v>0</v>
      </c>
      <c r="K707" s="30">
        <f>IF(OR($F707="",$I707=""),0,IFERROR(INDEX(Nutrition!$E$2:$E$300,MATCH($F707,Nutrition!$A$2:$A$300,0))*$I707/100,0))</f>
        <v>0</v>
      </c>
      <c r="L707" s="30">
        <f>IF(OR($F707="",$I707=""),0,IFERROR(INDEX(Nutrition!$F$2:$F$300,MATCH($F707,Nutrition!$A$2:$A$300,0))*$I707/100,0))</f>
        <v>0</v>
      </c>
      <c r="M707" s="30">
        <f>IF(OR($F707="",$I707=""),0,IFERROR(INDEX(Nutrition!$G$2:$G$300,MATCH($F707,Nutrition!$A$2:$A$300,0))*$I707/100,0))</f>
        <v>0</v>
      </c>
      <c r="N707" s="30">
        <f>IF(OR($F707="",$I707=""),0,IFERROR(INDEX(Nutrition!$H$2:$H$300,MATCH($F707,Nutrition!$A$2:$A$300,0))*$I707/100,0))</f>
        <v>0</v>
      </c>
      <c r="O707" s="30">
        <f>IF(OR($F707="",$I707=""),0,IFERROR(INDEX(Nutrition!$I$2:$I$300,MATCH($F707,Nutrition!$A$2:$A$300,0))*$I707/100,0))</f>
        <v>0</v>
      </c>
      <c r="P707" s="30">
        <f>IF(OR($F707="",$I707=""),0,IFERROR(INDEX(Nutrition!$J$2:$J$300,MATCH($F707,Nutrition!$A$2:$A$300,0))*$I707/100,0))</f>
        <v>0</v>
      </c>
      <c r="Q707" s="30">
        <f>IF(OR($F707="",$I707=""),0,IFERROR(INDEX(Nutrition!$K$2:$K$300,MATCH($F707,Nutrition!$A$2:$A$300,0))*$I707/100,0))</f>
        <v>0</v>
      </c>
      <c r="R707" s="30">
        <f>IF(OR($F707="",$I707=""),0,IFERROR(INDEX(Nutrition!$L$2:$L$300,MATCH($F707,Nutrition!$A$2:$A$300,0))*$I707/100,0))</f>
        <v>0</v>
      </c>
      <c r="S707" s="30">
        <f>IF(OR($F707="",$I707=""),0,IFERROR(INDEX(Nutrition!$M$2:$M$300,MATCH($F707,Nutrition!$A$2:$A$300,0))*$I707/100,0))</f>
        <v>0</v>
      </c>
    </row>
    <row r="708" spans="1:19" ht="15" customHeight="1" x14ac:dyDescent="0.25">
      <c r="A708" s="22" t="s">
        <v>1831</v>
      </c>
      <c r="B708" s="33" t="str">
        <f>IFERROR(INDEX(Recipes!$B$2:$B$500,MATCH(A708,Recipes!$A$2:$A$500,0)),"")</f>
        <v>Persian Tomato Omelette with Turmeric</v>
      </c>
      <c r="C708" s="7" t="s">
        <v>2924</v>
      </c>
      <c r="D708" s="34">
        <v>3</v>
      </c>
      <c r="E708" s="22" t="s">
        <v>2753</v>
      </c>
      <c r="F708" s="22"/>
      <c r="G708" s="22" t="s">
        <v>2773</v>
      </c>
      <c r="H708" s="7"/>
      <c r="I708" s="35"/>
      <c r="J708" s="30">
        <f>IF(OR($F708="",$I708=""),0,IFERROR(INDEX(Nutrition!$D$2:$D$300,MATCH($F708,Nutrition!$A$2:$A$300,0))*$I708/100,0))</f>
        <v>0</v>
      </c>
      <c r="K708" s="30">
        <f>IF(OR($F708="",$I708=""),0,IFERROR(INDEX(Nutrition!$E$2:$E$300,MATCH($F708,Nutrition!$A$2:$A$300,0))*$I708/100,0))</f>
        <v>0</v>
      </c>
      <c r="L708" s="30">
        <f>IF(OR($F708="",$I708=""),0,IFERROR(INDEX(Nutrition!$F$2:$F$300,MATCH($F708,Nutrition!$A$2:$A$300,0))*$I708/100,0))</f>
        <v>0</v>
      </c>
      <c r="M708" s="30">
        <f>IF(OR($F708="",$I708=""),0,IFERROR(INDEX(Nutrition!$G$2:$G$300,MATCH($F708,Nutrition!$A$2:$A$300,0))*$I708/100,0))</f>
        <v>0</v>
      </c>
      <c r="N708" s="30">
        <f>IF(OR($F708="",$I708=""),0,IFERROR(INDEX(Nutrition!$H$2:$H$300,MATCH($F708,Nutrition!$A$2:$A$300,0))*$I708/100,0))</f>
        <v>0</v>
      </c>
      <c r="O708" s="30">
        <f>IF(OR($F708="",$I708=""),0,IFERROR(INDEX(Nutrition!$I$2:$I$300,MATCH($F708,Nutrition!$A$2:$A$300,0))*$I708/100,0))</f>
        <v>0</v>
      </c>
      <c r="P708" s="30">
        <f>IF(OR($F708="",$I708=""),0,IFERROR(INDEX(Nutrition!$J$2:$J$300,MATCH($F708,Nutrition!$A$2:$A$300,0))*$I708/100,0))</f>
        <v>0</v>
      </c>
      <c r="Q708" s="30">
        <f>IF(OR($F708="",$I708=""),0,IFERROR(INDEX(Nutrition!$K$2:$K$300,MATCH($F708,Nutrition!$A$2:$A$300,0))*$I708/100,0))</f>
        <v>0</v>
      </c>
      <c r="R708" s="30">
        <f>IF(OR($F708="",$I708=""),0,IFERROR(INDEX(Nutrition!$L$2:$L$300,MATCH($F708,Nutrition!$A$2:$A$300,0))*$I708/100,0))</f>
        <v>0</v>
      </c>
      <c r="S708" s="30">
        <f>IF(OR($F708="",$I708=""),0,IFERROR(INDEX(Nutrition!$M$2:$M$300,MATCH($F708,Nutrition!$A$2:$A$300,0))*$I708/100,0))</f>
        <v>0</v>
      </c>
    </row>
    <row r="709" spans="1:19" ht="15" customHeight="1" x14ac:dyDescent="0.25">
      <c r="A709" s="22" t="s">
        <v>1831</v>
      </c>
      <c r="B709" s="33" t="str">
        <f>IFERROR(INDEX(Recipes!$B$2:$B$500,MATCH(A709,Recipes!$A$2:$A$500,0)),"")</f>
        <v>Persian Tomato Omelette with Turmeric</v>
      </c>
      <c r="C709" s="7" t="s">
        <v>2906</v>
      </c>
      <c r="D709" s="34">
        <v>1</v>
      </c>
      <c r="E709" s="22" t="s">
        <v>2782</v>
      </c>
      <c r="F709" s="22"/>
      <c r="G709" s="22" t="s">
        <v>2773</v>
      </c>
      <c r="H709" s="7"/>
      <c r="I709" s="35"/>
      <c r="J709" s="30">
        <f>IF(OR($F709="",$I709=""),0,IFERROR(INDEX(Nutrition!$D$2:$D$300,MATCH($F709,Nutrition!$A$2:$A$300,0))*$I709/100,0))</f>
        <v>0</v>
      </c>
      <c r="K709" s="30">
        <f>IF(OR($F709="",$I709=""),0,IFERROR(INDEX(Nutrition!$E$2:$E$300,MATCH($F709,Nutrition!$A$2:$A$300,0))*$I709/100,0))</f>
        <v>0</v>
      </c>
      <c r="L709" s="30">
        <f>IF(OR($F709="",$I709=""),0,IFERROR(INDEX(Nutrition!$F$2:$F$300,MATCH($F709,Nutrition!$A$2:$A$300,0))*$I709/100,0))</f>
        <v>0</v>
      </c>
      <c r="M709" s="30">
        <f>IF(OR($F709="",$I709=""),0,IFERROR(INDEX(Nutrition!$G$2:$G$300,MATCH($F709,Nutrition!$A$2:$A$300,0))*$I709/100,0))</f>
        <v>0</v>
      </c>
      <c r="N709" s="30">
        <f>IF(OR($F709="",$I709=""),0,IFERROR(INDEX(Nutrition!$H$2:$H$300,MATCH($F709,Nutrition!$A$2:$A$300,0))*$I709/100,0))</f>
        <v>0</v>
      </c>
      <c r="O709" s="30">
        <f>IF(OR($F709="",$I709=""),0,IFERROR(INDEX(Nutrition!$I$2:$I$300,MATCH($F709,Nutrition!$A$2:$A$300,0))*$I709/100,0))</f>
        <v>0</v>
      </c>
      <c r="P709" s="30">
        <f>IF(OR($F709="",$I709=""),0,IFERROR(INDEX(Nutrition!$J$2:$J$300,MATCH($F709,Nutrition!$A$2:$A$300,0))*$I709/100,0))</f>
        <v>0</v>
      </c>
      <c r="Q709" s="30">
        <f>IF(OR($F709="",$I709=""),0,IFERROR(INDEX(Nutrition!$K$2:$K$300,MATCH($F709,Nutrition!$A$2:$A$300,0))*$I709/100,0))</f>
        <v>0</v>
      </c>
      <c r="R709" s="30">
        <f>IF(OR($F709="",$I709=""),0,IFERROR(INDEX(Nutrition!$L$2:$L$300,MATCH($F709,Nutrition!$A$2:$A$300,0))*$I709/100,0))</f>
        <v>0</v>
      </c>
      <c r="S709" s="30">
        <f>IF(OR($F709="",$I709=""),0,IFERROR(INDEX(Nutrition!$M$2:$M$300,MATCH($F709,Nutrition!$A$2:$A$300,0))*$I709/100,0))</f>
        <v>0</v>
      </c>
    </row>
    <row r="710" spans="1:19" ht="15" customHeight="1" x14ac:dyDescent="0.25">
      <c r="A710" s="22" t="s">
        <v>1843</v>
      </c>
      <c r="B710" s="33" t="str">
        <f>IFERROR(INDEX(Recipes!$B$2:$B$500,MATCH(A710,Recipes!$A$2:$A$500,0)),"")</f>
        <v>Broccoli &amp; Spring Onion Frittata</v>
      </c>
      <c r="C710" s="7" t="s">
        <v>576</v>
      </c>
      <c r="D710" s="34">
        <v>2</v>
      </c>
      <c r="E710" s="22" t="s">
        <v>2790</v>
      </c>
      <c r="F710" s="22" t="s">
        <v>575</v>
      </c>
      <c r="G710" s="22" t="s">
        <v>2755</v>
      </c>
      <c r="H710" s="7" t="s">
        <v>2925</v>
      </c>
      <c r="I710" s="35">
        <v>182</v>
      </c>
      <c r="J710" s="30">
        <f>IF(OR($F710="",$I710=""),0,IFERROR(INDEX(Nutrition!$D$2:$D$300,MATCH($F710,Nutrition!$A$2:$A$300,0))*$I710/100,0))</f>
        <v>4.7320000000000002</v>
      </c>
      <c r="K710" s="30">
        <f>IF(OR($F710="",$I710=""),0,IFERROR(INDEX(Nutrition!$E$2:$E$300,MATCH($F710,Nutrition!$A$2:$A$300,0))*$I710/100,0))</f>
        <v>162.34399999999999</v>
      </c>
      <c r="L710" s="30">
        <f>IF(OR($F710="",$I710=""),0,IFERROR(INDEX(Nutrition!$F$2:$F$300,MATCH($F710,Nutrition!$A$2:$A$300,0))*$I710/100,0))</f>
        <v>56.42</v>
      </c>
      <c r="M710" s="30">
        <f>IF(OR($F710="",$I710=""),0,IFERROR(INDEX(Nutrition!$G$2:$G$300,MATCH($F710,Nutrition!$A$2:$A$300,0))*$I710/100,0))</f>
        <v>184.91200000000001</v>
      </c>
      <c r="N710" s="30">
        <f>IF(OR($F710="",$I710=""),0,IFERROR(INDEX(Nutrition!$H$2:$H$300,MATCH($F710,Nutrition!$A$2:$A$300,0))*$I710/100,0))</f>
        <v>114.66</v>
      </c>
      <c r="O710" s="30">
        <f>IF(OR($F710="",$I710=""),0,IFERROR(INDEX(Nutrition!$I$2:$I$300,MATCH($F710,Nutrition!$A$2:$A$300,0))*$I710/100,0))</f>
        <v>575.12</v>
      </c>
      <c r="P710" s="30">
        <f>IF(OR($F710="",$I710=""),0,IFERROR(INDEX(Nutrition!$J$2:$J$300,MATCH($F710,Nutrition!$A$2:$A$300,0))*$I710/100,0))</f>
        <v>1.4196</v>
      </c>
      <c r="Q710" s="30">
        <f>IF(OR($F710="",$I710=""),0,IFERROR(INDEX(Nutrition!$K$2:$K$300,MATCH($F710,Nutrition!$A$2:$A$300,0))*$I710/100,0))</f>
        <v>0.31850000000000001</v>
      </c>
      <c r="R710" s="30">
        <f>IF(OR($F710="",$I710=""),0,IFERROR(INDEX(Nutrition!$L$2:$L$300,MATCH($F710,Nutrition!$A$2:$A$300,0))*$I710/100,0))</f>
        <v>38.22</v>
      </c>
      <c r="S710" s="30">
        <f>IF(OR($F710="",$I710=""),0,IFERROR(INDEX(Nutrition!$M$2:$M$300,MATCH($F710,Nutrition!$A$2:$A$300,0))*$I710/100,0))</f>
        <v>1.3285999999999998</v>
      </c>
    </row>
    <row r="711" spans="1:19" ht="15" customHeight="1" x14ac:dyDescent="0.25">
      <c r="A711" s="22" t="s">
        <v>1843</v>
      </c>
      <c r="B711" s="33" t="str">
        <f>IFERROR(INDEX(Recipes!$B$2:$B$500,MATCH(A711,Recipes!$A$2:$A$500,0)),"")</f>
        <v>Broccoli &amp; Spring Onion Frittata</v>
      </c>
      <c r="C711" s="7" t="s">
        <v>490</v>
      </c>
      <c r="D711" s="34">
        <v>6</v>
      </c>
      <c r="E711" s="22" t="s">
        <v>2820</v>
      </c>
      <c r="F711" s="22" t="s">
        <v>489</v>
      </c>
      <c r="G711" s="22" t="s">
        <v>2755</v>
      </c>
      <c r="H711" s="7" t="s">
        <v>2830</v>
      </c>
      <c r="I711" s="35">
        <v>90</v>
      </c>
      <c r="J711" s="30">
        <f>IF(OR($F711="",$I711=""),0,IFERROR(INDEX(Nutrition!$D$2:$D$300,MATCH($F711,Nutrition!$A$2:$A$300,0))*$I711/100,0))</f>
        <v>2.34</v>
      </c>
      <c r="K711" s="30">
        <f>IF(OR($F711="",$I711=""),0,IFERROR(INDEX(Nutrition!$E$2:$E$300,MATCH($F711,Nutrition!$A$2:$A$300,0))*$I711/100,0))</f>
        <v>16.920000000000002</v>
      </c>
      <c r="L711" s="30">
        <f>IF(OR($F711="",$I711=""),0,IFERROR(INDEX(Nutrition!$F$2:$F$300,MATCH($F711,Nutrition!$A$2:$A$300,0))*$I711/100,0))</f>
        <v>45</v>
      </c>
      <c r="M711" s="30">
        <f>IF(OR($F711="",$I711=""),0,IFERROR(INDEX(Nutrition!$G$2:$G$300,MATCH($F711,Nutrition!$A$2:$A$300,0))*$I711/100,0))</f>
        <v>186.3</v>
      </c>
      <c r="N711" s="30">
        <f>IF(OR($F711="",$I711=""),0,IFERROR(INDEX(Nutrition!$H$2:$H$300,MATCH($F711,Nutrition!$A$2:$A$300,0))*$I711/100,0))</f>
        <v>57.6</v>
      </c>
      <c r="O711" s="30">
        <f>IF(OR($F711="",$I711=""),0,IFERROR(INDEX(Nutrition!$I$2:$I$300,MATCH($F711,Nutrition!$A$2:$A$300,0))*$I711/100,0))</f>
        <v>248.4</v>
      </c>
      <c r="P711" s="30">
        <f>IF(OR($F711="",$I711=""),0,IFERROR(INDEX(Nutrition!$J$2:$J$300,MATCH($F711,Nutrition!$A$2:$A$300,0))*$I711/100,0))</f>
        <v>0.49500000000000005</v>
      </c>
      <c r="Q711" s="30">
        <f>IF(OR($F711="",$I711=""),0,IFERROR(INDEX(Nutrition!$K$2:$K$300,MATCH($F711,Nutrition!$A$2:$A$300,0))*$I711/100,0))</f>
        <v>5.4900000000000004E-2</v>
      </c>
      <c r="R711" s="30">
        <f>IF(OR($F711="",$I711=""),0,IFERROR(INDEX(Nutrition!$L$2:$L$300,MATCH($F711,Nutrition!$A$2:$A$300,0))*$I711/100,0))</f>
        <v>18</v>
      </c>
      <c r="S711" s="30">
        <f>IF(OR($F711="",$I711=""),0,IFERROR(INDEX(Nutrition!$M$2:$M$300,MATCH($F711,Nutrition!$A$2:$A$300,0))*$I711/100,0))</f>
        <v>1.3319999999999999</v>
      </c>
    </row>
    <row r="712" spans="1:19" ht="15" customHeight="1" x14ac:dyDescent="0.25">
      <c r="A712" s="22" t="s">
        <v>1843</v>
      </c>
      <c r="B712" s="33" t="str">
        <f>IFERROR(INDEX(Recipes!$B$2:$B$500,MATCH(A712,Recipes!$A$2:$A$500,0)),"")</f>
        <v>Broccoli &amp; Spring Onion Frittata</v>
      </c>
      <c r="C712" s="7" t="s">
        <v>500</v>
      </c>
      <c r="D712" s="34">
        <v>2</v>
      </c>
      <c r="E712" s="22" t="s">
        <v>2776</v>
      </c>
      <c r="F712" s="22" t="s">
        <v>499</v>
      </c>
      <c r="G712" s="22" t="s">
        <v>2755</v>
      </c>
      <c r="H712" s="7" t="s">
        <v>2896</v>
      </c>
      <c r="I712" s="35">
        <v>6</v>
      </c>
      <c r="J712" s="30">
        <f>IF(OR($F712="",$I712=""),0,IFERROR(INDEX(Nutrition!$D$2:$D$300,MATCH($F712,Nutrition!$A$2:$A$300,0))*$I712/100,0))</f>
        <v>0.126</v>
      </c>
      <c r="K712" s="30">
        <f>IF(OR($F712="",$I712=""),0,IFERROR(INDEX(Nutrition!$E$2:$E$300,MATCH($F712,Nutrition!$A$2:$A$300,0))*$I712/100,0))</f>
        <v>1.8719999999999999</v>
      </c>
      <c r="L712" s="30">
        <f>IF(OR($F712="",$I712=""),0,IFERROR(INDEX(Nutrition!$F$2:$F$300,MATCH($F712,Nutrition!$A$2:$A$300,0))*$I712/100,0))</f>
        <v>0</v>
      </c>
      <c r="M712" s="30">
        <f>IF(OR($F712="",$I712=""),0,IFERROR(INDEX(Nutrition!$G$2:$G$300,MATCH($F712,Nutrition!$A$2:$A$300,0))*$I712/100,0))</f>
        <v>0.10199999999999999</v>
      </c>
      <c r="N712" s="30">
        <f>IF(OR($F712="",$I712=""),0,IFERROR(INDEX(Nutrition!$H$2:$H$300,MATCH($F712,Nutrition!$A$2:$A$300,0))*$I712/100,0))</f>
        <v>0.18</v>
      </c>
      <c r="O712" s="30">
        <f>IF(OR($F712="",$I712=""),0,IFERROR(INDEX(Nutrition!$I$2:$I$300,MATCH($F712,Nutrition!$A$2:$A$300,0))*$I712/100,0))</f>
        <v>24.06</v>
      </c>
      <c r="P712" s="30">
        <f>IF(OR($F712="",$I712=""),0,IFERROR(INDEX(Nutrition!$J$2:$J$300,MATCH($F712,Nutrition!$A$2:$A$300,0))*$I712/100,0))</f>
        <v>4.7999999999999996E-3</v>
      </c>
      <c r="Q712" s="30">
        <f>IF(OR($F712="",$I712=""),0,IFERROR(INDEX(Nutrition!$K$2:$K$300,MATCH($F712,Nutrition!$A$2:$A$300,0))*$I712/100,0))</f>
        <v>7.4099999999999999E-2</v>
      </c>
      <c r="R712" s="30">
        <f>IF(OR($F712="",$I712=""),0,IFERROR(INDEX(Nutrition!$L$2:$L$300,MATCH($F712,Nutrition!$A$2:$A$300,0))*$I712/100,0))</f>
        <v>1.5</v>
      </c>
      <c r="S712" s="30">
        <f>IF(OR($F712="",$I712=""),0,IFERROR(INDEX(Nutrition!$M$2:$M$300,MATCH($F712,Nutrition!$A$2:$A$300,0))*$I712/100,0))</f>
        <v>0.10199999999999999</v>
      </c>
    </row>
    <row r="713" spans="1:19" ht="15" customHeight="1" x14ac:dyDescent="0.25">
      <c r="A713" s="22" t="s">
        <v>1843</v>
      </c>
      <c r="B713" s="33" t="str">
        <f>IFERROR(INDEX(Recipes!$B$2:$B$500,MATCH(A713,Recipes!$A$2:$A$500,0)),"")</f>
        <v>Broccoli &amp; Spring Onion Frittata</v>
      </c>
      <c r="C713" s="7" t="s">
        <v>2767</v>
      </c>
      <c r="D713" s="34">
        <v>6</v>
      </c>
      <c r="E713" s="22" t="s">
        <v>2754</v>
      </c>
      <c r="F713" s="22"/>
      <c r="G713" s="22" t="s">
        <v>2768</v>
      </c>
      <c r="H713" s="7"/>
      <c r="I713" s="35"/>
      <c r="J713" s="30">
        <f>IF(OR($F713="",$I713=""),0,IFERROR(INDEX(Nutrition!$D$2:$D$300,MATCH($F713,Nutrition!$A$2:$A$300,0))*$I713/100,0))</f>
        <v>0</v>
      </c>
      <c r="K713" s="30">
        <f>IF(OR($F713="",$I713=""),0,IFERROR(INDEX(Nutrition!$E$2:$E$300,MATCH($F713,Nutrition!$A$2:$A$300,0))*$I713/100,0))</f>
        <v>0</v>
      </c>
      <c r="L713" s="30">
        <f>IF(OR($F713="",$I713=""),0,IFERROR(INDEX(Nutrition!$F$2:$F$300,MATCH($F713,Nutrition!$A$2:$A$300,0))*$I713/100,0))</f>
        <v>0</v>
      </c>
      <c r="M713" s="30">
        <f>IF(OR($F713="",$I713=""),0,IFERROR(INDEX(Nutrition!$G$2:$G$300,MATCH($F713,Nutrition!$A$2:$A$300,0))*$I713/100,0))</f>
        <v>0</v>
      </c>
      <c r="N713" s="30">
        <f>IF(OR($F713="",$I713=""),0,IFERROR(INDEX(Nutrition!$H$2:$H$300,MATCH($F713,Nutrition!$A$2:$A$300,0))*$I713/100,0))</f>
        <v>0</v>
      </c>
      <c r="O713" s="30">
        <f>IF(OR($F713="",$I713=""),0,IFERROR(INDEX(Nutrition!$I$2:$I$300,MATCH($F713,Nutrition!$A$2:$A$300,0))*$I713/100,0))</f>
        <v>0</v>
      </c>
      <c r="P713" s="30">
        <f>IF(OR($F713="",$I713=""),0,IFERROR(INDEX(Nutrition!$J$2:$J$300,MATCH($F713,Nutrition!$A$2:$A$300,0))*$I713/100,0))</f>
        <v>0</v>
      </c>
      <c r="Q713" s="30">
        <f>IF(OR($F713="",$I713=""),0,IFERROR(INDEX(Nutrition!$K$2:$K$300,MATCH($F713,Nutrition!$A$2:$A$300,0))*$I713/100,0))</f>
        <v>0</v>
      </c>
      <c r="R713" s="30">
        <f>IF(OR($F713="",$I713=""),0,IFERROR(INDEX(Nutrition!$L$2:$L$300,MATCH($F713,Nutrition!$A$2:$A$300,0))*$I713/100,0))</f>
        <v>0</v>
      </c>
      <c r="S713" s="30">
        <f>IF(OR($F713="",$I713=""),0,IFERROR(INDEX(Nutrition!$M$2:$M$300,MATCH($F713,Nutrition!$A$2:$A$300,0))*$I713/100,0))</f>
        <v>0</v>
      </c>
    </row>
    <row r="714" spans="1:19" ht="15" customHeight="1" x14ac:dyDescent="0.25">
      <c r="A714" s="22" t="s">
        <v>1843</v>
      </c>
      <c r="B714" s="33" t="str">
        <f>IFERROR(INDEX(Recipes!$B$2:$B$500,MATCH(A714,Recipes!$A$2:$A$500,0)),"")</f>
        <v>Broccoli &amp; Spring Onion Frittata</v>
      </c>
      <c r="C714" s="7" t="s">
        <v>2926</v>
      </c>
      <c r="D714" s="34">
        <v>0.25</v>
      </c>
      <c r="E714" s="22" t="s">
        <v>2748</v>
      </c>
      <c r="F714" s="22"/>
      <c r="G714" s="22" t="s">
        <v>2749</v>
      </c>
      <c r="H714" s="7"/>
      <c r="I714" s="35"/>
      <c r="J714" s="30">
        <f>IF(OR($F714="",$I714=""),0,IFERROR(INDEX(Nutrition!$D$2:$D$300,MATCH($F714,Nutrition!$A$2:$A$300,0))*$I714/100,0))</f>
        <v>0</v>
      </c>
      <c r="K714" s="30">
        <f>IF(OR($F714="",$I714=""),0,IFERROR(INDEX(Nutrition!$E$2:$E$300,MATCH($F714,Nutrition!$A$2:$A$300,0))*$I714/100,0))</f>
        <v>0</v>
      </c>
      <c r="L714" s="30">
        <f>IF(OR($F714="",$I714=""),0,IFERROR(INDEX(Nutrition!$F$2:$F$300,MATCH($F714,Nutrition!$A$2:$A$300,0))*$I714/100,0))</f>
        <v>0</v>
      </c>
      <c r="M714" s="30">
        <f>IF(OR($F714="",$I714=""),0,IFERROR(INDEX(Nutrition!$G$2:$G$300,MATCH($F714,Nutrition!$A$2:$A$300,0))*$I714/100,0))</f>
        <v>0</v>
      </c>
      <c r="N714" s="30">
        <f>IF(OR($F714="",$I714=""),0,IFERROR(INDEX(Nutrition!$H$2:$H$300,MATCH($F714,Nutrition!$A$2:$A$300,0))*$I714/100,0))</f>
        <v>0</v>
      </c>
      <c r="O714" s="30">
        <f>IF(OR($F714="",$I714=""),0,IFERROR(INDEX(Nutrition!$I$2:$I$300,MATCH($F714,Nutrition!$A$2:$A$300,0))*$I714/100,0))</f>
        <v>0</v>
      </c>
      <c r="P714" s="30">
        <f>IF(OR($F714="",$I714=""),0,IFERROR(INDEX(Nutrition!$J$2:$J$300,MATCH($F714,Nutrition!$A$2:$A$300,0))*$I714/100,0))</f>
        <v>0</v>
      </c>
      <c r="Q714" s="30">
        <f>IF(OR($F714="",$I714=""),0,IFERROR(INDEX(Nutrition!$K$2:$K$300,MATCH($F714,Nutrition!$A$2:$A$300,0))*$I714/100,0))</f>
        <v>0</v>
      </c>
      <c r="R714" s="30">
        <f>IF(OR($F714="",$I714=""),0,IFERROR(INDEX(Nutrition!$L$2:$L$300,MATCH($F714,Nutrition!$A$2:$A$300,0))*$I714/100,0))</f>
        <v>0</v>
      </c>
      <c r="S714" s="30">
        <f>IF(OR($F714="",$I714=""),0,IFERROR(INDEX(Nutrition!$M$2:$M$300,MATCH($F714,Nutrition!$A$2:$A$300,0))*$I714/100,0))</f>
        <v>0</v>
      </c>
    </row>
    <row r="715" spans="1:19" ht="15" customHeight="1" x14ac:dyDescent="0.25">
      <c r="A715" s="22" t="s">
        <v>1843</v>
      </c>
      <c r="B715" s="33" t="str">
        <f>IFERROR(INDEX(Recipes!$B$2:$B$500,MATCH(A715,Recipes!$A$2:$A$500,0)),"")</f>
        <v>Broccoli &amp; Spring Onion Frittata</v>
      </c>
      <c r="C715" s="7" t="s">
        <v>2927</v>
      </c>
      <c r="D715" s="34">
        <v>40</v>
      </c>
      <c r="E715" s="22" t="s">
        <v>2813</v>
      </c>
      <c r="F715" s="22"/>
      <c r="G715" s="22" t="s">
        <v>2749</v>
      </c>
      <c r="H715" s="7" t="s">
        <v>2760</v>
      </c>
      <c r="I715" s="35"/>
      <c r="J715" s="30">
        <f>IF(OR($F715="",$I715=""),0,IFERROR(INDEX(Nutrition!$D$2:$D$300,MATCH($F715,Nutrition!$A$2:$A$300,0))*$I715/100,0))</f>
        <v>0</v>
      </c>
      <c r="K715" s="30">
        <f>IF(OR($F715="",$I715=""),0,IFERROR(INDEX(Nutrition!$E$2:$E$300,MATCH($F715,Nutrition!$A$2:$A$300,0))*$I715/100,0))</f>
        <v>0</v>
      </c>
      <c r="L715" s="30">
        <f>IF(OR($F715="",$I715=""),0,IFERROR(INDEX(Nutrition!$F$2:$F$300,MATCH($F715,Nutrition!$A$2:$A$300,0))*$I715/100,0))</f>
        <v>0</v>
      </c>
      <c r="M715" s="30">
        <f>IF(OR($F715="",$I715=""),0,IFERROR(INDEX(Nutrition!$G$2:$G$300,MATCH($F715,Nutrition!$A$2:$A$300,0))*$I715/100,0))</f>
        <v>0</v>
      </c>
      <c r="N715" s="30">
        <f>IF(OR($F715="",$I715=""),0,IFERROR(INDEX(Nutrition!$H$2:$H$300,MATCH($F715,Nutrition!$A$2:$A$300,0))*$I715/100,0))</f>
        <v>0</v>
      </c>
      <c r="O715" s="30">
        <f>IF(OR($F715="",$I715=""),0,IFERROR(INDEX(Nutrition!$I$2:$I$300,MATCH($F715,Nutrition!$A$2:$A$300,0))*$I715/100,0))</f>
        <v>0</v>
      </c>
      <c r="P715" s="30">
        <f>IF(OR($F715="",$I715=""),0,IFERROR(INDEX(Nutrition!$J$2:$J$300,MATCH($F715,Nutrition!$A$2:$A$300,0))*$I715/100,0))</f>
        <v>0</v>
      </c>
      <c r="Q715" s="30">
        <f>IF(OR($F715="",$I715=""),0,IFERROR(INDEX(Nutrition!$K$2:$K$300,MATCH($F715,Nutrition!$A$2:$A$300,0))*$I715/100,0))</f>
        <v>0</v>
      </c>
      <c r="R715" s="30">
        <f>IF(OR($F715="",$I715=""),0,IFERROR(INDEX(Nutrition!$L$2:$L$300,MATCH($F715,Nutrition!$A$2:$A$300,0))*$I715/100,0))</f>
        <v>0</v>
      </c>
      <c r="S715" s="30">
        <f>IF(OR($F715="",$I715=""),0,IFERROR(INDEX(Nutrition!$M$2:$M$300,MATCH($F715,Nutrition!$A$2:$A$300,0))*$I715/100,0))</f>
        <v>0</v>
      </c>
    </row>
    <row r="716" spans="1:19" ht="15" customHeight="1" x14ac:dyDescent="0.25">
      <c r="A716" s="22" t="s">
        <v>1843</v>
      </c>
      <c r="B716" s="33" t="str">
        <f>IFERROR(INDEX(Recipes!$B$2:$B$500,MATCH(A716,Recipes!$A$2:$A$500,0)),"")</f>
        <v>Broccoli &amp; Spring Onion Frittata</v>
      </c>
      <c r="C716" s="7" t="s">
        <v>2805</v>
      </c>
      <c r="D716" s="34">
        <v>1</v>
      </c>
      <c r="E716" s="22" t="s">
        <v>2753</v>
      </c>
      <c r="F716" s="22"/>
      <c r="G716" s="22" t="s">
        <v>2773</v>
      </c>
      <c r="H716" s="7"/>
      <c r="I716" s="35"/>
      <c r="J716" s="30">
        <f>IF(OR($F716="",$I716=""),0,IFERROR(INDEX(Nutrition!$D$2:$D$300,MATCH($F716,Nutrition!$A$2:$A$300,0))*$I716/100,0))</f>
        <v>0</v>
      </c>
      <c r="K716" s="30">
        <f>IF(OR($F716="",$I716=""),0,IFERROR(INDEX(Nutrition!$E$2:$E$300,MATCH($F716,Nutrition!$A$2:$A$300,0))*$I716/100,0))</f>
        <v>0</v>
      </c>
      <c r="L716" s="30">
        <f>IF(OR($F716="",$I716=""),0,IFERROR(INDEX(Nutrition!$F$2:$F$300,MATCH($F716,Nutrition!$A$2:$A$300,0))*$I716/100,0))</f>
        <v>0</v>
      </c>
      <c r="M716" s="30">
        <f>IF(OR($F716="",$I716=""),0,IFERROR(INDEX(Nutrition!$G$2:$G$300,MATCH($F716,Nutrition!$A$2:$A$300,0))*$I716/100,0))</f>
        <v>0</v>
      </c>
      <c r="N716" s="30">
        <f>IF(OR($F716="",$I716=""),0,IFERROR(INDEX(Nutrition!$H$2:$H$300,MATCH($F716,Nutrition!$A$2:$A$300,0))*$I716/100,0))</f>
        <v>0</v>
      </c>
      <c r="O716" s="30">
        <f>IF(OR($F716="",$I716=""),0,IFERROR(INDEX(Nutrition!$I$2:$I$300,MATCH($F716,Nutrition!$A$2:$A$300,0))*$I716/100,0))</f>
        <v>0</v>
      </c>
      <c r="P716" s="30">
        <f>IF(OR($F716="",$I716=""),0,IFERROR(INDEX(Nutrition!$J$2:$J$300,MATCH($F716,Nutrition!$A$2:$A$300,0))*$I716/100,0))</f>
        <v>0</v>
      </c>
      <c r="Q716" s="30">
        <f>IF(OR($F716="",$I716=""),0,IFERROR(INDEX(Nutrition!$K$2:$K$300,MATCH($F716,Nutrition!$A$2:$A$300,0))*$I716/100,0))</f>
        <v>0</v>
      </c>
      <c r="R716" s="30">
        <f>IF(OR($F716="",$I716=""),0,IFERROR(INDEX(Nutrition!$L$2:$L$300,MATCH($F716,Nutrition!$A$2:$A$300,0))*$I716/100,0))</f>
        <v>0</v>
      </c>
      <c r="S716" s="30">
        <f>IF(OR($F716="",$I716=""),0,IFERROR(INDEX(Nutrition!$M$2:$M$300,MATCH($F716,Nutrition!$A$2:$A$300,0))*$I716/100,0))</f>
        <v>0</v>
      </c>
    </row>
    <row r="717" spans="1:19" ht="15" customHeight="1" x14ac:dyDescent="0.25">
      <c r="A717" s="22" t="s">
        <v>1843</v>
      </c>
      <c r="B717" s="33" t="str">
        <f>IFERROR(INDEX(Recipes!$B$2:$B$500,MATCH(A717,Recipes!$A$2:$A$500,0)),"")</f>
        <v>Broccoli &amp; Spring Onion Frittata</v>
      </c>
      <c r="C717" s="7" t="s">
        <v>2928</v>
      </c>
      <c r="D717" s="34">
        <v>0.25</v>
      </c>
      <c r="E717" s="22" t="s">
        <v>2759</v>
      </c>
      <c r="F717" s="22"/>
      <c r="G717" s="22" t="s">
        <v>2749</v>
      </c>
      <c r="H717" s="7"/>
      <c r="I717" s="35"/>
      <c r="J717" s="30">
        <f>IF(OR($F717="",$I717=""),0,IFERROR(INDEX(Nutrition!$D$2:$D$300,MATCH($F717,Nutrition!$A$2:$A$300,0))*$I717/100,0))</f>
        <v>0</v>
      </c>
      <c r="K717" s="30">
        <f>IF(OR($F717="",$I717=""),0,IFERROR(INDEX(Nutrition!$E$2:$E$300,MATCH($F717,Nutrition!$A$2:$A$300,0))*$I717/100,0))</f>
        <v>0</v>
      </c>
      <c r="L717" s="30">
        <f>IF(OR($F717="",$I717=""),0,IFERROR(INDEX(Nutrition!$F$2:$F$300,MATCH($F717,Nutrition!$A$2:$A$300,0))*$I717/100,0))</f>
        <v>0</v>
      </c>
      <c r="M717" s="30">
        <f>IF(OR($F717="",$I717=""),0,IFERROR(INDEX(Nutrition!$G$2:$G$300,MATCH($F717,Nutrition!$A$2:$A$300,0))*$I717/100,0))</f>
        <v>0</v>
      </c>
      <c r="N717" s="30">
        <f>IF(OR($F717="",$I717=""),0,IFERROR(INDEX(Nutrition!$H$2:$H$300,MATCH($F717,Nutrition!$A$2:$A$300,0))*$I717/100,0))</f>
        <v>0</v>
      </c>
      <c r="O717" s="30">
        <f>IF(OR($F717="",$I717=""),0,IFERROR(INDEX(Nutrition!$I$2:$I$300,MATCH($F717,Nutrition!$A$2:$A$300,0))*$I717/100,0))</f>
        <v>0</v>
      </c>
      <c r="P717" s="30">
        <f>IF(OR($F717="",$I717=""),0,IFERROR(INDEX(Nutrition!$J$2:$J$300,MATCH($F717,Nutrition!$A$2:$A$300,0))*$I717/100,0))</f>
        <v>0</v>
      </c>
      <c r="Q717" s="30">
        <f>IF(OR($F717="",$I717=""),0,IFERROR(INDEX(Nutrition!$K$2:$K$300,MATCH($F717,Nutrition!$A$2:$A$300,0))*$I717/100,0))</f>
        <v>0</v>
      </c>
      <c r="R717" s="30">
        <f>IF(OR($F717="",$I717=""),0,IFERROR(INDEX(Nutrition!$L$2:$L$300,MATCH($F717,Nutrition!$A$2:$A$300,0))*$I717/100,0))</f>
        <v>0</v>
      </c>
      <c r="S717" s="30">
        <f>IF(OR($F717="",$I717=""),0,IFERROR(INDEX(Nutrition!$M$2:$M$300,MATCH($F717,Nutrition!$A$2:$A$300,0))*$I717/100,0))</f>
        <v>0</v>
      </c>
    </row>
    <row r="718" spans="1:19" ht="15" customHeight="1" x14ac:dyDescent="0.25">
      <c r="A718" s="22" t="s">
        <v>1843</v>
      </c>
      <c r="B718" s="33" t="str">
        <f>IFERROR(INDEX(Recipes!$B$2:$B$500,MATCH(A718,Recipes!$A$2:$A$500,0)),"")</f>
        <v>Broccoli &amp; Spring Onion Frittata</v>
      </c>
      <c r="C718" s="7" t="s">
        <v>2906</v>
      </c>
      <c r="D718" s="34">
        <v>1</v>
      </c>
      <c r="E718" s="22" t="s">
        <v>2782</v>
      </c>
      <c r="F718" s="22"/>
      <c r="G718" s="22" t="s">
        <v>2773</v>
      </c>
      <c r="H718" s="7"/>
      <c r="I718" s="35"/>
      <c r="J718" s="30">
        <f>IF(OR($F718="",$I718=""),0,IFERROR(INDEX(Nutrition!$D$2:$D$300,MATCH($F718,Nutrition!$A$2:$A$300,0))*$I718/100,0))</f>
        <v>0</v>
      </c>
      <c r="K718" s="30">
        <f>IF(OR($F718="",$I718=""),0,IFERROR(INDEX(Nutrition!$E$2:$E$300,MATCH($F718,Nutrition!$A$2:$A$300,0))*$I718/100,0))</f>
        <v>0</v>
      </c>
      <c r="L718" s="30">
        <f>IF(OR($F718="",$I718=""),0,IFERROR(INDEX(Nutrition!$F$2:$F$300,MATCH($F718,Nutrition!$A$2:$A$300,0))*$I718/100,0))</f>
        <v>0</v>
      </c>
      <c r="M718" s="30">
        <f>IF(OR($F718="",$I718=""),0,IFERROR(INDEX(Nutrition!$G$2:$G$300,MATCH($F718,Nutrition!$A$2:$A$300,0))*$I718/100,0))</f>
        <v>0</v>
      </c>
      <c r="N718" s="30">
        <f>IF(OR($F718="",$I718=""),0,IFERROR(INDEX(Nutrition!$H$2:$H$300,MATCH($F718,Nutrition!$A$2:$A$300,0))*$I718/100,0))</f>
        <v>0</v>
      </c>
      <c r="O718" s="30">
        <f>IF(OR($F718="",$I718=""),0,IFERROR(INDEX(Nutrition!$I$2:$I$300,MATCH($F718,Nutrition!$A$2:$A$300,0))*$I718/100,0))</f>
        <v>0</v>
      </c>
      <c r="P718" s="30">
        <f>IF(OR($F718="",$I718=""),0,IFERROR(INDEX(Nutrition!$J$2:$J$300,MATCH($F718,Nutrition!$A$2:$A$300,0))*$I718/100,0))</f>
        <v>0</v>
      </c>
      <c r="Q718" s="30">
        <f>IF(OR($F718="",$I718=""),0,IFERROR(INDEX(Nutrition!$K$2:$K$300,MATCH($F718,Nutrition!$A$2:$A$300,0))*$I718/100,0))</f>
        <v>0</v>
      </c>
      <c r="R718" s="30">
        <f>IF(OR($F718="",$I718=""),0,IFERROR(INDEX(Nutrition!$L$2:$L$300,MATCH($F718,Nutrition!$A$2:$A$300,0))*$I718/100,0))</f>
        <v>0</v>
      </c>
      <c r="S718" s="30">
        <f>IF(OR($F718="",$I718=""),0,IFERROR(INDEX(Nutrition!$M$2:$M$300,MATCH($F718,Nutrition!$A$2:$A$300,0))*$I718/100,0))</f>
        <v>0</v>
      </c>
    </row>
    <row r="719" spans="1:19" ht="15" customHeight="1" x14ac:dyDescent="0.25">
      <c r="A719" s="22" t="s">
        <v>1855</v>
      </c>
      <c r="B719" s="33" t="str">
        <f>IFERROR(INDEX(Recipes!$B$2:$B$500,MATCH(A719,Recipes!$A$2:$A$500,0)),"")</f>
        <v>Tomato, Spinach &amp; Wara Omelette</v>
      </c>
      <c r="C719" s="7" t="s">
        <v>446</v>
      </c>
      <c r="D719" s="34">
        <v>1</v>
      </c>
      <c r="E719" s="22" t="s">
        <v>2754</v>
      </c>
      <c r="F719" s="22" t="s">
        <v>445</v>
      </c>
      <c r="G719" s="22" t="s">
        <v>2755</v>
      </c>
      <c r="H719" s="7" t="s">
        <v>2830</v>
      </c>
      <c r="I719" s="35">
        <v>62</v>
      </c>
      <c r="J719" s="30">
        <f>IF(OR($F719="",$I719=""),0,IFERROR(INDEX(Nutrition!$D$2:$D$300,MATCH($F719,Nutrition!$A$2:$A$300,0))*$I719/100,0))</f>
        <v>0.74399999999999988</v>
      </c>
      <c r="K719" s="30">
        <f>IF(OR($F719="",$I719=""),0,IFERROR(INDEX(Nutrition!$E$2:$E$300,MATCH($F719,Nutrition!$A$2:$A$300,0))*$I719/100,0))</f>
        <v>8.4939999999999998</v>
      </c>
      <c r="L719" s="30">
        <f>IF(OR($F719="",$I719=""),0,IFERROR(INDEX(Nutrition!$F$2:$F$300,MATCH($F719,Nutrition!$A$2:$A$300,0))*$I719/100,0))</f>
        <v>26.04</v>
      </c>
      <c r="M719" s="30">
        <f>IF(OR($F719="",$I719=""),0,IFERROR(INDEX(Nutrition!$G$2:$G$300,MATCH($F719,Nutrition!$A$2:$A$300,0))*$I719/100,0))</f>
        <v>4.8979999999999997</v>
      </c>
      <c r="N719" s="30">
        <f>IF(OR($F719="",$I719=""),0,IFERROR(INDEX(Nutrition!$H$2:$H$300,MATCH($F719,Nutrition!$A$2:$A$300,0))*$I719/100,0))</f>
        <v>9.3000000000000007</v>
      </c>
      <c r="O719" s="30">
        <f>IF(OR($F719="",$I719=""),0,IFERROR(INDEX(Nutrition!$I$2:$I$300,MATCH($F719,Nutrition!$A$2:$A$300,0))*$I719/100,0))</f>
        <v>146.94</v>
      </c>
      <c r="P719" s="30">
        <f>IF(OR($F719="",$I719=""),0,IFERROR(INDEX(Nutrition!$J$2:$J$300,MATCH($F719,Nutrition!$A$2:$A$300,0))*$I719/100,0))</f>
        <v>0.33480000000000004</v>
      </c>
      <c r="Q719" s="30">
        <f>IF(OR($F719="",$I719=""),0,IFERROR(INDEX(Nutrition!$K$2:$K$300,MATCH($F719,Nutrition!$A$2:$A$300,0))*$I719/100,0))</f>
        <v>4.9599999999999998E-2</v>
      </c>
      <c r="R719" s="30">
        <f>IF(OR($F719="",$I719=""),0,IFERROR(INDEX(Nutrition!$L$2:$L$300,MATCH($F719,Nutrition!$A$2:$A$300,0))*$I719/100,0))</f>
        <v>6.82</v>
      </c>
      <c r="S719" s="30">
        <f>IF(OR($F719="",$I719=""),0,IFERROR(INDEX(Nutrition!$M$2:$M$300,MATCH($F719,Nutrition!$A$2:$A$300,0))*$I719/100,0))</f>
        <v>0.16740000000000002</v>
      </c>
    </row>
    <row r="720" spans="1:19" ht="15" customHeight="1" x14ac:dyDescent="0.25">
      <c r="A720" s="22" t="s">
        <v>1855</v>
      </c>
      <c r="B720" s="33" t="str">
        <f>IFERROR(INDEX(Recipes!$B$2:$B$500,MATCH(A720,Recipes!$A$2:$A$500,0)),"")</f>
        <v>Tomato, Spinach &amp; Wara Omelette</v>
      </c>
      <c r="C720" s="7" t="s">
        <v>643</v>
      </c>
      <c r="D720" s="34">
        <v>1</v>
      </c>
      <c r="E720" s="22" t="s">
        <v>2748</v>
      </c>
      <c r="F720" s="22" t="s">
        <v>642</v>
      </c>
      <c r="G720" s="22" t="s">
        <v>2755</v>
      </c>
      <c r="H720" s="7" t="s">
        <v>2775</v>
      </c>
      <c r="I720" s="35">
        <v>30</v>
      </c>
      <c r="J720" s="30">
        <f>IF(OR($F720="",$I720=""),0,IFERROR(INDEX(Nutrition!$D$2:$D$300,MATCH($F720,Nutrition!$A$2:$A$300,0))*$I720/100,0))</f>
        <v>0.66</v>
      </c>
      <c r="K720" s="30">
        <f>IF(OR($F720="",$I720=""),0,IFERROR(INDEX(Nutrition!$E$2:$E$300,MATCH($F720,Nutrition!$A$2:$A$300,0))*$I720/100,0))</f>
        <v>8.43</v>
      </c>
      <c r="L720" s="30">
        <f>IF(OR($F720="",$I720=""),0,IFERROR(INDEX(Nutrition!$F$2:$F$300,MATCH($F720,Nutrition!$A$2:$A$300,0))*$I720/100,0))</f>
        <v>140.69999999999999</v>
      </c>
      <c r="M720" s="30">
        <f>IF(OR($F720="",$I720=""),0,IFERROR(INDEX(Nutrition!$G$2:$G$300,MATCH($F720,Nutrition!$A$2:$A$300,0))*$I720/100,0))</f>
        <v>144.87</v>
      </c>
      <c r="N720" s="30">
        <f>IF(OR($F720="",$I720=""),0,IFERROR(INDEX(Nutrition!$H$2:$H$300,MATCH($F720,Nutrition!$A$2:$A$300,0))*$I720/100,0))</f>
        <v>58.2</v>
      </c>
      <c r="O720" s="30">
        <f>IF(OR($F720="",$I720=""),0,IFERROR(INDEX(Nutrition!$I$2:$I$300,MATCH($F720,Nutrition!$A$2:$A$300,0))*$I720/100,0))</f>
        <v>167.4</v>
      </c>
      <c r="P720" s="30">
        <f>IF(OR($F720="",$I720=""),0,IFERROR(INDEX(Nutrition!$J$2:$J$300,MATCH($F720,Nutrition!$A$2:$A$300,0))*$I720/100,0))</f>
        <v>0.60899999999999987</v>
      </c>
      <c r="Q720" s="30">
        <f>IF(OR($F720="",$I720=""),0,IFERROR(INDEX(Nutrition!$K$2:$K$300,MATCH($F720,Nutrition!$A$2:$A$300,0))*$I720/100,0))</f>
        <v>5.8500000000000003E-2</v>
      </c>
      <c r="R720" s="30">
        <f>IF(OR($F720="",$I720=""),0,IFERROR(INDEX(Nutrition!$L$2:$L$300,MATCH($F720,Nutrition!$A$2:$A$300,0))*$I720/100,0))</f>
        <v>23.7</v>
      </c>
      <c r="S720" s="30">
        <f>IF(OR($F720="",$I720=""),0,IFERROR(INDEX(Nutrition!$M$2:$M$300,MATCH($F720,Nutrition!$A$2:$A$300,0))*$I720/100,0))</f>
        <v>0.81299999999999994</v>
      </c>
    </row>
    <row r="721" spans="1:19" ht="15" customHeight="1" x14ac:dyDescent="0.25">
      <c r="A721" s="22" t="s">
        <v>1855</v>
      </c>
      <c r="B721" s="33" t="str">
        <f>IFERROR(INDEX(Recipes!$B$2:$B$500,MATCH(A721,Recipes!$A$2:$A$500,0)),"")</f>
        <v>Tomato, Spinach &amp; Wara Omelette</v>
      </c>
      <c r="C721" s="7" t="s">
        <v>500</v>
      </c>
      <c r="D721" s="34">
        <v>1</v>
      </c>
      <c r="E721" s="22" t="s">
        <v>2816</v>
      </c>
      <c r="F721" s="22" t="s">
        <v>499</v>
      </c>
      <c r="G721" s="22" t="s">
        <v>2755</v>
      </c>
      <c r="H721" s="7" t="s">
        <v>2775</v>
      </c>
      <c r="I721" s="35">
        <v>3</v>
      </c>
      <c r="J721" s="30">
        <f>IF(OR($F721="",$I721=""),0,IFERROR(INDEX(Nutrition!$D$2:$D$300,MATCH($F721,Nutrition!$A$2:$A$300,0))*$I721/100,0))</f>
        <v>6.3E-2</v>
      </c>
      <c r="K721" s="30">
        <f>IF(OR($F721="",$I721=""),0,IFERROR(INDEX(Nutrition!$E$2:$E$300,MATCH($F721,Nutrition!$A$2:$A$300,0))*$I721/100,0))</f>
        <v>0.93599999999999994</v>
      </c>
      <c r="L721" s="30">
        <f>IF(OR($F721="",$I721=""),0,IFERROR(INDEX(Nutrition!$F$2:$F$300,MATCH($F721,Nutrition!$A$2:$A$300,0))*$I721/100,0))</f>
        <v>0</v>
      </c>
      <c r="M721" s="30">
        <f>IF(OR($F721="",$I721=""),0,IFERROR(INDEX(Nutrition!$G$2:$G$300,MATCH($F721,Nutrition!$A$2:$A$300,0))*$I721/100,0))</f>
        <v>5.0999999999999997E-2</v>
      </c>
      <c r="N721" s="30">
        <f>IF(OR($F721="",$I721=""),0,IFERROR(INDEX(Nutrition!$H$2:$H$300,MATCH($F721,Nutrition!$A$2:$A$300,0))*$I721/100,0))</f>
        <v>0.09</v>
      </c>
      <c r="O721" s="30">
        <f>IF(OR($F721="",$I721=""),0,IFERROR(INDEX(Nutrition!$I$2:$I$300,MATCH($F721,Nutrition!$A$2:$A$300,0))*$I721/100,0))</f>
        <v>12.03</v>
      </c>
      <c r="P721" s="30">
        <f>IF(OR($F721="",$I721=""),0,IFERROR(INDEX(Nutrition!$J$2:$J$300,MATCH($F721,Nutrition!$A$2:$A$300,0))*$I721/100,0))</f>
        <v>2.3999999999999998E-3</v>
      </c>
      <c r="Q721" s="30">
        <f>IF(OR($F721="",$I721=""),0,IFERROR(INDEX(Nutrition!$K$2:$K$300,MATCH($F721,Nutrition!$A$2:$A$300,0))*$I721/100,0))</f>
        <v>3.705E-2</v>
      </c>
      <c r="R721" s="30">
        <f>IF(OR($F721="",$I721=""),0,IFERROR(INDEX(Nutrition!$L$2:$L$300,MATCH($F721,Nutrition!$A$2:$A$300,0))*$I721/100,0))</f>
        <v>0.75</v>
      </c>
      <c r="S721" s="30">
        <f>IF(OR($F721="",$I721=""),0,IFERROR(INDEX(Nutrition!$M$2:$M$300,MATCH($F721,Nutrition!$A$2:$A$300,0))*$I721/100,0))</f>
        <v>5.0999999999999997E-2</v>
      </c>
    </row>
    <row r="722" spans="1:19" ht="15" customHeight="1" x14ac:dyDescent="0.25">
      <c r="A722" s="22" t="s">
        <v>1855</v>
      </c>
      <c r="B722" s="33" t="str">
        <f>IFERROR(INDEX(Recipes!$B$2:$B$500,MATCH(A722,Recipes!$A$2:$A$500,0)),"")</f>
        <v>Tomato, Spinach &amp; Wara Omelette</v>
      </c>
      <c r="C722" s="7" t="s">
        <v>490</v>
      </c>
      <c r="D722" s="34">
        <v>1</v>
      </c>
      <c r="E722" s="22" t="s">
        <v>2788</v>
      </c>
      <c r="F722" s="22" t="s">
        <v>489</v>
      </c>
      <c r="G722" s="22" t="s">
        <v>2755</v>
      </c>
      <c r="H722" s="7" t="s">
        <v>2830</v>
      </c>
      <c r="I722" s="35">
        <v>15</v>
      </c>
      <c r="J722" s="30">
        <f>IF(OR($F722="",$I722=""),0,IFERROR(INDEX(Nutrition!$D$2:$D$300,MATCH($F722,Nutrition!$A$2:$A$300,0))*$I722/100,0))</f>
        <v>0.39</v>
      </c>
      <c r="K722" s="30">
        <f>IF(OR($F722="",$I722=""),0,IFERROR(INDEX(Nutrition!$E$2:$E$300,MATCH($F722,Nutrition!$A$2:$A$300,0))*$I722/100,0))</f>
        <v>2.82</v>
      </c>
      <c r="L722" s="30">
        <f>IF(OR($F722="",$I722=""),0,IFERROR(INDEX(Nutrition!$F$2:$F$300,MATCH($F722,Nutrition!$A$2:$A$300,0))*$I722/100,0))</f>
        <v>7.5</v>
      </c>
      <c r="M722" s="30">
        <f>IF(OR($F722="",$I722=""),0,IFERROR(INDEX(Nutrition!$G$2:$G$300,MATCH($F722,Nutrition!$A$2:$A$300,0))*$I722/100,0))</f>
        <v>31.05</v>
      </c>
      <c r="N722" s="30">
        <f>IF(OR($F722="",$I722=""),0,IFERROR(INDEX(Nutrition!$H$2:$H$300,MATCH($F722,Nutrition!$A$2:$A$300,0))*$I722/100,0))</f>
        <v>9.6</v>
      </c>
      <c r="O722" s="30">
        <f>IF(OR($F722="",$I722=""),0,IFERROR(INDEX(Nutrition!$I$2:$I$300,MATCH($F722,Nutrition!$A$2:$A$300,0))*$I722/100,0))</f>
        <v>41.4</v>
      </c>
      <c r="P722" s="30">
        <f>IF(OR($F722="",$I722=""),0,IFERROR(INDEX(Nutrition!$J$2:$J$300,MATCH($F722,Nutrition!$A$2:$A$300,0))*$I722/100,0))</f>
        <v>8.2500000000000004E-2</v>
      </c>
      <c r="Q722" s="30">
        <f>IF(OR($F722="",$I722=""),0,IFERROR(INDEX(Nutrition!$K$2:$K$300,MATCH($F722,Nutrition!$A$2:$A$300,0))*$I722/100,0))</f>
        <v>9.1500000000000001E-3</v>
      </c>
      <c r="R722" s="30">
        <f>IF(OR($F722="",$I722=""),0,IFERROR(INDEX(Nutrition!$L$2:$L$300,MATCH($F722,Nutrition!$A$2:$A$300,0))*$I722/100,0))</f>
        <v>3</v>
      </c>
      <c r="S722" s="30">
        <f>IF(OR($F722="",$I722=""),0,IFERROR(INDEX(Nutrition!$M$2:$M$300,MATCH($F722,Nutrition!$A$2:$A$300,0))*$I722/100,0))</f>
        <v>0.222</v>
      </c>
    </row>
    <row r="723" spans="1:19" ht="15" customHeight="1" x14ac:dyDescent="0.25">
      <c r="A723" s="22" t="s">
        <v>1855</v>
      </c>
      <c r="B723" s="33" t="str">
        <f>IFERROR(INDEX(Recipes!$B$2:$B$500,MATCH(A723,Recipes!$A$2:$A$500,0)),"")</f>
        <v>Tomato, Spinach &amp; Wara Omelette</v>
      </c>
      <c r="C723" s="7" t="s">
        <v>2767</v>
      </c>
      <c r="D723" s="34">
        <v>3</v>
      </c>
      <c r="E723" s="22" t="s">
        <v>2754</v>
      </c>
      <c r="F723" s="22"/>
      <c r="G723" s="22" t="s">
        <v>2768</v>
      </c>
      <c r="H723" s="7"/>
      <c r="I723" s="35"/>
      <c r="J723" s="30">
        <f>IF(OR($F723="",$I723=""),0,IFERROR(INDEX(Nutrition!$D$2:$D$300,MATCH($F723,Nutrition!$A$2:$A$300,0))*$I723/100,0))</f>
        <v>0</v>
      </c>
      <c r="K723" s="30">
        <f>IF(OR($F723="",$I723=""),0,IFERROR(INDEX(Nutrition!$E$2:$E$300,MATCH($F723,Nutrition!$A$2:$A$300,0))*$I723/100,0))</f>
        <v>0</v>
      </c>
      <c r="L723" s="30">
        <f>IF(OR($F723="",$I723=""),0,IFERROR(INDEX(Nutrition!$F$2:$F$300,MATCH($F723,Nutrition!$A$2:$A$300,0))*$I723/100,0))</f>
        <v>0</v>
      </c>
      <c r="M723" s="30">
        <f>IF(OR($F723="",$I723=""),0,IFERROR(INDEX(Nutrition!$G$2:$G$300,MATCH($F723,Nutrition!$A$2:$A$300,0))*$I723/100,0))</f>
        <v>0</v>
      </c>
      <c r="N723" s="30">
        <f>IF(OR($F723="",$I723=""),0,IFERROR(INDEX(Nutrition!$H$2:$H$300,MATCH($F723,Nutrition!$A$2:$A$300,0))*$I723/100,0))</f>
        <v>0</v>
      </c>
      <c r="O723" s="30">
        <f>IF(OR($F723="",$I723=""),0,IFERROR(INDEX(Nutrition!$I$2:$I$300,MATCH($F723,Nutrition!$A$2:$A$300,0))*$I723/100,0))</f>
        <v>0</v>
      </c>
      <c r="P723" s="30">
        <f>IF(OR($F723="",$I723=""),0,IFERROR(INDEX(Nutrition!$J$2:$J$300,MATCH($F723,Nutrition!$A$2:$A$300,0))*$I723/100,0))</f>
        <v>0</v>
      </c>
      <c r="Q723" s="30">
        <f>IF(OR($F723="",$I723=""),0,IFERROR(INDEX(Nutrition!$K$2:$K$300,MATCH($F723,Nutrition!$A$2:$A$300,0))*$I723/100,0))</f>
        <v>0</v>
      </c>
      <c r="R723" s="30">
        <f>IF(OR($F723="",$I723=""),0,IFERROR(INDEX(Nutrition!$L$2:$L$300,MATCH($F723,Nutrition!$A$2:$A$300,0))*$I723/100,0))</f>
        <v>0</v>
      </c>
      <c r="S723" s="30">
        <f>IF(OR($F723="",$I723=""),0,IFERROR(INDEX(Nutrition!$M$2:$M$300,MATCH($F723,Nutrition!$A$2:$A$300,0))*$I723/100,0))</f>
        <v>0</v>
      </c>
    </row>
    <row r="724" spans="1:19" ht="15" customHeight="1" x14ac:dyDescent="0.25">
      <c r="A724" s="22" t="s">
        <v>1855</v>
      </c>
      <c r="B724" s="33" t="str">
        <f>IFERROR(INDEX(Recipes!$B$2:$B$500,MATCH(A724,Recipes!$A$2:$A$500,0)),"")</f>
        <v>Tomato, Spinach &amp; Wara Omelette</v>
      </c>
      <c r="C724" s="7" t="s">
        <v>2904</v>
      </c>
      <c r="D724" s="34">
        <v>30</v>
      </c>
      <c r="E724" s="22" t="s">
        <v>2813</v>
      </c>
      <c r="F724" s="22"/>
      <c r="G724" s="22" t="s">
        <v>2749</v>
      </c>
      <c r="H724" s="7" t="s">
        <v>2905</v>
      </c>
      <c r="I724" s="35"/>
      <c r="J724" s="30">
        <f>IF(OR($F724="",$I724=""),0,IFERROR(INDEX(Nutrition!$D$2:$D$300,MATCH($F724,Nutrition!$A$2:$A$300,0))*$I724/100,0))</f>
        <v>0</v>
      </c>
      <c r="K724" s="30">
        <f>IF(OR($F724="",$I724=""),0,IFERROR(INDEX(Nutrition!$E$2:$E$300,MATCH($F724,Nutrition!$A$2:$A$300,0))*$I724/100,0))</f>
        <v>0</v>
      </c>
      <c r="L724" s="30">
        <f>IF(OR($F724="",$I724=""),0,IFERROR(INDEX(Nutrition!$F$2:$F$300,MATCH($F724,Nutrition!$A$2:$A$300,0))*$I724/100,0))</f>
        <v>0</v>
      </c>
      <c r="M724" s="30">
        <f>IF(OR($F724="",$I724=""),0,IFERROR(INDEX(Nutrition!$G$2:$G$300,MATCH($F724,Nutrition!$A$2:$A$300,0))*$I724/100,0))</f>
        <v>0</v>
      </c>
      <c r="N724" s="30">
        <f>IF(OR($F724="",$I724=""),0,IFERROR(INDEX(Nutrition!$H$2:$H$300,MATCH($F724,Nutrition!$A$2:$A$300,0))*$I724/100,0))</f>
        <v>0</v>
      </c>
      <c r="O724" s="30">
        <f>IF(OR($F724="",$I724=""),0,IFERROR(INDEX(Nutrition!$I$2:$I$300,MATCH($F724,Nutrition!$A$2:$A$300,0))*$I724/100,0))</f>
        <v>0</v>
      </c>
      <c r="P724" s="30">
        <f>IF(OR($F724="",$I724=""),0,IFERROR(INDEX(Nutrition!$J$2:$J$300,MATCH($F724,Nutrition!$A$2:$A$300,0))*$I724/100,0))</f>
        <v>0</v>
      </c>
      <c r="Q724" s="30">
        <f>IF(OR($F724="",$I724=""),0,IFERROR(INDEX(Nutrition!$K$2:$K$300,MATCH($F724,Nutrition!$A$2:$A$300,0))*$I724/100,0))</f>
        <v>0</v>
      </c>
      <c r="R724" s="30">
        <f>IF(OR($F724="",$I724=""),0,IFERROR(INDEX(Nutrition!$L$2:$L$300,MATCH($F724,Nutrition!$A$2:$A$300,0))*$I724/100,0))</f>
        <v>0</v>
      </c>
      <c r="S724" s="30">
        <f>IF(OR($F724="",$I724=""),0,IFERROR(INDEX(Nutrition!$M$2:$M$300,MATCH($F724,Nutrition!$A$2:$A$300,0))*$I724/100,0))</f>
        <v>0</v>
      </c>
    </row>
    <row r="725" spans="1:19" ht="15" customHeight="1" x14ac:dyDescent="0.25">
      <c r="A725" s="22" t="s">
        <v>1855</v>
      </c>
      <c r="B725" s="33" t="str">
        <f>IFERROR(INDEX(Recipes!$B$2:$B$500,MATCH(A725,Recipes!$A$2:$A$500,0)),"")</f>
        <v>Tomato, Spinach &amp; Wara Omelette</v>
      </c>
      <c r="C725" s="7" t="s">
        <v>2805</v>
      </c>
      <c r="D725" s="34">
        <v>1</v>
      </c>
      <c r="E725" s="22" t="s">
        <v>2759</v>
      </c>
      <c r="F725" s="22"/>
      <c r="G725" s="22" t="s">
        <v>2773</v>
      </c>
      <c r="H725" s="7"/>
      <c r="I725" s="35"/>
      <c r="J725" s="30">
        <f>IF(OR($F725="",$I725=""),0,IFERROR(INDEX(Nutrition!$D$2:$D$300,MATCH($F725,Nutrition!$A$2:$A$300,0))*$I725/100,0))</f>
        <v>0</v>
      </c>
      <c r="K725" s="30">
        <f>IF(OR($F725="",$I725=""),0,IFERROR(INDEX(Nutrition!$E$2:$E$300,MATCH($F725,Nutrition!$A$2:$A$300,0))*$I725/100,0))</f>
        <v>0</v>
      </c>
      <c r="L725" s="30">
        <f>IF(OR($F725="",$I725=""),0,IFERROR(INDEX(Nutrition!$F$2:$F$300,MATCH($F725,Nutrition!$A$2:$A$300,0))*$I725/100,0))</f>
        <v>0</v>
      </c>
      <c r="M725" s="30">
        <f>IF(OR($F725="",$I725=""),0,IFERROR(INDEX(Nutrition!$G$2:$G$300,MATCH($F725,Nutrition!$A$2:$A$300,0))*$I725/100,0))</f>
        <v>0</v>
      </c>
      <c r="N725" s="30">
        <f>IF(OR($F725="",$I725=""),0,IFERROR(INDEX(Nutrition!$H$2:$H$300,MATCH($F725,Nutrition!$A$2:$A$300,0))*$I725/100,0))</f>
        <v>0</v>
      </c>
      <c r="O725" s="30">
        <f>IF(OR($F725="",$I725=""),0,IFERROR(INDEX(Nutrition!$I$2:$I$300,MATCH($F725,Nutrition!$A$2:$A$300,0))*$I725/100,0))</f>
        <v>0</v>
      </c>
      <c r="P725" s="30">
        <f>IF(OR($F725="",$I725=""),0,IFERROR(INDEX(Nutrition!$J$2:$J$300,MATCH($F725,Nutrition!$A$2:$A$300,0))*$I725/100,0))</f>
        <v>0</v>
      </c>
      <c r="Q725" s="30">
        <f>IF(OR($F725="",$I725=""),0,IFERROR(INDEX(Nutrition!$K$2:$K$300,MATCH($F725,Nutrition!$A$2:$A$300,0))*$I725/100,0))</f>
        <v>0</v>
      </c>
      <c r="R725" s="30">
        <f>IF(OR($F725="",$I725=""),0,IFERROR(INDEX(Nutrition!$L$2:$L$300,MATCH($F725,Nutrition!$A$2:$A$300,0))*$I725/100,0))</f>
        <v>0</v>
      </c>
      <c r="S725" s="30">
        <f>IF(OR($F725="",$I725=""),0,IFERROR(INDEX(Nutrition!$M$2:$M$300,MATCH($F725,Nutrition!$A$2:$A$300,0))*$I725/100,0))</f>
        <v>0</v>
      </c>
    </row>
    <row r="726" spans="1:19" ht="15" customHeight="1" x14ac:dyDescent="0.25">
      <c r="A726" s="22" t="s">
        <v>1855</v>
      </c>
      <c r="B726" s="33" t="str">
        <f>IFERROR(INDEX(Recipes!$B$2:$B$500,MATCH(A726,Recipes!$A$2:$A$500,0)),"")</f>
        <v>Tomato, Spinach &amp; Wara Omelette</v>
      </c>
      <c r="C726" s="7" t="s">
        <v>2906</v>
      </c>
      <c r="D726" s="34">
        <v>1</v>
      </c>
      <c r="E726" s="22" t="s">
        <v>2782</v>
      </c>
      <c r="F726" s="22"/>
      <c r="G726" s="22" t="s">
        <v>2773</v>
      </c>
      <c r="H726" s="7"/>
      <c r="I726" s="35"/>
      <c r="J726" s="30">
        <f>IF(OR($F726="",$I726=""),0,IFERROR(INDEX(Nutrition!$D$2:$D$300,MATCH($F726,Nutrition!$A$2:$A$300,0))*$I726/100,0))</f>
        <v>0</v>
      </c>
      <c r="K726" s="30">
        <f>IF(OR($F726="",$I726=""),0,IFERROR(INDEX(Nutrition!$E$2:$E$300,MATCH($F726,Nutrition!$A$2:$A$300,0))*$I726/100,0))</f>
        <v>0</v>
      </c>
      <c r="L726" s="30">
        <f>IF(OR($F726="",$I726=""),0,IFERROR(INDEX(Nutrition!$F$2:$F$300,MATCH($F726,Nutrition!$A$2:$A$300,0))*$I726/100,0))</f>
        <v>0</v>
      </c>
      <c r="M726" s="30">
        <f>IF(OR($F726="",$I726=""),0,IFERROR(INDEX(Nutrition!$G$2:$G$300,MATCH($F726,Nutrition!$A$2:$A$300,0))*$I726/100,0))</f>
        <v>0</v>
      </c>
      <c r="N726" s="30">
        <f>IF(OR($F726="",$I726=""),0,IFERROR(INDEX(Nutrition!$H$2:$H$300,MATCH($F726,Nutrition!$A$2:$A$300,0))*$I726/100,0))</f>
        <v>0</v>
      </c>
      <c r="O726" s="30">
        <f>IF(OR($F726="",$I726=""),0,IFERROR(INDEX(Nutrition!$I$2:$I$300,MATCH($F726,Nutrition!$A$2:$A$300,0))*$I726/100,0))</f>
        <v>0</v>
      </c>
      <c r="P726" s="30">
        <f>IF(OR($F726="",$I726=""),0,IFERROR(INDEX(Nutrition!$J$2:$J$300,MATCH($F726,Nutrition!$A$2:$A$300,0))*$I726/100,0))</f>
        <v>0</v>
      </c>
      <c r="Q726" s="30">
        <f>IF(OR($F726="",$I726=""),0,IFERROR(INDEX(Nutrition!$K$2:$K$300,MATCH($F726,Nutrition!$A$2:$A$300,0))*$I726/100,0))</f>
        <v>0</v>
      </c>
      <c r="R726" s="30">
        <f>IF(OR($F726="",$I726=""),0,IFERROR(INDEX(Nutrition!$L$2:$L$300,MATCH($F726,Nutrition!$A$2:$A$300,0))*$I726/100,0))</f>
        <v>0</v>
      </c>
      <c r="S726" s="30">
        <f>IF(OR($F726="",$I726=""),0,IFERROR(INDEX(Nutrition!$M$2:$M$300,MATCH($F726,Nutrition!$A$2:$A$300,0))*$I726/100,0))</f>
        <v>0</v>
      </c>
    </row>
    <row r="727" spans="1:19" ht="15" customHeight="1" x14ac:dyDescent="0.25">
      <c r="A727" s="22" t="s">
        <v>1867</v>
      </c>
      <c r="B727" s="33" t="str">
        <f>IFERROR(INDEX(Recipes!$B$2:$B$500,MATCH(A727,Recipes!$A$2:$A$500,0)),"")</f>
        <v>Israeli Breakfast Plate</v>
      </c>
      <c r="C727" s="7" t="s">
        <v>523</v>
      </c>
      <c r="D727" s="34">
        <v>2</v>
      </c>
      <c r="E727" s="22" t="s">
        <v>2754</v>
      </c>
      <c r="F727" s="22" t="s">
        <v>522</v>
      </c>
      <c r="G727" s="22" t="s">
        <v>2755</v>
      </c>
      <c r="H727" s="7" t="s">
        <v>2901</v>
      </c>
      <c r="I727" s="35">
        <v>602</v>
      </c>
      <c r="J727" s="30">
        <f>IF(OR($F727="",$I727=""),0,IFERROR(INDEX(Nutrition!$D$2:$D$300,MATCH($F727,Nutrition!$A$2:$A$300,0))*$I727/100,0))</f>
        <v>3.01</v>
      </c>
      <c r="K727" s="30">
        <f>IF(OR($F727="",$I727=""),0,IFERROR(INDEX(Nutrition!$E$2:$E$300,MATCH($F727,Nutrition!$A$2:$A$300,0))*$I727/100,0))</f>
        <v>16.855999999999998</v>
      </c>
      <c r="L727" s="30">
        <f>IF(OR($F727="",$I727=""),0,IFERROR(INDEX(Nutrition!$F$2:$F$300,MATCH($F727,Nutrition!$A$2:$A$300,0))*$I727/100,0))</f>
        <v>30.1</v>
      </c>
      <c r="M727" s="30">
        <f>IF(OR($F727="",$I727=""),0,IFERROR(INDEX(Nutrition!$G$2:$G$300,MATCH($F727,Nutrition!$A$2:$A$300,0))*$I727/100,0))</f>
        <v>98.727999999999994</v>
      </c>
      <c r="N727" s="30">
        <f>IF(OR($F727="",$I727=""),0,IFERROR(INDEX(Nutrition!$H$2:$H$300,MATCH($F727,Nutrition!$A$2:$A$300,0))*$I727/100,0))</f>
        <v>42.14</v>
      </c>
      <c r="O727" s="30">
        <f>IF(OR($F727="",$I727=""),0,IFERROR(INDEX(Nutrition!$I$2:$I$300,MATCH($F727,Nutrition!$A$2:$A$300,0))*$I727/100,0))</f>
        <v>884.94</v>
      </c>
      <c r="P727" s="30">
        <f>IF(OR($F727="",$I727=""),0,IFERROR(INDEX(Nutrition!$J$2:$J$300,MATCH($F727,Nutrition!$A$2:$A$300,0))*$I727/100,0))</f>
        <v>0.18059999999999998</v>
      </c>
      <c r="Q727" s="30">
        <f>IF(OR($F727="",$I727=""),0,IFERROR(INDEX(Nutrition!$K$2:$K$300,MATCH($F727,Nutrition!$A$2:$A$300,0))*$I727/100,0))</f>
        <v>0.24080000000000001</v>
      </c>
      <c r="R727" s="30">
        <f>IF(OR($F727="",$I727=""),0,IFERROR(INDEX(Nutrition!$L$2:$L$300,MATCH($F727,Nutrition!$A$2:$A$300,0))*$I727/100,0))</f>
        <v>78.260000000000005</v>
      </c>
      <c r="S727" s="30">
        <f>IF(OR($F727="",$I727=""),0,IFERROR(INDEX(Nutrition!$M$2:$M$300,MATCH($F727,Nutrition!$A$2:$A$300,0))*$I727/100,0))</f>
        <v>1.6856</v>
      </c>
    </row>
    <row r="728" spans="1:19" ht="15" customHeight="1" x14ac:dyDescent="0.25">
      <c r="A728" s="22" t="s">
        <v>1867</v>
      </c>
      <c r="B728" s="33" t="str">
        <f>IFERROR(INDEX(Recipes!$B$2:$B$500,MATCH(A728,Recipes!$A$2:$A$500,0)),"")</f>
        <v>Israeli Breakfast Plate</v>
      </c>
      <c r="C728" s="7" t="s">
        <v>446</v>
      </c>
      <c r="D728" s="34">
        <v>2</v>
      </c>
      <c r="E728" s="22" t="s">
        <v>2754</v>
      </c>
      <c r="F728" s="22" t="s">
        <v>445</v>
      </c>
      <c r="G728" s="22" t="s">
        <v>2755</v>
      </c>
      <c r="H728" s="7" t="s">
        <v>2756</v>
      </c>
      <c r="I728" s="35">
        <v>124</v>
      </c>
      <c r="J728" s="30">
        <f>IF(OR($F728="",$I728=""),0,IFERROR(INDEX(Nutrition!$D$2:$D$300,MATCH($F728,Nutrition!$A$2:$A$300,0))*$I728/100,0))</f>
        <v>1.4879999999999998</v>
      </c>
      <c r="K728" s="30">
        <f>IF(OR($F728="",$I728=""),0,IFERROR(INDEX(Nutrition!$E$2:$E$300,MATCH($F728,Nutrition!$A$2:$A$300,0))*$I728/100,0))</f>
        <v>16.988</v>
      </c>
      <c r="L728" s="30">
        <f>IF(OR($F728="",$I728=""),0,IFERROR(INDEX(Nutrition!$F$2:$F$300,MATCH($F728,Nutrition!$A$2:$A$300,0))*$I728/100,0))</f>
        <v>52.08</v>
      </c>
      <c r="M728" s="30">
        <f>IF(OR($F728="",$I728=""),0,IFERROR(INDEX(Nutrition!$G$2:$G$300,MATCH($F728,Nutrition!$A$2:$A$300,0))*$I728/100,0))</f>
        <v>9.7959999999999994</v>
      </c>
      <c r="N728" s="30">
        <f>IF(OR($F728="",$I728=""),0,IFERROR(INDEX(Nutrition!$H$2:$H$300,MATCH($F728,Nutrition!$A$2:$A$300,0))*$I728/100,0))</f>
        <v>18.600000000000001</v>
      </c>
      <c r="O728" s="30">
        <f>IF(OR($F728="",$I728=""),0,IFERROR(INDEX(Nutrition!$I$2:$I$300,MATCH($F728,Nutrition!$A$2:$A$300,0))*$I728/100,0))</f>
        <v>293.88</v>
      </c>
      <c r="P728" s="30">
        <f>IF(OR($F728="",$I728=""),0,IFERROR(INDEX(Nutrition!$J$2:$J$300,MATCH($F728,Nutrition!$A$2:$A$300,0))*$I728/100,0))</f>
        <v>0.66960000000000008</v>
      </c>
      <c r="Q728" s="30">
        <f>IF(OR($F728="",$I728=""),0,IFERROR(INDEX(Nutrition!$K$2:$K$300,MATCH($F728,Nutrition!$A$2:$A$300,0))*$I728/100,0))</f>
        <v>9.9199999999999997E-2</v>
      </c>
      <c r="R728" s="30">
        <f>IF(OR($F728="",$I728=""),0,IFERROR(INDEX(Nutrition!$L$2:$L$300,MATCH($F728,Nutrition!$A$2:$A$300,0))*$I728/100,0))</f>
        <v>13.64</v>
      </c>
      <c r="S728" s="30">
        <f>IF(OR($F728="",$I728=""),0,IFERROR(INDEX(Nutrition!$M$2:$M$300,MATCH($F728,Nutrition!$A$2:$A$300,0))*$I728/100,0))</f>
        <v>0.33480000000000004</v>
      </c>
    </row>
    <row r="729" spans="1:19" ht="15" customHeight="1" x14ac:dyDescent="0.25">
      <c r="A729" s="22" t="s">
        <v>1867</v>
      </c>
      <c r="B729" s="33" t="str">
        <f>IFERROR(INDEX(Recipes!$B$2:$B$500,MATCH(A729,Recipes!$A$2:$A$500,0)),"")</f>
        <v>Israeli Breakfast Plate</v>
      </c>
      <c r="C729" s="7" t="s">
        <v>482</v>
      </c>
      <c r="D729" s="34">
        <v>0.5</v>
      </c>
      <c r="E729" s="22" t="s">
        <v>2754</v>
      </c>
      <c r="F729" s="22" t="s">
        <v>481</v>
      </c>
      <c r="G729" s="22" t="s">
        <v>2755</v>
      </c>
      <c r="H729" s="7" t="s">
        <v>2929</v>
      </c>
      <c r="I729" s="35">
        <v>55</v>
      </c>
      <c r="J729" s="30">
        <f>IF(OR($F729="",$I729=""),0,IFERROR(INDEX(Nutrition!$D$2:$D$300,MATCH($F729,Nutrition!$A$2:$A$300,0))*$I729/100,0))</f>
        <v>0.93500000000000005</v>
      </c>
      <c r="K729" s="30">
        <f>IF(OR($F729="",$I729=""),0,IFERROR(INDEX(Nutrition!$E$2:$E$300,MATCH($F729,Nutrition!$A$2:$A$300,0))*$I729/100,0))</f>
        <v>4.07</v>
      </c>
      <c r="L729" s="30">
        <f>IF(OR($F729="",$I729=""),0,IFERROR(INDEX(Nutrition!$F$2:$F$300,MATCH($F729,Nutrition!$A$2:$A$300,0))*$I729/100,0))</f>
        <v>0</v>
      </c>
      <c r="M729" s="30">
        <f>IF(OR($F729="",$I729=""),0,IFERROR(INDEX(Nutrition!$G$2:$G$300,MATCH($F729,Nutrition!$A$2:$A$300,0))*$I729/100,0))</f>
        <v>0.22</v>
      </c>
      <c r="N729" s="30">
        <f>IF(OR($F729="",$I729=""),0,IFERROR(INDEX(Nutrition!$H$2:$H$300,MATCH($F729,Nutrition!$A$2:$A$300,0))*$I729/100,0))</f>
        <v>10.45</v>
      </c>
      <c r="O729" s="30">
        <f>IF(OR($F729="",$I729=""),0,IFERROR(INDEX(Nutrition!$I$2:$I$300,MATCH($F729,Nutrition!$A$2:$A$300,0))*$I729/100,0))</f>
        <v>80.3</v>
      </c>
      <c r="P729" s="30">
        <f>IF(OR($F729="",$I729=""),0,IFERROR(INDEX(Nutrition!$J$2:$J$300,MATCH($F729,Nutrition!$A$2:$A$300,0))*$I729/100,0))</f>
        <v>1.1000000000000001E-2</v>
      </c>
      <c r="Q729" s="30">
        <f>IF(OR($F729="",$I729=""),0,IFERROR(INDEX(Nutrition!$K$2:$K$300,MATCH($F729,Nutrition!$A$2:$A$300,0))*$I729/100,0))</f>
        <v>6.6000000000000003E-2</v>
      </c>
      <c r="R729" s="30">
        <f>IF(OR($F729="",$I729=""),0,IFERROR(INDEX(Nutrition!$L$2:$L$300,MATCH($F729,Nutrition!$A$2:$A$300,0))*$I729/100,0))</f>
        <v>5.5</v>
      </c>
      <c r="S729" s="30">
        <f>IF(OR($F729="",$I729=""),0,IFERROR(INDEX(Nutrition!$M$2:$M$300,MATCH($F729,Nutrition!$A$2:$A$300,0))*$I729/100,0))</f>
        <v>0.11549999999999999</v>
      </c>
    </row>
    <row r="730" spans="1:19" ht="15" customHeight="1" x14ac:dyDescent="0.25">
      <c r="A730" s="22" t="s">
        <v>1867</v>
      </c>
      <c r="B730" s="33" t="str">
        <f>IFERROR(INDEX(Recipes!$B$2:$B$500,MATCH(A730,Recipes!$A$2:$A$500,0)),"")</f>
        <v>Israeli Breakfast Plate</v>
      </c>
      <c r="C730" s="7" t="s">
        <v>671</v>
      </c>
      <c r="D730" s="34">
        <v>2</v>
      </c>
      <c r="E730" s="22" t="s">
        <v>2753</v>
      </c>
      <c r="F730" s="22" t="s">
        <v>670</v>
      </c>
      <c r="G730" s="22" t="s">
        <v>2755</v>
      </c>
      <c r="H730" s="7" t="s">
        <v>2775</v>
      </c>
      <c r="I730" s="35">
        <v>8</v>
      </c>
      <c r="J730" s="30">
        <f>IF(OR($F730="",$I730=""),0,IFERROR(INDEX(Nutrition!$D$2:$D$300,MATCH($F730,Nutrition!$A$2:$A$300,0))*$I730/100,0))</f>
        <v>0.26400000000000001</v>
      </c>
      <c r="K730" s="30">
        <f>IF(OR($F730="",$I730=""),0,IFERROR(INDEX(Nutrition!$E$2:$E$300,MATCH($F730,Nutrition!$A$2:$A$300,0))*$I730/100,0))</f>
        <v>10.64</v>
      </c>
      <c r="L730" s="30">
        <f>IF(OR($F730="",$I730=""),0,IFERROR(INDEX(Nutrition!$F$2:$F$300,MATCH($F730,Nutrition!$A$2:$A$300,0))*$I730/100,0))</f>
        <v>33.68</v>
      </c>
      <c r="M730" s="30">
        <f>IF(OR($F730="",$I730=""),0,IFERROR(INDEX(Nutrition!$G$2:$G$300,MATCH($F730,Nutrition!$A$2:$A$300,0))*$I730/100,0))</f>
        <v>131.19999999999999</v>
      </c>
      <c r="N730" s="30">
        <f>IF(OR($F730="",$I730=""),0,IFERROR(INDEX(Nutrition!$H$2:$H$300,MATCH($F730,Nutrition!$A$2:$A$300,0))*$I730/100,0))</f>
        <v>12.16</v>
      </c>
      <c r="O730" s="30">
        <f>IF(OR($F730="",$I730=""),0,IFERROR(INDEX(Nutrition!$I$2:$I$300,MATCH($F730,Nutrition!$A$2:$A$300,0))*$I730/100,0))</f>
        <v>44.32</v>
      </c>
      <c r="P730" s="30">
        <f>IF(OR($F730="",$I730=""),0,IFERROR(INDEX(Nutrition!$J$2:$J$300,MATCH($F730,Nutrition!$A$2:$A$300,0))*$I730/100,0))</f>
        <v>0.06</v>
      </c>
      <c r="Q730" s="30">
        <f>IF(OR($F730="",$I730=""),0,IFERROR(INDEX(Nutrition!$K$2:$K$300,MATCH($F730,Nutrition!$A$2:$A$300,0))*$I730/100,0))</f>
        <v>7.1999999999999998E-3</v>
      </c>
      <c r="R730" s="30">
        <f>IF(OR($F730="",$I730=""),0,IFERROR(INDEX(Nutrition!$L$2:$L$300,MATCH($F730,Nutrition!$A$2:$A$300,0))*$I730/100,0))</f>
        <v>4</v>
      </c>
      <c r="S730" s="30">
        <f>IF(OR($F730="",$I730=""),0,IFERROR(INDEX(Nutrition!$M$2:$M$300,MATCH($F730,Nutrition!$A$2:$A$300,0))*$I730/100,0))</f>
        <v>0.496</v>
      </c>
    </row>
    <row r="731" spans="1:19" ht="15" customHeight="1" x14ac:dyDescent="0.25">
      <c r="A731" s="22" t="s">
        <v>1867</v>
      </c>
      <c r="B731" s="33" t="str">
        <f>IFERROR(INDEX(Recipes!$B$2:$B$500,MATCH(A731,Recipes!$A$2:$A$500,0)),"")</f>
        <v>Israeli Breakfast Plate</v>
      </c>
      <c r="C731" s="7" t="s">
        <v>668</v>
      </c>
      <c r="D731" s="34">
        <v>2</v>
      </c>
      <c r="E731" s="22" t="s">
        <v>2753</v>
      </c>
      <c r="F731" s="22" t="s">
        <v>667</v>
      </c>
      <c r="G731" s="22" t="s">
        <v>2755</v>
      </c>
      <c r="H731" s="7" t="s">
        <v>2775</v>
      </c>
      <c r="I731" s="35">
        <v>8</v>
      </c>
      <c r="J731" s="30">
        <f>IF(OR($F731="",$I731=""),0,IFERROR(INDEX(Nutrition!$D$2:$D$300,MATCH($F731,Nutrition!$A$2:$A$300,0))*$I731/100,0))</f>
        <v>0.22399999999999998</v>
      </c>
      <c r="K731" s="30">
        <f>IF(OR($F731="",$I731=""),0,IFERROR(INDEX(Nutrition!$E$2:$E$300,MATCH($F731,Nutrition!$A$2:$A$300,0))*$I731/100,0))</f>
        <v>2.16</v>
      </c>
      <c r="L731" s="30">
        <f>IF(OR($F731="",$I731=""),0,IFERROR(INDEX(Nutrition!$F$2:$F$300,MATCH($F731,Nutrition!$A$2:$A$300,0))*$I731/100,0))</f>
        <v>26.96</v>
      </c>
      <c r="M731" s="30">
        <f>IF(OR($F731="",$I731=""),0,IFERROR(INDEX(Nutrition!$G$2:$G$300,MATCH($F731,Nutrition!$A$2:$A$300,0))*$I731/100,0))</f>
        <v>24.8</v>
      </c>
      <c r="N731" s="30">
        <f>IF(OR($F731="",$I731=""),0,IFERROR(INDEX(Nutrition!$H$2:$H$300,MATCH($F731,Nutrition!$A$2:$A$300,0))*$I731/100,0))</f>
        <v>4.96</v>
      </c>
      <c r="O731" s="30">
        <f>IF(OR($F731="",$I731=""),0,IFERROR(INDEX(Nutrition!$I$2:$I$300,MATCH($F731,Nutrition!$A$2:$A$300,0))*$I731/100,0))</f>
        <v>41.68</v>
      </c>
      <c r="P731" s="30">
        <f>IF(OR($F731="",$I731=""),0,IFERROR(INDEX(Nutrition!$J$2:$J$300,MATCH($F731,Nutrition!$A$2:$A$300,0))*$I731/100,0))</f>
        <v>0.2</v>
      </c>
      <c r="Q731" s="30">
        <f>IF(OR($F731="",$I731=""),0,IFERROR(INDEX(Nutrition!$K$2:$K$300,MATCH($F731,Nutrition!$A$2:$A$300,0))*$I731/100,0))</f>
        <v>1.192E-2</v>
      </c>
      <c r="R731" s="30">
        <f>IF(OR($F731="",$I731=""),0,IFERROR(INDEX(Nutrition!$L$2:$L$300,MATCH($F731,Nutrition!$A$2:$A$300,0))*$I731/100,0))</f>
        <v>2.08</v>
      </c>
      <c r="S731" s="30">
        <f>IF(OR($F731="",$I731=""),0,IFERROR(INDEX(Nutrition!$M$2:$M$300,MATCH($F731,Nutrition!$A$2:$A$300,0))*$I731/100,0))</f>
        <v>0.1416</v>
      </c>
    </row>
    <row r="732" spans="1:19" ht="15" customHeight="1" x14ac:dyDescent="0.25">
      <c r="A732" s="22" t="s">
        <v>1867</v>
      </c>
      <c r="B732" s="33" t="str">
        <f>IFERROR(INDEX(Recipes!$B$2:$B$500,MATCH(A732,Recipes!$A$2:$A$500,0)),"")</f>
        <v>Israeli Breakfast Plate</v>
      </c>
      <c r="C732" s="7" t="s">
        <v>490</v>
      </c>
      <c r="D732" s="34">
        <v>2</v>
      </c>
      <c r="E732" s="22" t="s">
        <v>2820</v>
      </c>
      <c r="F732" s="22" t="s">
        <v>489</v>
      </c>
      <c r="G732" s="22" t="s">
        <v>2755</v>
      </c>
      <c r="H732" s="7" t="s">
        <v>2775</v>
      </c>
      <c r="I732" s="35">
        <v>30</v>
      </c>
      <c r="J732" s="30">
        <f>IF(OR($F732="",$I732=""),0,IFERROR(INDEX(Nutrition!$D$2:$D$300,MATCH($F732,Nutrition!$A$2:$A$300,0))*$I732/100,0))</f>
        <v>0.78</v>
      </c>
      <c r="K732" s="30">
        <f>IF(OR($F732="",$I732=""),0,IFERROR(INDEX(Nutrition!$E$2:$E$300,MATCH($F732,Nutrition!$A$2:$A$300,0))*$I732/100,0))</f>
        <v>5.64</v>
      </c>
      <c r="L732" s="30">
        <f>IF(OR($F732="",$I732=""),0,IFERROR(INDEX(Nutrition!$F$2:$F$300,MATCH($F732,Nutrition!$A$2:$A$300,0))*$I732/100,0))</f>
        <v>15</v>
      </c>
      <c r="M732" s="30">
        <f>IF(OR($F732="",$I732=""),0,IFERROR(INDEX(Nutrition!$G$2:$G$300,MATCH($F732,Nutrition!$A$2:$A$300,0))*$I732/100,0))</f>
        <v>62.1</v>
      </c>
      <c r="N732" s="30">
        <f>IF(OR($F732="",$I732=""),0,IFERROR(INDEX(Nutrition!$H$2:$H$300,MATCH($F732,Nutrition!$A$2:$A$300,0))*$I732/100,0))</f>
        <v>19.2</v>
      </c>
      <c r="O732" s="30">
        <f>IF(OR($F732="",$I732=""),0,IFERROR(INDEX(Nutrition!$I$2:$I$300,MATCH($F732,Nutrition!$A$2:$A$300,0))*$I732/100,0))</f>
        <v>82.8</v>
      </c>
      <c r="P732" s="30">
        <f>IF(OR($F732="",$I732=""),0,IFERROR(INDEX(Nutrition!$J$2:$J$300,MATCH($F732,Nutrition!$A$2:$A$300,0))*$I732/100,0))</f>
        <v>0.16500000000000001</v>
      </c>
      <c r="Q732" s="30">
        <f>IF(OR($F732="",$I732=""),0,IFERROR(INDEX(Nutrition!$K$2:$K$300,MATCH($F732,Nutrition!$A$2:$A$300,0))*$I732/100,0))</f>
        <v>1.83E-2</v>
      </c>
      <c r="R732" s="30">
        <f>IF(OR($F732="",$I732=""),0,IFERROR(INDEX(Nutrition!$L$2:$L$300,MATCH($F732,Nutrition!$A$2:$A$300,0))*$I732/100,0))</f>
        <v>6</v>
      </c>
      <c r="S732" s="30">
        <f>IF(OR($F732="",$I732=""),0,IFERROR(INDEX(Nutrition!$M$2:$M$300,MATCH($F732,Nutrition!$A$2:$A$300,0))*$I732/100,0))</f>
        <v>0.44400000000000001</v>
      </c>
    </row>
    <row r="733" spans="1:19" ht="15" customHeight="1" x14ac:dyDescent="0.25">
      <c r="A733" s="22" t="s">
        <v>1867</v>
      </c>
      <c r="B733" s="33" t="str">
        <f>IFERROR(INDEX(Recipes!$B$2:$B$500,MATCH(A733,Recipes!$A$2:$A$500,0)),"")</f>
        <v>Israeli Breakfast Plate</v>
      </c>
      <c r="C733" s="7" t="s">
        <v>227</v>
      </c>
      <c r="D733" s="34">
        <v>1</v>
      </c>
      <c r="E733" s="22" t="s">
        <v>2754</v>
      </c>
      <c r="F733" s="22" t="s">
        <v>226</v>
      </c>
      <c r="G733" s="22" t="s">
        <v>2755</v>
      </c>
      <c r="H733" s="7" t="s">
        <v>2830</v>
      </c>
      <c r="I733" s="35">
        <v>201</v>
      </c>
      <c r="J733" s="30">
        <f>IF(OR($F733="",$I733=""),0,IFERROR(INDEX(Nutrition!$D$2:$D$300,MATCH($F733,Nutrition!$A$2:$A$300,0))*$I733/100,0))</f>
        <v>13.467000000000001</v>
      </c>
      <c r="K733" s="30">
        <f>IF(OR($F733="",$I733=""),0,IFERROR(INDEX(Nutrition!$E$2:$E$300,MATCH($F733,Nutrition!$A$2:$A$300,0))*$I733/100,0))</f>
        <v>20.100000000000001</v>
      </c>
      <c r="L733" s="30">
        <f>IF(OR($F733="",$I733=""),0,IFERROR(INDEX(Nutrition!$F$2:$F$300,MATCH($F733,Nutrition!$A$2:$A$300,0))*$I733/100,0))</f>
        <v>14.07</v>
      </c>
      <c r="M733" s="30">
        <f>IF(OR($F733="",$I733=""),0,IFERROR(INDEX(Nutrition!$G$2:$G$300,MATCH($F733,Nutrition!$A$2:$A$300,0))*$I733/100,0))</f>
        <v>42.21</v>
      </c>
      <c r="N733" s="30">
        <f>IF(OR($F733="",$I733=""),0,IFERROR(INDEX(Nutrition!$H$2:$H$300,MATCH($F733,Nutrition!$A$2:$A$300,0))*$I733/100,0))</f>
        <v>162.81</v>
      </c>
      <c r="O733" s="30">
        <f>IF(OR($F733="",$I733=""),0,IFERROR(INDEX(Nutrition!$I$2:$I$300,MATCH($F733,Nutrition!$A$2:$A$300,0))*$I733/100,0))</f>
        <v>974.85</v>
      </c>
      <c r="P733" s="30">
        <f>IF(OR($F733="",$I733=""),0,IFERROR(INDEX(Nutrition!$J$2:$J$300,MATCH($F733,Nutrition!$A$2:$A$300,0))*$I733/100,0))</f>
        <v>4.1607000000000003</v>
      </c>
      <c r="Q733" s="30">
        <f>IF(OR($F733="",$I733=""),0,IFERROR(INDEX(Nutrition!$K$2:$K$300,MATCH($F733,Nutrition!$A$2:$A$300,0))*$I733/100,0))</f>
        <v>0.51657000000000008</v>
      </c>
      <c r="R733" s="30">
        <f>IF(OR($F733="",$I733=""),0,IFERROR(INDEX(Nutrition!$L$2:$L$300,MATCH($F733,Nutrition!$A$2:$A$300,0))*$I733/100,0))</f>
        <v>58.29</v>
      </c>
      <c r="S733" s="30">
        <f>IF(OR($F733="",$I733=""),0,IFERROR(INDEX(Nutrition!$M$2:$M$300,MATCH($F733,Nutrition!$A$2:$A$300,0))*$I733/100,0))</f>
        <v>1.1055000000000001</v>
      </c>
    </row>
    <row r="734" spans="1:19" ht="15" customHeight="1" x14ac:dyDescent="0.25">
      <c r="A734" s="22" t="s">
        <v>1867</v>
      </c>
      <c r="B734" s="33" t="str">
        <f>IFERROR(INDEX(Recipes!$B$2:$B$500,MATCH(A734,Recipes!$A$2:$A$500,0)),"")</f>
        <v>Israeli Breakfast Plate</v>
      </c>
      <c r="C734" s="7" t="s">
        <v>213</v>
      </c>
      <c r="D734" s="34">
        <v>1</v>
      </c>
      <c r="E734" s="22" t="s">
        <v>2754</v>
      </c>
      <c r="F734" s="22" t="s">
        <v>212</v>
      </c>
      <c r="G734" s="22" t="s">
        <v>2755</v>
      </c>
      <c r="H734" s="7" t="s">
        <v>2912</v>
      </c>
      <c r="I734" s="35">
        <v>67</v>
      </c>
      <c r="J734" s="30">
        <f>IF(OR($F734="",$I734=""),0,IFERROR(INDEX(Nutrition!$D$2:$D$300,MATCH($F734,Nutrition!$A$2:$A$300,0))*$I734/100,0))</f>
        <v>1.8759999999999999</v>
      </c>
      <c r="K734" s="30">
        <f>IF(OR($F734="",$I734=""),0,IFERROR(INDEX(Nutrition!$E$2:$E$300,MATCH($F734,Nutrition!$A$2:$A$300,0))*$I734/100,0))</f>
        <v>19.497</v>
      </c>
      <c r="L734" s="30">
        <f>IF(OR($F734="",$I734=""),0,IFERROR(INDEX(Nutrition!$F$2:$F$300,MATCH($F734,Nutrition!$A$2:$A$300,0))*$I734/100,0))</f>
        <v>1.34</v>
      </c>
      <c r="M734" s="30">
        <f>IF(OR($F734="",$I734=""),0,IFERROR(INDEX(Nutrition!$G$2:$G$300,MATCH($F734,Nutrition!$A$2:$A$300,0))*$I734/100,0))</f>
        <v>0.40199999999999997</v>
      </c>
      <c r="N734" s="30">
        <f>IF(OR($F734="",$I734=""),0,IFERROR(INDEX(Nutrition!$H$2:$H$300,MATCH($F734,Nutrition!$A$2:$A$300,0))*$I734/100,0))</f>
        <v>5.36</v>
      </c>
      <c r="O734" s="30">
        <f>IF(OR($F734="",$I734=""),0,IFERROR(INDEX(Nutrition!$I$2:$I$300,MATCH($F734,Nutrition!$A$2:$A$300,0))*$I734/100,0))</f>
        <v>68.34</v>
      </c>
      <c r="P734" s="30">
        <f>IF(OR($F734="",$I734=""),0,IFERROR(INDEX(Nutrition!$J$2:$J$300,MATCH($F734,Nutrition!$A$2:$A$300,0))*$I734/100,0))</f>
        <v>0.1474</v>
      </c>
      <c r="Q734" s="30">
        <f>IF(OR($F734="",$I734=""),0,IFERROR(INDEX(Nutrition!$K$2:$K$300,MATCH($F734,Nutrition!$A$2:$A$300,0))*$I734/100,0))</f>
        <v>2.8809999999999999E-2</v>
      </c>
      <c r="R734" s="30">
        <f>IF(OR($F734="",$I734=""),0,IFERROR(INDEX(Nutrition!$L$2:$L$300,MATCH($F734,Nutrition!$A$2:$A$300,0))*$I734/100,0))</f>
        <v>4.0199999999999996</v>
      </c>
      <c r="S734" s="30">
        <f>IF(OR($F734="",$I734=""),0,IFERROR(INDEX(Nutrition!$M$2:$M$300,MATCH($F734,Nutrition!$A$2:$A$300,0))*$I734/100,0))</f>
        <v>0.40199999999999997</v>
      </c>
    </row>
    <row r="735" spans="1:19" ht="15" customHeight="1" x14ac:dyDescent="0.25">
      <c r="A735" s="22" t="s">
        <v>1867</v>
      </c>
      <c r="B735" s="33" t="str">
        <f>IFERROR(INDEX(Recipes!$B$2:$B$500,MATCH(A735,Recipes!$A$2:$A$500,0)),"")</f>
        <v>Israeli Breakfast Plate</v>
      </c>
      <c r="C735" s="7" t="s">
        <v>2767</v>
      </c>
      <c r="D735" s="34">
        <v>4</v>
      </c>
      <c r="E735" s="22" t="s">
        <v>2754</v>
      </c>
      <c r="F735" s="22"/>
      <c r="G735" s="22" t="s">
        <v>2768</v>
      </c>
      <c r="H735" s="7"/>
      <c r="I735" s="35"/>
      <c r="J735" s="30">
        <f>IF(OR($F735="",$I735=""),0,IFERROR(INDEX(Nutrition!$D$2:$D$300,MATCH($F735,Nutrition!$A$2:$A$300,0))*$I735/100,0))</f>
        <v>0</v>
      </c>
      <c r="K735" s="30">
        <f>IF(OR($F735="",$I735=""),0,IFERROR(INDEX(Nutrition!$E$2:$E$300,MATCH($F735,Nutrition!$A$2:$A$300,0))*$I735/100,0))</f>
        <v>0</v>
      </c>
      <c r="L735" s="30">
        <f>IF(OR($F735="",$I735=""),0,IFERROR(INDEX(Nutrition!$F$2:$F$300,MATCH($F735,Nutrition!$A$2:$A$300,0))*$I735/100,0))</f>
        <v>0</v>
      </c>
      <c r="M735" s="30">
        <f>IF(OR($F735="",$I735=""),0,IFERROR(INDEX(Nutrition!$G$2:$G$300,MATCH($F735,Nutrition!$A$2:$A$300,0))*$I735/100,0))</f>
        <v>0</v>
      </c>
      <c r="N735" s="30">
        <f>IF(OR($F735="",$I735=""),0,IFERROR(INDEX(Nutrition!$H$2:$H$300,MATCH($F735,Nutrition!$A$2:$A$300,0))*$I735/100,0))</f>
        <v>0</v>
      </c>
      <c r="O735" s="30">
        <f>IF(OR($F735="",$I735=""),0,IFERROR(INDEX(Nutrition!$I$2:$I$300,MATCH($F735,Nutrition!$A$2:$A$300,0))*$I735/100,0))</f>
        <v>0</v>
      </c>
      <c r="P735" s="30">
        <f>IF(OR($F735="",$I735=""),0,IFERROR(INDEX(Nutrition!$J$2:$J$300,MATCH($F735,Nutrition!$A$2:$A$300,0))*$I735/100,0))</f>
        <v>0</v>
      </c>
      <c r="Q735" s="30">
        <f>IF(OR($F735="",$I735=""),0,IFERROR(INDEX(Nutrition!$K$2:$K$300,MATCH($F735,Nutrition!$A$2:$A$300,0))*$I735/100,0))</f>
        <v>0</v>
      </c>
      <c r="R735" s="30">
        <f>IF(OR($F735="",$I735=""),0,IFERROR(INDEX(Nutrition!$L$2:$L$300,MATCH($F735,Nutrition!$A$2:$A$300,0))*$I735/100,0))</f>
        <v>0</v>
      </c>
      <c r="S735" s="30">
        <f>IF(OR($F735="",$I735=""),0,IFERROR(INDEX(Nutrition!$M$2:$M$300,MATCH($F735,Nutrition!$A$2:$A$300,0))*$I735/100,0))</f>
        <v>0</v>
      </c>
    </row>
    <row r="736" spans="1:19" ht="15" customHeight="1" x14ac:dyDescent="0.25">
      <c r="A736" s="22" t="s">
        <v>1867</v>
      </c>
      <c r="B736" s="33" t="str">
        <f>IFERROR(INDEX(Recipes!$B$2:$B$500,MATCH(A736,Recipes!$A$2:$A$500,0)),"")</f>
        <v>Israeli Breakfast Plate</v>
      </c>
      <c r="C736" s="7" t="s">
        <v>2930</v>
      </c>
      <c r="D736" s="34">
        <v>4</v>
      </c>
      <c r="E736" s="22" t="s">
        <v>2753</v>
      </c>
      <c r="F736" s="22"/>
      <c r="G736" s="22" t="s">
        <v>2749</v>
      </c>
      <c r="H736" s="7"/>
      <c r="I736" s="35"/>
      <c r="J736" s="30">
        <f>IF(OR($F736="",$I736=""),0,IFERROR(INDEX(Nutrition!$D$2:$D$300,MATCH($F736,Nutrition!$A$2:$A$300,0))*$I736/100,0))</f>
        <v>0</v>
      </c>
      <c r="K736" s="30">
        <f>IF(OR($F736="",$I736=""),0,IFERROR(INDEX(Nutrition!$E$2:$E$300,MATCH($F736,Nutrition!$A$2:$A$300,0))*$I736/100,0))</f>
        <v>0</v>
      </c>
      <c r="L736" s="30">
        <f>IF(OR($F736="",$I736=""),0,IFERROR(INDEX(Nutrition!$F$2:$F$300,MATCH($F736,Nutrition!$A$2:$A$300,0))*$I736/100,0))</f>
        <v>0</v>
      </c>
      <c r="M736" s="30">
        <f>IF(OR($F736="",$I736=""),0,IFERROR(INDEX(Nutrition!$G$2:$G$300,MATCH($F736,Nutrition!$A$2:$A$300,0))*$I736/100,0))</f>
        <v>0</v>
      </c>
      <c r="N736" s="30">
        <f>IF(OR($F736="",$I736=""),0,IFERROR(INDEX(Nutrition!$H$2:$H$300,MATCH($F736,Nutrition!$A$2:$A$300,0))*$I736/100,0))</f>
        <v>0</v>
      </c>
      <c r="O736" s="30">
        <f>IF(OR($F736="",$I736=""),0,IFERROR(INDEX(Nutrition!$I$2:$I$300,MATCH($F736,Nutrition!$A$2:$A$300,0))*$I736/100,0))</f>
        <v>0</v>
      </c>
      <c r="P736" s="30">
        <f>IF(OR($F736="",$I736=""),0,IFERROR(INDEX(Nutrition!$J$2:$J$300,MATCH($F736,Nutrition!$A$2:$A$300,0))*$I736/100,0))</f>
        <v>0</v>
      </c>
      <c r="Q736" s="30">
        <f>IF(OR($F736="",$I736=""),0,IFERROR(INDEX(Nutrition!$K$2:$K$300,MATCH($F736,Nutrition!$A$2:$A$300,0))*$I736/100,0))</f>
        <v>0</v>
      </c>
      <c r="R736" s="30">
        <f>IF(OR($F736="",$I736=""),0,IFERROR(INDEX(Nutrition!$L$2:$L$300,MATCH($F736,Nutrition!$A$2:$A$300,0))*$I736/100,0))</f>
        <v>0</v>
      </c>
      <c r="S736" s="30">
        <f>IF(OR($F736="",$I736=""),0,IFERROR(INDEX(Nutrition!$M$2:$M$300,MATCH($F736,Nutrition!$A$2:$A$300,0))*$I736/100,0))</f>
        <v>0</v>
      </c>
    </row>
    <row r="737" spans="1:19" ht="15" customHeight="1" x14ac:dyDescent="0.25">
      <c r="A737" s="22" t="s">
        <v>1867</v>
      </c>
      <c r="B737" s="33" t="str">
        <f>IFERROR(INDEX(Recipes!$B$2:$B$500,MATCH(A737,Recipes!$A$2:$A$500,0)),"")</f>
        <v>Israeli Breakfast Plate</v>
      </c>
      <c r="C737" s="7" t="s">
        <v>2805</v>
      </c>
      <c r="D737" s="34">
        <v>3</v>
      </c>
      <c r="E737" s="22" t="s">
        <v>2753</v>
      </c>
      <c r="F737" s="22"/>
      <c r="G737" s="22" t="s">
        <v>2773</v>
      </c>
      <c r="H737" s="7"/>
      <c r="I737" s="35"/>
      <c r="J737" s="30">
        <f>IF(OR($F737="",$I737=""),0,IFERROR(INDEX(Nutrition!$D$2:$D$300,MATCH($F737,Nutrition!$A$2:$A$300,0))*$I737/100,0))</f>
        <v>0</v>
      </c>
      <c r="K737" s="30">
        <f>IF(OR($F737="",$I737=""),0,IFERROR(INDEX(Nutrition!$E$2:$E$300,MATCH($F737,Nutrition!$A$2:$A$300,0))*$I737/100,0))</f>
        <v>0</v>
      </c>
      <c r="L737" s="30">
        <f>IF(OR($F737="",$I737=""),0,IFERROR(INDEX(Nutrition!$F$2:$F$300,MATCH($F737,Nutrition!$A$2:$A$300,0))*$I737/100,0))</f>
        <v>0</v>
      </c>
      <c r="M737" s="30">
        <f>IF(OR($F737="",$I737=""),0,IFERROR(INDEX(Nutrition!$G$2:$G$300,MATCH($F737,Nutrition!$A$2:$A$300,0))*$I737/100,0))</f>
        <v>0</v>
      </c>
      <c r="N737" s="30">
        <f>IF(OR($F737="",$I737=""),0,IFERROR(INDEX(Nutrition!$H$2:$H$300,MATCH($F737,Nutrition!$A$2:$A$300,0))*$I737/100,0))</f>
        <v>0</v>
      </c>
      <c r="O737" s="30">
        <f>IF(OR($F737="",$I737=""),0,IFERROR(INDEX(Nutrition!$I$2:$I$300,MATCH($F737,Nutrition!$A$2:$A$300,0))*$I737/100,0))</f>
        <v>0</v>
      </c>
      <c r="P737" s="30">
        <f>IF(OR($F737="",$I737=""),0,IFERROR(INDEX(Nutrition!$J$2:$J$300,MATCH($F737,Nutrition!$A$2:$A$300,0))*$I737/100,0))</f>
        <v>0</v>
      </c>
      <c r="Q737" s="30">
        <f>IF(OR($F737="",$I737=""),0,IFERROR(INDEX(Nutrition!$K$2:$K$300,MATCH($F737,Nutrition!$A$2:$A$300,0))*$I737/100,0))</f>
        <v>0</v>
      </c>
      <c r="R737" s="30">
        <f>IF(OR($F737="",$I737=""),0,IFERROR(INDEX(Nutrition!$L$2:$L$300,MATCH($F737,Nutrition!$A$2:$A$300,0))*$I737/100,0))</f>
        <v>0</v>
      </c>
      <c r="S737" s="30">
        <f>IF(OR($F737="",$I737=""),0,IFERROR(INDEX(Nutrition!$M$2:$M$300,MATCH($F737,Nutrition!$A$2:$A$300,0))*$I737/100,0))</f>
        <v>0</v>
      </c>
    </row>
    <row r="738" spans="1:19" ht="15" customHeight="1" x14ac:dyDescent="0.25">
      <c r="A738" s="22" t="s">
        <v>1867</v>
      </c>
      <c r="B738" s="33" t="str">
        <f>IFERROR(INDEX(Recipes!$B$2:$B$500,MATCH(A738,Recipes!$A$2:$A$500,0)),"")</f>
        <v>Israeli Breakfast Plate</v>
      </c>
      <c r="C738" s="7" t="s">
        <v>2906</v>
      </c>
      <c r="D738" s="34">
        <v>1</v>
      </c>
      <c r="E738" s="22" t="s">
        <v>2782</v>
      </c>
      <c r="F738" s="22"/>
      <c r="G738" s="22" t="s">
        <v>2773</v>
      </c>
      <c r="H738" s="7"/>
      <c r="I738" s="35"/>
      <c r="J738" s="30">
        <f>IF(OR($F738="",$I738=""),0,IFERROR(INDEX(Nutrition!$D$2:$D$300,MATCH($F738,Nutrition!$A$2:$A$300,0))*$I738/100,0))</f>
        <v>0</v>
      </c>
      <c r="K738" s="30">
        <f>IF(OR($F738="",$I738=""),0,IFERROR(INDEX(Nutrition!$E$2:$E$300,MATCH($F738,Nutrition!$A$2:$A$300,0))*$I738/100,0))</f>
        <v>0</v>
      </c>
      <c r="L738" s="30">
        <f>IF(OR($F738="",$I738=""),0,IFERROR(INDEX(Nutrition!$F$2:$F$300,MATCH($F738,Nutrition!$A$2:$A$300,0))*$I738/100,0))</f>
        <v>0</v>
      </c>
      <c r="M738" s="30">
        <f>IF(OR($F738="",$I738=""),0,IFERROR(INDEX(Nutrition!$G$2:$G$300,MATCH($F738,Nutrition!$A$2:$A$300,0))*$I738/100,0))</f>
        <v>0</v>
      </c>
      <c r="N738" s="30">
        <f>IF(OR($F738="",$I738=""),0,IFERROR(INDEX(Nutrition!$H$2:$H$300,MATCH($F738,Nutrition!$A$2:$A$300,0))*$I738/100,0))</f>
        <v>0</v>
      </c>
      <c r="O738" s="30">
        <f>IF(OR($F738="",$I738=""),0,IFERROR(INDEX(Nutrition!$I$2:$I$300,MATCH($F738,Nutrition!$A$2:$A$300,0))*$I738/100,0))</f>
        <v>0</v>
      </c>
      <c r="P738" s="30">
        <f>IF(OR($F738="",$I738=""),0,IFERROR(INDEX(Nutrition!$J$2:$J$300,MATCH($F738,Nutrition!$A$2:$A$300,0))*$I738/100,0))</f>
        <v>0</v>
      </c>
      <c r="Q738" s="30">
        <f>IF(OR($F738="",$I738=""),0,IFERROR(INDEX(Nutrition!$K$2:$K$300,MATCH($F738,Nutrition!$A$2:$A$300,0))*$I738/100,0))</f>
        <v>0</v>
      </c>
      <c r="R738" s="30">
        <f>IF(OR($F738="",$I738=""),0,IFERROR(INDEX(Nutrition!$L$2:$L$300,MATCH($F738,Nutrition!$A$2:$A$300,0))*$I738/100,0))</f>
        <v>0</v>
      </c>
      <c r="S738" s="30">
        <f>IF(OR($F738="",$I738=""),0,IFERROR(INDEX(Nutrition!$M$2:$M$300,MATCH($F738,Nutrition!$A$2:$A$300,0))*$I738/100,0))</f>
        <v>0</v>
      </c>
    </row>
    <row r="739" spans="1:19" ht="15" customHeight="1" x14ac:dyDescent="0.25">
      <c r="A739" s="22" t="s">
        <v>1879</v>
      </c>
      <c r="B739" s="33" t="str">
        <f>IFERROR(INDEX(Recipes!$B$2:$B$500,MATCH(A739,Recipes!$A$2:$A$500,0)),"")</f>
        <v>Kachumbari Eggs</v>
      </c>
      <c r="C739" s="7" t="s">
        <v>446</v>
      </c>
      <c r="D739" s="34">
        <v>2</v>
      </c>
      <c r="E739" s="22" t="s">
        <v>2754</v>
      </c>
      <c r="F739" s="22" t="s">
        <v>445</v>
      </c>
      <c r="G739" s="22" t="s">
        <v>2755</v>
      </c>
      <c r="H739" s="7" t="s">
        <v>2771</v>
      </c>
      <c r="I739" s="35">
        <v>124</v>
      </c>
      <c r="J739" s="30">
        <f>IF(OR($F739="",$I739=""),0,IFERROR(INDEX(Nutrition!$D$2:$D$300,MATCH($F739,Nutrition!$A$2:$A$300,0))*$I739/100,0))</f>
        <v>1.4879999999999998</v>
      </c>
      <c r="K739" s="30">
        <f>IF(OR($F739="",$I739=""),0,IFERROR(INDEX(Nutrition!$E$2:$E$300,MATCH($F739,Nutrition!$A$2:$A$300,0))*$I739/100,0))</f>
        <v>16.988</v>
      </c>
      <c r="L739" s="30">
        <f>IF(OR($F739="",$I739=""),0,IFERROR(INDEX(Nutrition!$F$2:$F$300,MATCH($F739,Nutrition!$A$2:$A$300,0))*$I739/100,0))</f>
        <v>52.08</v>
      </c>
      <c r="M739" s="30">
        <f>IF(OR($F739="",$I739=""),0,IFERROR(INDEX(Nutrition!$G$2:$G$300,MATCH($F739,Nutrition!$A$2:$A$300,0))*$I739/100,0))</f>
        <v>9.7959999999999994</v>
      </c>
      <c r="N739" s="30">
        <f>IF(OR($F739="",$I739=""),0,IFERROR(INDEX(Nutrition!$H$2:$H$300,MATCH($F739,Nutrition!$A$2:$A$300,0))*$I739/100,0))</f>
        <v>18.600000000000001</v>
      </c>
      <c r="O739" s="30">
        <f>IF(OR($F739="",$I739=""),0,IFERROR(INDEX(Nutrition!$I$2:$I$300,MATCH($F739,Nutrition!$A$2:$A$300,0))*$I739/100,0))</f>
        <v>293.88</v>
      </c>
      <c r="P739" s="30">
        <f>IF(OR($F739="",$I739=""),0,IFERROR(INDEX(Nutrition!$J$2:$J$300,MATCH($F739,Nutrition!$A$2:$A$300,0))*$I739/100,0))</f>
        <v>0.66960000000000008</v>
      </c>
      <c r="Q739" s="30">
        <f>IF(OR($F739="",$I739=""),0,IFERROR(INDEX(Nutrition!$K$2:$K$300,MATCH($F739,Nutrition!$A$2:$A$300,0))*$I739/100,0))</f>
        <v>9.9199999999999997E-2</v>
      </c>
      <c r="R739" s="30">
        <f>IF(OR($F739="",$I739=""),0,IFERROR(INDEX(Nutrition!$L$2:$L$300,MATCH($F739,Nutrition!$A$2:$A$300,0))*$I739/100,0))</f>
        <v>13.64</v>
      </c>
      <c r="S739" s="30">
        <f>IF(OR($F739="",$I739=""),0,IFERROR(INDEX(Nutrition!$M$2:$M$300,MATCH($F739,Nutrition!$A$2:$A$300,0))*$I739/100,0))</f>
        <v>0.33480000000000004</v>
      </c>
    </row>
    <row r="740" spans="1:19" ht="15" customHeight="1" x14ac:dyDescent="0.25">
      <c r="A740" s="22" t="s">
        <v>1879</v>
      </c>
      <c r="B740" s="33" t="str">
        <f>IFERROR(INDEX(Recipes!$B$2:$B$500,MATCH(A740,Recipes!$A$2:$A$500,0)),"")</f>
        <v>Kachumbari Eggs</v>
      </c>
      <c r="C740" s="7" t="s">
        <v>482</v>
      </c>
      <c r="D740" s="34">
        <v>0.25</v>
      </c>
      <c r="E740" s="22" t="s">
        <v>2754</v>
      </c>
      <c r="F740" s="22" t="s">
        <v>481</v>
      </c>
      <c r="G740" s="22" t="s">
        <v>2755</v>
      </c>
      <c r="H740" s="7" t="s">
        <v>2931</v>
      </c>
      <c r="I740" s="35">
        <v>28</v>
      </c>
      <c r="J740" s="30">
        <f>IF(OR($F740="",$I740=""),0,IFERROR(INDEX(Nutrition!$D$2:$D$300,MATCH($F740,Nutrition!$A$2:$A$300,0))*$I740/100,0))</f>
        <v>0.47600000000000003</v>
      </c>
      <c r="K740" s="30">
        <f>IF(OR($F740="",$I740=""),0,IFERROR(INDEX(Nutrition!$E$2:$E$300,MATCH($F740,Nutrition!$A$2:$A$300,0))*$I740/100,0))</f>
        <v>2.0720000000000001</v>
      </c>
      <c r="L740" s="30">
        <f>IF(OR($F740="",$I740=""),0,IFERROR(INDEX(Nutrition!$F$2:$F$300,MATCH($F740,Nutrition!$A$2:$A$300,0))*$I740/100,0))</f>
        <v>0</v>
      </c>
      <c r="M740" s="30">
        <f>IF(OR($F740="",$I740=""),0,IFERROR(INDEX(Nutrition!$G$2:$G$300,MATCH($F740,Nutrition!$A$2:$A$300,0))*$I740/100,0))</f>
        <v>0.11200000000000002</v>
      </c>
      <c r="N740" s="30">
        <f>IF(OR($F740="",$I740=""),0,IFERROR(INDEX(Nutrition!$H$2:$H$300,MATCH($F740,Nutrition!$A$2:$A$300,0))*$I740/100,0))</f>
        <v>5.32</v>
      </c>
      <c r="O740" s="30">
        <f>IF(OR($F740="",$I740=""),0,IFERROR(INDEX(Nutrition!$I$2:$I$300,MATCH($F740,Nutrition!$A$2:$A$300,0))*$I740/100,0))</f>
        <v>40.880000000000003</v>
      </c>
      <c r="P740" s="30">
        <f>IF(OR($F740="",$I740=""),0,IFERROR(INDEX(Nutrition!$J$2:$J$300,MATCH($F740,Nutrition!$A$2:$A$300,0))*$I740/100,0))</f>
        <v>5.6000000000000008E-3</v>
      </c>
      <c r="Q740" s="30">
        <f>IF(OR($F740="",$I740=""),0,IFERROR(INDEX(Nutrition!$K$2:$K$300,MATCH($F740,Nutrition!$A$2:$A$300,0))*$I740/100,0))</f>
        <v>3.3599999999999998E-2</v>
      </c>
      <c r="R740" s="30">
        <f>IF(OR($F740="",$I740=""),0,IFERROR(INDEX(Nutrition!$L$2:$L$300,MATCH($F740,Nutrition!$A$2:$A$300,0))*$I740/100,0))</f>
        <v>2.8</v>
      </c>
      <c r="S740" s="30">
        <f>IF(OR($F740="",$I740=""),0,IFERROR(INDEX(Nutrition!$M$2:$M$300,MATCH($F740,Nutrition!$A$2:$A$300,0))*$I740/100,0))</f>
        <v>5.8799999999999998E-2</v>
      </c>
    </row>
    <row r="741" spans="1:19" ht="15" customHeight="1" x14ac:dyDescent="0.25">
      <c r="A741" s="22" t="s">
        <v>1879</v>
      </c>
      <c r="B741" s="33" t="str">
        <f>IFERROR(INDEX(Recipes!$B$2:$B$500,MATCH(A741,Recipes!$A$2:$A$500,0)),"")</f>
        <v>Kachumbari Eggs</v>
      </c>
      <c r="C741" s="7" t="s">
        <v>668</v>
      </c>
      <c r="D741" s="34">
        <v>1</v>
      </c>
      <c r="E741" s="22" t="s">
        <v>2809</v>
      </c>
      <c r="F741" s="22" t="s">
        <v>667</v>
      </c>
      <c r="G741" s="22" t="s">
        <v>2755</v>
      </c>
      <c r="H741" s="7" t="s">
        <v>2775</v>
      </c>
      <c r="I741" s="35">
        <v>30</v>
      </c>
      <c r="J741" s="30">
        <f>IF(OR($F741="",$I741=""),0,IFERROR(INDEX(Nutrition!$D$2:$D$300,MATCH($F741,Nutrition!$A$2:$A$300,0))*$I741/100,0))</f>
        <v>0.84</v>
      </c>
      <c r="K741" s="30">
        <f>IF(OR($F741="",$I741=""),0,IFERROR(INDEX(Nutrition!$E$2:$E$300,MATCH($F741,Nutrition!$A$2:$A$300,0))*$I741/100,0))</f>
        <v>8.1</v>
      </c>
      <c r="L741" s="30">
        <f>IF(OR($F741="",$I741=""),0,IFERROR(INDEX(Nutrition!$F$2:$F$300,MATCH($F741,Nutrition!$A$2:$A$300,0))*$I741/100,0))</f>
        <v>101.1</v>
      </c>
      <c r="M741" s="30">
        <f>IF(OR($F741="",$I741=""),0,IFERROR(INDEX(Nutrition!$G$2:$G$300,MATCH($F741,Nutrition!$A$2:$A$300,0))*$I741/100,0))</f>
        <v>93</v>
      </c>
      <c r="N741" s="30">
        <f>IF(OR($F741="",$I741=""),0,IFERROR(INDEX(Nutrition!$H$2:$H$300,MATCH($F741,Nutrition!$A$2:$A$300,0))*$I741/100,0))</f>
        <v>18.600000000000001</v>
      </c>
      <c r="O741" s="30">
        <f>IF(OR($F741="",$I741=""),0,IFERROR(INDEX(Nutrition!$I$2:$I$300,MATCH($F741,Nutrition!$A$2:$A$300,0))*$I741/100,0))</f>
        <v>156.30000000000001</v>
      </c>
      <c r="P741" s="30">
        <f>IF(OR($F741="",$I741=""),0,IFERROR(INDEX(Nutrition!$J$2:$J$300,MATCH($F741,Nutrition!$A$2:$A$300,0))*$I741/100,0))</f>
        <v>0.75</v>
      </c>
      <c r="Q741" s="30">
        <f>IF(OR($F741="",$I741=""),0,IFERROR(INDEX(Nutrition!$K$2:$K$300,MATCH($F741,Nutrition!$A$2:$A$300,0))*$I741/100,0))</f>
        <v>4.4699999999999997E-2</v>
      </c>
      <c r="R741" s="30">
        <f>IF(OR($F741="",$I741=""),0,IFERROR(INDEX(Nutrition!$L$2:$L$300,MATCH($F741,Nutrition!$A$2:$A$300,0))*$I741/100,0))</f>
        <v>7.8</v>
      </c>
      <c r="S741" s="30">
        <f>IF(OR($F741="",$I741=""),0,IFERROR(INDEX(Nutrition!$M$2:$M$300,MATCH($F741,Nutrition!$A$2:$A$300,0))*$I741/100,0))</f>
        <v>0.53100000000000003</v>
      </c>
    </row>
    <row r="742" spans="1:19" ht="15" customHeight="1" x14ac:dyDescent="0.25">
      <c r="A742" s="22" t="s">
        <v>1879</v>
      </c>
      <c r="B742" s="33" t="str">
        <f>IFERROR(INDEX(Recipes!$B$2:$B$500,MATCH(A742,Recipes!$A$2:$A$500,0)),"")</f>
        <v>Kachumbari Eggs</v>
      </c>
      <c r="C742" s="7" t="s">
        <v>478</v>
      </c>
      <c r="D742" s="34">
        <v>0.5</v>
      </c>
      <c r="E742" s="22" t="s">
        <v>2754</v>
      </c>
      <c r="F742" s="22" t="s">
        <v>477</v>
      </c>
      <c r="G742" s="22" t="s">
        <v>2755</v>
      </c>
      <c r="H742" s="7" t="s">
        <v>2903</v>
      </c>
      <c r="I742" s="35">
        <v>10</v>
      </c>
      <c r="J742" s="30">
        <f>IF(OR($F742="",$I742=""),0,IFERROR(INDEX(Nutrition!$D$2:$D$300,MATCH($F742,Nutrition!$A$2:$A$300,0))*$I742/100,0))</f>
        <v>0.15</v>
      </c>
      <c r="K742" s="30">
        <f>IF(OR($F742="",$I742=""),0,IFERROR(INDEX(Nutrition!$E$2:$E$300,MATCH($F742,Nutrition!$A$2:$A$300,0))*$I742/100,0))</f>
        <v>14.37</v>
      </c>
      <c r="L742" s="30">
        <f>IF(OR($F742="",$I742=""),0,IFERROR(INDEX(Nutrition!$F$2:$F$300,MATCH($F742,Nutrition!$A$2:$A$300,0))*$I742/100,0))</f>
        <v>4.8</v>
      </c>
      <c r="M742" s="30">
        <f>IF(OR($F742="",$I742=""),0,IFERROR(INDEX(Nutrition!$G$2:$G$300,MATCH($F742,Nutrition!$A$2:$A$300,0))*$I742/100,0))</f>
        <v>1.4</v>
      </c>
      <c r="N742" s="30">
        <f>IF(OR($F742="",$I742=""),0,IFERROR(INDEX(Nutrition!$H$2:$H$300,MATCH($F742,Nutrition!$A$2:$A$300,0))*$I742/100,0))</f>
        <v>2.2999999999999998</v>
      </c>
      <c r="O742" s="30">
        <f>IF(OR($F742="",$I742=""),0,IFERROR(INDEX(Nutrition!$I$2:$I$300,MATCH($F742,Nutrition!$A$2:$A$300,0))*$I742/100,0))</f>
        <v>32.200000000000003</v>
      </c>
      <c r="P742" s="30">
        <f>IF(OR($F742="",$I742=""),0,IFERROR(INDEX(Nutrition!$J$2:$J$300,MATCH($F742,Nutrition!$A$2:$A$300,0))*$I742/100,0))</f>
        <v>6.8999999999999992E-2</v>
      </c>
      <c r="Q742" s="30">
        <f>IF(OR($F742="",$I742=""),0,IFERROR(INDEX(Nutrition!$K$2:$K$300,MATCH($F742,Nutrition!$A$2:$A$300,0))*$I742/100,0))</f>
        <v>5.0600000000000006E-2</v>
      </c>
      <c r="R742" s="30">
        <f>IF(OR($F742="",$I742=""),0,IFERROR(INDEX(Nutrition!$L$2:$L$300,MATCH($F742,Nutrition!$A$2:$A$300,0))*$I742/100,0))</f>
        <v>2.2999999999999998</v>
      </c>
      <c r="S742" s="30">
        <f>IF(OR($F742="",$I742=""),0,IFERROR(INDEX(Nutrition!$M$2:$M$300,MATCH($F742,Nutrition!$A$2:$A$300,0))*$I742/100,0))</f>
        <v>0.10300000000000001</v>
      </c>
    </row>
    <row r="743" spans="1:19" ht="15" customHeight="1" x14ac:dyDescent="0.25">
      <c r="A743" s="22" t="s">
        <v>1879</v>
      </c>
      <c r="B743" s="33" t="str">
        <f>IFERROR(INDEX(Recipes!$B$2:$B$500,MATCH(A743,Recipes!$A$2:$A$500,0)),"")</f>
        <v>Kachumbari Eggs</v>
      </c>
      <c r="C743" s="7" t="s">
        <v>213</v>
      </c>
      <c r="D743" s="34">
        <v>0.5</v>
      </c>
      <c r="E743" s="22" t="s">
        <v>2754</v>
      </c>
      <c r="F743" s="22" t="s">
        <v>212</v>
      </c>
      <c r="G743" s="22" t="s">
        <v>2755</v>
      </c>
      <c r="H743" s="7" t="s">
        <v>2912</v>
      </c>
      <c r="I743" s="35">
        <v>34</v>
      </c>
      <c r="J743" s="30">
        <f>IF(OR($F743="",$I743=""),0,IFERROR(INDEX(Nutrition!$D$2:$D$300,MATCH($F743,Nutrition!$A$2:$A$300,0))*$I743/100,0))</f>
        <v>0.95199999999999985</v>
      </c>
      <c r="K743" s="30">
        <f>IF(OR($F743="",$I743=""),0,IFERROR(INDEX(Nutrition!$E$2:$E$300,MATCH($F743,Nutrition!$A$2:$A$300,0))*$I743/100,0))</f>
        <v>9.8940000000000001</v>
      </c>
      <c r="L743" s="30">
        <f>IF(OR($F743="",$I743=""),0,IFERROR(INDEX(Nutrition!$F$2:$F$300,MATCH($F743,Nutrition!$A$2:$A$300,0))*$I743/100,0))</f>
        <v>0.68</v>
      </c>
      <c r="M743" s="30">
        <f>IF(OR($F743="",$I743=""),0,IFERROR(INDEX(Nutrition!$G$2:$G$300,MATCH($F743,Nutrition!$A$2:$A$300,0))*$I743/100,0))</f>
        <v>0.20399999999999999</v>
      </c>
      <c r="N743" s="30">
        <f>IF(OR($F743="",$I743=""),0,IFERROR(INDEX(Nutrition!$H$2:$H$300,MATCH($F743,Nutrition!$A$2:$A$300,0))*$I743/100,0))</f>
        <v>2.72</v>
      </c>
      <c r="O743" s="30">
        <f>IF(OR($F743="",$I743=""),0,IFERROR(INDEX(Nutrition!$I$2:$I$300,MATCH($F743,Nutrition!$A$2:$A$300,0))*$I743/100,0))</f>
        <v>34.68</v>
      </c>
      <c r="P743" s="30">
        <f>IF(OR($F743="",$I743=""),0,IFERROR(INDEX(Nutrition!$J$2:$J$300,MATCH($F743,Nutrition!$A$2:$A$300,0))*$I743/100,0))</f>
        <v>7.4800000000000005E-2</v>
      </c>
      <c r="Q743" s="30">
        <f>IF(OR($F743="",$I743=""),0,IFERROR(INDEX(Nutrition!$K$2:$K$300,MATCH($F743,Nutrition!$A$2:$A$300,0))*$I743/100,0))</f>
        <v>1.4619999999999999E-2</v>
      </c>
      <c r="R743" s="30">
        <f>IF(OR($F743="",$I743=""),0,IFERROR(INDEX(Nutrition!$L$2:$L$300,MATCH($F743,Nutrition!$A$2:$A$300,0))*$I743/100,0))</f>
        <v>2.04</v>
      </c>
      <c r="S743" s="30">
        <f>IF(OR($F743="",$I743=""),0,IFERROR(INDEX(Nutrition!$M$2:$M$300,MATCH($F743,Nutrition!$A$2:$A$300,0))*$I743/100,0))</f>
        <v>0.20399999999999999</v>
      </c>
    </row>
    <row r="744" spans="1:19" ht="15" customHeight="1" x14ac:dyDescent="0.25">
      <c r="A744" s="22" t="s">
        <v>1879</v>
      </c>
      <c r="B744" s="33" t="str">
        <f>IFERROR(INDEX(Recipes!$B$2:$B$500,MATCH(A744,Recipes!$A$2:$A$500,0)),"")</f>
        <v>Kachumbari Eggs</v>
      </c>
      <c r="C744" s="7" t="s">
        <v>2767</v>
      </c>
      <c r="D744" s="34">
        <v>4</v>
      </c>
      <c r="E744" s="22" t="s">
        <v>2754</v>
      </c>
      <c r="F744" s="22"/>
      <c r="G744" s="22" t="s">
        <v>2768</v>
      </c>
      <c r="H744" s="7"/>
      <c r="I744" s="35"/>
      <c r="J744" s="30">
        <f>IF(OR($F744="",$I744=""),0,IFERROR(INDEX(Nutrition!$D$2:$D$300,MATCH($F744,Nutrition!$A$2:$A$300,0))*$I744/100,0))</f>
        <v>0</v>
      </c>
      <c r="K744" s="30">
        <f>IF(OR($F744="",$I744=""),0,IFERROR(INDEX(Nutrition!$E$2:$E$300,MATCH($F744,Nutrition!$A$2:$A$300,0))*$I744/100,0))</f>
        <v>0</v>
      </c>
      <c r="L744" s="30">
        <f>IF(OR($F744="",$I744=""),0,IFERROR(INDEX(Nutrition!$F$2:$F$300,MATCH($F744,Nutrition!$A$2:$A$300,0))*$I744/100,0))</f>
        <v>0</v>
      </c>
      <c r="M744" s="30">
        <f>IF(OR($F744="",$I744=""),0,IFERROR(INDEX(Nutrition!$G$2:$G$300,MATCH($F744,Nutrition!$A$2:$A$300,0))*$I744/100,0))</f>
        <v>0</v>
      </c>
      <c r="N744" s="30">
        <f>IF(OR($F744="",$I744=""),0,IFERROR(INDEX(Nutrition!$H$2:$H$300,MATCH($F744,Nutrition!$A$2:$A$300,0))*$I744/100,0))</f>
        <v>0</v>
      </c>
      <c r="O744" s="30">
        <f>IF(OR($F744="",$I744=""),0,IFERROR(INDEX(Nutrition!$I$2:$I$300,MATCH($F744,Nutrition!$A$2:$A$300,0))*$I744/100,0))</f>
        <v>0</v>
      </c>
      <c r="P744" s="30">
        <f>IF(OR($F744="",$I744=""),0,IFERROR(INDEX(Nutrition!$J$2:$J$300,MATCH($F744,Nutrition!$A$2:$A$300,0))*$I744/100,0))</f>
        <v>0</v>
      </c>
      <c r="Q744" s="30">
        <f>IF(OR($F744="",$I744=""),0,IFERROR(INDEX(Nutrition!$K$2:$K$300,MATCH($F744,Nutrition!$A$2:$A$300,0))*$I744/100,0))</f>
        <v>0</v>
      </c>
      <c r="R744" s="30">
        <f>IF(OR($F744="",$I744=""),0,IFERROR(INDEX(Nutrition!$L$2:$L$300,MATCH($F744,Nutrition!$A$2:$A$300,0))*$I744/100,0))</f>
        <v>0</v>
      </c>
      <c r="S744" s="30">
        <f>IF(OR($F744="",$I744=""),0,IFERROR(INDEX(Nutrition!$M$2:$M$300,MATCH($F744,Nutrition!$A$2:$A$300,0))*$I744/100,0))</f>
        <v>0</v>
      </c>
    </row>
    <row r="745" spans="1:19" ht="15" customHeight="1" x14ac:dyDescent="0.25">
      <c r="A745" s="22" t="s">
        <v>1879</v>
      </c>
      <c r="B745" s="33" t="str">
        <f>IFERROR(INDEX(Recipes!$B$2:$B$500,MATCH(A745,Recipes!$A$2:$A$500,0)),"")</f>
        <v>Kachumbari Eggs</v>
      </c>
      <c r="C745" s="7" t="s">
        <v>2781</v>
      </c>
      <c r="D745" s="34">
        <v>1</v>
      </c>
      <c r="E745" s="22" t="s">
        <v>2782</v>
      </c>
      <c r="F745" s="22"/>
      <c r="G745" s="22" t="s">
        <v>2773</v>
      </c>
      <c r="H745" s="7"/>
      <c r="I745" s="35"/>
      <c r="J745" s="30">
        <f>IF(OR($F745="",$I745=""),0,IFERROR(INDEX(Nutrition!$D$2:$D$300,MATCH($F745,Nutrition!$A$2:$A$300,0))*$I745/100,0))</f>
        <v>0</v>
      </c>
      <c r="K745" s="30">
        <f>IF(OR($F745="",$I745=""),0,IFERROR(INDEX(Nutrition!$E$2:$E$300,MATCH($F745,Nutrition!$A$2:$A$300,0))*$I745/100,0))</f>
        <v>0</v>
      </c>
      <c r="L745" s="30">
        <f>IF(OR($F745="",$I745=""),0,IFERROR(INDEX(Nutrition!$F$2:$F$300,MATCH($F745,Nutrition!$A$2:$A$300,0))*$I745/100,0))</f>
        <v>0</v>
      </c>
      <c r="M745" s="30">
        <f>IF(OR($F745="",$I745=""),0,IFERROR(INDEX(Nutrition!$G$2:$G$300,MATCH($F745,Nutrition!$A$2:$A$300,0))*$I745/100,0))</f>
        <v>0</v>
      </c>
      <c r="N745" s="30">
        <f>IF(OR($F745="",$I745=""),0,IFERROR(INDEX(Nutrition!$H$2:$H$300,MATCH($F745,Nutrition!$A$2:$A$300,0))*$I745/100,0))</f>
        <v>0</v>
      </c>
      <c r="O745" s="30">
        <f>IF(OR($F745="",$I745=""),0,IFERROR(INDEX(Nutrition!$I$2:$I$300,MATCH($F745,Nutrition!$A$2:$A$300,0))*$I745/100,0))</f>
        <v>0</v>
      </c>
      <c r="P745" s="30">
        <f>IF(OR($F745="",$I745=""),0,IFERROR(INDEX(Nutrition!$J$2:$J$300,MATCH($F745,Nutrition!$A$2:$A$300,0))*$I745/100,0))</f>
        <v>0</v>
      </c>
      <c r="Q745" s="30">
        <f>IF(OR($F745="",$I745=""),0,IFERROR(INDEX(Nutrition!$K$2:$K$300,MATCH($F745,Nutrition!$A$2:$A$300,0))*$I745/100,0))</f>
        <v>0</v>
      </c>
      <c r="R745" s="30">
        <f>IF(OR($F745="",$I745=""),0,IFERROR(INDEX(Nutrition!$L$2:$L$300,MATCH($F745,Nutrition!$A$2:$A$300,0))*$I745/100,0))</f>
        <v>0</v>
      </c>
      <c r="S745" s="30">
        <f>IF(OR($F745="",$I745=""),0,IFERROR(INDEX(Nutrition!$M$2:$M$300,MATCH($F745,Nutrition!$A$2:$A$300,0))*$I745/100,0))</f>
        <v>0</v>
      </c>
    </row>
    <row r="746" spans="1:19" ht="15" customHeight="1" x14ac:dyDescent="0.25">
      <c r="A746" s="22" t="s">
        <v>1890</v>
      </c>
      <c r="B746" s="33" t="str">
        <f>IFERROR(INDEX(Recipes!$B$2:$B$500,MATCH(A746,Recipes!$A$2:$A$500,0)),"")</f>
        <v>Chunky Vegetable Stew (Ata Dindin Style)</v>
      </c>
      <c r="C746" s="7" t="s">
        <v>462</v>
      </c>
      <c r="D746" s="34">
        <v>4</v>
      </c>
      <c r="E746" s="22" t="s">
        <v>2754</v>
      </c>
      <c r="F746" s="22" t="s">
        <v>461</v>
      </c>
      <c r="G746" s="22" t="s">
        <v>2755</v>
      </c>
      <c r="H746" s="7" t="s">
        <v>2932</v>
      </c>
      <c r="I746" s="35">
        <v>476</v>
      </c>
      <c r="J746" s="30">
        <f>IF(OR($F746="",$I746=""),0,IFERROR(INDEX(Nutrition!$D$2:$D$300,MATCH($F746,Nutrition!$A$2:$A$300,0))*$I746/100,0))</f>
        <v>9.9960000000000004</v>
      </c>
      <c r="K746" s="30">
        <f>IF(OR($F746="",$I746=""),0,IFERROR(INDEX(Nutrition!$E$2:$E$300,MATCH($F746,Nutrition!$A$2:$A$300,0))*$I746/100,0))</f>
        <v>607.85200000000009</v>
      </c>
      <c r="L746" s="30">
        <f>IF(OR($F746="",$I746=""),0,IFERROR(INDEX(Nutrition!$F$2:$F$300,MATCH($F746,Nutrition!$A$2:$A$300,0))*$I746/100,0))</f>
        <v>747.32</v>
      </c>
      <c r="M746" s="30">
        <f>IF(OR($F746="",$I746=""),0,IFERROR(INDEX(Nutrition!$G$2:$G$300,MATCH($F746,Nutrition!$A$2:$A$300,0))*$I746/100,0))</f>
        <v>23.324000000000002</v>
      </c>
      <c r="N746" s="30">
        <f>IF(OR($F746="",$I746=""),0,IFERROR(INDEX(Nutrition!$H$2:$H$300,MATCH($F746,Nutrition!$A$2:$A$300,0))*$I746/100,0))</f>
        <v>218.96</v>
      </c>
      <c r="O746" s="30">
        <f>IF(OR($F746="",$I746=""),0,IFERROR(INDEX(Nutrition!$I$2:$I$300,MATCH($F746,Nutrition!$A$2:$A$300,0))*$I746/100,0))</f>
        <v>1004.36</v>
      </c>
      <c r="P746" s="30">
        <f>IF(OR($F746="",$I746=""),0,IFERROR(INDEX(Nutrition!$J$2:$J$300,MATCH($F746,Nutrition!$A$2:$A$300,0))*$I746/100,0))</f>
        <v>7.5208000000000004</v>
      </c>
      <c r="Q746" s="30">
        <f>IF(OR($F746="",$I746=""),0,IFERROR(INDEX(Nutrition!$K$2:$K$300,MATCH($F746,Nutrition!$A$2:$A$300,0))*$I746/100,0))</f>
        <v>1.3851599999999999</v>
      </c>
      <c r="R746" s="30">
        <f>IF(OR($F746="",$I746=""),0,IFERROR(INDEX(Nutrition!$L$2:$L$300,MATCH($F746,Nutrition!$A$2:$A$300,0))*$I746/100,0))</f>
        <v>57.12</v>
      </c>
      <c r="S746" s="30">
        <f>IF(OR($F746="",$I746=""),0,IFERROR(INDEX(Nutrition!$M$2:$M$300,MATCH($F746,Nutrition!$A$2:$A$300,0))*$I746/100,0))</f>
        <v>2.0468000000000002</v>
      </c>
    </row>
    <row r="747" spans="1:19" ht="15" customHeight="1" x14ac:dyDescent="0.25">
      <c r="A747" s="22" t="s">
        <v>1890</v>
      </c>
      <c r="B747" s="33" t="str">
        <f>IFERROR(INDEX(Recipes!$B$2:$B$500,MATCH(A747,Recipes!$A$2:$A$500,0)),"")</f>
        <v>Chunky Vegetable Stew (Ata Dindin Style)</v>
      </c>
      <c r="C747" s="7" t="s">
        <v>446</v>
      </c>
      <c r="D747" s="34">
        <v>3</v>
      </c>
      <c r="E747" s="22" t="s">
        <v>2754</v>
      </c>
      <c r="F747" s="22" t="s">
        <v>445</v>
      </c>
      <c r="G747" s="22" t="s">
        <v>2755</v>
      </c>
      <c r="H747" s="7" t="s">
        <v>2933</v>
      </c>
      <c r="I747" s="35">
        <v>186</v>
      </c>
      <c r="J747" s="30">
        <f>IF(OR($F747="",$I747=""),0,IFERROR(INDEX(Nutrition!$D$2:$D$300,MATCH($F747,Nutrition!$A$2:$A$300,0))*$I747/100,0))</f>
        <v>2.2319999999999998</v>
      </c>
      <c r="K747" s="30">
        <f>IF(OR($F747="",$I747=""),0,IFERROR(INDEX(Nutrition!$E$2:$E$300,MATCH($F747,Nutrition!$A$2:$A$300,0))*$I747/100,0))</f>
        <v>25.481999999999999</v>
      </c>
      <c r="L747" s="30">
        <f>IF(OR($F747="",$I747=""),0,IFERROR(INDEX(Nutrition!$F$2:$F$300,MATCH($F747,Nutrition!$A$2:$A$300,0))*$I747/100,0))</f>
        <v>78.12</v>
      </c>
      <c r="M747" s="30">
        <f>IF(OR($F747="",$I747=""),0,IFERROR(INDEX(Nutrition!$G$2:$G$300,MATCH($F747,Nutrition!$A$2:$A$300,0))*$I747/100,0))</f>
        <v>14.694000000000001</v>
      </c>
      <c r="N747" s="30">
        <f>IF(OR($F747="",$I747=""),0,IFERROR(INDEX(Nutrition!$H$2:$H$300,MATCH($F747,Nutrition!$A$2:$A$300,0))*$I747/100,0))</f>
        <v>27.9</v>
      </c>
      <c r="O747" s="30">
        <f>IF(OR($F747="",$I747=""),0,IFERROR(INDEX(Nutrition!$I$2:$I$300,MATCH($F747,Nutrition!$A$2:$A$300,0))*$I747/100,0))</f>
        <v>440.82</v>
      </c>
      <c r="P747" s="30">
        <f>IF(OR($F747="",$I747=""),0,IFERROR(INDEX(Nutrition!$J$2:$J$300,MATCH($F747,Nutrition!$A$2:$A$300,0))*$I747/100,0))</f>
        <v>1.0044000000000002</v>
      </c>
      <c r="Q747" s="30">
        <f>IF(OR($F747="",$I747=""),0,IFERROR(INDEX(Nutrition!$K$2:$K$300,MATCH($F747,Nutrition!$A$2:$A$300,0))*$I747/100,0))</f>
        <v>0.14880000000000002</v>
      </c>
      <c r="R747" s="30">
        <f>IF(OR($F747="",$I747=""),0,IFERROR(INDEX(Nutrition!$L$2:$L$300,MATCH($F747,Nutrition!$A$2:$A$300,0))*$I747/100,0))</f>
        <v>20.46</v>
      </c>
      <c r="S747" s="30">
        <f>IF(OR($F747="",$I747=""),0,IFERROR(INDEX(Nutrition!$M$2:$M$300,MATCH($F747,Nutrition!$A$2:$A$300,0))*$I747/100,0))</f>
        <v>0.50220000000000009</v>
      </c>
    </row>
    <row r="748" spans="1:19" ht="15" customHeight="1" x14ac:dyDescent="0.25">
      <c r="A748" s="22" t="s">
        <v>1890</v>
      </c>
      <c r="B748" s="33" t="str">
        <f>IFERROR(INDEX(Recipes!$B$2:$B$500,MATCH(A748,Recipes!$A$2:$A$500,0)),"")</f>
        <v>Chunky Vegetable Stew (Ata Dindin Style)</v>
      </c>
      <c r="C748" s="7" t="s">
        <v>473</v>
      </c>
      <c r="D748" s="34">
        <v>2</v>
      </c>
      <c r="E748" s="22" t="s">
        <v>2754</v>
      </c>
      <c r="F748" s="22" t="s">
        <v>472</v>
      </c>
      <c r="G748" s="22" t="s">
        <v>2755</v>
      </c>
      <c r="H748" s="7" t="s">
        <v>2934</v>
      </c>
      <c r="I748" s="35">
        <v>20</v>
      </c>
      <c r="J748" s="30">
        <f>IF(OR($F748="",$I748=""),0,IFERROR(INDEX(Nutrition!$D$2:$D$300,MATCH($F748,Nutrition!$A$2:$A$300,0))*$I748/100,0))</f>
        <v>0.3</v>
      </c>
      <c r="K748" s="30">
        <f>IF(OR($F748="",$I748=""),0,IFERROR(INDEX(Nutrition!$E$2:$E$300,MATCH($F748,Nutrition!$A$2:$A$300,0))*$I748/100,0))</f>
        <v>28.74</v>
      </c>
      <c r="L748" s="30">
        <f>IF(OR($F748="",$I748=""),0,IFERROR(INDEX(Nutrition!$F$2:$F$300,MATCH($F748,Nutrition!$A$2:$A$300,0))*$I748/100,0))</f>
        <v>9.6</v>
      </c>
      <c r="M748" s="30">
        <f>IF(OR($F748="",$I748=""),0,IFERROR(INDEX(Nutrition!$G$2:$G$300,MATCH($F748,Nutrition!$A$2:$A$300,0))*$I748/100,0))</f>
        <v>2.8</v>
      </c>
      <c r="N748" s="30">
        <f>IF(OR($F748="",$I748=""),0,IFERROR(INDEX(Nutrition!$H$2:$H$300,MATCH($F748,Nutrition!$A$2:$A$300,0))*$I748/100,0))</f>
        <v>4.5999999999999996</v>
      </c>
      <c r="O748" s="30">
        <f>IF(OR($F748="",$I748=""),0,IFERROR(INDEX(Nutrition!$I$2:$I$300,MATCH($F748,Nutrition!$A$2:$A$300,0))*$I748/100,0))</f>
        <v>64.400000000000006</v>
      </c>
      <c r="P748" s="30">
        <f>IF(OR($F748="",$I748=""),0,IFERROR(INDEX(Nutrition!$J$2:$J$300,MATCH($F748,Nutrition!$A$2:$A$300,0))*$I748/100,0))</f>
        <v>0.13799999999999998</v>
      </c>
      <c r="Q748" s="30">
        <f>IF(OR($F748="",$I748=""),0,IFERROR(INDEX(Nutrition!$K$2:$K$300,MATCH($F748,Nutrition!$A$2:$A$300,0))*$I748/100,0))</f>
        <v>0.10120000000000001</v>
      </c>
      <c r="R748" s="30">
        <f>IF(OR($F748="",$I748=""),0,IFERROR(INDEX(Nutrition!$L$2:$L$300,MATCH($F748,Nutrition!$A$2:$A$300,0))*$I748/100,0))</f>
        <v>4.5999999999999996</v>
      </c>
      <c r="S748" s="30">
        <f>IF(OR($F748="",$I748=""),0,IFERROR(INDEX(Nutrition!$M$2:$M$300,MATCH($F748,Nutrition!$A$2:$A$300,0))*$I748/100,0))</f>
        <v>0.20600000000000002</v>
      </c>
    </row>
    <row r="749" spans="1:19" ht="15" customHeight="1" x14ac:dyDescent="0.25">
      <c r="A749" s="22" t="s">
        <v>1890</v>
      </c>
      <c r="B749" s="33" t="str">
        <f>IFERROR(INDEX(Recipes!$B$2:$B$500,MATCH(A749,Recipes!$A$2:$A$500,0)),"")</f>
        <v>Chunky Vegetable Stew (Ata Dindin Style)</v>
      </c>
      <c r="C749" s="7" t="s">
        <v>482</v>
      </c>
      <c r="D749" s="34">
        <v>2</v>
      </c>
      <c r="E749" s="22" t="s">
        <v>2754</v>
      </c>
      <c r="F749" s="22" t="s">
        <v>481</v>
      </c>
      <c r="G749" s="22" t="s">
        <v>2755</v>
      </c>
      <c r="H749" s="7" t="s">
        <v>2935</v>
      </c>
      <c r="I749" s="35">
        <v>220</v>
      </c>
      <c r="J749" s="30">
        <f>IF(OR($F749="",$I749=""),0,IFERROR(INDEX(Nutrition!$D$2:$D$300,MATCH($F749,Nutrition!$A$2:$A$300,0))*$I749/100,0))</f>
        <v>3.74</v>
      </c>
      <c r="K749" s="30">
        <f>IF(OR($F749="",$I749=""),0,IFERROR(INDEX(Nutrition!$E$2:$E$300,MATCH($F749,Nutrition!$A$2:$A$300,0))*$I749/100,0))</f>
        <v>16.28</v>
      </c>
      <c r="L749" s="30">
        <f>IF(OR($F749="",$I749=""),0,IFERROR(INDEX(Nutrition!$F$2:$F$300,MATCH($F749,Nutrition!$A$2:$A$300,0))*$I749/100,0))</f>
        <v>0</v>
      </c>
      <c r="M749" s="30">
        <f>IF(OR($F749="",$I749=""),0,IFERROR(INDEX(Nutrition!$G$2:$G$300,MATCH($F749,Nutrition!$A$2:$A$300,0))*$I749/100,0))</f>
        <v>0.88</v>
      </c>
      <c r="N749" s="30">
        <f>IF(OR($F749="",$I749=""),0,IFERROR(INDEX(Nutrition!$H$2:$H$300,MATCH($F749,Nutrition!$A$2:$A$300,0))*$I749/100,0))</f>
        <v>41.8</v>
      </c>
      <c r="O749" s="30">
        <f>IF(OR($F749="",$I749=""),0,IFERROR(INDEX(Nutrition!$I$2:$I$300,MATCH($F749,Nutrition!$A$2:$A$300,0))*$I749/100,0))</f>
        <v>321.2</v>
      </c>
      <c r="P749" s="30">
        <f>IF(OR($F749="",$I749=""),0,IFERROR(INDEX(Nutrition!$J$2:$J$300,MATCH($F749,Nutrition!$A$2:$A$300,0))*$I749/100,0))</f>
        <v>4.4000000000000004E-2</v>
      </c>
      <c r="Q749" s="30">
        <f>IF(OR($F749="",$I749=""),0,IFERROR(INDEX(Nutrition!$K$2:$K$300,MATCH($F749,Nutrition!$A$2:$A$300,0))*$I749/100,0))</f>
        <v>0.26400000000000001</v>
      </c>
      <c r="R749" s="30">
        <f>IF(OR($F749="",$I749=""),0,IFERROR(INDEX(Nutrition!$L$2:$L$300,MATCH($F749,Nutrition!$A$2:$A$300,0))*$I749/100,0))</f>
        <v>22</v>
      </c>
      <c r="S749" s="30">
        <f>IF(OR($F749="",$I749=""),0,IFERROR(INDEX(Nutrition!$M$2:$M$300,MATCH($F749,Nutrition!$A$2:$A$300,0))*$I749/100,0))</f>
        <v>0.46199999999999997</v>
      </c>
    </row>
    <row r="750" spans="1:19" ht="15" customHeight="1" x14ac:dyDescent="0.25">
      <c r="A750" s="22" t="s">
        <v>1890</v>
      </c>
      <c r="B750" s="33" t="str">
        <f>IFERROR(INDEX(Recipes!$B$2:$B$500,MATCH(A750,Recipes!$A$2:$A$500,0)),"")</f>
        <v>Chunky Vegetable Stew (Ata Dindin Style)</v>
      </c>
      <c r="C750" s="7" t="s">
        <v>500</v>
      </c>
      <c r="D750" s="34">
        <v>4</v>
      </c>
      <c r="E750" s="22" t="s">
        <v>2776</v>
      </c>
      <c r="F750" s="22" t="s">
        <v>499</v>
      </c>
      <c r="G750" s="22" t="s">
        <v>2755</v>
      </c>
      <c r="H750" s="7" t="s">
        <v>2896</v>
      </c>
      <c r="I750" s="35">
        <v>12</v>
      </c>
      <c r="J750" s="30">
        <f>IF(OR($F750="",$I750=""),0,IFERROR(INDEX(Nutrition!$D$2:$D$300,MATCH($F750,Nutrition!$A$2:$A$300,0))*$I750/100,0))</f>
        <v>0.252</v>
      </c>
      <c r="K750" s="30">
        <f>IF(OR($F750="",$I750=""),0,IFERROR(INDEX(Nutrition!$E$2:$E$300,MATCH($F750,Nutrition!$A$2:$A$300,0))*$I750/100,0))</f>
        <v>3.7439999999999998</v>
      </c>
      <c r="L750" s="30">
        <f>IF(OR($F750="",$I750=""),0,IFERROR(INDEX(Nutrition!$F$2:$F$300,MATCH($F750,Nutrition!$A$2:$A$300,0))*$I750/100,0))</f>
        <v>0</v>
      </c>
      <c r="M750" s="30">
        <f>IF(OR($F750="",$I750=""),0,IFERROR(INDEX(Nutrition!$G$2:$G$300,MATCH($F750,Nutrition!$A$2:$A$300,0))*$I750/100,0))</f>
        <v>0.20399999999999999</v>
      </c>
      <c r="N750" s="30">
        <f>IF(OR($F750="",$I750=""),0,IFERROR(INDEX(Nutrition!$H$2:$H$300,MATCH($F750,Nutrition!$A$2:$A$300,0))*$I750/100,0))</f>
        <v>0.36</v>
      </c>
      <c r="O750" s="30">
        <f>IF(OR($F750="",$I750=""),0,IFERROR(INDEX(Nutrition!$I$2:$I$300,MATCH($F750,Nutrition!$A$2:$A$300,0))*$I750/100,0))</f>
        <v>48.12</v>
      </c>
      <c r="P750" s="30">
        <f>IF(OR($F750="",$I750=""),0,IFERROR(INDEX(Nutrition!$J$2:$J$300,MATCH($F750,Nutrition!$A$2:$A$300,0))*$I750/100,0))</f>
        <v>9.5999999999999992E-3</v>
      </c>
      <c r="Q750" s="30">
        <f>IF(OR($F750="",$I750=""),0,IFERROR(INDEX(Nutrition!$K$2:$K$300,MATCH($F750,Nutrition!$A$2:$A$300,0))*$I750/100,0))</f>
        <v>0.1482</v>
      </c>
      <c r="R750" s="30">
        <f>IF(OR($F750="",$I750=""),0,IFERROR(INDEX(Nutrition!$L$2:$L$300,MATCH($F750,Nutrition!$A$2:$A$300,0))*$I750/100,0))</f>
        <v>3</v>
      </c>
      <c r="S750" s="30">
        <f>IF(OR($F750="",$I750=""),0,IFERROR(INDEX(Nutrition!$M$2:$M$300,MATCH($F750,Nutrition!$A$2:$A$300,0))*$I750/100,0))</f>
        <v>0.20399999999999999</v>
      </c>
    </row>
    <row r="751" spans="1:19" ht="15" customHeight="1" x14ac:dyDescent="0.25">
      <c r="A751" s="22" t="s">
        <v>1890</v>
      </c>
      <c r="B751" s="33" t="str">
        <f>IFERROR(INDEX(Recipes!$B$2:$B$500,MATCH(A751,Recipes!$A$2:$A$500,0)),"")</f>
        <v>Chunky Vegetable Stew (Ata Dindin Style)</v>
      </c>
      <c r="C751" s="7" t="s">
        <v>508</v>
      </c>
      <c r="D751" s="34">
        <v>1</v>
      </c>
      <c r="E751" s="22" t="s">
        <v>2821</v>
      </c>
      <c r="F751" s="22" t="s">
        <v>507</v>
      </c>
      <c r="G751" s="22" t="s">
        <v>2755</v>
      </c>
      <c r="H751" s="7" t="s">
        <v>2791</v>
      </c>
      <c r="I751" s="35">
        <v>15</v>
      </c>
      <c r="J751" s="30">
        <f>IF(OR($F751="",$I751=""),0,IFERROR(INDEX(Nutrition!$D$2:$D$300,MATCH($F751,Nutrition!$A$2:$A$300,0))*$I751/100,0))</f>
        <v>0.3</v>
      </c>
      <c r="K751" s="30">
        <f>IF(OR($F751="",$I751=""),0,IFERROR(INDEX(Nutrition!$E$2:$E$300,MATCH($F751,Nutrition!$A$2:$A$300,0))*$I751/100,0))</f>
        <v>0.75</v>
      </c>
      <c r="L751" s="30">
        <f>IF(OR($F751="",$I751=""),0,IFERROR(INDEX(Nutrition!$F$2:$F$300,MATCH($F751,Nutrition!$A$2:$A$300,0))*$I751/100,0))</f>
        <v>0</v>
      </c>
      <c r="M751" s="30">
        <f>IF(OR($F751="",$I751=""),0,IFERROR(INDEX(Nutrition!$G$2:$G$300,MATCH($F751,Nutrition!$A$2:$A$300,0))*$I751/100,0))</f>
        <v>1.4999999999999999E-2</v>
      </c>
      <c r="N751" s="30">
        <f>IF(OR($F751="",$I751=""),0,IFERROR(INDEX(Nutrition!$H$2:$H$300,MATCH($F751,Nutrition!$A$2:$A$300,0))*$I751/100,0))</f>
        <v>1.65</v>
      </c>
      <c r="O751" s="30">
        <f>IF(OR($F751="",$I751=""),0,IFERROR(INDEX(Nutrition!$I$2:$I$300,MATCH($F751,Nutrition!$A$2:$A$300,0))*$I751/100,0))</f>
        <v>62.25</v>
      </c>
      <c r="P751" s="30">
        <f>IF(OR($F751="",$I751=""),0,IFERROR(INDEX(Nutrition!$J$2:$J$300,MATCH($F751,Nutrition!$A$2:$A$300,0))*$I751/100,0))</f>
        <v>3.9000000000000007E-2</v>
      </c>
      <c r="Q751" s="30">
        <f>IF(OR($F751="",$I751=""),0,IFERROR(INDEX(Nutrition!$K$2:$K$300,MATCH($F751,Nutrition!$A$2:$A$300,0))*$I751/100,0))</f>
        <v>2.4E-2</v>
      </c>
      <c r="R751" s="30">
        <f>IF(OR($F751="",$I751=""),0,IFERROR(INDEX(Nutrition!$L$2:$L$300,MATCH($F751,Nutrition!$A$2:$A$300,0))*$I751/100,0))</f>
        <v>6.45</v>
      </c>
      <c r="S751" s="30">
        <f>IF(OR($F751="",$I751=""),0,IFERROR(INDEX(Nutrition!$M$2:$M$300,MATCH($F751,Nutrition!$A$2:$A$300,0))*$I751/100,0))</f>
        <v>0.09</v>
      </c>
    </row>
    <row r="752" spans="1:19" ht="15" customHeight="1" x14ac:dyDescent="0.25">
      <c r="A752" s="22" t="s">
        <v>1890</v>
      </c>
      <c r="B752" s="33" t="str">
        <f>IFERROR(INDEX(Recipes!$B$2:$B$500,MATCH(A752,Recipes!$A$2:$A$500,0)),"")</f>
        <v>Chunky Vegetable Stew (Ata Dindin Style)</v>
      </c>
      <c r="C752" s="7" t="s">
        <v>2936</v>
      </c>
      <c r="D752" s="34">
        <v>4</v>
      </c>
      <c r="E752" s="22" t="s">
        <v>2753</v>
      </c>
      <c r="F752" s="22"/>
      <c r="G752" s="22" t="s">
        <v>2773</v>
      </c>
      <c r="H752" s="7"/>
      <c r="I752" s="35"/>
      <c r="J752" s="30">
        <f>IF(OR($F752="",$I752=""),0,IFERROR(INDEX(Nutrition!$D$2:$D$300,MATCH($F752,Nutrition!$A$2:$A$300,0))*$I752/100,0))</f>
        <v>0</v>
      </c>
      <c r="K752" s="30">
        <f>IF(OR($F752="",$I752=""),0,IFERROR(INDEX(Nutrition!$E$2:$E$300,MATCH($F752,Nutrition!$A$2:$A$300,0))*$I752/100,0))</f>
        <v>0</v>
      </c>
      <c r="L752" s="30">
        <f>IF(OR($F752="",$I752=""),0,IFERROR(INDEX(Nutrition!$F$2:$F$300,MATCH($F752,Nutrition!$A$2:$A$300,0))*$I752/100,0))</f>
        <v>0</v>
      </c>
      <c r="M752" s="30">
        <f>IF(OR($F752="",$I752=""),0,IFERROR(INDEX(Nutrition!$G$2:$G$300,MATCH($F752,Nutrition!$A$2:$A$300,0))*$I752/100,0))</f>
        <v>0</v>
      </c>
      <c r="N752" s="30">
        <f>IF(OR($F752="",$I752=""),0,IFERROR(INDEX(Nutrition!$H$2:$H$300,MATCH($F752,Nutrition!$A$2:$A$300,0))*$I752/100,0))</f>
        <v>0</v>
      </c>
      <c r="O752" s="30">
        <f>IF(OR($F752="",$I752=""),0,IFERROR(INDEX(Nutrition!$I$2:$I$300,MATCH($F752,Nutrition!$A$2:$A$300,0))*$I752/100,0))</f>
        <v>0</v>
      </c>
      <c r="P752" s="30">
        <f>IF(OR($F752="",$I752=""),0,IFERROR(INDEX(Nutrition!$J$2:$J$300,MATCH($F752,Nutrition!$A$2:$A$300,0))*$I752/100,0))</f>
        <v>0</v>
      </c>
      <c r="Q752" s="30">
        <f>IF(OR($F752="",$I752=""),0,IFERROR(INDEX(Nutrition!$K$2:$K$300,MATCH($F752,Nutrition!$A$2:$A$300,0))*$I752/100,0))</f>
        <v>0</v>
      </c>
      <c r="R752" s="30">
        <f>IF(OR($F752="",$I752=""),0,IFERROR(INDEX(Nutrition!$L$2:$L$300,MATCH($F752,Nutrition!$A$2:$A$300,0))*$I752/100,0))</f>
        <v>0</v>
      </c>
      <c r="S752" s="30">
        <f>IF(OR($F752="",$I752=""),0,IFERROR(INDEX(Nutrition!$M$2:$M$300,MATCH($F752,Nutrition!$A$2:$A$300,0))*$I752/100,0))</f>
        <v>0</v>
      </c>
    </row>
    <row r="753" spans="1:19" ht="15" customHeight="1" x14ac:dyDescent="0.25">
      <c r="A753" s="22" t="s">
        <v>1890</v>
      </c>
      <c r="B753" s="33" t="str">
        <f>IFERROR(INDEX(Recipes!$B$2:$B$500,MATCH(A753,Recipes!$A$2:$A$500,0)),"")</f>
        <v>Chunky Vegetable Stew (Ata Dindin Style)</v>
      </c>
      <c r="C753" s="7" t="s">
        <v>2884</v>
      </c>
      <c r="D753" s="34">
        <v>0.5</v>
      </c>
      <c r="E753" s="22" t="s">
        <v>2753</v>
      </c>
      <c r="F753" s="22"/>
      <c r="G753" s="22" t="s">
        <v>2749</v>
      </c>
      <c r="H753" s="7"/>
      <c r="I753" s="35"/>
      <c r="J753" s="30">
        <f>IF(OR($F753="",$I753=""),0,IFERROR(INDEX(Nutrition!$D$2:$D$300,MATCH($F753,Nutrition!$A$2:$A$300,0))*$I753/100,0))</f>
        <v>0</v>
      </c>
      <c r="K753" s="30">
        <f>IF(OR($F753="",$I753=""),0,IFERROR(INDEX(Nutrition!$E$2:$E$300,MATCH($F753,Nutrition!$A$2:$A$300,0))*$I753/100,0))</f>
        <v>0</v>
      </c>
      <c r="L753" s="30">
        <f>IF(OR($F753="",$I753=""),0,IFERROR(INDEX(Nutrition!$F$2:$F$300,MATCH($F753,Nutrition!$A$2:$A$300,0))*$I753/100,0))</f>
        <v>0</v>
      </c>
      <c r="M753" s="30">
        <f>IF(OR($F753="",$I753=""),0,IFERROR(INDEX(Nutrition!$G$2:$G$300,MATCH($F753,Nutrition!$A$2:$A$300,0))*$I753/100,0))</f>
        <v>0</v>
      </c>
      <c r="N753" s="30">
        <f>IF(OR($F753="",$I753=""),0,IFERROR(INDEX(Nutrition!$H$2:$H$300,MATCH($F753,Nutrition!$A$2:$A$300,0))*$I753/100,0))</f>
        <v>0</v>
      </c>
      <c r="O753" s="30">
        <f>IF(OR($F753="",$I753=""),0,IFERROR(INDEX(Nutrition!$I$2:$I$300,MATCH($F753,Nutrition!$A$2:$A$300,0))*$I753/100,0))</f>
        <v>0</v>
      </c>
      <c r="P753" s="30">
        <f>IF(OR($F753="",$I753=""),0,IFERROR(INDEX(Nutrition!$J$2:$J$300,MATCH($F753,Nutrition!$A$2:$A$300,0))*$I753/100,0))</f>
        <v>0</v>
      </c>
      <c r="Q753" s="30">
        <f>IF(OR($F753="",$I753=""),0,IFERROR(INDEX(Nutrition!$K$2:$K$300,MATCH($F753,Nutrition!$A$2:$A$300,0))*$I753/100,0))</f>
        <v>0</v>
      </c>
      <c r="R753" s="30">
        <f>IF(OR($F753="",$I753=""),0,IFERROR(INDEX(Nutrition!$L$2:$L$300,MATCH($F753,Nutrition!$A$2:$A$300,0))*$I753/100,0))</f>
        <v>0</v>
      </c>
      <c r="S753" s="30">
        <f>IF(OR($F753="",$I753=""),0,IFERROR(INDEX(Nutrition!$M$2:$M$300,MATCH($F753,Nutrition!$A$2:$A$300,0))*$I753/100,0))</f>
        <v>0</v>
      </c>
    </row>
    <row r="754" spans="1:19" ht="15" customHeight="1" x14ac:dyDescent="0.25">
      <c r="A754" s="22" t="s">
        <v>1890</v>
      </c>
      <c r="B754" s="33" t="str">
        <f>IFERROR(INDEX(Recipes!$B$2:$B$500,MATCH(A754,Recipes!$A$2:$A$500,0)),"")</f>
        <v>Chunky Vegetable Stew (Ata Dindin Style)</v>
      </c>
      <c r="C754" s="7" t="s">
        <v>2937</v>
      </c>
      <c r="D754" s="34">
        <v>1</v>
      </c>
      <c r="E754" s="22" t="s">
        <v>2759</v>
      </c>
      <c r="F754" s="22"/>
      <c r="G754" s="22" t="s">
        <v>2749</v>
      </c>
      <c r="H754" s="7"/>
      <c r="I754" s="35"/>
      <c r="J754" s="30">
        <f>IF(OR($F754="",$I754=""),0,IFERROR(INDEX(Nutrition!$D$2:$D$300,MATCH($F754,Nutrition!$A$2:$A$300,0))*$I754/100,0))</f>
        <v>0</v>
      </c>
      <c r="K754" s="30">
        <f>IF(OR($F754="",$I754=""),0,IFERROR(INDEX(Nutrition!$E$2:$E$300,MATCH($F754,Nutrition!$A$2:$A$300,0))*$I754/100,0))</f>
        <v>0</v>
      </c>
      <c r="L754" s="30">
        <f>IF(OR($F754="",$I754=""),0,IFERROR(INDEX(Nutrition!$F$2:$F$300,MATCH($F754,Nutrition!$A$2:$A$300,0))*$I754/100,0))</f>
        <v>0</v>
      </c>
      <c r="M754" s="30">
        <f>IF(OR($F754="",$I754=""),0,IFERROR(INDEX(Nutrition!$G$2:$G$300,MATCH($F754,Nutrition!$A$2:$A$300,0))*$I754/100,0))</f>
        <v>0</v>
      </c>
      <c r="N754" s="30">
        <f>IF(OR($F754="",$I754=""),0,IFERROR(INDEX(Nutrition!$H$2:$H$300,MATCH($F754,Nutrition!$A$2:$A$300,0))*$I754/100,0))</f>
        <v>0</v>
      </c>
      <c r="O754" s="30">
        <f>IF(OR($F754="",$I754=""),0,IFERROR(INDEX(Nutrition!$I$2:$I$300,MATCH($F754,Nutrition!$A$2:$A$300,0))*$I754/100,0))</f>
        <v>0</v>
      </c>
      <c r="P754" s="30">
        <f>IF(OR($F754="",$I754=""),0,IFERROR(INDEX(Nutrition!$J$2:$J$300,MATCH($F754,Nutrition!$A$2:$A$300,0))*$I754/100,0))</f>
        <v>0</v>
      </c>
      <c r="Q754" s="30">
        <f>IF(OR($F754="",$I754=""),0,IFERROR(INDEX(Nutrition!$K$2:$K$300,MATCH($F754,Nutrition!$A$2:$A$300,0))*$I754/100,0))</f>
        <v>0</v>
      </c>
      <c r="R754" s="30">
        <f>IF(OR($F754="",$I754=""),0,IFERROR(INDEX(Nutrition!$L$2:$L$300,MATCH($F754,Nutrition!$A$2:$A$300,0))*$I754/100,0))</f>
        <v>0</v>
      </c>
      <c r="S754" s="30">
        <f>IF(OR($F754="",$I754=""),0,IFERROR(INDEX(Nutrition!$M$2:$M$300,MATCH($F754,Nutrition!$A$2:$A$300,0))*$I754/100,0))</f>
        <v>0</v>
      </c>
    </row>
    <row r="755" spans="1:19" ht="15" customHeight="1" x14ac:dyDescent="0.25">
      <c r="A755" s="22" t="s">
        <v>1890</v>
      </c>
      <c r="B755" s="33" t="str">
        <f>IFERROR(INDEX(Recipes!$B$2:$B$500,MATCH(A755,Recipes!$A$2:$A$500,0)),"")</f>
        <v>Chunky Vegetable Stew (Ata Dindin Style)</v>
      </c>
      <c r="C755" s="7" t="s">
        <v>2781</v>
      </c>
      <c r="D755" s="34">
        <v>1</v>
      </c>
      <c r="E755" s="22" t="s">
        <v>2782</v>
      </c>
      <c r="F755" s="22"/>
      <c r="G755" s="22" t="s">
        <v>2773</v>
      </c>
      <c r="H755" s="7"/>
      <c r="I755" s="35"/>
      <c r="J755" s="30">
        <f>IF(OR($F755="",$I755=""),0,IFERROR(INDEX(Nutrition!$D$2:$D$300,MATCH($F755,Nutrition!$A$2:$A$300,0))*$I755/100,0))</f>
        <v>0</v>
      </c>
      <c r="K755" s="30">
        <f>IF(OR($F755="",$I755=""),0,IFERROR(INDEX(Nutrition!$E$2:$E$300,MATCH($F755,Nutrition!$A$2:$A$300,0))*$I755/100,0))</f>
        <v>0</v>
      </c>
      <c r="L755" s="30">
        <f>IF(OR($F755="",$I755=""),0,IFERROR(INDEX(Nutrition!$F$2:$F$300,MATCH($F755,Nutrition!$A$2:$A$300,0))*$I755/100,0))</f>
        <v>0</v>
      </c>
      <c r="M755" s="30">
        <f>IF(OR($F755="",$I755=""),0,IFERROR(INDEX(Nutrition!$G$2:$G$300,MATCH($F755,Nutrition!$A$2:$A$300,0))*$I755/100,0))</f>
        <v>0</v>
      </c>
      <c r="N755" s="30">
        <f>IF(OR($F755="",$I755=""),0,IFERROR(INDEX(Nutrition!$H$2:$H$300,MATCH($F755,Nutrition!$A$2:$A$300,0))*$I755/100,0))</f>
        <v>0</v>
      </c>
      <c r="O755" s="30">
        <f>IF(OR($F755="",$I755=""),0,IFERROR(INDEX(Nutrition!$I$2:$I$300,MATCH($F755,Nutrition!$A$2:$A$300,0))*$I755/100,0))</f>
        <v>0</v>
      </c>
      <c r="P755" s="30">
        <f>IF(OR($F755="",$I755=""),0,IFERROR(INDEX(Nutrition!$J$2:$J$300,MATCH($F755,Nutrition!$A$2:$A$300,0))*$I755/100,0))</f>
        <v>0</v>
      </c>
      <c r="Q755" s="30">
        <f>IF(OR($F755="",$I755=""),0,IFERROR(INDEX(Nutrition!$K$2:$K$300,MATCH($F755,Nutrition!$A$2:$A$300,0))*$I755/100,0))</f>
        <v>0</v>
      </c>
      <c r="R755" s="30">
        <f>IF(OR($F755="",$I755=""),0,IFERROR(INDEX(Nutrition!$L$2:$L$300,MATCH($F755,Nutrition!$A$2:$A$300,0))*$I755/100,0))</f>
        <v>0</v>
      </c>
      <c r="S755" s="30">
        <f>IF(OR($F755="",$I755=""),0,IFERROR(INDEX(Nutrition!$M$2:$M$300,MATCH($F755,Nutrition!$A$2:$A$300,0))*$I755/100,0))</f>
        <v>0</v>
      </c>
    </row>
    <row r="756" spans="1:19" ht="15" customHeight="1" x14ac:dyDescent="0.25">
      <c r="A756" s="22" t="s">
        <v>1902</v>
      </c>
      <c r="B756" s="33" t="str">
        <f>IFERROR(INDEX(Recipes!$B$2:$B$500,MATCH(A756,Recipes!$A$2:$A$500,0)),"")</f>
        <v>Nigerian Mixed Vegetable Sauce</v>
      </c>
      <c r="C756" s="7" t="s">
        <v>446</v>
      </c>
      <c r="D756" s="34">
        <v>4</v>
      </c>
      <c r="E756" s="22" t="s">
        <v>2754</v>
      </c>
      <c r="F756" s="22" t="s">
        <v>445</v>
      </c>
      <c r="G756" s="22" t="s">
        <v>2755</v>
      </c>
      <c r="H756" s="7" t="s">
        <v>2938</v>
      </c>
      <c r="I756" s="35">
        <v>248</v>
      </c>
      <c r="J756" s="30">
        <f>IF(OR($F756="",$I756=""),0,IFERROR(INDEX(Nutrition!$D$2:$D$300,MATCH($F756,Nutrition!$A$2:$A$300,0))*$I756/100,0))</f>
        <v>2.9759999999999995</v>
      </c>
      <c r="K756" s="30">
        <f>IF(OR($F756="",$I756=""),0,IFERROR(INDEX(Nutrition!$E$2:$E$300,MATCH($F756,Nutrition!$A$2:$A$300,0))*$I756/100,0))</f>
        <v>33.975999999999999</v>
      </c>
      <c r="L756" s="30">
        <f>IF(OR($F756="",$I756=""),0,IFERROR(INDEX(Nutrition!$F$2:$F$300,MATCH($F756,Nutrition!$A$2:$A$300,0))*$I756/100,0))</f>
        <v>104.16</v>
      </c>
      <c r="M756" s="30">
        <f>IF(OR($F756="",$I756=""),0,IFERROR(INDEX(Nutrition!$G$2:$G$300,MATCH($F756,Nutrition!$A$2:$A$300,0))*$I756/100,0))</f>
        <v>19.591999999999999</v>
      </c>
      <c r="N756" s="30">
        <f>IF(OR($F756="",$I756=""),0,IFERROR(INDEX(Nutrition!$H$2:$H$300,MATCH($F756,Nutrition!$A$2:$A$300,0))*$I756/100,0))</f>
        <v>37.200000000000003</v>
      </c>
      <c r="O756" s="30">
        <f>IF(OR($F756="",$I756=""),0,IFERROR(INDEX(Nutrition!$I$2:$I$300,MATCH($F756,Nutrition!$A$2:$A$300,0))*$I756/100,0))</f>
        <v>587.76</v>
      </c>
      <c r="P756" s="30">
        <f>IF(OR($F756="",$I756=""),0,IFERROR(INDEX(Nutrition!$J$2:$J$300,MATCH($F756,Nutrition!$A$2:$A$300,0))*$I756/100,0))</f>
        <v>1.3392000000000002</v>
      </c>
      <c r="Q756" s="30">
        <f>IF(OR($F756="",$I756=""),0,IFERROR(INDEX(Nutrition!$K$2:$K$300,MATCH($F756,Nutrition!$A$2:$A$300,0))*$I756/100,0))</f>
        <v>0.19839999999999999</v>
      </c>
      <c r="R756" s="30">
        <f>IF(OR($F756="",$I756=""),0,IFERROR(INDEX(Nutrition!$L$2:$L$300,MATCH($F756,Nutrition!$A$2:$A$300,0))*$I756/100,0))</f>
        <v>27.28</v>
      </c>
      <c r="S756" s="30">
        <f>IF(OR($F756="",$I756=""),0,IFERROR(INDEX(Nutrition!$M$2:$M$300,MATCH($F756,Nutrition!$A$2:$A$300,0))*$I756/100,0))</f>
        <v>0.66960000000000008</v>
      </c>
    </row>
    <row r="757" spans="1:19" ht="15" customHeight="1" x14ac:dyDescent="0.25">
      <c r="A757" s="22" t="s">
        <v>1902</v>
      </c>
      <c r="B757" s="33" t="str">
        <f>IFERROR(INDEX(Recipes!$B$2:$B$500,MATCH(A757,Recipes!$A$2:$A$500,0)),"")</f>
        <v>Nigerian Mixed Vegetable Sauce</v>
      </c>
      <c r="C757" s="7" t="s">
        <v>529</v>
      </c>
      <c r="D757" s="34">
        <v>4</v>
      </c>
      <c r="E757" s="22" t="s">
        <v>2754</v>
      </c>
      <c r="F757" s="22" t="s">
        <v>528</v>
      </c>
      <c r="G757" s="22" t="s">
        <v>2755</v>
      </c>
      <c r="H757" s="7" t="s">
        <v>2830</v>
      </c>
      <c r="I757" s="35">
        <v>244</v>
      </c>
      <c r="J757" s="30">
        <f>IF(OR($F757="",$I757=""),0,IFERROR(INDEX(Nutrition!$D$2:$D$300,MATCH($F757,Nutrition!$A$2:$A$300,0))*$I757/100,0))</f>
        <v>6.831999999999999</v>
      </c>
      <c r="K757" s="30">
        <f>IF(OR($F757="",$I757=""),0,IFERROR(INDEX(Nutrition!$E$2:$E$300,MATCH($F757,Nutrition!$A$2:$A$300,0))*$I757/100,0))</f>
        <v>14.396000000000001</v>
      </c>
      <c r="L757" s="30">
        <f>IF(OR($F757="",$I757=""),0,IFERROR(INDEX(Nutrition!$F$2:$F$300,MATCH($F757,Nutrition!$A$2:$A$300,0))*$I757/100,0))</f>
        <v>2037.4</v>
      </c>
      <c r="M757" s="30">
        <f>IF(OR($F757="",$I757=""),0,IFERROR(INDEX(Nutrition!$G$2:$G$300,MATCH($F757,Nutrition!$A$2:$A$300,0))*$I757/100,0))</f>
        <v>32.207999999999998</v>
      </c>
      <c r="N757" s="30">
        <f>IF(OR($F757="",$I757=""),0,IFERROR(INDEX(Nutrition!$H$2:$H$300,MATCH($F757,Nutrition!$A$2:$A$300,0))*$I757/100,0))</f>
        <v>46.36</v>
      </c>
      <c r="O757" s="30">
        <f>IF(OR($F757="",$I757=""),0,IFERROR(INDEX(Nutrition!$I$2:$I$300,MATCH($F757,Nutrition!$A$2:$A$300,0))*$I757/100,0))</f>
        <v>780.8</v>
      </c>
      <c r="P757" s="30">
        <f>IF(OR($F757="",$I757=""),0,IFERROR(INDEX(Nutrition!$J$2:$J$300,MATCH($F757,Nutrition!$A$2:$A$300,0))*$I757/100,0))</f>
        <v>1.6104000000000003</v>
      </c>
      <c r="Q757" s="30">
        <f>IF(OR($F757="",$I757=""),0,IFERROR(INDEX(Nutrition!$K$2:$K$300,MATCH($F757,Nutrition!$A$2:$A$300,0))*$I757/100,0))</f>
        <v>0.33672000000000002</v>
      </c>
      <c r="R757" s="30">
        <f>IF(OR($F757="",$I757=""),0,IFERROR(INDEX(Nutrition!$L$2:$L$300,MATCH($F757,Nutrition!$A$2:$A$300,0))*$I757/100,0))</f>
        <v>29.28</v>
      </c>
      <c r="S757" s="30">
        <f>IF(OR($F757="",$I757=""),0,IFERROR(INDEX(Nutrition!$M$2:$M$300,MATCH($F757,Nutrition!$A$2:$A$300,0))*$I757/100,0))</f>
        <v>0.73199999999999998</v>
      </c>
    </row>
    <row r="758" spans="1:19" ht="15" customHeight="1" x14ac:dyDescent="0.25">
      <c r="A758" s="22" t="s">
        <v>1902</v>
      </c>
      <c r="B758" s="33" t="str">
        <f>IFERROR(INDEX(Recipes!$B$2:$B$500,MATCH(A758,Recipes!$A$2:$A$500,0)),"")</f>
        <v>Nigerian Mixed Vegetable Sauce</v>
      </c>
      <c r="C758" s="7" t="s">
        <v>537</v>
      </c>
      <c r="D758" s="34">
        <v>0.5</v>
      </c>
      <c r="E758" s="22" t="s">
        <v>2754</v>
      </c>
      <c r="F758" s="22" t="s">
        <v>536</v>
      </c>
      <c r="G758" s="22" t="s">
        <v>2755</v>
      </c>
      <c r="H758" s="7" t="s">
        <v>2939</v>
      </c>
      <c r="I758" s="35">
        <v>454</v>
      </c>
      <c r="J758" s="30">
        <f>IF(OR($F758="",$I758=""),0,IFERROR(INDEX(Nutrition!$D$2:$D$300,MATCH($F758,Nutrition!$A$2:$A$300,0))*$I758/100,0))</f>
        <v>11.35</v>
      </c>
      <c r="K758" s="30">
        <f>IF(OR($F758="",$I758=""),0,IFERROR(INDEX(Nutrition!$E$2:$E$300,MATCH($F758,Nutrition!$A$2:$A$300,0))*$I758/100,0))</f>
        <v>166.16400000000002</v>
      </c>
      <c r="L758" s="30">
        <f>IF(OR($F758="",$I758=""),0,IFERROR(INDEX(Nutrition!$F$2:$F$300,MATCH($F758,Nutrition!$A$2:$A$300,0))*$I758/100,0))</f>
        <v>22.7</v>
      </c>
      <c r="M758" s="30">
        <f>IF(OR($F758="",$I758=""),0,IFERROR(INDEX(Nutrition!$G$2:$G$300,MATCH($F758,Nutrition!$A$2:$A$300,0))*$I758/100,0))</f>
        <v>345.04</v>
      </c>
      <c r="N758" s="30">
        <f>IF(OR($F758="",$I758=""),0,IFERROR(INDEX(Nutrition!$H$2:$H$300,MATCH($F758,Nutrition!$A$2:$A$300,0))*$I758/100,0))</f>
        <v>195.22</v>
      </c>
      <c r="O758" s="30">
        <f>IF(OR($F758="",$I758=""),0,IFERROR(INDEX(Nutrition!$I$2:$I$300,MATCH($F758,Nutrition!$A$2:$A$300,0))*$I758/100,0))</f>
        <v>771.8</v>
      </c>
      <c r="P758" s="30">
        <f>IF(OR($F758="",$I758=""),0,IFERROR(INDEX(Nutrition!$J$2:$J$300,MATCH($F758,Nutrition!$A$2:$A$300,0))*$I758/100,0))</f>
        <v>0.68099999999999994</v>
      </c>
      <c r="Q758" s="30">
        <f>IF(OR($F758="",$I758=""),0,IFERROR(INDEX(Nutrition!$K$2:$K$300,MATCH($F758,Nutrition!$A$2:$A$300,0))*$I758/100,0))</f>
        <v>0.56296000000000002</v>
      </c>
      <c r="R758" s="30">
        <f>IF(OR($F758="",$I758=""),0,IFERROR(INDEX(Nutrition!$L$2:$L$300,MATCH($F758,Nutrition!$A$2:$A$300,0))*$I758/100,0))</f>
        <v>54.48</v>
      </c>
      <c r="S758" s="30">
        <f>IF(OR($F758="",$I758=""),0,IFERROR(INDEX(Nutrition!$M$2:$M$300,MATCH($F758,Nutrition!$A$2:$A$300,0))*$I758/100,0))</f>
        <v>2.1337999999999999</v>
      </c>
    </row>
    <row r="759" spans="1:19" ht="15" customHeight="1" x14ac:dyDescent="0.25">
      <c r="A759" s="22" t="s">
        <v>1902</v>
      </c>
      <c r="B759" s="33" t="str">
        <f>IFERROR(INDEX(Recipes!$B$2:$B$500,MATCH(A759,Recipes!$A$2:$A$500,0)),"")</f>
        <v>Nigerian Mixed Vegetable Sauce</v>
      </c>
      <c r="C759" s="7" t="s">
        <v>617</v>
      </c>
      <c r="D759" s="34">
        <v>3</v>
      </c>
      <c r="E759" s="22" t="s">
        <v>2754</v>
      </c>
      <c r="F759" s="22" t="s">
        <v>616</v>
      </c>
      <c r="G759" s="22" t="s">
        <v>2755</v>
      </c>
      <c r="H759" s="7" t="s">
        <v>2810</v>
      </c>
      <c r="I759" s="35">
        <v>639</v>
      </c>
      <c r="J759" s="30">
        <f>IF(OR($F759="",$I759=""),0,IFERROR(INDEX(Nutrition!$D$2:$D$300,MATCH($F759,Nutrition!$A$2:$A$300,0))*$I759/100,0))</f>
        <v>13.419</v>
      </c>
      <c r="K759" s="30">
        <f>IF(OR($F759="",$I759=""),0,IFERROR(INDEX(Nutrition!$E$2:$E$300,MATCH($F759,Nutrition!$A$2:$A$300,0))*$I759/100,0))</f>
        <v>125.883</v>
      </c>
      <c r="L759" s="30">
        <f>IF(OR($F759="",$I759=""),0,IFERROR(INDEX(Nutrition!$F$2:$F$300,MATCH($F759,Nutrition!$A$2:$A$300,0))*$I759/100,0))</f>
        <v>0</v>
      </c>
      <c r="M759" s="30">
        <f>IF(OR($F759="",$I759=""),0,IFERROR(INDEX(Nutrition!$G$2:$G$300,MATCH($F759,Nutrition!$A$2:$A$300,0))*$I759/100,0))</f>
        <v>12.78</v>
      </c>
      <c r="N759" s="30">
        <f>IF(OR($F759="",$I759=""),0,IFERROR(INDEX(Nutrition!$H$2:$H$300,MATCH($F759,Nutrition!$A$2:$A$300,0))*$I759/100,0))</f>
        <v>95.85</v>
      </c>
      <c r="O759" s="30">
        <f>IF(OR($F759="",$I759=""),0,IFERROR(INDEX(Nutrition!$I$2:$I$300,MATCH($F759,Nutrition!$A$2:$A$300,0))*$I759/100,0))</f>
        <v>2715.75</v>
      </c>
      <c r="P759" s="30">
        <f>IF(OR($F759="",$I759=""),0,IFERROR(INDEX(Nutrition!$J$2:$J$300,MATCH($F759,Nutrition!$A$2:$A$300,0))*$I759/100,0))</f>
        <v>6.3900000000000012E-2</v>
      </c>
      <c r="Q759" s="30">
        <f>IF(OR($F759="",$I759=""),0,IFERROR(INDEX(Nutrition!$K$2:$K$300,MATCH($F759,Nutrition!$A$2:$A$300,0))*$I759/100,0))</f>
        <v>1.90422</v>
      </c>
      <c r="R759" s="30">
        <f>IF(OR($F759="",$I759=""),0,IFERROR(INDEX(Nutrition!$L$2:$L$300,MATCH($F759,Nutrition!$A$2:$A$300,0))*$I759/100,0))</f>
        <v>146.97</v>
      </c>
      <c r="S759" s="30">
        <f>IF(OR($F759="",$I759=""),0,IFERROR(INDEX(Nutrition!$M$2:$M$300,MATCH($F759,Nutrition!$A$2:$A$300,0))*$I759/100,0))</f>
        <v>5.1759000000000004</v>
      </c>
    </row>
    <row r="760" spans="1:19" ht="15" customHeight="1" x14ac:dyDescent="0.25">
      <c r="A760" s="22" t="s">
        <v>1902</v>
      </c>
      <c r="B760" s="33" t="str">
        <f>IFERROR(INDEX(Recipes!$B$2:$B$500,MATCH(A760,Recipes!$A$2:$A$500,0)),"")</f>
        <v>Nigerian Mixed Vegetable Sauce</v>
      </c>
      <c r="C760" s="7" t="s">
        <v>468</v>
      </c>
      <c r="D760" s="34">
        <v>1</v>
      </c>
      <c r="E760" s="22" t="s">
        <v>2754</v>
      </c>
      <c r="F760" s="22" t="s">
        <v>467</v>
      </c>
      <c r="G760" s="22" t="s">
        <v>2755</v>
      </c>
      <c r="H760" s="7" t="s">
        <v>2940</v>
      </c>
      <c r="I760" s="35">
        <v>119</v>
      </c>
      <c r="J760" s="30">
        <f>IF(OR($F760="",$I760=""),0,IFERROR(INDEX(Nutrition!$D$2:$D$300,MATCH($F760,Nutrition!$A$2:$A$300,0))*$I760/100,0))</f>
        <v>2.0229999999999997</v>
      </c>
      <c r="K760" s="30">
        <f>IF(OR($F760="",$I760=""),0,IFERROR(INDEX(Nutrition!$E$2:$E$300,MATCH($F760,Nutrition!$A$2:$A$300,0))*$I760/100,0))</f>
        <v>95.676000000000002</v>
      </c>
      <c r="L760" s="30">
        <f>IF(OR($F760="",$I760=""),0,IFERROR(INDEX(Nutrition!$F$2:$F$300,MATCH($F760,Nutrition!$A$2:$A$300,0))*$I760/100,0))</f>
        <v>21.42</v>
      </c>
      <c r="M760" s="30">
        <f>IF(OR($F760="",$I760=""),0,IFERROR(INDEX(Nutrition!$G$2:$G$300,MATCH($F760,Nutrition!$A$2:$A$300,0))*$I760/100,0))</f>
        <v>8.8060000000000009</v>
      </c>
      <c r="N760" s="30">
        <f>IF(OR($F760="",$I760=""),0,IFERROR(INDEX(Nutrition!$H$2:$H$300,MATCH($F760,Nutrition!$A$2:$A$300,0))*$I760/100,0))</f>
        <v>11.9</v>
      </c>
      <c r="O760" s="30">
        <f>IF(OR($F760="",$I760=""),0,IFERROR(INDEX(Nutrition!$I$2:$I$300,MATCH($F760,Nutrition!$A$2:$A$300,0))*$I760/100,0))</f>
        <v>208.25</v>
      </c>
      <c r="P760" s="30">
        <f>IF(OR($F760="",$I760=""),0,IFERROR(INDEX(Nutrition!$J$2:$J$300,MATCH($F760,Nutrition!$A$2:$A$300,0))*$I760/100,0))</f>
        <v>0.44030000000000002</v>
      </c>
      <c r="Q760" s="30">
        <f>IF(OR($F760="",$I760=""),0,IFERROR(INDEX(Nutrition!$K$2:$K$300,MATCH($F760,Nutrition!$A$2:$A$300,0))*$I760/100,0))</f>
        <v>0.26655999999999996</v>
      </c>
      <c r="R760" s="30">
        <f>IF(OR($F760="",$I760=""),0,IFERROR(INDEX(Nutrition!$L$2:$L$300,MATCH($F760,Nutrition!$A$2:$A$300,0))*$I760/100,0))</f>
        <v>11.9</v>
      </c>
      <c r="S760" s="30">
        <f>IF(OR($F760="",$I760=""),0,IFERROR(INDEX(Nutrition!$M$2:$M$300,MATCH($F760,Nutrition!$A$2:$A$300,0))*$I760/100,0))</f>
        <v>0.40460000000000002</v>
      </c>
    </row>
    <row r="761" spans="1:19" ht="15" customHeight="1" x14ac:dyDescent="0.25">
      <c r="A761" s="22" t="s">
        <v>1902</v>
      </c>
      <c r="B761" s="33" t="str">
        <f>IFERROR(INDEX(Recipes!$B$2:$B$500,MATCH(A761,Recipes!$A$2:$A$500,0)),"")</f>
        <v>Nigerian Mixed Vegetable Sauce</v>
      </c>
      <c r="C761" s="7" t="s">
        <v>482</v>
      </c>
      <c r="D761" s="34">
        <v>1</v>
      </c>
      <c r="E761" s="22" t="s">
        <v>2754</v>
      </c>
      <c r="F761" s="22" t="s">
        <v>481</v>
      </c>
      <c r="G761" s="22" t="s">
        <v>2755</v>
      </c>
      <c r="H761" s="7" t="s">
        <v>2775</v>
      </c>
      <c r="I761" s="35">
        <v>110</v>
      </c>
      <c r="J761" s="30">
        <f>IF(OR($F761="",$I761=""),0,IFERROR(INDEX(Nutrition!$D$2:$D$300,MATCH($F761,Nutrition!$A$2:$A$300,0))*$I761/100,0))</f>
        <v>1.87</v>
      </c>
      <c r="K761" s="30">
        <f>IF(OR($F761="",$I761=""),0,IFERROR(INDEX(Nutrition!$E$2:$E$300,MATCH($F761,Nutrition!$A$2:$A$300,0))*$I761/100,0))</f>
        <v>8.14</v>
      </c>
      <c r="L761" s="30">
        <f>IF(OR($F761="",$I761=""),0,IFERROR(INDEX(Nutrition!$F$2:$F$300,MATCH($F761,Nutrition!$A$2:$A$300,0))*$I761/100,0))</f>
        <v>0</v>
      </c>
      <c r="M761" s="30">
        <f>IF(OR($F761="",$I761=""),0,IFERROR(INDEX(Nutrition!$G$2:$G$300,MATCH($F761,Nutrition!$A$2:$A$300,0))*$I761/100,0))</f>
        <v>0.44</v>
      </c>
      <c r="N761" s="30">
        <f>IF(OR($F761="",$I761=""),0,IFERROR(INDEX(Nutrition!$H$2:$H$300,MATCH($F761,Nutrition!$A$2:$A$300,0))*$I761/100,0))</f>
        <v>20.9</v>
      </c>
      <c r="O761" s="30">
        <f>IF(OR($F761="",$I761=""),0,IFERROR(INDEX(Nutrition!$I$2:$I$300,MATCH($F761,Nutrition!$A$2:$A$300,0))*$I761/100,0))</f>
        <v>160.6</v>
      </c>
      <c r="P761" s="30">
        <f>IF(OR($F761="",$I761=""),0,IFERROR(INDEX(Nutrition!$J$2:$J$300,MATCH($F761,Nutrition!$A$2:$A$300,0))*$I761/100,0))</f>
        <v>2.2000000000000002E-2</v>
      </c>
      <c r="Q761" s="30">
        <f>IF(OR($F761="",$I761=""),0,IFERROR(INDEX(Nutrition!$K$2:$K$300,MATCH($F761,Nutrition!$A$2:$A$300,0))*$I761/100,0))</f>
        <v>0.13200000000000001</v>
      </c>
      <c r="R761" s="30">
        <f>IF(OR($F761="",$I761=""),0,IFERROR(INDEX(Nutrition!$L$2:$L$300,MATCH($F761,Nutrition!$A$2:$A$300,0))*$I761/100,0))</f>
        <v>11</v>
      </c>
      <c r="S761" s="30">
        <f>IF(OR($F761="",$I761=""),0,IFERROR(INDEX(Nutrition!$M$2:$M$300,MATCH($F761,Nutrition!$A$2:$A$300,0))*$I761/100,0))</f>
        <v>0.23099999999999998</v>
      </c>
    </row>
    <row r="762" spans="1:19" ht="15" customHeight="1" x14ac:dyDescent="0.25">
      <c r="A762" s="22" t="s">
        <v>1902</v>
      </c>
      <c r="B762" s="33" t="str">
        <f>IFERROR(INDEX(Recipes!$B$2:$B$500,MATCH(A762,Recipes!$A$2:$A$500,0)),"")</f>
        <v>Nigerian Mixed Vegetable Sauce</v>
      </c>
      <c r="C762" s="7" t="s">
        <v>490</v>
      </c>
      <c r="D762" s="34">
        <v>1</v>
      </c>
      <c r="E762" s="22" t="s">
        <v>2788</v>
      </c>
      <c r="F762" s="22" t="s">
        <v>489</v>
      </c>
      <c r="G762" s="22" t="s">
        <v>2755</v>
      </c>
      <c r="H762" s="7" t="s">
        <v>2775</v>
      </c>
      <c r="I762" s="35">
        <v>15</v>
      </c>
      <c r="J762" s="30">
        <f>IF(OR($F762="",$I762=""),0,IFERROR(INDEX(Nutrition!$D$2:$D$300,MATCH($F762,Nutrition!$A$2:$A$300,0))*$I762/100,0))</f>
        <v>0.39</v>
      </c>
      <c r="K762" s="30">
        <f>IF(OR($F762="",$I762=""),0,IFERROR(INDEX(Nutrition!$E$2:$E$300,MATCH($F762,Nutrition!$A$2:$A$300,0))*$I762/100,0))</f>
        <v>2.82</v>
      </c>
      <c r="L762" s="30">
        <f>IF(OR($F762="",$I762=""),0,IFERROR(INDEX(Nutrition!$F$2:$F$300,MATCH($F762,Nutrition!$A$2:$A$300,0))*$I762/100,0))</f>
        <v>7.5</v>
      </c>
      <c r="M762" s="30">
        <f>IF(OR($F762="",$I762=""),0,IFERROR(INDEX(Nutrition!$G$2:$G$300,MATCH($F762,Nutrition!$A$2:$A$300,0))*$I762/100,0))</f>
        <v>31.05</v>
      </c>
      <c r="N762" s="30">
        <f>IF(OR($F762="",$I762=""),0,IFERROR(INDEX(Nutrition!$H$2:$H$300,MATCH($F762,Nutrition!$A$2:$A$300,0))*$I762/100,0))</f>
        <v>9.6</v>
      </c>
      <c r="O762" s="30">
        <f>IF(OR($F762="",$I762=""),0,IFERROR(INDEX(Nutrition!$I$2:$I$300,MATCH($F762,Nutrition!$A$2:$A$300,0))*$I762/100,0))</f>
        <v>41.4</v>
      </c>
      <c r="P762" s="30">
        <f>IF(OR($F762="",$I762=""),0,IFERROR(INDEX(Nutrition!$J$2:$J$300,MATCH($F762,Nutrition!$A$2:$A$300,0))*$I762/100,0))</f>
        <v>8.2500000000000004E-2</v>
      </c>
      <c r="Q762" s="30">
        <f>IF(OR($F762="",$I762=""),0,IFERROR(INDEX(Nutrition!$K$2:$K$300,MATCH($F762,Nutrition!$A$2:$A$300,0))*$I762/100,0))</f>
        <v>9.1500000000000001E-3</v>
      </c>
      <c r="R762" s="30">
        <f>IF(OR($F762="",$I762=""),0,IFERROR(INDEX(Nutrition!$L$2:$L$300,MATCH($F762,Nutrition!$A$2:$A$300,0))*$I762/100,0))</f>
        <v>3</v>
      </c>
      <c r="S762" s="30">
        <f>IF(OR($F762="",$I762=""),0,IFERROR(INDEX(Nutrition!$M$2:$M$300,MATCH($F762,Nutrition!$A$2:$A$300,0))*$I762/100,0))</f>
        <v>0.222</v>
      </c>
    </row>
    <row r="763" spans="1:19" ht="15" customHeight="1" x14ac:dyDescent="0.25">
      <c r="A763" s="22" t="s">
        <v>1902</v>
      </c>
      <c r="B763" s="33" t="str">
        <f>IFERROR(INDEX(Recipes!$B$2:$B$500,MATCH(A763,Recipes!$A$2:$A$500,0)),"")</f>
        <v>Nigerian Mixed Vegetable Sauce</v>
      </c>
      <c r="C763" s="7" t="s">
        <v>554</v>
      </c>
      <c r="D763" s="34">
        <v>1</v>
      </c>
      <c r="E763" s="22" t="s">
        <v>2748</v>
      </c>
      <c r="F763" s="22" t="s">
        <v>553</v>
      </c>
      <c r="G763" s="22" t="s">
        <v>2755</v>
      </c>
      <c r="H763" s="7" t="s">
        <v>2941</v>
      </c>
      <c r="I763" s="35">
        <v>100</v>
      </c>
      <c r="J763" s="30">
        <f>IF(OR($F763="",$I763=""),0,IFERROR(INDEX(Nutrition!$D$2:$D$300,MATCH($F763,Nutrition!$A$2:$A$300,0))*$I763/100,0))</f>
        <v>2.7</v>
      </c>
      <c r="K763" s="30">
        <f>IF(OR($F763="",$I763=""),0,IFERROR(INDEX(Nutrition!$E$2:$E$300,MATCH($F763,Nutrition!$A$2:$A$300,0))*$I763/100,0))</f>
        <v>12.2</v>
      </c>
      <c r="L763" s="30">
        <f>IF(OR($F763="",$I763=""),0,IFERROR(INDEX(Nutrition!$F$2:$F$300,MATCH($F763,Nutrition!$A$2:$A$300,0))*$I763/100,0))</f>
        <v>35</v>
      </c>
      <c r="M763" s="30">
        <f>IF(OR($F763="",$I763=""),0,IFERROR(INDEX(Nutrition!$G$2:$G$300,MATCH($F763,Nutrition!$A$2:$A$300,0))*$I763/100,0))</f>
        <v>43</v>
      </c>
      <c r="N763" s="30">
        <f>IF(OR($F763="",$I763=""),0,IFERROR(INDEX(Nutrition!$H$2:$H$300,MATCH($F763,Nutrition!$A$2:$A$300,0))*$I763/100,0))</f>
        <v>33</v>
      </c>
      <c r="O763" s="30">
        <f>IF(OR($F763="",$I763=""),0,IFERROR(INDEX(Nutrition!$I$2:$I$300,MATCH($F763,Nutrition!$A$2:$A$300,0))*$I763/100,0))</f>
        <v>211</v>
      </c>
      <c r="P763" s="30">
        <f>IF(OR($F763="",$I763=""),0,IFERROR(INDEX(Nutrition!$J$2:$J$300,MATCH($F763,Nutrition!$A$2:$A$300,0))*$I763/100,0))</f>
        <v>0.41</v>
      </c>
      <c r="Q763" s="30">
        <f>IF(OR($F763="",$I763=""),0,IFERROR(INDEX(Nutrition!$K$2:$K$300,MATCH($F763,Nutrition!$A$2:$A$300,0))*$I763/100,0))</f>
        <v>0.14099999999999999</v>
      </c>
      <c r="R763" s="30">
        <f>IF(OR($F763="",$I763=""),0,IFERROR(INDEX(Nutrition!$L$2:$L$300,MATCH($F763,Nutrition!$A$2:$A$300,0))*$I763/100,0))</f>
        <v>25</v>
      </c>
      <c r="S763" s="30">
        <f>IF(OR($F763="",$I763=""),0,IFERROR(INDEX(Nutrition!$M$2:$M$300,MATCH($F763,Nutrition!$A$2:$A$300,0))*$I763/100,0))</f>
        <v>1.03</v>
      </c>
    </row>
    <row r="764" spans="1:19" ht="15" customHeight="1" x14ac:dyDescent="0.25">
      <c r="A764" s="22" t="s">
        <v>1902</v>
      </c>
      <c r="B764" s="33" t="str">
        <f>IFERROR(INDEX(Recipes!$B$2:$B$500,MATCH(A764,Recipes!$A$2:$A$500,0)),"")</f>
        <v>Nigerian Mixed Vegetable Sauce</v>
      </c>
      <c r="C764" s="7" t="s">
        <v>2898</v>
      </c>
      <c r="D764" s="34">
        <v>2</v>
      </c>
      <c r="E764" s="22" t="s">
        <v>2753</v>
      </c>
      <c r="F764" s="22"/>
      <c r="G764" s="22" t="s">
        <v>2773</v>
      </c>
      <c r="H764" s="7"/>
      <c r="I764" s="35"/>
      <c r="J764" s="30">
        <f>IF(OR($F764="",$I764=""),0,IFERROR(INDEX(Nutrition!$D$2:$D$300,MATCH($F764,Nutrition!$A$2:$A$300,0))*$I764/100,0))</f>
        <v>0</v>
      </c>
      <c r="K764" s="30">
        <f>IF(OR($F764="",$I764=""),0,IFERROR(INDEX(Nutrition!$E$2:$E$300,MATCH($F764,Nutrition!$A$2:$A$300,0))*$I764/100,0))</f>
        <v>0</v>
      </c>
      <c r="L764" s="30">
        <f>IF(OR($F764="",$I764=""),0,IFERROR(INDEX(Nutrition!$F$2:$F$300,MATCH($F764,Nutrition!$A$2:$A$300,0))*$I764/100,0))</f>
        <v>0</v>
      </c>
      <c r="M764" s="30">
        <f>IF(OR($F764="",$I764=""),0,IFERROR(INDEX(Nutrition!$G$2:$G$300,MATCH($F764,Nutrition!$A$2:$A$300,0))*$I764/100,0))</f>
        <v>0</v>
      </c>
      <c r="N764" s="30">
        <f>IF(OR($F764="",$I764=""),0,IFERROR(INDEX(Nutrition!$H$2:$H$300,MATCH($F764,Nutrition!$A$2:$A$300,0))*$I764/100,0))</f>
        <v>0</v>
      </c>
      <c r="O764" s="30">
        <f>IF(OR($F764="",$I764=""),0,IFERROR(INDEX(Nutrition!$I$2:$I$300,MATCH($F764,Nutrition!$A$2:$A$300,0))*$I764/100,0))</f>
        <v>0</v>
      </c>
      <c r="P764" s="30">
        <f>IF(OR($F764="",$I764=""),0,IFERROR(INDEX(Nutrition!$J$2:$J$300,MATCH($F764,Nutrition!$A$2:$A$300,0))*$I764/100,0))</f>
        <v>0</v>
      </c>
      <c r="Q764" s="30">
        <f>IF(OR($F764="",$I764=""),0,IFERROR(INDEX(Nutrition!$K$2:$K$300,MATCH($F764,Nutrition!$A$2:$A$300,0))*$I764/100,0))</f>
        <v>0</v>
      </c>
      <c r="R764" s="30">
        <f>IF(OR($F764="",$I764=""),0,IFERROR(INDEX(Nutrition!$L$2:$L$300,MATCH($F764,Nutrition!$A$2:$A$300,0))*$I764/100,0))</f>
        <v>0</v>
      </c>
      <c r="S764" s="30">
        <f>IF(OR($F764="",$I764=""),0,IFERROR(INDEX(Nutrition!$M$2:$M$300,MATCH($F764,Nutrition!$A$2:$A$300,0))*$I764/100,0))</f>
        <v>0</v>
      </c>
    </row>
    <row r="765" spans="1:19" ht="15" customHeight="1" x14ac:dyDescent="0.25">
      <c r="A765" s="22" t="s">
        <v>1902</v>
      </c>
      <c r="B765" s="33" t="str">
        <f>IFERROR(INDEX(Recipes!$B$2:$B$500,MATCH(A765,Recipes!$A$2:$A$500,0)),"")</f>
        <v>Nigerian Mixed Vegetable Sauce</v>
      </c>
      <c r="C765" s="7" t="s">
        <v>2870</v>
      </c>
      <c r="D765" s="34">
        <v>1</v>
      </c>
      <c r="E765" s="22" t="s">
        <v>2753</v>
      </c>
      <c r="F765" s="22"/>
      <c r="G765" s="22" t="s">
        <v>2749</v>
      </c>
      <c r="H765" s="7" t="s">
        <v>2942</v>
      </c>
      <c r="I765" s="35"/>
      <c r="J765" s="30">
        <f>IF(OR($F765="",$I765=""),0,IFERROR(INDEX(Nutrition!$D$2:$D$300,MATCH($F765,Nutrition!$A$2:$A$300,0))*$I765/100,0))</f>
        <v>0</v>
      </c>
      <c r="K765" s="30">
        <f>IF(OR($F765="",$I765=""),0,IFERROR(INDEX(Nutrition!$E$2:$E$300,MATCH($F765,Nutrition!$A$2:$A$300,0))*$I765/100,0))</f>
        <v>0</v>
      </c>
      <c r="L765" s="30">
        <f>IF(OR($F765="",$I765=""),0,IFERROR(INDEX(Nutrition!$F$2:$F$300,MATCH($F765,Nutrition!$A$2:$A$300,0))*$I765/100,0))</f>
        <v>0</v>
      </c>
      <c r="M765" s="30">
        <f>IF(OR($F765="",$I765=""),0,IFERROR(INDEX(Nutrition!$G$2:$G$300,MATCH($F765,Nutrition!$A$2:$A$300,0))*$I765/100,0))</f>
        <v>0</v>
      </c>
      <c r="N765" s="30">
        <f>IF(OR($F765="",$I765=""),0,IFERROR(INDEX(Nutrition!$H$2:$H$300,MATCH($F765,Nutrition!$A$2:$A$300,0))*$I765/100,0))</f>
        <v>0</v>
      </c>
      <c r="O765" s="30">
        <f>IF(OR($F765="",$I765=""),0,IFERROR(INDEX(Nutrition!$I$2:$I$300,MATCH($F765,Nutrition!$A$2:$A$300,0))*$I765/100,0))</f>
        <v>0</v>
      </c>
      <c r="P765" s="30">
        <f>IF(OR($F765="",$I765=""),0,IFERROR(INDEX(Nutrition!$J$2:$J$300,MATCH($F765,Nutrition!$A$2:$A$300,0))*$I765/100,0))</f>
        <v>0</v>
      </c>
      <c r="Q765" s="30">
        <f>IF(OR($F765="",$I765=""),0,IFERROR(INDEX(Nutrition!$K$2:$K$300,MATCH($F765,Nutrition!$A$2:$A$300,0))*$I765/100,0))</f>
        <v>0</v>
      </c>
      <c r="R765" s="30">
        <f>IF(OR($F765="",$I765=""),0,IFERROR(INDEX(Nutrition!$L$2:$L$300,MATCH($F765,Nutrition!$A$2:$A$300,0))*$I765/100,0))</f>
        <v>0</v>
      </c>
      <c r="S765" s="30">
        <f>IF(OR($F765="",$I765=""),0,IFERROR(INDEX(Nutrition!$M$2:$M$300,MATCH($F765,Nutrition!$A$2:$A$300,0))*$I765/100,0))</f>
        <v>0</v>
      </c>
    </row>
    <row r="766" spans="1:19" ht="15" customHeight="1" x14ac:dyDescent="0.25">
      <c r="A766" s="22" t="s">
        <v>1902</v>
      </c>
      <c r="B766" s="33" t="str">
        <f>IFERROR(INDEX(Recipes!$B$2:$B$500,MATCH(A766,Recipes!$A$2:$A$500,0)),"")</f>
        <v>Nigerian Mixed Vegetable Sauce</v>
      </c>
      <c r="C766" s="7" t="s">
        <v>2943</v>
      </c>
      <c r="D766" s="34">
        <v>1</v>
      </c>
      <c r="E766" s="22" t="s">
        <v>2754</v>
      </c>
      <c r="F766" s="22"/>
      <c r="G766" s="22" t="s">
        <v>2749</v>
      </c>
      <c r="H766" s="7"/>
      <c r="I766" s="35"/>
      <c r="J766" s="30">
        <f>IF(OR($F766="",$I766=""),0,IFERROR(INDEX(Nutrition!$D$2:$D$300,MATCH($F766,Nutrition!$A$2:$A$300,0))*$I766/100,0))</f>
        <v>0</v>
      </c>
      <c r="K766" s="30">
        <f>IF(OR($F766="",$I766=""),0,IFERROR(INDEX(Nutrition!$E$2:$E$300,MATCH($F766,Nutrition!$A$2:$A$300,0))*$I766/100,0))</f>
        <v>0</v>
      </c>
      <c r="L766" s="30">
        <f>IF(OR($F766="",$I766=""),0,IFERROR(INDEX(Nutrition!$F$2:$F$300,MATCH($F766,Nutrition!$A$2:$A$300,0))*$I766/100,0))</f>
        <v>0</v>
      </c>
      <c r="M766" s="30">
        <f>IF(OR($F766="",$I766=""),0,IFERROR(INDEX(Nutrition!$G$2:$G$300,MATCH($F766,Nutrition!$A$2:$A$300,0))*$I766/100,0))</f>
        <v>0</v>
      </c>
      <c r="N766" s="30">
        <f>IF(OR($F766="",$I766=""),0,IFERROR(INDEX(Nutrition!$H$2:$H$300,MATCH($F766,Nutrition!$A$2:$A$300,0))*$I766/100,0))</f>
        <v>0</v>
      </c>
      <c r="O766" s="30">
        <f>IF(OR($F766="",$I766=""),0,IFERROR(INDEX(Nutrition!$I$2:$I$300,MATCH($F766,Nutrition!$A$2:$A$300,0))*$I766/100,0))</f>
        <v>0</v>
      </c>
      <c r="P766" s="30">
        <f>IF(OR($F766="",$I766=""),0,IFERROR(INDEX(Nutrition!$J$2:$J$300,MATCH($F766,Nutrition!$A$2:$A$300,0))*$I766/100,0))</f>
        <v>0</v>
      </c>
      <c r="Q766" s="30">
        <f>IF(OR($F766="",$I766=""),0,IFERROR(INDEX(Nutrition!$K$2:$K$300,MATCH($F766,Nutrition!$A$2:$A$300,0))*$I766/100,0))</f>
        <v>0</v>
      </c>
      <c r="R766" s="30">
        <f>IF(OR($F766="",$I766=""),0,IFERROR(INDEX(Nutrition!$L$2:$L$300,MATCH($F766,Nutrition!$A$2:$A$300,0))*$I766/100,0))</f>
        <v>0</v>
      </c>
      <c r="S766" s="30">
        <f>IF(OR($F766="",$I766=""),0,IFERROR(INDEX(Nutrition!$M$2:$M$300,MATCH($F766,Nutrition!$A$2:$A$300,0))*$I766/100,0))</f>
        <v>0</v>
      </c>
    </row>
    <row r="767" spans="1:19" ht="15" customHeight="1" x14ac:dyDescent="0.25">
      <c r="A767" s="22" t="s">
        <v>1902</v>
      </c>
      <c r="B767" s="33" t="str">
        <f>IFERROR(INDEX(Recipes!$B$2:$B$500,MATCH(A767,Recipes!$A$2:$A$500,0)),"")</f>
        <v>Nigerian Mixed Vegetable Sauce</v>
      </c>
      <c r="C767" s="7" t="s">
        <v>2781</v>
      </c>
      <c r="D767" s="34">
        <v>1</v>
      </c>
      <c r="E767" s="22" t="s">
        <v>2782</v>
      </c>
      <c r="F767" s="22"/>
      <c r="G767" s="22" t="s">
        <v>2773</v>
      </c>
      <c r="H767" s="7"/>
      <c r="I767" s="35"/>
      <c r="J767" s="30">
        <f>IF(OR($F767="",$I767=""),0,IFERROR(INDEX(Nutrition!$D$2:$D$300,MATCH($F767,Nutrition!$A$2:$A$300,0))*$I767/100,0))</f>
        <v>0</v>
      </c>
      <c r="K767" s="30">
        <f>IF(OR($F767="",$I767=""),0,IFERROR(INDEX(Nutrition!$E$2:$E$300,MATCH($F767,Nutrition!$A$2:$A$300,0))*$I767/100,0))</f>
        <v>0</v>
      </c>
      <c r="L767" s="30">
        <f>IF(OR($F767="",$I767=""),0,IFERROR(INDEX(Nutrition!$F$2:$F$300,MATCH($F767,Nutrition!$A$2:$A$300,0))*$I767/100,0))</f>
        <v>0</v>
      </c>
      <c r="M767" s="30">
        <f>IF(OR($F767="",$I767=""),0,IFERROR(INDEX(Nutrition!$G$2:$G$300,MATCH($F767,Nutrition!$A$2:$A$300,0))*$I767/100,0))</f>
        <v>0</v>
      </c>
      <c r="N767" s="30">
        <f>IF(OR($F767="",$I767=""),0,IFERROR(INDEX(Nutrition!$H$2:$H$300,MATCH($F767,Nutrition!$A$2:$A$300,0))*$I767/100,0))</f>
        <v>0</v>
      </c>
      <c r="O767" s="30">
        <f>IF(OR($F767="",$I767=""),0,IFERROR(INDEX(Nutrition!$I$2:$I$300,MATCH($F767,Nutrition!$A$2:$A$300,0))*$I767/100,0))</f>
        <v>0</v>
      </c>
      <c r="P767" s="30">
        <f>IF(OR($F767="",$I767=""),0,IFERROR(INDEX(Nutrition!$J$2:$J$300,MATCH($F767,Nutrition!$A$2:$A$300,0))*$I767/100,0))</f>
        <v>0</v>
      </c>
      <c r="Q767" s="30">
        <f>IF(OR($F767="",$I767=""),0,IFERROR(INDEX(Nutrition!$K$2:$K$300,MATCH($F767,Nutrition!$A$2:$A$300,0))*$I767/100,0))</f>
        <v>0</v>
      </c>
      <c r="R767" s="30">
        <f>IF(OR($F767="",$I767=""),0,IFERROR(INDEX(Nutrition!$L$2:$L$300,MATCH($F767,Nutrition!$A$2:$A$300,0))*$I767/100,0))</f>
        <v>0</v>
      </c>
      <c r="S767" s="30">
        <f>IF(OR($F767="",$I767=""),0,IFERROR(INDEX(Nutrition!$M$2:$M$300,MATCH($F767,Nutrition!$A$2:$A$300,0))*$I767/100,0))</f>
        <v>0</v>
      </c>
    </row>
    <row r="768" spans="1:19" ht="15" customHeight="1" x14ac:dyDescent="0.25">
      <c r="A768" s="22" t="s">
        <v>1914</v>
      </c>
      <c r="B768" s="33" t="str">
        <f>IFERROR(INDEX(Recipes!$B$2:$B$500,MATCH(A768,Recipes!$A$2:$A$500,0)),"")</f>
        <v>Ugu &amp; Tatashe Greens Stew</v>
      </c>
      <c r="C768" s="7" t="s">
        <v>628</v>
      </c>
      <c r="D768" s="34">
        <v>6</v>
      </c>
      <c r="E768" s="22" t="s">
        <v>2790</v>
      </c>
      <c r="F768" s="22" t="s">
        <v>627</v>
      </c>
      <c r="G768" s="22" t="s">
        <v>2755</v>
      </c>
      <c r="H768" s="7" t="s">
        <v>2944</v>
      </c>
      <c r="I768" s="35">
        <v>180</v>
      </c>
      <c r="J768" s="30">
        <f>IF(OR($F768="",$I768=""),0,IFERROR(INDEX(Nutrition!$D$2:$D$300,MATCH($F768,Nutrition!$A$2:$A$300,0))*$I768/100,0))</f>
        <v>4.68</v>
      </c>
      <c r="K768" s="30">
        <f>IF(OR($F768="",$I768=""),0,IFERROR(INDEX(Nutrition!$E$2:$E$300,MATCH($F768,Nutrition!$A$2:$A$300,0))*$I768/100,0))</f>
        <v>50.4</v>
      </c>
      <c r="L768" s="30">
        <f>IF(OR($F768="",$I768=""),0,IFERROR(INDEX(Nutrition!$F$2:$F$300,MATCH($F768,Nutrition!$A$2:$A$300,0))*$I768/100,0))</f>
        <v>504</v>
      </c>
      <c r="M768" s="30">
        <f>IF(OR($F768="",$I768=""),0,IFERROR(INDEX(Nutrition!$G$2:$G$300,MATCH($F768,Nutrition!$A$2:$A$300,0))*$I768/100,0))</f>
        <v>0</v>
      </c>
      <c r="N768" s="30">
        <f>IF(OR($F768="",$I768=""),0,IFERROR(INDEX(Nutrition!$H$2:$H$300,MATCH($F768,Nutrition!$A$2:$A$300,0))*$I768/100,0))</f>
        <v>153</v>
      </c>
      <c r="O768" s="30">
        <f>IF(OR($F768="",$I768=""),0,IFERROR(INDEX(Nutrition!$I$2:$I$300,MATCH($F768,Nutrition!$A$2:$A$300,0))*$I768/100,0))</f>
        <v>810</v>
      </c>
      <c r="P768" s="30">
        <f>IF(OR($F768="",$I768=""),0,IFERROR(INDEX(Nutrition!$J$2:$J$300,MATCH($F768,Nutrition!$A$2:$A$300,0))*$I768/100,0))</f>
        <v>0</v>
      </c>
      <c r="Q768" s="30">
        <f>IF(OR($F768="",$I768=""),0,IFERROR(INDEX(Nutrition!$K$2:$K$300,MATCH($F768,Nutrition!$A$2:$A$300,0))*$I768/100,0))</f>
        <v>0</v>
      </c>
      <c r="R768" s="30">
        <f>IF(OR($F768="",$I768=""),0,IFERROR(INDEX(Nutrition!$L$2:$L$300,MATCH($F768,Nutrition!$A$2:$A$300,0))*$I768/100,0))</f>
        <v>90</v>
      </c>
      <c r="S768" s="30">
        <f>IF(OR($F768="",$I768=""),0,IFERROR(INDEX(Nutrition!$M$2:$M$300,MATCH($F768,Nutrition!$A$2:$A$300,0))*$I768/100,0))</f>
        <v>4.5</v>
      </c>
    </row>
    <row r="769" spans="1:19" ht="15" customHeight="1" x14ac:dyDescent="0.25">
      <c r="A769" s="22" t="s">
        <v>1914</v>
      </c>
      <c r="B769" s="33" t="str">
        <f>IFERROR(INDEX(Recipes!$B$2:$B$500,MATCH(A769,Recipes!$A$2:$A$500,0)),"")</f>
        <v>Ugu &amp; Tatashe Greens Stew</v>
      </c>
      <c r="C769" s="7" t="s">
        <v>462</v>
      </c>
      <c r="D769" s="34">
        <v>3</v>
      </c>
      <c r="E769" s="22" t="s">
        <v>2754</v>
      </c>
      <c r="F769" s="22" t="s">
        <v>461</v>
      </c>
      <c r="G769" s="22" t="s">
        <v>2755</v>
      </c>
      <c r="H769" s="7" t="s">
        <v>2945</v>
      </c>
      <c r="I769" s="35">
        <v>357</v>
      </c>
      <c r="J769" s="30">
        <f>IF(OR($F769="",$I769=""),0,IFERROR(INDEX(Nutrition!$D$2:$D$300,MATCH($F769,Nutrition!$A$2:$A$300,0))*$I769/100,0))</f>
        <v>7.4970000000000008</v>
      </c>
      <c r="K769" s="30">
        <f>IF(OR($F769="",$I769=""),0,IFERROR(INDEX(Nutrition!$E$2:$E$300,MATCH($F769,Nutrition!$A$2:$A$300,0))*$I769/100,0))</f>
        <v>455.88900000000001</v>
      </c>
      <c r="L769" s="30">
        <f>IF(OR($F769="",$I769=""),0,IFERROR(INDEX(Nutrition!$F$2:$F$300,MATCH($F769,Nutrition!$A$2:$A$300,0))*$I769/100,0))</f>
        <v>560.49</v>
      </c>
      <c r="M769" s="30">
        <f>IF(OR($F769="",$I769=""),0,IFERROR(INDEX(Nutrition!$G$2:$G$300,MATCH($F769,Nutrition!$A$2:$A$300,0))*$I769/100,0))</f>
        <v>17.493000000000002</v>
      </c>
      <c r="N769" s="30">
        <f>IF(OR($F769="",$I769=""),0,IFERROR(INDEX(Nutrition!$H$2:$H$300,MATCH($F769,Nutrition!$A$2:$A$300,0))*$I769/100,0))</f>
        <v>164.22</v>
      </c>
      <c r="O769" s="30">
        <f>IF(OR($F769="",$I769=""),0,IFERROR(INDEX(Nutrition!$I$2:$I$300,MATCH($F769,Nutrition!$A$2:$A$300,0))*$I769/100,0))</f>
        <v>753.27</v>
      </c>
      <c r="P769" s="30">
        <f>IF(OR($F769="",$I769=""),0,IFERROR(INDEX(Nutrition!$J$2:$J$300,MATCH($F769,Nutrition!$A$2:$A$300,0))*$I769/100,0))</f>
        <v>5.6406000000000009</v>
      </c>
      <c r="Q769" s="30">
        <f>IF(OR($F769="",$I769=""),0,IFERROR(INDEX(Nutrition!$K$2:$K$300,MATCH($F769,Nutrition!$A$2:$A$300,0))*$I769/100,0))</f>
        <v>1.03887</v>
      </c>
      <c r="R769" s="30">
        <f>IF(OR($F769="",$I769=""),0,IFERROR(INDEX(Nutrition!$L$2:$L$300,MATCH($F769,Nutrition!$A$2:$A$300,0))*$I769/100,0))</f>
        <v>42.84</v>
      </c>
      <c r="S769" s="30">
        <f>IF(OR($F769="",$I769=""),0,IFERROR(INDEX(Nutrition!$M$2:$M$300,MATCH($F769,Nutrition!$A$2:$A$300,0))*$I769/100,0))</f>
        <v>1.5350999999999999</v>
      </c>
    </row>
    <row r="770" spans="1:19" ht="15" customHeight="1" x14ac:dyDescent="0.25">
      <c r="A770" s="22" t="s">
        <v>1914</v>
      </c>
      <c r="B770" s="33" t="str">
        <f>IFERROR(INDEX(Recipes!$B$2:$B$500,MATCH(A770,Recipes!$A$2:$A$500,0)),"")</f>
        <v>Ugu &amp; Tatashe Greens Stew</v>
      </c>
      <c r="C770" s="7" t="s">
        <v>446</v>
      </c>
      <c r="D770" s="34">
        <v>4</v>
      </c>
      <c r="E770" s="22" t="s">
        <v>2754</v>
      </c>
      <c r="F770" s="22" t="s">
        <v>445</v>
      </c>
      <c r="G770" s="22" t="s">
        <v>2755</v>
      </c>
      <c r="H770" s="7" t="s">
        <v>2775</v>
      </c>
      <c r="I770" s="35">
        <v>248</v>
      </c>
      <c r="J770" s="30">
        <f>IF(OR($F770="",$I770=""),0,IFERROR(INDEX(Nutrition!$D$2:$D$300,MATCH($F770,Nutrition!$A$2:$A$300,0))*$I770/100,0))</f>
        <v>2.9759999999999995</v>
      </c>
      <c r="K770" s="30">
        <f>IF(OR($F770="",$I770=""),0,IFERROR(INDEX(Nutrition!$E$2:$E$300,MATCH($F770,Nutrition!$A$2:$A$300,0))*$I770/100,0))</f>
        <v>33.975999999999999</v>
      </c>
      <c r="L770" s="30">
        <f>IF(OR($F770="",$I770=""),0,IFERROR(INDEX(Nutrition!$F$2:$F$300,MATCH($F770,Nutrition!$A$2:$A$300,0))*$I770/100,0))</f>
        <v>104.16</v>
      </c>
      <c r="M770" s="30">
        <f>IF(OR($F770="",$I770=""),0,IFERROR(INDEX(Nutrition!$G$2:$G$300,MATCH($F770,Nutrition!$A$2:$A$300,0))*$I770/100,0))</f>
        <v>19.591999999999999</v>
      </c>
      <c r="N770" s="30">
        <f>IF(OR($F770="",$I770=""),0,IFERROR(INDEX(Nutrition!$H$2:$H$300,MATCH($F770,Nutrition!$A$2:$A$300,0))*$I770/100,0))</f>
        <v>37.200000000000003</v>
      </c>
      <c r="O770" s="30">
        <f>IF(OR($F770="",$I770=""),0,IFERROR(INDEX(Nutrition!$I$2:$I$300,MATCH($F770,Nutrition!$A$2:$A$300,0))*$I770/100,0))</f>
        <v>587.76</v>
      </c>
      <c r="P770" s="30">
        <f>IF(OR($F770="",$I770=""),0,IFERROR(INDEX(Nutrition!$J$2:$J$300,MATCH($F770,Nutrition!$A$2:$A$300,0))*$I770/100,0))</f>
        <v>1.3392000000000002</v>
      </c>
      <c r="Q770" s="30">
        <f>IF(OR($F770="",$I770=""),0,IFERROR(INDEX(Nutrition!$K$2:$K$300,MATCH($F770,Nutrition!$A$2:$A$300,0))*$I770/100,0))</f>
        <v>0.19839999999999999</v>
      </c>
      <c r="R770" s="30">
        <f>IF(OR($F770="",$I770=""),0,IFERROR(INDEX(Nutrition!$L$2:$L$300,MATCH($F770,Nutrition!$A$2:$A$300,0))*$I770/100,0))</f>
        <v>27.28</v>
      </c>
      <c r="S770" s="30">
        <f>IF(OR($F770="",$I770=""),0,IFERROR(INDEX(Nutrition!$M$2:$M$300,MATCH($F770,Nutrition!$A$2:$A$300,0))*$I770/100,0))</f>
        <v>0.66960000000000008</v>
      </c>
    </row>
    <row r="771" spans="1:19" ht="15" customHeight="1" x14ac:dyDescent="0.25">
      <c r="A771" s="22" t="s">
        <v>1914</v>
      </c>
      <c r="B771" s="33" t="str">
        <f>IFERROR(INDEX(Recipes!$B$2:$B$500,MATCH(A771,Recipes!$A$2:$A$500,0)),"")</f>
        <v>Ugu &amp; Tatashe Greens Stew</v>
      </c>
      <c r="C771" s="7" t="s">
        <v>482</v>
      </c>
      <c r="D771" s="34">
        <v>1</v>
      </c>
      <c r="E771" s="22" t="s">
        <v>2754</v>
      </c>
      <c r="F771" s="22" t="s">
        <v>481</v>
      </c>
      <c r="G771" s="22" t="s">
        <v>2755</v>
      </c>
      <c r="H771" s="7" t="s">
        <v>2946</v>
      </c>
      <c r="I771" s="35">
        <v>110</v>
      </c>
      <c r="J771" s="30">
        <f>IF(OR($F771="",$I771=""),0,IFERROR(INDEX(Nutrition!$D$2:$D$300,MATCH($F771,Nutrition!$A$2:$A$300,0))*$I771/100,0))</f>
        <v>1.87</v>
      </c>
      <c r="K771" s="30">
        <f>IF(OR($F771="",$I771=""),0,IFERROR(INDEX(Nutrition!$E$2:$E$300,MATCH($F771,Nutrition!$A$2:$A$300,0))*$I771/100,0))</f>
        <v>8.14</v>
      </c>
      <c r="L771" s="30">
        <f>IF(OR($F771="",$I771=""),0,IFERROR(INDEX(Nutrition!$F$2:$F$300,MATCH($F771,Nutrition!$A$2:$A$300,0))*$I771/100,0))</f>
        <v>0</v>
      </c>
      <c r="M771" s="30">
        <f>IF(OR($F771="",$I771=""),0,IFERROR(INDEX(Nutrition!$G$2:$G$300,MATCH($F771,Nutrition!$A$2:$A$300,0))*$I771/100,0))</f>
        <v>0.44</v>
      </c>
      <c r="N771" s="30">
        <f>IF(OR($F771="",$I771=""),0,IFERROR(INDEX(Nutrition!$H$2:$H$300,MATCH($F771,Nutrition!$A$2:$A$300,0))*$I771/100,0))</f>
        <v>20.9</v>
      </c>
      <c r="O771" s="30">
        <f>IF(OR($F771="",$I771=""),0,IFERROR(INDEX(Nutrition!$I$2:$I$300,MATCH($F771,Nutrition!$A$2:$A$300,0))*$I771/100,0))</f>
        <v>160.6</v>
      </c>
      <c r="P771" s="30">
        <f>IF(OR($F771="",$I771=""),0,IFERROR(INDEX(Nutrition!$J$2:$J$300,MATCH($F771,Nutrition!$A$2:$A$300,0))*$I771/100,0))</f>
        <v>2.2000000000000002E-2</v>
      </c>
      <c r="Q771" s="30">
        <f>IF(OR($F771="",$I771=""),0,IFERROR(INDEX(Nutrition!$K$2:$K$300,MATCH($F771,Nutrition!$A$2:$A$300,0))*$I771/100,0))</f>
        <v>0.13200000000000001</v>
      </c>
      <c r="R771" s="30">
        <f>IF(OR($F771="",$I771=""),0,IFERROR(INDEX(Nutrition!$L$2:$L$300,MATCH($F771,Nutrition!$A$2:$A$300,0))*$I771/100,0))</f>
        <v>11</v>
      </c>
      <c r="S771" s="30">
        <f>IF(OR($F771="",$I771=""),0,IFERROR(INDEX(Nutrition!$M$2:$M$300,MATCH($F771,Nutrition!$A$2:$A$300,0))*$I771/100,0))</f>
        <v>0.23099999999999998</v>
      </c>
    </row>
    <row r="772" spans="1:19" ht="15" customHeight="1" x14ac:dyDescent="0.25">
      <c r="A772" s="22" t="s">
        <v>1914</v>
      </c>
      <c r="B772" s="33" t="str">
        <f>IFERROR(INDEX(Recipes!$B$2:$B$500,MATCH(A772,Recipes!$A$2:$A$500,0)),"")</f>
        <v>Ugu &amp; Tatashe Greens Stew</v>
      </c>
      <c r="C772" s="7" t="s">
        <v>500</v>
      </c>
      <c r="D772" s="34">
        <v>4</v>
      </c>
      <c r="E772" s="22" t="s">
        <v>2776</v>
      </c>
      <c r="F772" s="22" t="s">
        <v>499</v>
      </c>
      <c r="G772" s="22" t="s">
        <v>2755</v>
      </c>
      <c r="H772" s="7" t="s">
        <v>2896</v>
      </c>
      <c r="I772" s="35">
        <v>12</v>
      </c>
      <c r="J772" s="30">
        <f>IF(OR($F772="",$I772=""),0,IFERROR(INDEX(Nutrition!$D$2:$D$300,MATCH($F772,Nutrition!$A$2:$A$300,0))*$I772/100,0))</f>
        <v>0.252</v>
      </c>
      <c r="K772" s="30">
        <f>IF(OR($F772="",$I772=""),0,IFERROR(INDEX(Nutrition!$E$2:$E$300,MATCH($F772,Nutrition!$A$2:$A$300,0))*$I772/100,0))</f>
        <v>3.7439999999999998</v>
      </c>
      <c r="L772" s="30">
        <f>IF(OR($F772="",$I772=""),0,IFERROR(INDEX(Nutrition!$F$2:$F$300,MATCH($F772,Nutrition!$A$2:$A$300,0))*$I772/100,0))</f>
        <v>0</v>
      </c>
      <c r="M772" s="30">
        <f>IF(OR($F772="",$I772=""),0,IFERROR(INDEX(Nutrition!$G$2:$G$300,MATCH($F772,Nutrition!$A$2:$A$300,0))*$I772/100,0))</f>
        <v>0.20399999999999999</v>
      </c>
      <c r="N772" s="30">
        <f>IF(OR($F772="",$I772=""),0,IFERROR(INDEX(Nutrition!$H$2:$H$300,MATCH($F772,Nutrition!$A$2:$A$300,0))*$I772/100,0))</f>
        <v>0.36</v>
      </c>
      <c r="O772" s="30">
        <f>IF(OR($F772="",$I772=""),0,IFERROR(INDEX(Nutrition!$I$2:$I$300,MATCH($F772,Nutrition!$A$2:$A$300,0))*$I772/100,0))</f>
        <v>48.12</v>
      </c>
      <c r="P772" s="30">
        <f>IF(OR($F772="",$I772=""),0,IFERROR(INDEX(Nutrition!$J$2:$J$300,MATCH($F772,Nutrition!$A$2:$A$300,0))*$I772/100,0))</f>
        <v>9.5999999999999992E-3</v>
      </c>
      <c r="Q772" s="30">
        <f>IF(OR($F772="",$I772=""),0,IFERROR(INDEX(Nutrition!$K$2:$K$300,MATCH($F772,Nutrition!$A$2:$A$300,0))*$I772/100,0))</f>
        <v>0.1482</v>
      </c>
      <c r="R772" s="30">
        <f>IF(OR($F772="",$I772=""),0,IFERROR(INDEX(Nutrition!$L$2:$L$300,MATCH($F772,Nutrition!$A$2:$A$300,0))*$I772/100,0))</f>
        <v>3</v>
      </c>
      <c r="S772" s="30">
        <f>IF(OR($F772="",$I772=""),0,IFERROR(INDEX(Nutrition!$M$2:$M$300,MATCH($F772,Nutrition!$A$2:$A$300,0))*$I772/100,0))</f>
        <v>0.20399999999999999</v>
      </c>
    </row>
    <row r="773" spans="1:19" ht="15" customHeight="1" x14ac:dyDescent="0.25">
      <c r="A773" s="22" t="s">
        <v>1914</v>
      </c>
      <c r="B773" s="33" t="str">
        <f>IFERROR(INDEX(Recipes!$B$2:$B$500,MATCH(A773,Recipes!$A$2:$A$500,0)),"")</f>
        <v>Ugu &amp; Tatashe Greens Stew</v>
      </c>
      <c r="C773" s="7" t="s">
        <v>473</v>
      </c>
      <c r="D773" s="34">
        <v>2</v>
      </c>
      <c r="E773" s="22" t="s">
        <v>2754</v>
      </c>
      <c r="F773" s="22" t="s">
        <v>472</v>
      </c>
      <c r="G773" s="22" t="s">
        <v>2755</v>
      </c>
      <c r="H773" s="7" t="s">
        <v>2775</v>
      </c>
      <c r="I773" s="35">
        <v>20</v>
      </c>
      <c r="J773" s="30">
        <f>IF(OR($F773="",$I773=""),0,IFERROR(INDEX(Nutrition!$D$2:$D$300,MATCH($F773,Nutrition!$A$2:$A$300,0))*$I773/100,0))</f>
        <v>0.3</v>
      </c>
      <c r="K773" s="30">
        <f>IF(OR($F773="",$I773=""),0,IFERROR(INDEX(Nutrition!$E$2:$E$300,MATCH($F773,Nutrition!$A$2:$A$300,0))*$I773/100,0))</f>
        <v>28.74</v>
      </c>
      <c r="L773" s="30">
        <f>IF(OR($F773="",$I773=""),0,IFERROR(INDEX(Nutrition!$F$2:$F$300,MATCH($F773,Nutrition!$A$2:$A$300,0))*$I773/100,0))</f>
        <v>9.6</v>
      </c>
      <c r="M773" s="30">
        <f>IF(OR($F773="",$I773=""),0,IFERROR(INDEX(Nutrition!$G$2:$G$300,MATCH($F773,Nutrition!$A$2:$A$300,0))*$I773/100,0))</f>
        <v>2.8</v>
      </c>
      <c r="N773" s="30">
        <f>IF(OR($F773="",$I773=""),0,IFERROR(INDEX(Nutrition!$H$2:$H$300,MATCH($F773,Nutrition!$A$2:$A$300,0))*$I773/100,0))</f>
        <v>4.5999999999999996</v>
      </c>
      <c r="O773" s="30">
        <f>IF(OR($F773="",$I773=""),0,IFERROR(INDEX(Nutrition!$I$2:$I$300,MATCH($F773,Nutrition!$A$2:$A$300,0))*$I773/100,0))</f>
        <v>64.400000000000006</v>
      </c>
      <c r="P773" s="30">
        <f>IF(OR($F773="",$I773=""),0,IFERROR(INDEX(Nutrition!$J$2:$J$300,MATCH($F773,Nutrition!$A$2:$A$300,0))*$I773/100,0))</f>
        <v>0.13799999999999998</v>
      </c>
      <c r="Q773" s="30">
        <f>IF(OR($F773="",$I773=""),0,IFERROR(INDEX(Nutrition!$K$2:$K$300,MATCH($F773,Nutrition!$A$2:$A$300,0))*$I773/100,0))</f>
        <v>0.10120000000000001</v>
      </c>
      <c r="R773" s="30">
        <f>IF(OR($F773="",$I773=""),0,IFERROR(INDEX(Nutrition!$L$2:$L$300,MATCH($F773,Nutrition!$A$2:$A$300,0))*$I773/100,0))</f>
        <v>4.5999999999999996</v>
      </c>
      <c r="S773" s="30">
        <f>IF(OR($F773="",$I773=""),0,IFERROR(INDEX(Nutrition!$M$2:$M$300,MATCH($F773,Nutrition!$A$2:$A$300,0))*$I773/100,0))</f>
        <v>0.20600000000000002</v>
      </c>
    </row>
    <row r="774" spans="1:19" ht="15" customHeight="1" x14ac:dyDescent="0.25">
      <c r="A774" s="22" t="s">
        <v>1914</v>
      </c>
      <c r="B774" s="33" t="str">
        <f>IFERROR(INDEX(Recipes!$B$2:$B$500,MATCH(A774,Recipes!$A$2:$A$500,0)),"")</f>
        <v>Ugu &amp; Tatashe Greens Stew</v>
      </c>
      <c r="C774" s="7" t="s">
        <v>2908</v>
      </c>
      <c r="D774" s="34">
        <v>1</v>
      </c>
      <c r="E774" s="22" t="s">
        <v>2809</v>
      </c>
      <c r="F774" s="22" t="s">
        <v>651</v>
      </c>
      <c r="G774" s="22" t="s">
        <v>2755</v>
      </c>
      <c r="H774" s="7" t="s">
        <v>2775</v>
      </c>
      <c r="I774" s="35">
        <v>30</v>
      </c>
      <c r="J774" s="30">
        <f>IF(OR($F774="",$I774=""),0,IFERROR(INDEX(Nutrition!$D$2:$D$300,MATCH($F774,Nutrition!$A$2:$A$300,0))*$I774/100,0))</f>
        <v>0.48</v>
      </c>
      <c r="K774" s="30">
        <f>IF(OR($F774="",$I774=""),0,IFERROR(INDEX(Nutrition!$E$2:$E$300,MATCH($F774,Nutrition!$A$2:$A$300,0))*$I774/100,0))</f>
        <v>7.2</v>
      </c>
      <c r="L774" s="30">
        <f>IF(OR($F774="",$I774=""),0,IFERROR(INDEX(Nutrition!$F$2:$F$300,MATCH($F774,Nutrition!$A$2:$A$300,0))*$I774/100,0))</f>
        <v>79.2</v>
      </c>
      <c r="M774" s="30">
        <f>IF(OR($F774="",$I774=""),0,IFERROR(INDEX(Nutrition!$G$2:$G$300,MATCH($F774,Nutrition!$A$2:$A$300,0))*$I774/100,0))</f>
        <v>124.44</v>
      </c>
      <c r="N774" s="30">
        <f>IF(OR($F774="",$I774=""),0,IFERROR(INDEX(Nutrition!$H$2:$H$300,MATCH($F774,Nutrition!$A$2:$A$300,0))*$I774/100,0))</f>
        <v>20.399999999999999</v>
      </c>
      <c r="O774" s="30">
        <f>IF(OR($F774="",$I774=""),0,IFERROR(INDEX(Nutrition!$I$2:$I$300,MATCH($F774,Nutrition!$A$2:$A$300,0))*$I774/100,0))</f>
        <v>166.8</v>
      </c>
      <c r="P774" s="30">
        <f>IF(OR($F774="",$I774=""),0,IFERROR(INDEX(Nutrition!$J$2:$J$300,MATCH($F774,Nutrition!$A$2:$A$300,0))*$I774/100,0))</f>
        <v>0.24</v>
      </c>
      <c r="Q774" s="30">
        <f>IF(OR($F774="",$I774=""),0,IFERROR(INDEX(Nutrition!$K$2:$K$300,MATCH($F774,Nutrition!$A$2:$A$300,0))*$I774/100,0))</f>
        <v>4.6500000000000007E-2</v>
      </c>
      <c r="R774" s="30">
        <f>IF(OR($F774="",$I774=""),0,IFERROR(INDEX(Nutrition!$L$2:$L$300,MATCH($F774,Nutrition!$A$2:$A$300,0))*$I774/100,0))</f>
        <v>19.2</v>
      </c>
      <c r="S774" s="30">
        <f>IF(OR($F774="",$I774=""),0,IFERROR(INDEX(Nutrition!$M$2:$M$300,MATCH($F774,Nutrition!$A$2:$A$300,0))*$I774/100,0))</f>
        <v>0.96</v>
      </c>
    </row>
    <row r="775" spans="1:19" ht="15" customHeight="1" x14ac:dyDescent="0.25">
      <c r="A775" s="22" t="s">
        <v>1914</v>
      </c>
      <c r="B775" s="33" t="str">
        <f>IFERROR(INDEX(Recipes!$B$2:$B$500,MATCH(A775,Recipes!$A$2:$A$500,0)),"")</f>
        <v>Ugu &amp; Tatashe Greens Stew</v>
      </c>
      <c r="C775" s="7" t="s">
        <v>2947</v>
      </c>
      <c r="D775" s="34">
        <v>3</v>
      </c>
      <c r="E775" s="22" t="s">
        <v>2753</v>
      </c>
      <c r="F775" s="22"/>
      <c r="G775" s="22" t="s">
        <v>2773</v>
      </c>
      <c r="H775" s="7"/>
      <c r="I775" s="35"/>
      <c r="J775" s="30">
        <f>IF(OR($F775="",$I775=""),0,IFERROR(INDEX(Nutrition!$D$2:$D$300,MATCH($F775,Nutrition!$A$2:$A$300,0))*$I775/100,0))</f>
        <v>0</v>
      </c>
      <c r="K775" s="30">
        <f>IF(OR($F775="",$I775=""),0,IFERROR(INDEX(Nutrition!$E$2:$E$300,MATCH($F775,Nutrition!$A$2:$A$300,0))*$I775/100,0))</f>
        <v>0</v>
      </c>
      <c r="L775" s="30">
        <f>IF(OR($F775="",$I775=""),0,IFERROR(INDEX(Nutrition!$F$2:$F$300,MATCH($F775,Nutrition!$A$2:$A$300,0))*$I775/100,0))</f>
        <v>0</v>
      </c>
      <c r="M775" s="30">
        <f>IF(OR($F775="",$I775=""),0,IFERROR(INDEX(Nutrition!$G$2:$G$300,MATCH($F775,Nutrition!$A$2:$A$300,0))*$I775/100,0))</f>
        <v>0</v>
      </c>
      <c r="N775" s="30">
        <f>IF(OR($F775="",$I775=""),0,IFERROR(INDEX(Nutrition!$H$2:$H$300,MATCH($F775,Nutrition!$A$2:$A$300,0))*$I775/100,0))</f>
        <v>0</v>
      </c>
      <c r="O775" s="30">
        <f>IF(OR($F775="",$I775=""),0,IFERROR(INDEX(Nutrition!$I$2:$I$300,MATCH($F775,Nutrition!$A$2:$A$300,0))*$I775/100,0))</f>
        <v>0</v>
      </c>
      <c r="P775" s="30">
        <f>IF(OR($F775="",$I775=""),0,IFERROR(INDEX(Nutrition!$J$2:$J$300,MATCH($F775,Nutrition!$A$2:$A$300,0))*$I775/100,0))</f>
        <v>0</v>
      </c>
      <c r="Q775" s="30">
        <f>IF(OR($F775="",$I775=""),0,IFERROR(INDEX(Nutrition!$K$2:$K$300,MATCH($F775,Nutrition!$A$2:$A$300,0))*$I775/100,0))</f>
        <v>0</v>
      </c>
      <c r="R775" s="30">
        <f>IF(OR($F775="",$I775=""),0,IFERROR(INDEX(Nutrition!$L$2:$L$300,MATCH($F775,Nutrition!$A$2:$A$300,0))*$I775/100,0))</f>
        <v>0</v>
      </c>
      <c r="S775" s="30">
        <f>IF(OR($F775="",$I775=""),0,IFERROR(INDEX(Nutrition!$M$2:$M$300,MATCH($F775,Nutrition!$A$2:$A$300,0))*$I775/100,0))</f>
        <v>0</v>
      </c>
    </row>
    <row r="776" spans="1:19" ht="15" customHeight="1" x14ac:dyDescent="0.25">
      <c r="A776" s="22" t="s">
        <v>1914</v>
      </c>
      <c r="B776" s="33" t="str">
        <f>IFERROR(INDEX(Recipes!$B$2:$B$500,MATCH(A776,Recipes!$A$2:$A$500,0)),"")</f>
        <v>Ugu &amp; Tatashe Greens Stew</v>
      </c>
      <c r="C776" s="7" t="s">
        <v>2881</v>
      </c>
      <c r="D776" s="34">
        <v>1</v>
      </c>
      <c r="E776" s="22" t="s">
        <v>2753</v>
      </c>
      <c r="F776" s="22"/>
      <c r="G776" s="22" t="s">
        <v>2749</v>
      </c>
      <c r="H776" s="7"/>
      <c r="I776" s="35"/>
      <c r="J776" s="30">
        <f>IF(OR($F776="",$I776=""),0,IFERROR(INDEX(Nutrition!$D$2:$D$300,MATCH($F776,Nutrition!$A$2:$A$300,0))*$I776/100,0))</f>
        <v>0</v>
      </c>
      <c r="K776" s="30">
        <f>IF(OR($F776="",$I776=""),0,IFERROR(INDEX(Nutrition!$E$2:$E$300,MATCH($F776,Nutrition!$A$2:$A$300,0))*$I776/100,0))</f>
        <v>0</v>
      </c>
      <c r="L776" s="30">
        <f>IF(OR($F776="",$I776=""),0,IFERROR(INDEX(Nutrition!$F$2:$F$300,MATCH($F776,Nutrition!$A$2:$A$300,0))*$I776/100,0))</f>
        <v>0</v>
      </c>
      <c r="M776" s="30">
        <f>IF(OR($F776="",$I776=""),0,IFERROR(INDEX(Nutrition!$G$2:$G$300,MATCH($F776,Nutrition!$A$2:$A$300,0))*$I776/100,0))</f>
        <v>0</v>
      </c>
      <c r="N776" s="30">
        <f>IF(OR($F776="",$I776=""),0,IFERROR(INDEX(Nutrition!$H$2:$H$300,MATCH($F776,Nutrition!$A$2:$A$300,0))*$I776/100,0))</f>
        <v>0</v>
      </c>
      <c r="O776" s="30">
        <f>IF(OR($F776="",$I776=""),0,IFERROR(INDEX(Nutrition!$I$2:$I$300,MATCH($F776,Nutrition!$A$2:$A$300,0))*$I776/100,0))</f>
        <v>0</v>
      </c>
      <c r="P776" s="30">
        <f>IF(OR($F776="",$I776=""),0,IFERROR(INDEX(Nutrition!$J$2:$J$300,MATCH($F776,Nutrition!$A$2:$A$300,0))*$I776/100,0))</f>
        <v>0</v>
      </c>
      <c r="Q776" s="30">
        <f>IF(OR($F776="",$I776=""),0,IFERROR(INDEX(Nutrition!$K$2:$K$300,MATCH($F776,Nutrition!$A$2:$A$300,0))*$I776/100,0))</f>
        <v>0</v>
      </c>
      <c r="R776" s="30">
        <f>IF(OR($F776="",$I776=""),0,IFERROR(INDEX(Nutrition!$L$2:$L$300,MATCH($F776,Nutrition!$A$2:$A$300,0))*$I776/100,0))</f>
        <v>0</v>
      </c>
      <c r="S776" s="30">
        <f>IF(OR($F776="",$I776=""),0,IFERROR(INDEX(Nutrition!$M$2:$M$300,MATCH($F776,Nutrition!$A$2:$A$300,0))*$I776/100,0))</f>
        <v>0</v>
      </c>
    </row>
    <row r="777" spans="1:19" ht="15" customHeight="1" x14ac:dyDescent="0.25">
      <c r="A777" s="22" t="s">
        <v>1914</v>
      </c>
      <c r="B777" s="33" t="str">
        <f>IFERROR(INDEX(Recipes!$B$2:$B$500,MATCH(A777,Recipes!$A$2:$A$500,0)),"")</f>
        <v>Ugu &amp; Tatashe Greens Stew</v>
      </c>
      <c r="C777" s="7" t="s">
        <v>2884</v>
      </c>
      <c r="D777" s="34">
        <v>1</v>
      </c>
      <c r="E777" s="22" t="s">
        <v>2759</v>
      </c>
      <c r="F777" s="22"/>
      <c r="G777" s="22" t="s">
        <v>2749</v>
      </c>
      <c r="H777" s="7"/>
      <c r="I777" s="35"/>
      <c r="J777" s="30">
        <f>IF(OR($F777="",$I777=""),0,IFERROR(INDEX(Nutrition!$D$2:$D$300,MATCH($F777,Nutrition!$A$2:$A$300,0))*$I777/100,0))</f>
        <v>0</v>
      </c>
      <c r="K777" s="30">
        <f>IF(OR($F777="",$I777=""),0,IFERROR(INDEX(Nutrition!$E$2:$E$300,MATCH($F777,Nutrition!$A$2:$A$300,0))*$I777/100,0))</f>
        <v>0</v>
      </c>
      <c r="L777" s="30">
        <f>IF(OR($F777="",$I777=""),0,IFERROR(INDEX(Nutrition!$F$2:$F$300,MATCH($F777,Nutrition!$A$2:$A$300,0))*$I777/100,0))</f>
        <v>0</v>
      </c>
      <c r="M777" s="30">
        <f>IF(OR($F777="",$I777=""),0,IFERROR(INDEX(Nutrition!$G$2:$G$300,MATCH($F777,Nutrition!$A$2:$A$300,0))*$I777/100,0))</f>
        <v>0</v>
      </c>
      <c r="N777" s="30">
        <f>IF(OR($F777="",$I777=""),0,IFERROR(INDEX(Nutrition!$H$2:$H$300,MATCH($F777,Nutrition!$A$2:$A$300,0))*$I777/100,0))</f>
        <v>0</v>
      </c>
      <c r="O777" s="30">
        <f>IF(OR($F777="",$I777=""),0,IFERROR(INDEX(Nutrition!$I$2:$I$300,MATCH($F777,Nutrition!$A$2:$A$300,0))*$I777/100,0))</f>
        <v>0</v>
      </c>
      <c r="P777" s="30">
        <f>IF(OR($F777="",$I777=""),0,IFERROR(INDEX(Nutrition!$J$2:$J$300,MATCH($F777,Nutrition!$A$2:$A$300,0))*$I777/100,0))</f>
        <v>0</v>
      </c>
      <c r="Q777" s="30">
        <f>IF(OR($F777="",$I777=""),0,IFERROR(INDEX(Nutrition!$K$2:$K$300,MATCH($F777,Nutrition!$A$2:$A$300,0))*$I777/100,0))</f>
        <v>0</v>
      </c>
      <c r="R777" s="30">
        <f>IF(OR($F777="",$I777=""),0,IFERROR(INDEX(Nutrition!$L$2:$L$300,MATCH($F777,Nutrition!$A$2:$A$300,0))*$I777/100,0))</f>
        <v>0</v>
      </c>
      <c r="S777" s="30">
        <f>IF(OR($F777="",$I777=""),0,IFERROR(INDEX(Nutrition!$M$2:$M$300,MATCH($F777,Nutrition!$A$2:$A$300,0))*$I777/100,0))</f>
        <v>0</v>
      </c>
    </row>
    <row r="778" spans="1:19" ht="15" customHeight="1" x14ac:dyDescent="0.25">
      <c r="A778" s="22" t="s">
        <v>1914</v>
      </c>
      <c r="B778" s="33" t="str">
        <f>IFERROR(INDEX(Recipes!$B$2:$B$500,MATCH(A778,Recipes!$A$2:$A$500,0)),"")</f>
        <v>Ugu &amp; Tatashe Greens Stew</v>
      </c>
      <c r="C778" s="7" t="s">
        <v>2943</v>
      </c>
      <c r="D778" s="34">
        <v>1</v>
      </c>
      <c r="E778" s="22" t="s">
        <v>2754</v>
      </c>
      <c r="F778" s="22"/>
      <c r="G778" s="22" t="s">
        <v>2749</v>
      </c>
      <c r="H778" s="7"/>
      <c r="I778" s="35"/>
      <c r="J778" s="30">
        <f>IF(OR($F778="",$I778=""),0,IFERROR(INDEX(Nutrition!$D$2:$D$300,MATCH($F778,Nutrition!$A$2:$A$300,0))*$I778/100,0))</f>
        <v>0</v>
      </c>
      <c r="K778" s="30">
        <f>IF(OR($F778="",$I778=""),0,IFERROR(INDEX(Nutrition!$E$2:$E$300,MATCH($F778,Nutrition!$A$2:$A$300,0))*$I778/100,0))</f>
        <v>0</v>
      </c>
      <c r="L778" s="30">
        <f>IF(OR($F778="",$I778=""),0,IFERROR(INDEX(Nutrition!$F$2:$F$300,MATCH($F778,Nutrition!$A$2:$A$300,0))*$I778/100,0))</f>
        <v>0</v>
      </c>
      <c r="M778" s="30">
        <f>IF(OR($F778="",$I778=""),0,IFERROR(INDEX(Nutrition!$G$2:$G$300,MATCH($F778,Nutrition!$A$2:$A$300,0))*$I778/100,0))</f>
        <v>0</v>
      </c>
      <c r="N778" s="30">
        <f>IF(OR($F778="",$I778=""),0,IFERROR(INDEX(Nutrition!$H$2:$H$300,MATCH($F778,Nutrition!$A$2:$A$300,0))*$I778/100,0))</f>
        <v>0</v>
      </c>
      <c r="O778" s="30">
        <f>IF(OR($F778="",$I778=""),0,IFERROR(INDEX(Nutrition!$I$2:$I$300,MATCH($F778,Nutrition!$A$2:$A$300,0))*$I778/100,0))</f>
        <v>0</v>
      </c>
      <c r="P778" s="30">
        <f>IF(OR($F778="",$I778=""),0,IFERROR(INDEX(Nutrition!$J$2:$J$300,MATCH($F778,Nutrition!$A$2:$A$300,0))*$I778/100,0))</f>
        <v>0</v>
      </c>
      <c r="Q778" s="30">
        <f>IF(OR($F778="",$I778=""),0,IFERROR(INDEX(Nutrition!$K$2:$K$300,MATCH($F778,Nutrition!$A$2:$A$300,0))*$I778/100,0))</f>
        <v>0</v>
      </c>
      <c r="R778" s="30">
        <f>IF(OR($F778="",$I778=""),0,IFERROR(INDEX(Nutrition!$L$2:$L$300,MATCH($F778,Nutrition!$A$2:$A$300,0))*$I778/100,0))</f>
        <v>0</v>
      </c>
      <c r="S778" s="30">
        <f>IF(OR($F778="",$I778=""),0,IFERROR(INDEX(Nutrition!$M$2:$M$300,MATCH($F778,Nutrition!$A$2:$A$300,0))*$I778/100,0))</f>
        <v>0</v>
      </c>
    </row>
    <row r="779" spans="1:19" ht="15" customHeight="1" x14ac:dyDescent="0.25">
      <c r="A779" s="22" t="s">
        <v>1927</v>
      </c>
      <c r="B779" s="33" t="str">
        <f>IFERROR(INDEX(Recipes!$B$2:$B$500,MATCH(A779,Recipes!$A$2:$A$500,0)),"")</f>
        <v>Stewed Okra &amp; Tomatoes</v>
      </c>
      <c r="C779" s="7" t="s">
        <v>572</v>
      </c>
      <c r="D779" s="34">
        <v>450</v>
      </c>
      <c r="E779" s="22" t="s">
        <v>2813</v>
      </c>
      <c r="F779" s="22" t="s">
        <v>571</v>
      </c>
      <c r="G779" s="22" t="s">
        <v>2755</v>
      </c>
      <c r="H779" s="7" t="s">
        <v>2948</v>
      </c>
      <c r="I779" s="35">
        <v>450</v>
      </c>
      <c r="J779" s="30">
        <f>IF(OR($F779="",$I779=""),0,IFERROR(INDEX(Nutrition!$D$2:$D$300,MATCH($F779,Nutrition!$A$2:$A$300,0))*$I779/100,0))</f>
        <v>14.4</v>
      </c>
      <c r="K779" s="30">
        <f>IF(OR($F779="",$I779=""),0,IFERROR(INDEX(Nutrition!$E$2:$E$300,MATCH($F779,Nutrition!$A$2:$A$300,0))*$I779/100,0))</f>
        <v>103.5</v>
      </c>
      <c r="L779" s="30">
        <f>IF(OR($F779="",$I779=""),0,IFERROR(INDEX(Nutrition!$F$2:$F$300,MATCH($F779,Nutrition!$A$2:$A$300,0))*$I779/100,0))</f>
        <v>162</v>
      </c>
      <c r="M779" s="30">
        <f>IF(OR($F779="",$I779=""),0,IFERROR(INDEX(Nutrition!$G$2:$G$300,MATCH($F779,Nutrition!$A$2:$A$300,0))*$I779/100,0))</f>
        <v>140.85</v>
      </c>
      <c r="N779" s="30">
        <f>IF(OR($F779="",$I779=""),0,IFERROR(INDEX(Nutrition!$H$2:$H$300,MATCH($F779,Nutrition!$A$2:$A$300,0))*$I779/100,0))</f>
        <v>270</v>
      </c>
      <c r="O779" s="30">
        <f>IF(OR($F779="",$I779=""),0,IFERROR(INDEX(Nutrition!$I$2:$I$300,MATCH($F779,Nutrition!$A$2:$A$300,0))*$I779/100,0))</f>
        <v>1345.5</v>
      </c>
      <c r="P779" s="30">
        <f>IF(OR($F779="",$I779=""),0,IFERROR(INDEX(Nutrition!$J$2:$J$300,MATCH($F779,Nutrition!$A$2:$A$300,0))*$I779/100,0))</f>
        <v>1.2150000000000001</v>
      </c>
      <c r="Q779" s="30">
        <f>IF(OR($F779="",$I779=""),0,IFERROR(INDEX(Nutrition!$K$2:$K$300,MATCH($F779,Nutrition!$A$2:$A$300,0))*$I779/100,0))</f>
        <v>0.96750000000000003</v>
      </c>
      <c r="R779" s="30">
        <f>IF(OR($F779="",$I779=""),0,IFERROR(INDEX(Nutrition!$L$2:$L$300,MATCH($F779,Nutrition!$A$2:$A$300,0))*$I779/100,0))</f>
        <v>256.5</v>
      </c>
      <c r="S779" s="30">
        <f>IF(OR($F779="",$I779=""),0,IFERROR(INDEX(Nutrition!$M$2:$M$300,MATCH($F779,Nutrition!$A$2:$A$300,0))*$I779/100,0))</f>
        <v>2.79</v>
      </c>
    </row>
    <row r="780" spans="1:19" ht="15" customHeight="1" x14ac:dyDescent="0.25">
      <c r="A780" s="22" t="s">
        <v>1927</v>
      </c>
      <c r="B780" s="33" t="str">
        <f>IFERROR(INDEX(Recipes!$B$2:$B$500,MATCH(A780,Recipes!$A$2:$A$500,0)),"")</f>
        <v>Stewed Okra &amp; Tomatoes</v>
      </c>
      <c r="C780" s="7" t="s">
        <v>446</v>
      </c>
      <c r="D780" s="34">
        <v>3</v>
      </c>
      <c r="E780" s="22" t="s">
        <v>2754</v>
      </c>
      <c r="F780" s="22" t="s">
        <v>445</v>
      </c>
      <c r="G780" s="22" t="s">
        <v>2755</v>
      </c>
      <c r="H780" s="7" t="s">
        <v>2775</v>
      </c>
      <c r="I780" s="35">
        <v>186</v>
      </c>
      <c r="J780" s="30">
        <f>IF(OR($F780="",$I780=""),0,IFERROR(INDEX(Nutrition!$D$2:$D$300,MATCH($F780,Nutrition!$A$2:$A$300,0))*$I780/100,0))</f>
        <v>2.2319999999999998</v>
      </c>
      <c r="K780" s="30">
        <f>IF(OR($F780="",$I780=""),0,IFERROR(INDEX(Nutrition!$E$2:$E$300,MATCH($F780,Nutrition!$A$2:$A$300,0))*$I780/100,0))</f>
        <v>25.481999999999999</v>
      </c>
      <c r="L780" s="30">
        <f>IF(OR($F780="",$I780=""),0,IFERROR(INDEX(Nutrition!$F$2:$F$300,MATCH($F780,Nutrition!$A$2:$A$300,0))*$I780/100,0))</f>
        <v>78.12</v>
      </c>
      <c r="M780" s="30">
        <f>IF(OR($F780="",$I780=""),0,IFERROR(INDEX(Nutrition!$G$2:$G$300,MATCH($F780,Nutrition!$A$2:$A$300,0))*$I780/100,0))</f>
        <v>14.694000000000001</v>
      </c>
      <c r="N780" s="30">
        <f>IF(OR($F780="",$I780=""),0,IFERROR(INDEX(Nutrition!$H$2:$H$300,MATCH($F780,Nutrition!$A$2:$A$300,0))*$I780/100,0))</f>
        <v>27.9</v>
      </c>
      <c r="O780" s="30">
        <f>IF(OR($F780="",$I780=""),0,IFERROR(INDEX(Nutrition!$I$2:$I$300,MATCH($F780,Nutrition!$A$2:$A$300,0))*$I780/100,0))</f>
        <v>440.82</v>
      </c>
      <c r="P780" s="30">
        <f>IF(OR($F780="",$I780=""),0,IFERROR(INDEX(Nutrition!$J$2:$J$300,MATCH($F780,Nutrition!$A$2:$A$300,0))*$I780/100,0))</f>
        <v>1.0044000000000002</v>
      </c>
      <c r="Q780" s="30">
        <f>IF(OR($F780="",$I780=""),0,IFERROR(INDEX(Nutrition!$K$2:$K$300,MATCH($F780,Nutrition!$A$2:$A$300,0))*$I780/100,0))</f>
        <v>0.14880000000000002</v>
      </c>
      <c r="R780" s="30">
        <f>IF(OR($F780="",$I780=""),0,IFERROR(INDEX(Nutrition!$L$2:$L$300,MATCH($F780,Nutrition!$A$2:$A$300,0))*$I780/100,0))</f>
        <v>20.46</v>
      </c>
      <c r="S780" s="30">
        <f>IF(OR($F780="",$I780=""),0,IFERROR(INDEX(Nutrition!$M$2:$M$300,MATCH($F780,Nutrition!$A$2:$A$300,0))*$I780/100,0))</f>
        <v>0.50220000000000009</v>
      </c>
    </row>
    <row r="781" spans="1:19" ht="15" customHeight="1" x14ac:dyDescent="0.25">
      <c r="A781" s="22" t="s">
        <v>1927</v>
      </c>
      <c r="B781" s="33" t="str">
        <f>IFERROR(INDEX(Recipes!$B$2:$B$500,MATCH(A781,Recipes!$A$2:$A$500,0)),"")</f>
        <v>Stewed Okra &amp; Tomatoes</v>
      </c>
      <c r="C781" s="7" t="s">
        <v>482</v>
      </c>
      <c r="D781" s="34">
        <v>1</v>
      </c>
      <c r="E781" s="22" t="s">
        <v>2754</v>
      </c>
      <c r="F781" s="22" t="s">
        <v>481</v>
      </c>
      <c r="G781" s="22" t="s">
        <v>2755</v>
      </c>
      <c r="H781" s="7" t="s">
        <v>2775</v>
      </c>
      <c r="I781" s="35">
        <v>110</v>
      </c>
      <c r="J781" s="30">
        <f>IF(OR($F781="",$I781=""),0,IFERROR(INDEX(Nutrition!$D$2:$D$300,MATCH($F781,Nutrition!$A$2:$A$300,0))*$I781/100,0))</f>
        <v>1.87</v>
      </c>
      <c r="K781" s="30">
        <f>IF(OR($F781="",$I781=""),0,IFERROR(INDEX(Nutrition!$E$2:$E$300,MATCH($F781,Nutrition!$A$2:$A$300,0))*$I781/100,0))</f>
        <v>8.14</v>
      </c>
      <c r="L781" s="30">
        <f>IF(OR($F781="",$I781=""),0,IFERROR(INDEX(Nutrition!$F$2:$F$300,MATCH($F781,Nutrition!$A$2:$A$300,0))*$I781/100,0))</f>
        <v>0</v>
      </c>
      <c r="M781" s="30">
        <f>IF(OR($F781="",$I781=""),0,IFERROR(INDEX(Nutrition!$G$2:$G$300,MATCH($F781,Nutrition!$A$2:$A$300,0))*$I781/100,0))</f>
        <v>0.44</v>
      </c>
      <c r="N781" s="30">
        <f>IF(OR($F781="",$I781=""),0,IFERROR(INDEX(Nutrition!$H$2:$H$300,MATCH($F781,Nutrition!$A$2:$A$300,0))*$I781/100,0))</f>
        <v>20.9</v>
      </c>
      <c r="O781" s="30">
        <f>IF(OR($F781="",$I781=""),0,IFERROR(INDEX(Nutrition!$I$2:$I$300,MATCH($F781,Nutrition!$A$2:$A$300,0))*$I781/100,0))</f>
        <v>160.6</v>
      </c>
      <c r="P781" s="30">
        <f>IF(OR($F781="",$I781=""),0,IFERROR(INDEX(Nutrition!$J$2:$J$300,MATCH($F781,Nutrition!$A$2:$A$300,0))*$I781/100,0))</f>
        <v>2.2000000000000002E-2</v>
      </c>
      <c r="Q781" s="30">
        <f>IF(OR($F781="",$I781=""),0,IFERROR(INDEX(Nutrition!$K$2:$K$300,MATCH($F781,Nutrition!$A$2:$A$300,0))*$I781/100,0))</f>
        <v>0.13200000000000001</v>
      </c>
      <c r="R781" s="30">
        <f>IF(OR($F781="",$I781=""),0,IFERROR(INDEX(Nutrition!$L$2:$L$300,MATCH($F781,Nutrition!$A$2:$A$300,0))*$I781/100,0))</f>
        <v>11</v>
      </c>
      <c r="S781" s="30">
        <f>IF(OR($F781="",$I781=""),0,IFERROR(INDEX(Nutrition!$M$2:$M$300,MATCH($F781,Nutrition!$A$2:$A$300,0))*$I781/100,0))</f>
        <v>0.23099999999999998</v>
      </c>
    </row>
    <row r="782" spans="1:19" ht="15" customHeight="1" x14ac:dyDescent="0.25">
      <c r="A782" s="22" t="s">
        <v>1927</v>
      </c>
      <c r="B782" s="33" t="str">
        <f>IFERROR(INDEX(Recipes!$B$2:$B$500,MATCH(A782,Recipes!$A$2:$A$500,0)),"")</f>
        <v>Stewed Okra &amp; Tomatoes</v>
      </c>
      <c r="C782" s="7" t="s">
        <v>500</v>
      </c>
      <c r="D782" s="34">
        <v>3</v>
      </c>
      <c r="E782" s="22" t="s">
        <v>2776</v>
      </c>
      <c r="F782" s="22" t="s">
        <v>499</v>
      </c>
      <c r="G782" s="22" t="s">
        <v>2755</v>
      </c>
      <c r="H782" s="7" t="s">
        <v>2896</v>
      </c>
      <c r="I782" s="35">
        <v>9</v>
      </c>
      <c r="J782" s="30">
        <f>IF(OR($F782="",$I782=""),0,IFERROR(INDEX(Nutrition!$D$2:$D$300,MATCH($F782,Nutrition!$A$2:$A$300,0))*$I782/100,0))</f>
        <v>0.18900000000000003</v>
      </c>
      <c r="K782" s="30">
        <f>IF(OR($F782="",$I782=""),0,IFERROR(INDEX(Nutrition!$E$2:$E$300,MATCH($F782,Nutrition!$A$2:$A$300,0))*$I782/100,0))</f>
        <v>2.8080000000000003</v>
      </c>
      <c r="L782" s="30">
        <f>IF(OR($F782="",$I782=""),0,IFERROR(INDEX(Nutrition!$F$2:$F$300,MATCH($F782,Nutrition!$A$2:$A$300,0))*$I782/100,0))</f>
        <v>0</v>
      </c>
      <c r="M782" s="30">
        <f>IF(OR($F782="",$I782=""),0,IFERROR(INDEX(Nutrition!$G$2:$G$300,MATCH($F782,Nutrition!$A$2:$A$300,0))*$I782/100,0))</f>
        <v>0.153</v>
      </c>
      <c r="N782" s="30">
        <f>IF(OR($F782="",$I782=""),0,IFERROR(INDEX(Nutrition!$H$2:$H$300,MATCH($F782,Nutrition!$A$2:$A$300,0))*$I782/100,0))</f>
        <v>0.27</v>
      </c>
      <c r="O782" s="30">
        <f>IF(OR($F782="",$I782=""),0,IFERROR(INDEX(Nutrition!$I$2:$I$300,MATCH($F782,Nutrition!$A$2:$A$300,0))*$I782/100,0))</f>
        <v>36.090000000000003</v>
      </c>
      <c r="P782" s="30">
        <f>IF(OR($F782="",$I782=""),0,IFERROR(INDEX(Nutrition!$J$2:$J$300,MATCH($F782,Nutrition!$A$2:$A$300,0))*$I782/100,0))</f>
        <v>7.1999999999999998E-3</v>
      </c>
      <c r="Q782" s="30">
        <f>IF(OR($F782="",$I782=""),0,IFERROR(INDEX(Nutrition!$K$2:$K$300,MATCH($F782,Nutrition!$A$2:$A$300,0))*$I782/100,0))</f>
        <v>0.11115</v>
      </c>
      <c r="R782" s="30">
        <f>IF(OR($F782="",$I782=""),0,IFERROR(INDEX(Nutrition!$L$2:$L$300,MATCH($F782,Nutrition!$A$2:$A$300,0))*$I782/100,0))</f>
        <v>2.25</v>
      </c>
      <c r="S782" s="30">
        <f>IF(OR($F782="",$I782=""),0,IFERROR(INDEX(Nutrition!$M$2:$M$300,MATCH($F782,Nutrition!$A$2:$A$300,0))*$I782/100,0))</f>
        <v>0.153</v>
      </c>
    </row>
    <row r="783" spans="1:19" ht="15" customHeight="1" x14ac:dyDescent="0.25">
      <c r="A783" s="22" t="s">
        <v>1927</v>
      </c>
      <c r="B783" s="33" t="str">
        <f>IFERROR(INDEX(Recipes!$B$2:$B$500,MATCH(A783,Recipes!$A$2:$A$500,0)),"")</f>
        <v>Stewed Okra &amp; Tomatoes</v>
      </c>
      <c r="C783" s="7" t="s">
        <v>206</v>
      </c>
      <c r="D783" s="34">
        <v>1</v>
      </c>
      <c r="E783" s="22" t="s">
        <v>2754</v>
      </c>
      <c r="F783" s="22" t="s">
        <v>205</v>
      </c>
      <c r="G783" s="22" t="s">
        <v>2755</v>
      </c>
      <c r="H783" s="7" t="s">
        <v>2912</v>
      </c>
      <c r="I783" s="35">
        <v>58</v>
      </c>
      <c r="J783" s="30">
        <f>IF(OR($F783="",$I783=""),0,IFERROR(INDEX(Nutrition!$D$2:$D$300,MATCH($F783,Nutrition!$A$2:$A$300,0))*$I783/100,0))</f>
        <v>1.6239999999999997</v>
      </c>
      <c r="K783" s="30">
        <f>IF(OR($F783="",$I783=""),0,IFERROR(INDEX(Nutrition!$E$2:$E$300,MATCH($F783,Nutrition!$A$2:$A$300,0))*$I783/100,0))</f>
        <v>30.74</v>
      </c>
      <c r="L783" s="30">
        <f>IF(OR($F783="",$I783=""),0,IFERROR(INDEX(Nutrition!$F$2:$F$300,MATCH($F783,Nutrition!$A$2:$A$300,0))*$I783/100,0))</f>
        <v>0.57999999999999996</v>
      </c>
      <c r="M783" s="30">
        <f>IF(OR($F783="",$I783=""),0,IFERROR(INDEX(Nutrition!$G$2:$G$300,MATCH($F783,Nutrition!$A$2:$A$300,0))*$I783/100,0))</f>
        <v>0</v>
      </c>
      <c r="N783" s="30">
        <f>IF(OR($F783="",$I783=""),0,IFERROR(INDEX(Nutrition!$H$2:$H$300,MATCH($F783,Nutrition!$A$2:$A$300,0))*$I783/100,0))</f>
        <v>6.38</v>
      </c>
      <c r="O783" s="30">
        <f>IF(OR($F783="",$I783=""),0,IFERROR(INDEX(Nutrition!$I$2:$I$300,MATCH($F783,Nutrition!$A$2:$A$300,0))*$I783/100,0))</f>
        <v>80.040000000000006</v>
      </c>
      <c r="P783" s="30">
        <f>IF(OR($F783="",$I783=""),0,IFERROR(INDEX(Nutrition!$J$2:$J$300,MATCH($F783,Nutrition!$A$2:$A$300,0))*$I783/100,0))</f>
        <v>8.6999999999999994E-2</v>
      </c>
      <c r="Q783" s="30">
        <f>IF(OR($F783="",$I783=""),0,IFERROR(INDEX(Nutrition!$K$2:$K$300,MATCH($F783,Nutrition!$A$2:$A$300,0))*$I783/100,0))</f>
        <v>4.6399999999999997E-2</v>
      </c>
      <c r="R783" s="30">
        <f>IF(OR($F783="",$I783=""),0,IFERROR(INDEX(Nutrition!$L$2:$L$300,MATCH($F783,Nutrition!$A$2:$A$300,0))*$I783/100,0))</f>
        <v>4.6399999999999997</v>
      </c>
      <c r="S783" s="30">
        <f>IF(OR($F783="",$I783=""),0,IFERROR(INDEX(Nutrition!$M$2:$M$300,MATCH($F783,Nutrition!$A$2:$A$300,0))*$I783/100,0))</f>
        <v>0.34799999999999998</v>
      </c>
    </row>
    <row r="784" spans="1:19" ht="15" customHeight="1" x14ac:dyDescent="0.25">
      <c r="A784" s="22" t="s">
        <v>1927</v>
      </c>
      <c r="B784" s="33" t="str">
        <f>IFERROR(INDEX(Recipes!$B$2:$B$500,MATCH(A784,Recipes!$A$2:$A$500,0)),"")</f>
        <v>Stewed Okra &amp; Tomatoes</v>
      </c>
      <c r="C784" s="7" t="s">
        <v>473</v>
      </c>
      <c r="D784" s="34">
        <v>0.5</v>
      </c>
      <c r="E784" s="22" t="s">
        <v>2754</v>
      </c>
      <c r="F784" s="22" t="s">
        <v>472</v>
      </c>
      <c r="G784" s="22" t="s">
        <v>2755</v>
      </c>
      <c r="H784" s="7" t="s">
        <v>2775</v>
      </c>
      <c r="I784" s="35">
        <v>5</v>
      </c>
      <c r="J784" s="30">
        <f>IF(OR($F784="",$I784=""),0,IFERROR(INDEX(Nutrition!$D$2:$D$300,MATCH($F784,Nutrition!$A$2:$A$300,0))*$I784/100,0))</f>
        <v>7.4999999999999997E-2</v>
      </c>
      <c r="K784" s="30">
        <f>IF(OR($F784="",$I784=""),0,IFERROR(INDEX(Nutrition!$E$2:$E$300,MATCH($F784,Nutrition!$A$2:$A$300,0))*$I784/100,0))</f>
        <v>7.1849999999999996</v>
      </c>
      <c r="L784" s="30">
        <f>IF(OR($F784="",$I784=""),0,IFERROR(INDEX(Nutrition!$F$2:$F$300,MATCH($F784,Nutrition!$A$2:$A$300,0))*$I784/100,0))</f>
        <v>2.4</v>
      </c>
      <c r="M784" s="30">
        <f>IF(OR($F784="",$I784=""),0,IFERROR(INDEX(Nutrition!$G$2:$G$300,MATCH($F784,Nutrition!$A$2:$A$300,0))*$I784/100,0))</f>
        <v>0.7</v>
      </c>
      <c r="N784" s="30">
        <f>IF(OR($F784="",$I784=""),0,IFERROR(INDEX(Nutrition!$H$2:$H$300,MATCH($F784,Nutrition!$A$2:$A$300,0))*$I784/100,0))</f>
        <v>1.1499999999999999</v>
      </c>
      <c r="O784" s="30">
        <f>IF(OR($F784="",$I784=""),0,IFERROR(INDEX(Nutrition!$I$2:$I$300,MATCH($F784,Nutrition!$A$2:$A$300,0))*$I784/100,0))</f>
        <v>16.100000000000001</v>
      </c>
      <c r="P784" s="30">
        <f>IF(OR($F784="",$I784=""),0,IFERROR(INDEX(Nutrition!$J$2:$J$300,MATCH($F784,Nutrition!$A$2:$A$300,0))*$I784/100,0))</f>
        <v>3.4499999999999996E-2</v>
      </c>
      <c r="Q784" s="30">
        <f>IF(OR($F784="",$I784=""),0,IFERROR(INDEX(Nutrition!$K$2:$K$300,MATCH($F784,Nutrition!$A$2:$A$300,0))*$I784/100,0))</f>
        <v>2.5300000000000003E-2</v>
      </c>
      <c r="R784" s="30">
        <f>IF(OR($F784="",$I784=""),0,IFERROR(INDEX(Nutrition!$L$2:$L$300,MATCH($F784,Nutrition!$A$2:$A$300,0))*$I784/100,0))</f>
        <v>1.1499999999999999</v>
      </c>
      <c r="S784" s="30">
        <f>IF(OR($F784="",$I784=""),0,IFERROR(INDEX(Nutrition!$M$2:$M$300,MATCH($F784,Nutrition!$A$2:$A$300,0))*$I784/100,0))</f>
        <v>5.1500000000000004E-2</v>
      </c>
    </row>
    <row r="785" spans="1:19" ht="15" customHeight="1" x14ac:dyDescent="0.25">
      <c r="A785" s="22" t="s">
        <v>1927</v>
      </c>
      <c r="B785" s="33" t="str">
        <f>IFERROR(INDEX(Recipes!$B$2:$B$500,MATCH(A785,Recipes!$A$2:$A$500,0)),"")</f>
        <v>Stewed Okra &amp; Tomatoes</v>
      </c>
      <c r="C785" s="7" t="s">
        <v>2908</v>
      </c>
      <c r="D785" s="34">
        <v>1</v>
      </c>
      <c r="E785" s="22" t="s">
        <v>2809</v>
      </c>
      <c r="F785" s="22" t="s">
        <v>651</v>
      </c>
      <c r="G785" s="22" t="s">
        <v>2755</v>
      </c>
      <c r="H785" s="7" t="s">
        <v>2909</v>
      </c>
      <c r="I785" s="35">
        <v>30</v>
      </c>
      <c r="J785" s="30">
        <f>IF(OR($F785="",$I785=""),0,IFERROR(INDEX(Nutrition!$D$2:$D$300,MATCH($F785,Nutrition!$A$2:$A$300,0))*$I785/100,0))</f>
        <v>0.48</v>
      </c>
      <c r="K785" s="30">
        <f>IF(OR($F785="",$I785=""),0,IFERROR(INDEX(Nutrition!$E$2:$E$300,MATCH($F785,Nutrition!$A$2:$A$300,0))*$I785/100,0))</f>
        <v>7.2</v>
      </c>
      <c r="L785" s="30">
        <f>IF(OR($F785="",$I785=""),0,IFERROR(INDEX(Nutrition!$F$2:$F$300,MATCH($F785,Nutrition!$A$2:$A$300,0))*$I785/100,0))</f>
        <v>79.2</v>
      </c>
      <c r="M785" s="30">
        <f>IF(OR($F785="",$I785=""),0,IFERROR(INDEX(Nutrition!$G$2:$G$300,MATCH($F785,Nutrition!$A$2:$A$300,0))*$I785/100,0))</f>
        <v>124.44</v>
      </c>
      <c r="N785" s="30">
        <f>IF(OR($F785="",$I785=""),0,IFERROR(INDEX(Nutrition!$H$2:$H$300,MATCH($F785,Nutrition!$A$2:$A$300,0))*$I785/100,0))</f>
        <v>20.399999999999999</v>
      </c>
      <c r="O785" s="30">
        <f>IF(OR($F785="",$I785=""),0,IFERROR(INDEX(Nutrition!$I$2:$I$300,MATCH($F785,Nutrition!$A$2:$A$300,0))*$I785/100,0))</f>
        <v>166.8</v>
      </c>
      <c r="P785" s="30">
        <f>IF(OR($F785="",$I785=""),0,IFERROR(INDEX(Nutrition!$J$2:$J$300,MATCH($F785,Nutrition!$A$2:$A$300,0))*$I785/100,0))</f>
        <v>0.24</v>
      </c>
      <c r="Q785" s="30">
        <f>IF(OR($F785="",$I785=""),0,IFERROR(INDEX(Nutrition!$K$2:$K$300,MATCH($F785,Nutrition!$A$2:$A$300,0))*$I785/100,0))</f>
        <v>4.6500000000000007E-2</v>
      </c>
      <c r="R785" s="30">
        <f>IF(OR($F785="",$I785=""),0,IFERROR(INDEX(Nutrition!$L$2:$L$300,MATCH($F785,Nutrition!$A$2:$A$300,0))*$I785/100,0))</f>
        <v>19.2</v>
      </c>
      <c r="S785" s="30">
        <f>IF(OR($F785="",$I785=""),0,IFERROR(INDEX(Nutrition!$M$2:$M$300,MATCH($F785,Nutrition!$A$2:$A$300,0))*$I785/100,0))</f>
        <v>0.96</v>
      </c>
    </row>
    <row r="786" spans="1:19" ht="15" customHeight="1" x14ac:dyDescent="0.25">
      <c r="A786" s="22" t="s">
        <v>1927</v>
      </c>
      <c r="B786" s="33" t="str">
        <f>IFERROR(INDEX(Recipes!$B$2:$B$500,MATCH(A786,Recipes!$A$2:$A$500,0)),"")</f>
        <v>Stewed Okra &amp; Tomatoes</v>
      </c>
      <c r="C786" s="7" t="s">
        <v>2949</v>
      </c>
      <c r="D786" s="34">
        <v>1</v>
      </c>
      <c r="E786" s="22" t="s">
        <v>2753</v>
      </c>
      <c r="F786" s="22"/>
      <c r="G786" s="22" t="s">
        <v>2773</v>
      </c>
      <c r="H786" s="7"/>
      <c r="I786" s="35"/>
      <c r="J786" s="30">
        <f>IF(OR($F786="",$I786=""),0,IFERROR(INDEX(Nutrition!$D$2:$D$300,MATCH($F786,Nutrition!$A$2:$A$300,0))*$I786/100,0))</f>
        <v>0</v>
      </c>
      <c r="K786" s="30">
        <f>IF(OR($F786="",$I786=""),0,IFERROR(INDEX(Nutrition!$E$2:$E$300,MATCH($F786,Nutrition!$A$2:$A$300,0))*$I786/100,0))</f>
        <v>0</v>
      </c>
      <c r="L786" s="30">
        <f>IF(OR($F786="",$I786=""),0,IFERROR(INDEX(Nutrition!$F$2:$F$300,MATCH($F786,Nutrition!$A$2:$A$300,0))*$I786/100,0))</f>
        <v>0</v>
      </c>
      <c r="M786" s="30">
        <f>IF(OR($F786="",$I786=""),0,IFERROR(INDEX(Nutrition!$G$2:$G$300,MATCH($F786,Nutrition!$A$2:$A$300,0))*$I786/100,0))</f>
        <v>0</v>
      </c>
      <c r="N786" s="30">
        <f>IF(OR($F786="",$I786=""),0,IFERROR(INDEX(Nutrition!$H$2:$H$300,MATCH($F786,Nutrition!$A$2:$A$300,0))*$I786/100,0))</f>
        <v>0</v>
      </c>
      <c r="O786" s="30">
        <f>IF(OR($F786="",$I786=""),0,IFERROR(INDEX(Nutrition!$I$2:$I$300,MATCH($F786,Nutrition!$A$2:$A$300,0))*$I786/100,0))</f>
        <v>0</v>
      </c>
      <c r="P786" s="30">
        <f>IF(OR($F786="",$I786=""),0,IFERROR(INDEX(Nutrition!$J$2:$J$300,MATCH($F786,Nutrition!$A$2:$A$300,0))*$I786/100,0))</f>
        <v>0</v>
      </c>
      <c r="Q786" s="30">
        <f>IF(OR($F786="",$I786=""),0,IFERROR(INDEX(Nutrition!$K$2:$K$300,MATCH($F786,Nutrition!$A$2:$A$300,0))*$I786/100,0))</f>
        <v>0</v>
      </c>
      <c r="R786" s="30">
        <f>IF(OR($F786="",$I786=""),0,IFERROR(INDEX(Nutrition!$L$2:$L$300,MATCH($F786,Nutrition!$A$2:$A$300,0))*$I786/100,0))</f>
        <v>0</v>
      </c>
      <c r="S786" s="30">
        <f>IF(OR($F786="",$I786=""),0,IFERROR(INDEX(Nutrition!$M$2:$M$300,MATCH($F786,Nutrition!$A$2:$A$300,0))*$I786/100,0))</f>
        <v>0</v>
      </c>
    </row>
    <row r="787" spans="1:19" ht="15" customHeight="1" x14ac:dyDescent="0.25">
      <c r="A787" s="22" t="s">
        <v>1927</v>
      </c>
      <c r="B787" s="33" t="str">
        <f>IFERROR(INDEX(Recipes!$B$2:$B$500,MATCH(A787,Recipes!$A$2:$A$500,0)),"")</f>
        <v>Stewed Okra &amp; Tomatoes</v>
      </c>
      <c r="C787" s="7" t="s">
        <v>2928</v>
      </c>
      <c r="D787" s="34">
        <v>1</v>
      </c>
      <c r="E787" s="22" t="s">
        <v>2753</v>
      </c>
      <c r="F787" s="22"/>
      <c r="G787" s="22" t="s">
        <v>2749</v>
      </c>
      <c r="H787" s="7"/>
      <c r="I787" s="35"/>
      <c r="J787" s="30">
        <f>IF(OR($F787="",$I787=""),0,IFERROR(INDEX(Nutrition!$D$2:$D$300,MATCH($F787,Nutrition!$A$2:$A$300,0))*$I787/100,0))</f>
        <v>0</v>
      </c>
      <c r="K787" s="30">
        <f>IF(OR($F787="",$I787=""),0,IFERROR(INDEX(Nutrition!$E$2:$E$300,MATCH($F787,Nutrition!$A$2:$A$300,0))*$I787/100,0))</f>
        <v>0</v>
      </c>
      <c r="L787" s="30">
        <f>IF(OR($F787="",$I787=""),0,IFERROR(INDEX(Nutrition!$F$2:$F$300,MATCH($F787,Nutrition!$A$2:$A$300,0))*$I787/100,0))</f>
        <v>0</v>
      </c>
      <c r="M787" s="30">
        <f>IF(OR($F787="",$I787=""),0,IFERROR(INDEX(Nutrition!$G$2:$G$300,MATCH($F787,Nutrition!$A$2:$A$300,0))*$I787/100,0))</f>
        <v>0</v>
      </c>
      <c r="N787" s="30">
        <f>IF(OR($F787="",$I787=""),0,IFERROR(INDEX(Nutrition!$H$2:$H$300,MATCH($F787,Nutrition!$A$2:$A$300,0))*$I787/100,0))</f>
        <v>0</v>
      </c>
      <c r="O787" s="30">
        <f>IF(OR($F787="",$I787=""),0,IFERROR(INDEX(Nutrition!$I$2:$I$300,MATCH($F787,Nutrition!$A$2:$A$300,0))*$I787/100,0))</f>
        <v>0</v>
      </c>
      <c r="P787" s="30">
        <f>IF(OR($F787="",$I787=""),0,IFERROR(INDEX(Nutrition!$J$2:$J$300,MATCH($F787,Nutrition!$A$2:$A$300,0))*$I787/100,0))</f>
        <v>0</v>
      </c>
      <c r="Q787" s="30">
        <f>IF(OR($F787="",$I787=""),0,IFERROR(INDEX(Nutrition!$K$2:$K$300,MATCH($F787,Nutrition!$A$2:$A$300,0))*$I787/100,0))</f>
        <v>0</v>
      </c>
      <c r="R787" s="30">
        <f>IF(OR($F787="",$I787=""),0,IFERROR(INDEX(Nutrition!$L$2:$L$300,MATCH($F787,Nutrition!$A$2:$A$300,0))*$I787/100,0))</f>
        <v>0</v>
      </c>
      <c r="S787" s="30">
        <f>IF(OR($F787="",$I787=""),0,IFERROR(INDEX(Nutrition!$M$2:$M$300,MATCH($F787,Nutrition!$A$2:$A$300,0))*$I787/100,0))</f>
        <v>0</v>
      </c>
    </row>
    <row r="788" spans="1:19" ht="15" customHeight="1" x14ac:dyDescent="0.25">
      <c r="A788" s="22" t="s">
        <v>1927</v>
      </c>
      <c r="B788" s="33" t="str">
        <f>IFERROR(INDEX(Recipes!$B$2:$B$500,MATCH(A788,Recipes!$A$2:$A$500,0)),"")</f>
        <v>Stewed Okra &amp; Tomatoes</v>
      </c>
      <c r="C788" s="7" t="s">
        <v>2906</v>
      </c>
      <c r="D788" s="34">
        <v>1</v>
      </c>
      <c r="E788" s="22" t="s">
        <v>2782</v>
      </c>
      <c r="F788" s="22"/>
      <c r="G788" s="22" t="s">
        <v>2773</v>
      </c>
      <c r="H788" s="7"/>
      <c r="I788" s="35"/>
      <c r="J788" s="30">
        <f>IF(OR($F788="",$I788=""),0,IFERROR(INDEX(Nutrition!$D$2:$D$300,MATCH($F788,Nutrition!$A$2:$A$300,0))*$I788/100,0))</f>
        <v>0</v>
      </c>
      <c r="K788" s="30">
        <f>IF(OR($F788="",$I788=""),0,IFERROR(INDEX(Nutrition!$E$2:$E$300,MATCH($F788,Nutrition!$A$2:$A$300,0))*$I788/100,0))</f>
        <v>0</v>
      </c>
      <c r="L788" s="30">
        <f>IF(OR($F788="",$I788=""),0,IFERROR(INDEX(Nutrition!$F$2:$F$300,MATCH($F788,Nutrition!$A$2:$A$300,0))*$I788/100,0))</f>
        <v>0</v>
      </c>
      <c r="M788" s="30">
        <f>IF(OR($F788="",$I788=""),0,IFERROR(INDEX(Nutrition!$G$2:$G$300,MATCH($F788,Nutrition!$A$2:$A$300,0))*$I788/100,0))</f>
        <v>0</v>
      </c>
      <c r="N788" s="30">
        <f>IF(OR($F788="",$I788=""),0,IFERROR(INDEX(Nutrition!$H$2:$H$300,MATCH($F788,Nutrition!$A$2:$A$300,0))*$I788/100,0))</f>
        <v>0</v>
      </c>
      <c r="O788" s="30">
        <f>IF(OR($F788="",$I788=""),0,IFERROR(INDEX(Nutrition!$I$2:$I$300,MATCH($F788,Nutrition!$A$2:$A$300,0))*$I788/100,0))</f>
        <v>0</v>
      </c>
      <c r="P788" s="30">
        <f>IF(OR($F788="",$I788=""),0,IFERROR(INDEX(Nutrition!$J$2:$J$300,MATCH($F788,Nutrition!$A$2:$A$300,0))*$I788/100,0))</f>
        <v>0</v>
      </c>
      <c r="Q788" s="30">
        <f>IF(OR($F788="",$I788=""),0,IFERROR(INDEX(Nutrition!$K$2:$K$300,MATCH($F788,Nutrition!$A$2:$A$300,0))*$I788/100,0))</f>
        <v>0</v>
      </c>
      <c r="R788" s="30">
        <f>IF(OR($F788="",$I788=""),0,IFERROR(INDEX(Nutrition!$L$2:$L$300,MATCH($F788,Nutrition!$A$2:$A$300,0))*$I788/100,0))</f>
        <v>0</v>
      </c>
      <c r="S788" s="30">
        <f>IF(OR($F788="",$I788=""),0,IFERROR(INDEX(Nutrition!$M$2:$M$300,MATCH($F788,Nutrition!$A$2:$A$300,0))*$I788/100,0))</f>
        <v>0</v>
      </c>
    </row>
    <row r="789" spans="1:19" ht="15" customHeight="1" x14ac:dyDescent="0.25">
      <c r="A789" s="22" t="s">
        <v>1939</v>
      </c>
      <c r="B789" s="33" t="str">
        <f>IFERROR(INDEX(Recipes!$B$2:$B$500,MATCH(A789,Recipes!$A$2:$A$500,0)),"")</f>
        <v>Lecsó (Hungarian Pepper &amp; Tomato Stew)</v>
      </c>
      <c r="C789" s="7" t="s">
        <v>446</v>
      </c>
      <c r="D789" s="34">
        <v>4</v>
      </c>
      <c r="E789" s="22" t="s">
        <v>2754</v>
      </c>
      <c r="F789" s="22" t="s">
        <v>445</v>
      </c>
      <c r="G789" s="22" t="s">
        <v>2755</v>
      </c>
      <c r="H789" s="7" t="s">
        <v>2950</v>
      </c>
      <c r="I789" s="35">
        <v>248</v>
      </c>
      <c r="J789" s="30">
        <f>IF(OR($F789="",$I789=""),0,IFERROR(INDEX(Nutrition!$D$2:$D$300,MATCH($F789,Nutrition!$A$2:$A$300,0))*$I789/100,0))</f>
        <v>2.9759999999999995</v>
      </c>
      <c r="K789" s="30">
        <f>IF(OR($F789="",$I789=""),0,IFERROR(INDEX(Nutrition!$E$2:$E$300,MATCH($F789,Nutrition!$A$2:$A$300,0))*$I789/100,0))</f>
        <v>33.975999999999999</v>
      </c>
      <c r="L789" s="30">
        <f>IF(OR($F789="",$I789=""),0,IFERROR(INDEX(Nutrition!$F$2:$F$300,MATCH($F789,Nutrition!$A$2:$A$300,0))*$I789/100,0))</f>
        <v>104.16</v>
      </c>
      <c r="M789" s="30">
        <f>IF(OR($F789="",$I789=""),0,IFERROR(INDEX(Nutrition!$G$2:$G$300,MATCH($F789,Nutrition!$A$2:$A$300,0))*$I789/100,0))</f>
        <v>19.591999999999999</v>
      </c>
      <c r="N789" s="30">
        <f>IF(OR($F789="",$I789=""),0,IFERROR(INDEX(Nutrition!$H$2:$H$300,MATCH($F789,Nutrition!$A$2:$A$300,0))*$I789/100,0))</f>
        <v>37.200000000000003</v>
      </c>
      <c r="O789" s="30">
        <f>IF(OR($F789="",$I789=""),0,IFERROR(INDEX(Nutrition!$I$2:$I$300,MATCH($F789,Nutrition!$A$2:$A$300,0))*$I789/100,0))</f>
        <v>587.76</v>
      </c>
      <c r="P789" s="30">
        <f>IF(OR($F789="",$I789=""),0,IFERROR(INDEX(Nutrition!$J$2:$J$300,MATCH($F789,Nutrition!$A$2:$A$300,0))*$I789/100,0))</f>
        <v>1.3392000000000002</v>
      </c>
      <c r="Q789" s="30">
        <f>IF(OR($F789="",$I789=""),0,IFERROR(INDEX(Nutrition!$K$2:$K$300,MATCH($F789,Nutrition!$A$2:$A$300,0))*$I789/100,0))</f>
        <v>0.19839999999999999</v>
      </c>
      <c r="R789" s="30">
        <f>IF(OR($F789="",$I789=""),0,IFERROR(INDEX(Nutrition!$L$2:$L$300,MATCH($F789,Nutrition!$A$2:$A$300,0))*$I789/100,0))</f>
        <v>27.28</v>
      </c>
      <c r="S789" s="30">
        <f>IF(OR($F789="",$I789=""),0,IFERROR(INDEX(Nutrition!$M$2:$M$300,MATCH($F789,Nutrition!$A$2:$A$300,0))*$I789/100,0))</f>
        <v>0.66960000000000008</v>
      </c>
    </row>
    <row r="790" spans="1:19" ht="15" customHeight="1" x14ac:dyDescent="0.25">
      <c r="A790" s="22" t="s">
        <v>1939</v>
      </c>
      <c r="B790" s="33" t="str">
        <f>IFERROR(INDEX(Recipes!$B$2:$B$500,MATCH(A790,Recipes!$A$2:$A$500,0)),"")</f>
        <v>Lecsó (Hungarian Pepper &amp; Tomato Stew)</v>
      </c>
      <c r="C790" s="7" t="s">
        <v>468</v>
      </c>
      <c r="D790" s="34">
        <v>2</v>
      </c>
      <c r="E790" s="22" t="s">
        <v>2754</v>
      </c>
      <c r="F790" s="22" t="s">
        <v>467</v>
      </c>
      <c r="G790" s="22" t="s">
        <v>2755</v>
      </c>
      <c r="H790" s="7" t="s">
        <v>2940</v>
      </c>
      <c r="I790" s="35">
        <v>238</v>
      </c>
      <c r="J790" s="30">
        <f>IF(OR($F790="",$I790=""),0,IFERROR(INDEX(Nutrition!$D$2:$D$300,MATCH($F790,Nutrition!$A$2:$A$300,0))*$I790/100,0))</f>
        <v>4.0459999999999994</v>
      </c>
      <c r="K790" s="30">
        <f>IF(OR($F790="",$I790=""),0,IFERROR(INDEX(Nutrition!$E$2:$E$300,MATCH($F790,Nutrition!$A$2:$A$300,0))*$I790/100,0))</f>
        <v>191.352</v>
      </c>
      <c r="L790" s="30">
        <f>IF(OR($F790="",$I790=""),0,IFERROR(INDEX(Nutrition!$F$2:$F$300,MATCH($F790,Nutrition!$A$2:$A$300,0))*$I790/100,0))</f>
        <v>42.84</v>
      </c>
      <c r="M790" s="30">
        <f>IF(OR($F790="",$I790=""),0,IFERROR(INDEX(Nutrition!$G$2:$G$300,MATCH($F790,Nutrition!$A$2:$A$300,0))*$I790/100,0))</f>
        <v>17.612000000000002</v>
      </c>
      <c r="N790" s="30">
        <f>IF(OR($F790="",$I790=""),0,IFERROR(INDEX(Nutrition!$H$2:$H$300,MATCH($F790,Nutrition!$A$2:$A$300,0))*$I790/100,0))</f>
        <v>23.8</v>
      </c>
      <c r="O790" s="30">
        <f>IF(OR($F790="",$I790=""),0,IFERROR(INDEX(Nutrition!$I$2:$I$300,MATCH($F790,Nutrition!$A$2:$A$300,0))*$I790/100,0))</f>
        <v>416.5</v>
      </c>
      <c r="P790" s="30">
        <f>IF(OR($F790="",$I790=""),0,IFERROR(INDEX(Nutrition!$J$2:$J$300,MATCH($F790,Nutrition!$A$2:$A$300,0))*$I790/100,0))</f>
        <v>0.88060000000000005</v>
      </c>
      <c r="Q790" s="30">
        <f>IF(OR($F790="",$I790=""),0,IFERROR(INDEX(Nutrition!$K$2:$K$300,MATCH($F790,Nutrition!$A$2:$A$300,0))*$I790/100,0))</f>
        <v>0.53311999999999993</v>
      </c>
      <c r="R790" s="30">
        <f>IF(OR($F790="",$I790=""),0,IFERROR(INDEX(Nutrition!$L$2:$L$300,MATCH($F790,Nutrition!$A$2:$A$300,0))*$I790/100,0))</f>
        <v>23.8</v>
      </c>
      <c r="S790" s="30">
        <f>IF(OR($F790="",$I790=""),0,IFERROR(INDEX(Nutrition!$M$2:$M$300,MATCH($F790,Nutrition!$A$2:$A$300,0))*$I790/100,0))</f>
        <v>0.80920000000000003</v>
      </c>
    </row>
    <row r="791" spans="1:19" ht="15" customHeight="1" x14ac:dyDescent="0.25">
      <c r="A791" s="22" t="s">
        <v>1939</v>
      </c>
      <c r="B791" s="33" t="str">
        <f>IFERROR(INDEX(Recipes!$B$2:$B$500,MATCH(A791,Recipes!$A$2:$A$500,0)),"")</f>
        <v>Lecsó (Hungarian Pepper &amp; Tomato Stew)</v>
      </c>
      <c r="C791" s="7" t="s">
        <v>462</v>
      </c>
      <c r="D791" s="34">
        <v>1</v>
      </c>
      <c r="E791" s="22" t="s">
        <v>2754</v>
      </c>
      <c r="F791" s="22" t="s">
        <v>461</v>
      </c>
      <c r="G791" s="22" t="s">
        <v>2755</v>
      </c>
      <c r="H791" s="7" t="s">
        <v>2951</v>
      </c>
      <c r="I791" s="35">
        <v>119</v>
      </c>
      <c r="J791" s="30">
        <f>IF(OR($F791="",$I791=""),0,IFERROR(INDEX(Nutrition!$D$2:$D$300,MATCH($F791,Nutrition!$A$2:$A$300,0))*$I791/100,0))</f>
        <v>2.4990000000000001</v>
      </c>
      <c r="K791" s="30">
        <f>IF(OR($F791="",$I791=""),0,IFERROR(INDEX(Nutrition!$E$2:$E$300,MATCH($F791,Nutrition!$A$2:$A$300,0))*$I791/100,0))</f>
        <v>151.96300000000002</v>
      </c>
      <c r="L791" s="30">
        <f>IF(OR($F791="",$I791=""),0,IFERROR(INDEX(Nutrition!$F$2:$F$300,MATCH($F791,Nutrition!$A$2:$A$300,0))*$I791/100,0))</f>
        <v>186.83</v>
      </c>
      <c r="M791" s="30">
        <f>IF(OR($F791="",$I791=""),0,IFERROR(INDEX(Nutrition!$G$2:$G$300,MATCH($F791,Nutrition!$A$2:$A$300,0))*$I791/100,0))</f>
        <v>5.8310000000000004</v>
      </c>
      <c r="N791" s="30">
        <f>IF(OR($F791="",$I791=""),0,IFERROR(INDEX(Nutrition!$H$2:$H$300,MATCH($F791,Nutrition!$A$2:$A$300,0))*$I791/100,0))</f>
        <v>54.74</v>
      </c>
      <c r="O791" s="30">
        <f>IF(OR($F791="",$I791=""),0,IFERROR(INDEX(Nutrition!$I$2:$I$300,MATCH($F791,Nutrition!$A$2:$A$300,0))*$I791/100,0))</f>
        <v>251.09</v>
      </c>
      <c r="P791" s="30">
        <f>IF(OR($F791="",$I791=""),0,IFERROR(INDEX(Nutrition!$J$2:$J$300,MATCH($F791,Nutrition!$A$2:$A$300,0))*$I791/100,0))</f>
        <v>1.8802000000000001</v>
      </c>
      <c r="Q791" s="30">
        <f>IF(OR($F791="",$I791=""),0,IFERROR(INDEX(Nutrition!$K$2:$K$300,MATCH($F791,Nutrition!$A$2:$A$300,0))*$I791/100,0))</f>
        <v>0.34628999999999999</v>
      </c>
      <c r="R791" s="30">
        <f>IF(OR($F791="",$I791=""),0,IFERROR(INDEX(Nutrition!$L$2:$L$300,MATCH($F791,Nutrition!$A$2:$A$300,0))*$I791/100,0))</f>
        <v>14.28</v>
      </c>
      <c r="S791" s="30">
        <f>IF(OR($F791="",$I791=""),0,IFERROR(INDEX(Nutrition!$M$2:$M$300,MATCH($F791,Nutrition!$A$2:$A$300,0))*$I791/100,0))</f>
        <v>0.51170000000000004</v>
      </c>
    </row>
    <row r="792" spans="1:19" ht="15" customHeight="1" x14ac:dyDescent="0.25">
      <c r="A792" s="22" t="s">
        <v>1939</v>
      </c>
      <c r="B792" s="33" t="str">
        <f>IFERROR(INDEX(Recipes!$B$2:$B$500,MATCH(A792,Recipes!$A$2:$A$500,0)),"")</f>
        <v>Lecsó (Hungarian Pepper &amp; Tomato Stew)</v>
      </c>
      <c r="C792" s="7" t="s">
        <v>482</v>
      </c>
      <c r="D792" s="34">
        <v>1</v>
      </c>
      <c r="E792" s="22" t="s">
        <v>2754</v>
      </c>
      <c r="F792" s="22" t="s">
        <v>481</v>
      </c>
      <c r="G792" s="22" t="s">
        <v>2755</v>
      </c>
      <c r="H792" s="7" t="s">
        <v>2756</v>
      </c>
      <c r="I792" s="35">
        <v>110</v>
      </c>
      <c r="J792" s="30">
        <f>IF(OR($F792="",$I792=""),0,IFERROR(INDEX(Nutrition!$D$2:$D$300,MATCH($F792,Nutrition!$A$2:$A$300,0))*$I792/100,0))</f>
        <v>1.87</v>
      </c>
      <c r="K792" s="30">
        <f>IF(OR($F792="",$I792=""),0,IFERROR(INDEX(Nutrition!$E$2:$E$300,MATCH($F792,Nutrition!$A$2:$A$300,0))*$I792/100,0))</f>
        <v>8.14</v>
      </c>
      <c r="L792" s="30">
        <f>IF(OR($F792="",$I792=""),0,IFERROR(INDEX(Nutrition!$F$2:$F$300,MATCH($F792,Nutrition!$A$2:$A$300,0))*$I792/100,0))</f>
        <v>0</v>
      </c>
      <c r="M792" s="30">
        <f>IF(OR($F792="",$I792=""),0,IFERROR(INDEX(Nutrition!$G$2:$G$300,MATCH($F792,Nutrition!$A$2:$A$300,0))*$I792/100,0))</f>
        <v>0.44</v>
      </c>
      <c r="N792" s="30">
        <f>IF(OR($F792="",$I792=""),0,IFERROR(INDEX(Nutrition!$H$2:$H$300,MATCH($F792,Nutrition!$A$2:$A$300,0))*$I792/100,0))</f>
        <v>20.9</v>
      </c>
      <c r="O792" s="30">
        <f>IF(OR($F792="",$I792=""),0,IFERROR(INDEX(Nutrition!$I$2:$I$300,MATCH($F792,Nutrition!$A$2:$A$300,0))*$I792/100,0))</f>
        <v>160.6</v>
      </c>
      <c r="P792" s="30">
        <f>IF(OR($F792="",$I792=""),0,IFERROR(INDEX(Nutrition!$J$2:$J$300,MATCH($F792,Nutrition!$A$2:$A$300,0))*$I792/100,0))</f>
        <v>2.2000000000000002E-2</v>
      </c>
      <c r="Q792" s="30">
        <f>IF(OR($F792="",$I792=""),0,IFERROR(INDEX(Nutrition!$K$2:$K$300,MATCH($F792,Nutrition!$A$2:$A$300,0))*$I792/100,0))</f>
        <v>0.13200000000000001</v>
      </c>
      <c r="R792" s="30">
        <f>IF(OR($F792="",$I792=""),0,IFERROR(INDEX(Nutrition!$L$2:$L$300,MATCH($F792,Nutrition!$A$2:$A$300,0))*$I792/100,0))</f>
        <v>11</v>
      </c>
      <c r="S792" s="30">
        <f>IF(OR($F792="",$I792=""),0,IFERROR(INDEX(Nutrition!$M$2:$M$300,MATCH($F792,Nutrition!$A$2:$A$300,0))*$I792/100,0))</f>
        <v>0.23099999999999998</v>
      </c>
    </row>
    <row r="793" spans="1:19" ht="15" customHeight="1" x14ac:dyDescent="0.25">
      <c r="A793" s="22" t="s">
        <v>1939</v>
      </c>
      <c r="B793" s="33" t="str">
        <f>IFERROR(INDEX(Recipes!$B$2:$B$500,MATCH(A793,Recipes!$A$2:$A$500,0)),"")</f>
        <v>Lecsó (Hungarian Pepper &amp; Tomato Stew)</v>
      </c>
      <c r="C793" s="7" t="s">
        <v>500</v>
      </c>
      <c r="D793" s="34">
        <v>2</v>
      </c>
      <c r="E793" s="22" t="s">
        <v>2776</v>
      </c>
      <c r="F793" s="22" t="s">
        <v>499</v>
      </c>
      <c r="G793" s="22" t="s">
        <v>2755</v>
      </c>
      <c r="H793" s="7" t="s">
        <v>2830</v>
      </c>
      <c r="I793" s="35">
        <v>6</v>
      </c>
      <c r="J793" s="30">
        <f>IF(OR($F793="",$I793=""),0,IFERROR(INDEX(Nutrition!$D$2:$D$300,MATCH($F793,Nutrition!$A$2:$A$300,0))*$I793/100,0))</f>
        <v>0.126</v>
      </c>
      <c r="K793" s="30">
        <f>IF(OR($F793="",$I793=""),0,IFERROR(INDEX(Nutrition!$E$2:$E$300,MATCH($F793,Nutrition!$A$2:$A$300,0))*$I793/100,0))</f>
        <v>1.8719999999999999</v>
      </c>
      <c r="L793" s="30">
        <f>IF(OR($F793="",$I793=""),0,IFERROR(INDEX(Nutrition!$F$2:$F$300,MATCH($F793,Nutrition!$A$2:$A$300,0))*$I793/100,0))</f>
        <v>0</v>
      </c>
      <c r="M793" s="30">
        <f>IF(OR($F793="",$I793=""),0,IFERROR(INDEX(Nutrition!$G$2:$G$300,MATCH($F793,Nutrition!$A$2:$A$300,0))*$I793/100,0))</f>
        <v>0.10199999999999999</v>
      </c>
      <c r="N793" s="30">
        <f>IF(OR($F793="",$I793=""),0,IFERROR(INDEX(Nutrition!$H$2:$H$300,MATCH($F793,Nutrition!$A$2:$A$300,0))*$I793/100,0))</f>
        <v>0.18</v>
      </c>
      <c r="O793" s="30">
        <f>IF(OR($F793="",$I793=""),0,IFERROR(INDEX(Nutrition!$I$2:$I$300,MATCH($F793,Nutrition!$A$2:$A$300,0))*$I793/100,0))</f>
        <v>24.06</v>
      </c>
      <c r="P793" s="30">
        <f>IF(OR($F793="",$I793=""),0,IFERROR(INDEX(Nutrition!$J$2:$J$300,MATCH($F793,Nutrition!$A$2:$A$300,0))*$I793/100,0))</f>
        <v>4.7999999999999996E-3</v>
      </c>
      <c r="Q793" s="30">
        <f>IF(OR($F793="",$I793=""),0,IFERROR(INDEX(Nutrition!$K$2:$K$300,MATCH($F793,Nutrition!$A$2:$A$300,0))*$I793/100,0))</f>
        <v>7.4099999999999999E-2</v>
      </c>
      <c r="R793" s="30">
        <f>IF(OR($F793="",$I793=""),0,IFERROR(INDEX(Nutrition!$L$2:$L$300,MATCH($F793,Nutrition!$A$2:$A$300,0))*$I793/100,0))</f>
        <v>1.5</v>
      </c>
      <c r="S793" s="30">
        <f>IF(OR($F793="",$I793=""),0,IFERROR(INDEX(Nutrition!$M$2:$M$300,MATCH($F793,Nutrition!$A$2:$A$300,0))*$I793/100,0))</f>
        <v>0.10199999999999999</v>
      </c>
    </row>
    <row r="794" spans="1:19" ht="15" customHeight="1" x14ac:dyDescent="0.25">
      <c r="A794" s="22" t="s">
        <v>1939</v>
      </c>
      <c r="B794" s="33" t="str">
        <f>IFERROR(INDEX(Recipes!$B$2:$B$500,MATCH(A794,Recipes!$A$2:$A$500,0)),"")</f>
        <v>Lecsó (Hungarian Pepper &amp; Tomato Stew)</v>
      </c>
      <c r="C794" s="7" t="s">
        <v>478</v>
      </c>
      <c r="D794" s="34">
        <v>1</v>
      </c>
      <c r="E794" s="22" t="s">
        <v>2754</v>
      </c>
      <c r="F794" s="22" t="s">
        <v>477</v>
      </c>
      <c r="G794" s="22" t="s">
        <v>2755</v>
      </c>
      <c r="H794" s="7" t="s">
        <v>2830</v>
      </c>
      <c r="I794" s="35">
        <v>20</v>
      </c>
      <c r="J794" s="30">
        <f>IF(OR($F794="",$I794=""),0,IFERROR(INDEX(Nutrition!$D$2:$D$300,MATCH($F794,Nutrition!$A$2:$A$300,0))*$I794/100,0))</f>
        <v>0.3</v>
      </c>
      <c r="K794" s="30">
        <f>IF(OR($F794="",$I794=""),0,IFERROR(INDEX(Nutrition!$E$2:$E$300,MATCH($F794,Nutrition!$A$2:$A$300,0))*$I794/100,0))</f>
        <v>28.74</v>
      </c>
      <c r="L794" s="30">
        <f>IF(OR($F794="",$I794=""),0,IFERROR(INDEX(Nutrition!$F$2:$F$300,MATCH($F794,Nutrition!$A$2:$A$300,0))*$I794/100,0))</f>
        <v>9.6</v>
      </c>
      <c r="M794" s="30">
        <f>IF(OR($F794="",$I794=""),0,IFERROR(INDEX(Nutrition!$G$2:$G$300,MATCH($F794,Nutrition!$A$2:$A$300,0))*$I794/100,0))</f>
        <v>2.8</v>
      </c>
      <c r="N794" s="30">
        <f>IF(OR($F794="",$I794=""),0,IFERROR(INDEX(Nutrition!$H$2:$H$300,MATCH($F794,Nutrition!$A$2:$A$300,0))*$I794/100,0))</f>
        <v>4.5999999999999996</v>
      </c>
      <c r="O794" s="30">
        <f>IF(OR($F794="",$I794=""),0,IFERROR(INDEX(Nutrition!$I$2:$I$300,MATCH($F794,Nutrition!$A$2:$A$300,0))*$I794/100,0))</f>
        <v>64.400000000000006</v>
      </c>
      <c r="P794" s="30">
        <f>IF(OR($F794="",$I794=""),0,IFERROR(INDEX(Nutrition!$J$2:$J$300,MATCH($F794,Nutrition!$A$2:$A$300,0))*$I794/100,0))</f>
        <v>0.13799999999999998</v>
      </c>
      <c r="Q794" s="30">
        <f>IF(OR($F794="",$I794=""),0,IFERROR(INDEX(Nutrition!$K$2:$K$300,MATCH($F794,Nutrition!$A$2:$A$300,0))*$I794/100,0))</f>
        <v>0.10120000000000001</v>
      </c>
      <c r="R794" s="30">
        <f>IF(OR($F794="",$I794=""),0,IFERROR(INDEX(Nutrition!$L$2:$L$300,MATCH($F794,Nutrition!$A$2:$A$300,0))*$I794/100,0))</f>
        <v>4.5999999999999996</v>
      </c>
      <c r="S794" s="30">
        <f>IF(OR($F794="",$I794=""),0,IFERROR(INDEX(Nutrition!$M$2:$M$300,MATCH($F794,Nutrition!$A$2:$A$300,0))*$I794/100,0))</f>
        <v>0.20600000000000002</v>
      </c>
    </row>
    <row r="795" spans="1:19" ht="15" customHeight="1" x14ac:dyDescent="0.25">
      <c r="A795" s="22" t="s">
        <v>1939</v>
      </c>
      <c r="B795" s="33" t="str">
        <f>IFERROR(INDEX(Recipes!$B$2:$B$500,MATCH(A795,Recipes!$A$2:$A$500,0)),"")</f>
        <v>Lecsó (Hungarian Pepper &amp; Tomato Stew)</v>
      </c>
      <c r="C795" s="7" t="s">
        <v>2898</v>
      </c>
      <c r="D795" s="34">
        <v>2</v>
      </c>
      <c r="E795" s="22" t="s">
        <v>2753</v>
      </c>
      <c r="F795" s="22"/>
      <c r="G795" s="22" t="s">
        <v>2773</v>
      </c>
      <c r="H795" s="7"/>
      <c r="I795" s="35"/>
      <c r="J795" s="30">
        <f>IF(OR($F795="",$I795=""),0,IFERROR(INDEX(Nutrition!$D$2:$D$300,MATCH($F795,Nutrition!$A$2:$A$300,0))*$I795/100,0))</f>
        <v>0</v>
      </c>
      <c r="K795" s="30">
        <f>IF(OR($F795="",$I795=""),0,IFERROR(INDEX(Nutrition!$E$2:$E$300,MATCH($F795,Nutrition!$A$2:$A$300,0))*$I795/100,0))</f>
        <v>0</v>
      </c>
      <c r="L795" s="30">
        <f>IF(OR($F795="",$I795=""),0,IFERROR(INDEX(Nutrition!$F$2:$F$300,MATCH($F795,Nutrition!$A$2:$A$300,0))*$I795/100,0))</f>
        <v>0</v>
      </c>
      <c r="M795" s="30">
        <f>IF(OR($F795="",$I795=""),0,IFERROR(INDEX(Nutrition!$G$2:$G$300,MATCH($F795,Nutrition!$A$2:$A$300,0))*$I795/100,0))</f>
        <v>0</v>
      </c>
      <c r="N795" s="30">
        <f>IF(OR($F795="",$I795=""),0,IFERROR(INDEX(Nutrition!$H$2:$H$300,MATCH($F795,Nutrition!$A$2:$A$300,0))*$I795/100,0))</f>
        <v>0</v>
      </c>
      <c r="O795" s="30">
        <f>IF(OR($F795="",$I795=""),0,IFERROR(INDEX(Nutrition!$I$2:$I$300,MATCH($F795,Nutrition!$A$2:$A$300,0))*$I795/100,0))</f>
        <v>0</v>
      </c>
      <c r="P795" s="30">
        <f>IF(OR($F795="",$I795=""),0,IFERROR(INDEX(Nutrition!$J$2:$J$300,MATCH($F795,Nutrition!$A$2:$A$300,0))*$I795/100,0))</f>
        <v>0</v>
      </c>
      <c r="Q795" s="30">
        <f>IF(OR($F795="",$I795=""),0,IFERROR(INDEX(Nutrition!$K$2:$K$300,MATCH($F795,Nutrition!$A$2:$A$300,0))*$I795/100,0))</f>
        <v>0</v>
      </c>
      <c r="R795" s="30">
        <f>IF(OR($F795="",$I795=""),0,IFERROR(INDEX(Nutrition!$L$2:$L$300,MATCH($F795,Nutrition!$A$2:$A$300,0))*$I795/100,0))</f>
        <v>0</v>
      </c>
      <c r="S795" s="30">
        <f>IF(OR($F795="",$I795=""),0,IFERROR(INDEX(Nutrition!$M$2:$M$300,MATCH($F795,Nutrition!$A$2:$A$300,0))*$I795/100,0))</f>
        <v>0</v>
      </c>
    </row>
    <row r="796" spans="1:19" ht="15" customHeight="1" x14ac:dyDescent="0.25">
      <c r="A796" s="22" t="s">
        <v>1939</v>
      </c>
      <c r="B796" s="33" t="str">
        <f>IFERROR(INDEX(Recipes!$B$2:$B$500,MATCH(A796,Recipes!$A$2:$A$500,0)),"")</f>
        <v>Lecsó (Hungarian Pepper &amp; Tomato Stew)</v>
      </c>
      <c r="C796" s="7" t="s">
        <v>2952</v>
      </c>
      <c r="D796" s="34">
        <v>2</v>
      </c>
      <c r="E796" s="22" t="s">
        <v>2753</v>
      </c>
      <c r="F796" s="22"/>
      <c r="G796" s="22" t="s">
        <v>2749</v>
      </c>
      <c r="H796" s="7"/>
      <c r="I796" s="35"/>
      <c r="J796" s="30">
        <f>IF(OR($F796="",$I796=""),0,IFERROR(INDEX(Nutrition!$D$2:$D$300,MATCH($F796,Nutrition!$A$2:$A$300,0))*$I796/100,0))</f>
        <v>0</v>
      </c>
      <c r="K796" s="30">
        <f>IF(OR($F796="",$I796=""),0,IFERROR(INDEX(Nutrition!$E$2:$E$300,MATCH($F796,Nutrition!$A$2:$A$300,0))*$I796/100,0))</f>
        <v>0</v>
      </c>
      <c r="L796" s="30">
        <f>IF(OR($F796="",$I796=""),0,IFERROR(INDEX(Nutrition!$F$2:$F$300,MATCH($F796,Nutrition!$A$2:$A$300,0))*$I796/100,0))</f>
        <v>0</v>
      </c>
      <c r="M796" s="30">
        <f>IF(OR($F796="",$I796=""),0,IFERROR(INDEX(Nutrition!$G$2:$G$300,MATCH($F796,Nutrition!$A$2:$A$300,0))*$I796/100,0))</f>
        <v>0</v>
      </c>
      <c r="N796" s="30">
        <f>IF(OR($F796="",$I796=""),0,IFERROR(INDEX(Nutrition!$H$2:$H$300,MATCH($F796,Nutrition!$A$2:$A$300,0))*$I796/100,0))</f>
        <v>0</v>
      </c>
      <c r="O796" s="30">
        <f>IF(OR($F796="",$I796=""),0,IFERROR(INDEX(Nutrition!$I$2:$I$300,MATCH($F796,Nutrition!$A$2:$A$300,0))*$I796/100,0))</f>
        <v>0</v>
      </c>
      <c r="P796" s="30">
        <f>IF(OR($F796="",$I796=""),0,IFERROR(INDEX(Nutrition!$J$2:$J$300,MATCH($F796,Nutrition!$A$2:$A$300,0))*$I796/100,0))</f>
        <v>0</v>
      </c>
      <c r="Q796" s="30">
        <f>IF(OR($F796="",$I796=""),0,IFERROR(INDEX(Nutrition!$K$2:$K$300,MATCH($F796,Nutrition!$A$2:$A$300,0))*$I796/100,0))</f>
        <v>0</v>
      </c>
      <c r="R796" s="30">
        <f>IF(OR($F796="",$I796=""),0,IFERROR(INDEX(Nutrition!$L$2:$L$300,MATCH($F796,Nutrition!$A$2:$A$300,0))*$I796/100,0))</f>
        <v>0</v>
      </c>
      <c r="S796" s="30">
        <f>IF(OR($F796="",$I796=""),0,IFERROR(INDEX(Nutrition!$M$2:$M$300,MATCH($F796,Nutrition!$A$2:$A$300,0))*$I796/100,0))</f>
        <v>0</v>
      </c>
    </row>
    <row r="797" spans="1:19" ht="15" customHeight="1" x14ac:dyDescent="0.25">
      <c r="A797" s="22" t="s">
        <v>1939</v>
      </c>
      <c r="B797" s="33" t="str">
        <f>IFERROR(INDEX(Recipes!$B$2:$B$500,MATCH(A797,Recipes!$A$2:$A$500,0)),"")</f>
        <v>Lecsó (Hungarian Pepper &amp; Tomato Stew)</v>
      </c>
      <c r="C797" s="7" t="s">
        <v>2781</v>
      </c>
      <c r="D797" s="34">
        <v>1</v>
      </c>
      <c r="E797" s="22" t="s">
        <v>2782</v>
      </c>
      <c r="F797" s="22"/>
      <c r="G797" s="22" t="s">
        <v>2773</v>
      </c>
      <c r="H797" s="7"/>
      <c r="I797" s="35"/>
      <c r="J797" s="30">
        <f>IF(OR($F797="",$I797=""),0,IFERROR(INDEX(Nutrition!$D$2:$D$300,MATCH($F797,Nutrition!$A$2:$A$300,0))*$I797/100,0))</f>
        <v>0</v>
      </c>
      <c r="K797" s="30">
        <f>IF(OR($F797="",$I797=""),0,IFERROR(INDEX(Nutrition!$E$2:$E$300,MATCH($F797,Nutrition!$A$2:$A$300,0))*$I797/100,0))</f>
        <v>0</v>
      </c>
      <c r="L797" s="30">
        <f>IF(OR($F797="",$I797=""),0,IFERROR(INDEX(Nutrition!$F$2:$F$300,MATCH($F797,Nutrition!$A$2:$A$300,0))*$I797/100,0))</f>
        <v>0</v>
      </c>
      <c r="M797" s="30">
        <f>IF(OR($F797="",$I797=""),0,IFERROR(INDEX(Nutrition!$G$2:$G$300,MATCH($F797,Nutrition!$A$2:$A$300,0))*$I797/100,0))</f>
        <v>0</v>
      </c>
      <c r="N797" s="30">
        <f>IF(OR($F797="",$I797=""),0,IFERROR(INDEX(Nutrition!$H$2:$H$300,MATCH($F797,Nutrition!$A$2:$A$300,0))*$I797/100,0))</f>
        <v>0</v>
      </c>
      <c r="O797" s="30">
        <f>IF(OR($F797="",$I797=""),0,IFERROR(INDEX(Nutrition!$I$2:$I$300,MATCH($F797,Nutrition!$A$2:$A$300,0))*$I797/100,0))</f>
        <v>0</v>
      </c>
      <c r="P797" s="30">
        <f>IF(OR($F797="",$I797=""),0,IFERROR(INDEX(Nutrition!$J$2:$J$300,MATCH($F797,Nutrition!$A$2:$A$300,0))*$I797/100,0))</f>
        <v>0</v>
      </c>
      <c r="Q797" s="30">
        <f>IF(OR($F797="",$I797=""),0,IFERROR(INDEX(Nutrition!$K$2:$K$300,MATCH($F797,Nutrition!$A$2:$A$300,0))*$I797/100,0))</f>
        <v>0</v>
      </c>
      <c r="R797" s="30">
        <f>IF(OR($F797="",$I797=""),0,IFERROR(INDEX(Nutrition!$L$2:$L$300,MATCH($F797,Nutrition!$A$2:$A$300,0))*$I797/100,0))</f>
        <v>0</v>
      </c>
      <c r="S797" s="30">
        <f>IF(OR($F797="",$I797=""),0,IFERROR(INDEX(Nutrition!$M$2:$M$300,MATCH($F797,Nutrition!$A$2:$A$300,0))*$I797/100,0))</f>
        <v>0</v>
      </c>
    </row>
    <row r="798" spans="1:19" ht="15" customHeight="1" x14ac:dyDescent="0.25">
      <c r="A798" s="22" t="s">
        <v>1951</v>
      </c>
      <c r="B798" s="33" t="str">
        <f>IFERROR(INDEX(Recipes!$B$2:$B$500,MATCH(A798,Recipes!$A$2:$A$500,0)),"")</f>
        <v>Pepperonata</v>
      </c>
      <c r="C798" s="7" t="s">
        <v>462</v>
      </c>
      <c r="D798" s="34">
        <v>4</v>
      </c>
      <c r="E798" s="22" t="s">
        <v>2754</v>
      </c>
      <c r="F798" s="22" t="s">
        <v>461</v>
      </c>
      <c r="G798" s="22" t="s">
        <v>2755</v>
      </c>
      <c r="H798" s="7" t="s">
        <v>2953</v>
      </c>
      <c r="I798" s="35">
        <v>476</v>
      </c>
      <c r="J798" s="30">
        <f>IF(OR($F798="",$I798=""),0,IFERROR(INDEX(Nutrition!$D$2:$D$300,MATCH($F798,Nutrition!$A$2:$A$300,0))*$I798/100,0))</f>
        <v>9.9960000000000004</v>
      </c>
      <c r="K798" s="30">
        <f>IF(OR($F798="",$I798=""),0,IFERROR(INDEX(Nutrition!$E$2:$E$300,MATCH($F798,Nutrition!$A$2:$A$300,0))*$I798/100,0))</f>
        <v>607.85200000000009</v>
      </c>
      <c r="L798" s="30">
        <f>IF(OR($F798="",$I798=""),0,IFERROR(INDEX(Nutrition!$F$2:$F$300,MATCH($F798,Nutrition!$A$2:$A$300,0))*$I798/100,0))</f>
        <v>747.32</v>
      </c>
      <c r="M798" s="30">
        <f>IF(OR($F798="",$I798=""),0,IFERROR(INDEX(Nutrition!$G$2:$G$300,MATCH($F798,Nutrition!$A$2:$A$300,0))*$I798/100,0))</f>
        <v>23.324000000000002</v>
      </c>
      <c r="N798" s="30">
        <f>IF(OR($F798="",$I798=""),0,IFERROR(INDEX(Nutrition!$H$2:$H$300,MATCH($F798,Nutrition!$A$2:$A$300,0))*$I798/100,0))</f>
        <v>218.96</v>
      </c>
      <c r="O798" s="30">
        <f>IF(OR($F798="",$I798=""),0,IFERROR(INDEX(Nutrition!$I$2:$I$300,MATCH($F798,Nutrition!$A$2:$A$300,0))*$I798/100,0))</f>
        <v>1004.36</v>
      </c>
      <c r="P798" s="30">
        <f>IF(OR($F798="",$I798=""),0,IFERROR(INDEX(Nutrition!$J$2:$J$300,MATCH($F798,Nutrition!$A$2:$A$300,0))*$I798/100,0))</f>
        <v>7.5208000000000004</v>
      </c>
      <c r="Q798" s="30">
        <f>IF(OR($F798="",$I798=""),0,IFERROR(INDEX(Nutrition!$K$2:$K$300,MATCH($F798,Nutrition!$A$2:$A$300,0))*$I798/100,0))</f>
        <v>1.3851599999999999</v>
      </c>
      <c r="R798" s="30">
        <f>IF(OR($F798="",$I798=""),0,IFERROR(INDEX(Nutrition!$L$2:$L$300,MATCH($F798,Nutrition!$A$2:$A$300,0))*$I798/100,0))</f>
        <v>57.12</v>
      </c>
      <c r="S798" s="30">
        <f>IF(OR($F798="",$I798=""),0,IFERROR(INDEX(Nutrition!$M$2:$M$300,MATCH($F798,Nutrition!$A$2:$A$300,0))*$I798/100,0))</f>
        <v>2.0468000000000002</v>
      </c>
    </row>
    <row r="799" spans="1:19" ht="15" customHeight="1" x14ac:dyDescent="0.25">
      <c r="A799" s="22" t="s">
        <v>1951</v>
      </c>
      <c r="B799" s="33" t="str">
        <f>IFERROR(INDEX(Recipes!$B$2:$B$500,MATCH(A799,Recipes!$A$2:$A$500,0)),"")</f>
        <v>Pepperonata</v>
      </c>
      <c r="C799" s="7" t="s">
        <v>468</v>
      </c>
      <c r="D799" s="34">
        <v>2</v>
      </c>
      <c r="E799" s="22" t="s">
        <v>2754</v>
      </c>
      <c r="F799" s="22" t="s">
        <v>467</v>
      </c>
      <c r="G799" s="22" t="s">
        <v>2755</v>
      </c>
      <c r="H799" s="7" t="s">
        <v>2954</v>
      </c>
      <c r="I799" s="35">
        <v>238</v>
      </c>
      <c r="J799" s="30">
        <f>IF(OR($F799="",$I799=""),0,IFERROR(INDEX(Nutrition!$D$2:$D$300,MATCH($F799,Nutrition!$A$2:$A$300,0))*$I799/100,0))</f>
        <v>4.0459999999999994</v>
      </c>
      <c r="K799" s="30">
        <f>IF(OR($F799="",$I799=""),0,IFERROR(INDEX(Nutrition!$E$2:$E$300,MATCH($F799,Nutrition!$A$2:$A$300,0))*$I799/100,0))</f>
        <v>191.352</v>
      </c>
      <c r="L799" s="30">
        <f>IF(OR($F799="",$I799=""),0,IFERROR(INDEX(Nutrition!$F$2:$F$300,MATCH($F799,Nutrition!$A$2:$A$300,0))*$I799/100,0))</f>
        <v>42.84</v>
      </c>
      <c r="M799" s="30">
        <f>IF(OR($F799="",$I799=""),0,IFERROR(INDEX(Nutrition!$G$2:$G$300,MATCH($F799,Nutrition!$A$2:$A$300,0))*$I799/100,0))</f>
        <v>17.612000000000002</v>
      </c>
      <c r="N799" s="30">
        <f>IF(OR($F799="",$I799=""),0,IFERROR(INDEX(Nutrition!$H$2:$H$300,MATCH($F799,Nutrition!$A$2:$A$300,0))*$I799/100,0))</f>
        <v>23.8</v>
      </c>
      <c r="O799" s="30">
        <f>IF(OR($F799="",$I799=""),0,IFERROR(INDEX(Nutrition!$I$2:$I$300,MATCH($F799,Nutrition!$A$2:$A$300,0))*$I799/100,0))</f>
        <v>416.5</v>
      </c>
      <c r="P799" s="30">
        <f>IF(OR($F799="",$I799=""),0,IFERROR(INDEX(Nutrition!$J$2:$J$300,MATCH($F799,Nutrition!$A$2:$A$300,0))*$I799/100,0))</f>
        <v>0.88060000000000005</v>
      </c>
      <c r="Q799" s="30">
        <f>IF(OR($F799="",$I799=""),0,IFERROR(INDEX(Nutrition!$K$2:$K$300,MATCH($F799,Nutrition!$A$2:$A$300,0))*$I799/100,0))</f>
        <v>0.53311999999999993</v>
      </c>
      <c r="R799" s="30">
        <f>IF(OR($F799="",$I799=""),0,IFERROR(INDEX(Nutrition!$L$2:$L$300,MATCH($F799,Nutrition!$A$2:$A$300,0))*$I799/100,0))</f>
        <v>23.8</v>
      </c>
      <c r="S799" s="30">
        <f>IF(OR($F799="",$I799=""),0,IFERROR(INDEX(Nutrition!$M$2:$M$300,MATCH($F799,Nutrition!$A$2:$A$300,0))*$I799/100,0))</f>
        <v>0.80920000000000003</v>
      </c>
    </row>
    <row r="800" spans="1:19" ht="15" customHeight="1" x14ac:dyDescent="0.25">
      <c r="A800" s="22" t="s">
        <v>1951</v>
      </c>
      <c r="B800" s="33" t="str">
        <f>IFERROR(INDEX(Recipes!$B$2:$B$500,MATCH(A800,Recipes!$A$2:$A$500,0)),"")</f>
        <v>Pepperonata</v>
      </c>
      <c r="C800" s="7" t="s">
        <v>482</v>
      </c>
      <c r="D800" s="34">
        <v>2</v>
      </c>
      <c r="E800" s="22" t="s">
        <v>2754</v>
      </c>
      <c r="F800" s="22" t="s">
        <v>481</v>
      </c>
      <c r="G800" s="22" t="s">
        <v>2755</v>
      </c>
      <c r="H800" s="7" t="s">
        <v>2955</v>
      </c>
      <c r="I800" s="35">
        <v>220</v>
      </c>
      <c r="J800" s="30">
        <f>IF(OR($F800="",$I800=""),0,IFERROR(INDEX(Nutrition!$D$2:$D$300,MATCH($F800,Nutrition!$A$2:$A$300,0))*$I800/100,0))</f>
        <v>3.74</v>
      </c>
      <c r="K800" s="30">
        <f>IF(OR($F800="",$I800=""),0,IFERROR(INDEX(Nutrition!$E$2:$E$300,MATCH($F800,Nutrition!$A$2:$A$300,0))*$I800/100,0))</f>
        <v>16.28</v>
      </c>
      <c r="L800" s="30">
        <f>IF(OR($F800="",$I800=""),0,IFERROR(INDEX(Nutrition!$F$2:$F$300,MATCH($F800,Nutrition!$A$2:$A$300,0))*$I800/100,0))</f>
        <v>0</v>
      </c>
      <c r="M800" s="30">
        <f>IF(OR($F800="",$I800=""),0,IFERROR(INDEX(Nutrition!$G$2:$G$300,MATCH($F800,Nutrition!$A$2:$A$300,0))*$I800/100,0))</f>
        <v>0.88</v>
      </c>
      <c r="N800" s="30">
        <f>IF(OR($F800="",$I800=""),0,IFERROR(INDEX(Nutrition!$H$2:$H$300,MATCH($F800,Nutrition!$A$2:$A$300,0))*$I800/100,0))</f>
        <v>41.8</v>
      </c>
      <c r="O800" s="30">
        <f>IF(OR($F800="",$I800=""),0,IFERROR(INDEX(Nutrition!$I$2:$I$300,MATCH($F800,Nutrition!$A$2:$A$300,0))*$I800/100,0))</f>
        <v>321.2</v>
      </c>
      <c r="P800" s="30">
        <f>IF(OR($F800="",$I800=""),0,IFERROR(INDEX(Nutrition!$J$2:$J$300,MATCH($F800,Nutrition!$A$2:$A$300,0))*$I800/100,0))</f>
        <v>4.4000000000000004E-2</v>
      </c>
      <c r="Q800" s="30">
        <f>IF(OR($F800="",$I800=""),0,IFERROR(INDEX(Nutrition!$K$2:$K$300,MATCH($F800,Nutrition!$A$2:$A$300,0))*$I800/100,0))</f>
        <v>0.26400000000000001</v>
      </c>
      <c r="R800" s="30">
        <f>IF(OR($F800="",$I800=""),0,IFERROR(INDEX(Nutrition!$L$2:$L$300,MATCH($F800,Nutrition!$A$2:$A$300,0))*$I800/100,0))</f>
        <v>22</v>
      </c>
      <c r="S800" s="30">
        <f>IF(OR($F800="",$I800=""),0,IFERROR(INDEX(Nutrition!$M$2:$M$300,MATCH($F800,Nutrition!$A$2:$A$300,0))*$I800/100,0))</f>
        <v>0.46199999999999997</v>
      </c>
    </row>
    <row r="801" spans="1:19" ht="15" customHeight="1" x14ac:dyDescent="0.25">
      <c r="A801" s="22" t="s">
        <v>1951</v>
      </c>
      <c r="B801" s="33" t="str">
        <f>IFERROR(INDEX(Recipes!$B$2:$B$500,MATCH(A801,Recipes!$A$2:$A$500,0)),"")</f>
        <v>Pepperonata</v>
      </c>
      <c r="C801" s="7" t="s">
        <v>500</v>
      </c>
      <c r="D801" s="34">
        <v>2</v>
      </c>
      <c r="E801" s="22" t="s">
        <v>2776</v>
      </c>
      <c r="F801" s="22" t="s">
        <v>499</v>
      </c>
      <c r="G801" s="22" t="s">
        <v>2755</v>
      </c>
      <c r="H801" s="7" t="s">
        <v>2915</v>
      </c>
      <c r="I801" s="35">
        <v>6</v>
      </c>
      <c r="J801" s="30">
        <f>IF(OR($F801="",$I801=""),0,IFERROR(INDEX(Nutrition!$D$2:$D$300,MATCH($F801,Nutrition!$A$2:$A$300,0))*$I801/100,0))</f>
        <v>0.126</v>
      </c>
      <c r="K801" s="30">
        <f>IF(OR($F801="",$I801=""),0,IFERROR(INDEX(Nutrition!$E$2:$E$300,MATCH($F801,Nutrition!$A$2:$A$300,0))*$I801/100,0))</f>
        <v>1.8719999999999999</v>
      </c>
      <c r="L801" s="30">
        <f>IF(OR($F801="",$I801=""),0,IFERROR(INDEX(Nutrition!$F$2:$F$300,MATCH($F801,Nutrition!$A$2:$A$300,0))*$I801/100,0))</f>
        <v>0</v>
      </c>
      <c r="M801" s="30">
        <f>IF(OR($F801="",$I801=""),0,IFERROR(INDEX(Nutrition!$G$2:$G$300,MATCH($F801,Nutrition!$A$2:$A$300,0))*$I801/100,0))</f>
        <v>0.10199999999999999</v>
      </c>
      <c r="N801" s="30">
        <f>IF(OR($F801="",$I801=""),0,IFERROR(INDEX(Nutrition!$H$2:$H$300,MATCH($F801,Nutrition!$A$2:$A$300,0))*$I801/100,0))</f>
        <v>0.18</v>
      </c>
      <c r="O801" s="30">
        <f>IF(OR($F801="",$I801=""),0,IFERROR(INDEX(Nutrition!$I$2:$I$300,MATCH($F801,Nutrition!$A$2:$A$300,0))*$I801/100,0))</f>
        <v>24.06</v>
      </c>
      <c r="P801" s="30">
        <f>IF(OR($F801="",$I801=""),0,IFERROR(INDEX(Nutrition!$J$2:$J$300,MATCH($F801,Nutrition!$A$2:$A$300,0))*$I801/100,0))</f>
        <v>4.7999999999999996E-3</v>
      </c>
      <c r="Q801" s="30">
        <f>IF(OR($F801="",$I801=""),0,IFERROR(INDEX(Nutrition!$K$2:$K$300,MATCH($F801,Nutrition!$A$2:$A$300,0))*$I801/100,0))</f>
        <v>7.4099999999999999E-2</v>
      </c>
      <c r="R801" s="30">
        <f>IF(OR($F801="",$I801=""),0,IFERROR(INDEX(Nutrition!$L$2:$L$300,MATCH($F801,Nutrition!$A$2:$A$300,0))*$I801/100,0))</f>
        <v>1.5</v>
      </c>
      <c r="S801" s="30">
        <f>IF(OR($F801="",$I801=""),0,IFERROR(INDEX(Nutrition!$M$2:$M$300,MATCH($F801,Nutrition!$A$2:$A$300,0))*$I801/100,0))</f>
        <v>0.10199999999999999</v>
      </c>
    </row>
    <row r="802" spans="1:19" ht="15" customHeight="1" x14ac:dyDescent="0.25">
      <c r="A802" s="22" t="s">
        <v>1951</v>
      </c>
      <c r="B802" s="33" t="str">
        <f>IFERROR(INDEX(Recipes!$B$2:$B$500,MATCH(A802,Recipes!$A$2:$A$500,0)),"")</f>
        <v>Pepperonata</v>
      </c>
      <c r="C802" s="7" t="s">
        <v>446</v>
      </c>
      <c r="D802" s="34">
        <v>5</v>
      </c>
      <c r="E802" s="22" t="s">
        <v>2754</v>
      </c>
      <c r="F802" s="22" t="s">
        <v>445</v>
      </c>
      <c r="G802" s="22" t="s">
        <v>2755</v>
      </c>
      <c r="H802" s="7" t="s">
        <v>2775</v>
      </c>
      <c r="I802" s="35">
        <v>310</v>
      </c>
      <c r="J802" s="30">
        <f>IF(OR($F802="",$I802=""),0,IFERROR(INDEX(Nutrition!$D$2:$D$300,MATCH($F802,Nutrition!$A$2:$A$300,0))*$I802/100,0))</f>
        <v>3.72</v>
      </c>
      <c r="K802" s="30">
        <f>IF(OR($F802="",$I802=""),0,IFERROR(INDEX(Nutrition!$E$2:$E$300,MATCH($F802,Nutrition!$A$2:$A$300,0))*$I802/100,0))</f>
        <v>42.47</v>
      </c>
      <c r="L802" s="30">
        <f>IF(OR($F802="",$I802=""),0,IFERROR(INDEX(Nutrition!$F$2:$F$300,MATCH($F802,Nutrition!$A$2:$A$300,0))*$I802/100,0))</f>
        <v>130.19999999999999</v>
      </c>
      <c r="M802" s="30">
        <f>IF(OR($F802="",$I802=""),0,IFERROR(INDEX(Nutrition!$G$2:$G$300,MATCH($F802,Nutrition!$A$2:$A$300,0))*$I802/100,0))</f>
        <v>24.49</v>
      </c>
      <c r="N802" s="30">
        <f>IF(OR($F802="",$I802=""),0,IFERROR(INDEX(Nutrition!$H$2:$H$300,MATCH($F802,Nutrition!$A$2:$A$300,0))*$I802/100,0))</f>
        <v>46.5</v>
      </c>
      <c r="O802" s="30">
        <f>IF(OR($F802="",$I802=""),0,IFERROR(INDEX(Nutrition!$I$2:$I$300,MATCH($F802,Nutrition!$A$2:$A$300,0))*$I802/100,0))</f>
        <v>734.7</v>
      </c>
      <c r="P802" s="30">
        <f>IF(OR($F802="",$I802=""),0,IFERROR(INDEX(Nutrition!$J$2:$J$300,MATCH($F802,Nutrition!$A$2:$A$300,0))*$I802/100,0))</f>
        <v>1.6740000000000002</v>
      </c>
      <c r="Q802" s="30">
        <f>IF(OR($F802="",$I802=""),0,IFERROR(INDEX(Nutrition!$K$2:$K$300,MATCH($F802,Nutrition!$A$2:$A$300,0))*$I802/100,0))</f>
        <v>0.248</v>
      </c>
      <c r="R802" s="30">
        <f>IF(OR($F802="",$I802=""),0,IFERROR(INDEX(Nutrition!$L$2:$L$300,MATCH($F802,Nutrition!$A$2:$A$300,0))*$I802/100,0))</f>
        <v>34.1</v>
      </c>
      <c r="S802" s="30">
        <f>IF(OR($F802="",$I802=""),0,IFERROR(INDEX(Nutrition!$M$2:$M$300,MATCH($F802,Nutrition!$A$2:$A$300,0))*$I802/100,0))</f>
        <v>0.83700000000000008</v>
      </c>
    </row>
    <row r="803" spans="1:19" ht="15" customHeight="1" x14ac:dyDescent="0.25">
      <c r="A803" s="22" t="s">
        <v>1951</v>
      </c>
      <c r="B803" s="33" t="str">
        <f>IFERROR(INDEX(Recipes!$B$2:$B$500,MATCH(A803,Recipes!$A$2:$A$500,0)),"")</f>
        <v>Pepperonata</v>
      </c>
      <c r="C803" s="7" t="s">
        <v>674</v>
      </c>
      <c r="D803" s="34">
        <v>6</v>
      </c>
      <c r="E803" s="22" t="s">
        <v>2840</v>
      </c>
      <c r="F803" s="22" t="s">
        <v>673</v>
      </c>
      <c r="G803" s="22" t="s">
        <v>2755</v>
      </c>
      <c r="H803" s="7" t="s">
        <v>2909</v>
      </c>
      <c r="I803" s="35">
        <v>6</v>
      </c>
      <c r="J803" s="30">
        <f>IF(OR($F803="",$I803=""),0,IFERROR(INDEX(Nutrition!$D$2:$D$300,MATCH($F803,Nutrition!$A$2:$A$300,0))*$I803/100,0))</f>
        <v>9.6000000000000016E-2</v>
      </c>
      <c r="K803" s="30">
        <f>IF(OR($F803="",$I803=""),0,IFERROR(INDEX(Nutrition!$E$2:$E$300,MATCH($F803,Nutrition!$A$2:$A$300,0))*$I803/100,0))</f>
        <v>1.08</v>
      </c>
      <c r="L803" s="30">
        <f>IF(OR($F803="",$I803=""),0,IFERROR(INDEX(Nutrition!$F$2:$F$300,MATCH($F803,Nutrition!$A$2:$A$300,0))*$I803/100,0))</f>
        <v>15.84</v>
      </c>
      <c r="M803" s="30">
        <f>IF(OR($F803="",$I803=""),0,IFERROR(INDEX(Nutrition!$G$2:$G$300,MATCH($F803,Nutrition!$A$2:$A$300,0))*$I803/100,0))</f>
        <v>24.888000000000002</v>
      </c>
      <c r="N803" s="30">
        <f>IF(OR($F803="",$I803=""),0,IFERROR(INDEX(Nutrition!$H$2:$H$300,MATCH($F803,Nutrition!$A$2:$A$300,0))*$I803/100,0))</f>
        <v>4.08</v>
      </c>
      <c r="O803" s="30">
        <f>IF(OR($F803="",$I803=""),0,IFERROR(INDEX(Nutrition!$I$2:$I$300,MATCH($F803,Nutrition!$A$2:$A$300,0))*$I803/100,0))</f>
        <v>17.7</v>
      </c>
      <c r="P803" s="30">
        <f>IF(OR($F803="",$I803=""),0,IFERROR(INDEX(Nutrition!$J$2:$J$300,MATCH($F803,Nutrition!$A$2:$A$300,0))*$I803/100,0))</f>
        <v>4.8000000000000008E-2</v>
      </c>
      <c r="Q803" s="30">
        <f>IF(OR($F803="",$I803=""),0,IFERROR(INDEX(Nutrition!$K$2:$K$300,MATCH($F803,Nutrition!$A$2:$A$300,0))*$I803/100,0))</f>
        <v>9.2999999999999992E-3</v>
      </c>
      <c r="R803" s="30">
        <f>IF(OR($F803="",$I803=""),0,IFERROR(INDEX(Nutrition!$L$2:$L$300,MATCH($F803,Nutrition!$A$2:$A$300,0))*$I803/100,0))</f>
        <v>3.84</v>
      </c>
      <c r="S803" s="30">
        <f>IF(OR($F803="",$I803=""),0,IFERROR(INDEX(Nutrition!$M$2:$M$300,MATCH($F803,Nutrition!$A$2:$A$300,0))*$I803/100,0))</f>
        <v>0.19020000000000001</v>
      </c>
    </row>
    <row r="804" spans="1:19" ht="15" customHeight="1" x14ac:dyDescent="0.25">
      <c r="A804" s="22" t="s">
        <v>1951</v>
      </c>
      <c r="B804" s="33" t="str">
        <f>IFERROR(INDEX(Recipes!$B$2:$B$500,MATCH(A804,Recipes!$A$2:$A$500,0)),"")</f>
        <v>Pepperonata</v>
      </c>
      <c r="C804" s="7" t="s">
        <v>2805</v>
      </c>
      <c r="D804" s="34">
        <v>3</v>
      </c>
      <c r="E804" s="22" t="s">
        <v>2753</v>
      </c>
      <c r="F804" s="22"/>
      <c r="G804" s="22" t="s">
        <v>2773</v>
      </c>
      <c r="H804" s="7"/>
      <c r="I804" s="35"/>
      <c r="J804" s="30">
        <f>IF(OR($F804="",$I804=""),0,IFERROR(INDEX(Nutrition!$D$2:$D$300,MATCH($F804,Nutrition!$A$2:$A$300,0))*$I804/100,0))</f>
        <v>0</v>
      </c>
      <c r="K804" s="30">
        <f>IF(OR($F804="",$I804=""),0,IFERROR(INDEX(Nutrition!$E$2:$E$300,MATCH($F804,Nutrition!$A$2:$A$300,0))*$I804/100,0))</f>
        <v>0</v>
      </c>
      <c r="L804" s="30">
        <f>IF(OR($F804="",$I804=""),0,IFERROR(INDEX(Nutrition!$F$2:$F$300,MATCH($F804,Nutrition!$A$2:$A$300,0))*$I804/100,0))</f>
        <v>0</v>
      </c>
      <c r="M804" s="30">
        <f>IF(OR($F804="",$I804=""),0,IFERROR(INDEX(Nutrition!$G$2:$G$300,MATCH($F804,Nutrition!$A$2:$A$300,0))*$I804/100,0))</f>
        <v>0</v>
      </c>
      <c r="N804" s="30">
        <f>IF(OR($F804="",$I804=""),0,IFERROR(INDEX(Nutrition!$H$2:$H$300,MATCH($F804,Nutrition!$A$2:$A$300,0))*$I804/100,0))</f>
        <v>0</v>
      </c>
      <c r="O804" s="30">
        <f>IF(OR($F804="",$I804=""),0,IFERROR(INDEX(Nutrition!$I$2:$I$300,MATCH($F804,Nutrition!$A$2:$A$300,0))*$I804/100,0))</f>
        <v>0</v>
      </c>
      <c r="P804" s="30">
        <f>IF(OR($F804="",$I804=""),0,IFERROR(INDEX(Nutrition!$J$2:$J$300,MATCH($F804,Nutrition!$A$2:$A$300,0))*$I804/100,0))</f>
        <v>0</v>
      </c>
      <c r="Q804" s="30">
        <f>IF(OR($F804="",$I804=""),0,IFERROR(INDEX(Nutrition!$K$2:$K$300,MATCH($F804,Nutrition!$A$2:$A$300,0))*$I804/100,0))</f>
        <v>0</v>
      </c>
      <c r="R804" s="30">
        <f>IF(OR($F804="",$I804=""),0,IFERROR(INDEX(Nutrition!$L$2:$L$300,MATCH($F804,Nutrition!$A$2:$A$300,0))*$I804/100,0))</f>
        <v>0</v>
      </c>
      <c r="S804" s="30">
        <f>IF(OR($F804="",$I804=""),0,IFERROR(INDEX(Nutrition!$M$2:$M$300,MATCH($F804,Nutrition!$A$2:$A$300,0))*$I804/100,0))</f>
        <v>0</v>
      </c>
    </row>
    <row r="805" spans="1:19" ht="15" customHeight="1" x14ac:dyDescent="0.25">
      <c r="A805" s="22" t="s">
        <v>1951</v>
      </c>
      <c r="B805" s="33" t="str">
        <f>IFERROR(INDEX(Recipes!$B$2:$B$500,MATCH(A805,Recipes!$A$2:$A$500,0)),"")</f>
        <v>Pepperonata</v>
      </c>
      <c r="C805" s="7" t="s">
        <v>2956</v>
      </c>
      <c r="D805" s="34">
        <v>2</v>
      </c>
      <c r="E805" s="22" t="s">
        <v>2754</v>
      </c>
      <c r="F805" s="22"/>
      <c r="G805" s="22" t="s">
        <v>2749</v>
      </c>
      <c r="H805" s="7"/>
      <c r="I805" s="35"/>
      <c r="J805" s="30">
        <f>IF(OR($F805="",$I805=""),0,IFERROR(INDEX(Nutrition!$D$2:$D$300,MATCH($F805,Nutrition!$A$2:$A$300,0))*$I805/100,0))</f>
        <v>0</v>
      </c>
      <c r="K805" s="30">
        <f>IF(OR($F805="",$I805=""),0,IFERROR(INDEX(Nutrition!$E$2:$E$300,MATCH($F805,Nutrition!$A$2:$A$300,0))*$I805/100,0))</f>
        <v>0</v>
      </c>
      <c r="L805" s="30">
        <f>IF(OR($F805="",$I805=""),0,IFERROR(INDEX(Nutrition!$F$2:$F$300,MATCH($F805,Nutrition!$A$2:$A$300,0))*$I805/100,0))</f>
        <v>0</v>
      </c>
      <c r="M805" s="30">
        <f>IF(OR($F805="",$I805=""),0,IFERROR(INDEX(Nutrition!$G$2:$G$300,MATCH($F805,Nutrition!$A$2:$A$300,0))*$I805/100,0))</f>
        <v>0</v>
      </c>
      <c r="N805" s="30">
        <f>IF(OR($F805="",$I805=""),0,IFERROR(INDEX(Nutrition!$H$2:$H$300,MATCH($F805,Nutrition!$A$2:$A$300,0))*$I805/100,0))</f>
        <v>0</v>
      </c>
      <c r="O805" s="30">
        <f>IF(OR($F805="",$I805=""),0,IFERROR(INDEX(Nutrition!$I$2:$I$300,MATCH($F805,Nutrition!$A$2:$A$300,0))*$I805/100,0))</f>
        <v>0</v>
      </c>
      <c r="P805" s="30">
        <f>IF(OR($F805="",$I805=""),0,IFERROR(INDEX(Nutrition!$J$2:$J$300,MATCH($F805,Nutrition!$A$2:$A$300,0))*$I805/100,0))</f>
        <v>0</v>
      </c>
      <c r="Q805" s="30">
        <f>IF(OR($F805="",$I805=""),0,IFERROR(INDEX(Nutrition!$K$2:$K$300,MATCH($F805,Nutrition!$A$2:$A$300,0))*$I805/100,0))</f>
        <v>0</v>
      </c>
      <c r="R805" s="30">
        <f>IF(OR($F805="",$I805=""),0,IFERROR(INDEX(Nutrition!$L$2:$L$300,MATCH($F805,Nutrition!$A$2:$A$300,0))*$I805/100,0))</f>
        <v>0</v>
      </c>
      <c r="S805" s="30">
        <f>IF(OR($F805="",$I805=""),0,IFERROR(INDEX(Nutrition!$M$2:$M$300,MATCH($F805,Nutrition!$A$2:$A$300,0))*$I805/100,0))</f>
        <v>0</v>
      </c>
    </row>
    <row r="806" spans="1:19" ht="15" customHeight="1" x14ac:dyDescent="0.25">
      <c r="A806" s="22" t="s">
        <v>1951</v>
      </c>
      <c r="B806" s="33" t="str">
        <f>IFERROR(INDEX(Recipes!$B$2:$B$500,MATCH(A806,Recipes!$A$2:$A$500,0)),"")</f>
        <v>Pepperonata</v>
      </c>
      <c r="C806" s="7" t="s">
        <v>2906</v>
      </c>
      <c r="D806" s="34">
        <v>1</v>
      </c>
      <c r="E806" s="22" t="s">
        <v>2782</v>
      </c>
      <c r="F806" s="22"/>
      <c r="G806" s="22" t="s">
        <v>2773</v>
      </c>
      <c r="H806" s="7"/>
      <c r="I806" s="35"/>
      <c r="J806" s="30">
        <f>IF(OR($F806="",$I806=""),0,IFERROR(INDEX(Nutrition!$D$2:$D$300,MATCH($F806,Nutrition!$A$2:$A$300,0))*$I806/100,0))</f>
        <v>0</v>
      </c>
      <c r="K806" s="30">
        <f>IF(OR($F806="",$I806=""),0,IFERROR(INDEX(Nutrition!$E$2:$E$300,MATCH($F806,Nutrition!$A$2:$A$300,0))*$I806/100,0))</f>
        <v>0</v>
      </c>
      <c r="L806" s="30">
        <f>IF(OR($F806="",$I806=""),0,IFERROR(INDEX(Nutrition!$F$2:$F$300,MATCH($F806,Nutrition!$A$2:$A$300,0))*$I806/100,0))</f>
        <v>0</v>
      </c>
      <c r="M806" s="30">
        <f>IF(OR($F806="",$I806=""),0,IFERROR(INDEX(Nutrition!$G$2:$G$300,MATCH($F806,Nutrition!$A$2:$A$300,0))*$I806/100,0))</f>
        <v>0</v>
      </c>
      <c r="N806" s="30">
        <f>IF(OR($F806="",$I806=""),0,IFERROR(INDEX(Nutrition!$H$2:$H$300,MATCH($F806,Nutrition!$A$2:$A$300,0))*$I806/100,0))</f>
        <v>0</v>
      </c>
      <c r="O806" s="30">
        <f>IF(OR($F806="",$I806=""),0,IFERROR(INDEX(Nutrition!$I$2:$I$300,MATCH($F806,Nutrition!$A$2:$A$300,0))*$I806/100,0))</f>
        <v>0</v>
      </c>
      <c r="P806" s="30">
        <f>IF(OR($F806="",$I806=""),0,IFERROR(INDEX(Nutrition!$J$2:$J$300,MATCH($F806,Nutrition!$A$2:$A$300,0))*$I806/100,0))</f>
        <v>0</v>
      </c>
      <c r="Q806" s="30">
        <f>IF(OR($F806="",$I806=""),0,IFERROR(INDEX(Nutrition!$K$2:$K$300,MATCH($F806,Nutrition!$A$2:$A$300,0))*$I806/100,0))</f>
        <v>0</v>
      </c>
      <c r="R806" s="30">
        <f>IF(OR($F806="",$I806=""),0,IFERROR(INDEX(Nutrition!$L$2:$L$300,MATCH($F806,Nutrition!$A$2:$A$300,0))*$I806/100,0))</f>
        <v>0</v>
      </c>
      <c r="S806" s="30">
        <f>IF(OR($F806="",$I806=""),0,IFERROR(INDEX(Nutrition!$M$2:$M$300,MATCH($F806,Nutrition!$A$2:$A$300,0))*$I806/100,0))</f>
        <v>0</v>
      </c>
    </row>
    <row r="807" spans="1:19" ht="15" customHeight="1" x14ac:dyDescent="0.25">
      <c r="A807" s="22" t="s">
        <v>1963</v>
      </c>
      <c r="B807" s="33" t="str">
        <f>IFERROR(INDEX(Recipes!$B$2:$B$500,MATCH(A807,Recipes!$A$2:$A$500,0)),"")</f>
        <v>Piperade (Basque Pepper Base with Eggs)</v>
      </c>
      <c r="C807" s="7" t="s">
        <v>446</v>
      </c>
      <c r="D807" s="34">
        <v>5</v>
      </c>
      <c r="E807" s="22" t="s">
        <v>2754</v>
      </c>
      <c r="F807" s="22" t="s">
        <v>445</v>
      </c>
      <c r="G807" s="22" t="s">
        <v>2755</v>
      </c>
      <c r="H807" s="7" t="s">
        <v>2957</v>
      </c>
      <c r="I807" s="35">
        <v>310</v>
      </c>
      <c r="J807" s="30">
        <f>IF(OR($F807="",$I807=""),0,IFERROR(INDEX(Nutrition!$D$2:$D$300,MATCH($F807,Nutrition!$A$2:$A$300,0))*$I807/100,0))</f>
        <v>3.72</v>
      </c>
      <c r="K807" s="30">
        <f>IF(OR($F807="",$I807=""),0,IFERROR(INDEX(Nutrition!$E$2:$E$300,MATCH($F807,Nutrition!$A$2:$A$300,0))*$I807/100,0))</f>
        <v>42.47</v>
      </c>
      <c r="L807" s="30">
        <f>IF(OR($F807="",$I807=""),0,IFERROR(INDEX(Nutrition!$F$2:$F$300,MATCH($F807,Nutrition!$A$2:$A$300,0))*$I807/100,0))</f>
        <v>130.19999999999999</v>
      </c>
      <c r="M807" s="30">
        <f>IF(OR($F807="",$I807=""),0,IFERROR(INDEX(Nutrition!$G$2:$G$300,MATCH($F807,Nutrition!$A$2:$A$300,0))*$I807/100,0))</f>
        <v>24.49</v>
      </c>
      <c r="N807" s="30">
        <f>IF(OR($F807="",$I807=""),0,IFERROR(INDEX(Nutrition!$H$2:$H$300,MATCH($F807,Nutrition!$A$2:$A$300,0))*$I807/100,0))</f>
        <v>46.5</v>
      </c>
      <c r="O807" s="30">
        <f>IF(OR($F807="",$I807=""),0,IFERROR(INDEX(Nutrition!$I$2:$I$300,MATCH($F807,Nutrition!$A$2:$A$300,0))*$I807/100,0))</f>
        <v>734.7</v>
      </c>
      <c r="P807" s="30">
        <f>IF(OR($F807="",$I807=""),0,IFERROR(INDEX(Nutrition!$J$2:$J$300,MATCH($F807,Nutrition!$A$2:$A$300,0))*$I807/100,0))</f>
        <v>1.6740000000000002</v>
      </c>
      <c r="Q807" s="30">
        <f>IF(OR($F807="",$I807=""),0,IFERROR(INDEX(Nutrition!$K$2:$K$300,MATCH($F807,Nutrition!$A$2:$A$300,0))*$I807/100,0))</f>
        <v>0.248</v>
      </c>
      <c r="R807" s="30">
        <f>IF(OR($F807="",$I807=""),0,IFERROR(INDEX(Nutrition!$L$2:$L$300,MATCH($F807,Nutrition!$A$2:$A$300,0))*$I807/100,0))</f>
        <v>34.1</v>
      </c>
      <c r="S807" s="30">
        <f>IF(OR($F807="",$I807=""),0,IFERROR(INDEX(Nutrition!$M$2:$M$300,MATCH($F807,Nutrition!$A$2:$A$300,0))*$I807/100,0))</f>
        <v>0.83700000000000008</v>
      </c>
    </row>
    <row r="808" spans="1:19" ht="15" customHeight="1" x14ac:dyDescent="0.25">
      <c r="A808" s="22" t="s">
        <v>1963</v>
      </c>
      <c r="B808" s="33" t="str">
        <f>IFERROR(INDEX(Recipes!$B$2:$B$500,MATCH(A808,Recipes!$A$2:$A$500,0)),"")</f>
        <v>Piperade (Basque Pepper Base with Eggs)</v>
      </c>
      <c r="C808" s="7" t="s">
        <v>462</v>
      </c>
      <c r="D808" s="34">
        <v>1</v>
      </c>
      <c r="E808" s="22" t="s">
        <v>2754</v>
      </c>
      <c r="F808" s="22" t="s">
        <v>461</v>
      </c>
      <c r="G808" s="22" t="s">
        <v>2755</v>
      </c>
      <c r="H808" s="7" t="s">
        <v>2953</v>
      </c>
      <c r="I808" s="35">
        <v>119</v>
      </c>
      <c r="J808" s="30">
        <f>IF(OR($F808="",$I808=""),0,IFERROR(INDEX(Nutrition!$D$2:$D$300,MATCH($F808,Nutrition!$A$2:$A$300,0))*$I808/100,0))</f>
        <v>2.4990000000000001</v>
      </c>
      <c r="K808" s="30">
        <f>IF(OR($F808="",$I808=""),0,IFERROR(INDEX(Nutrition!$E$2:$E$300,MATCH($F808,Nutrition!$A$2:$A$300,0))*$I808/100,0))</f>
        <v>151.96300000000002</v>
      </c>
      <c r="L808" s="30">
        <f>IF(OR($F808="",$I808=""),0,IFERROR(INDEX(Nutrition!$F$2:$F$300,MATCH($F808,Nutrition!$A$2:$A$300,0))*$I808/100,0))</f>
        <v>186.83</v>
      </c>
      <c r="M808" s="30">
        <f>IF(OR($F808="",$I808=""),0,IFERROR(INDEX(Nutrition!$G$2:$G$300,MATCH($F808,Nutrition!$A$2:$A$300,0))*$I808/100,0))</f>
        <v>5.8310000000000004</v>
      </c>
      <c r="N808" s="30">
        <f>IF(OR($F808="",$I808=""),0,IFERROR(INDEX(Nutrition!$H$2:$H$300,MATCH($F808,Nutrition!$A$2:$A$300,0))*$I808/100,0))</f>
        <v>54.74</v>
      </c>
      <c r="O808" s="30">
        <f>IF(OR($F808="",$I808=""),0,IFERROR(INDEX(Nutrition!$I$2:$I$300,MATCH($F808,Nutrition!$A$2:$A$300,0))*$I808/100,0))</f>
        <v>251.09</v>
      </c>
      <c r="P808" s="30">
        <f>IF(OR($F808="",$I808=""),0,IFERROR(INDEX(Nutrition!$J$2:$J$300,MATCH($F808,Nutrition!$A$2:$A$300,0))*$I808/100,0))</f>
        <v>1.8802000000000001</v>
      </c>
      <c r="Q808" s="30">
        <f>IF(OR($F808="",$I808=""),0,IFERROR(INDEX(Nutrition!$K$2:$K$300,MATCH($F808,Nutrition!$A$2:$A$300,0))*$I808/100,0))</f>
        <v>0.34628999999999999</v>
      </c>
      <c r="R808" s="30">
        <f>IF(OR($F808="",$I808=""),0,IFERROR(INDEX(Nutrition!$L$2:$L$300,MATCH($F808,Nutrition!$A$2:$A$300,0))*$I808/100,0))</f>
        <v>14.28</v>
      </c>
      <c r="S808" s="30">
        <f>IF(OR($F808="",$I808=""),0,IFERROR(INDEX(Nutrition!$M$2:$M$300,MATCH($F808,Nutrition!$A$2:$A$300,0))*$I808/100,0))</f>
        <v>0.51170000000000004</v>
      </c>
    </row>
    <row r="809" spans="1:19" ht="15" customHeight="1" x14ac:dyDescent="0.25">
      <c r="A809" s="22" t="s">
        <v>1963</v>
      </c>
      <c r="B809" s="33" t="str">
        <f>IFERROR(INDEX(Recipes!$B$2:$B$500,MATCH(A809,Recipes!$A$2:$A$500,0)),"")</f>
        <v>Piperade (Basque Pepper Base with Eggs)</v>
      </c>
      <c r="C809" s="7" t="s">
        <v>468</v>
      </c>
      <c r="D809" s="34">
        <v>1</v>
      </c>
      <c r="E809" s="22" t="s">
        <v>2754</v>
      </c>
      <c r="F809" s="22" t="s">
        <v>467</v>
      </c>
      <c r="G809" s="22" t="s">
        <v>2755</v>
      </c>
      <c r="H809" s="7" t="s">
        <v>2954</v>
      </c>
      <c r="I809" s="35">
        <v>119</v>
      </c>
      <c r="J809" s="30">
        <f>IF(OR($F809="",$I809=""),0,IFERROR(INDEX(Nutrition!$D$2:$D$300,MATCH($F809,Nutrition!$A$2:$A$300,0))*$I809/100,0))</f>
        <v>2.0229999999999997</v>
      </c>
      <c r="K809" s="30">
        <f>IF(OR($F809="",$I809=""),0,IFERROR(INDEX(Nutrition!$E$2:$E$300,MATCH($F809,Nutrition!$A$2:$A$300,0))*$I809/100,0))</f>
        <v>95.676000000000002</v>
      </c>
      <c r="L809" s="30">
        <f>IF(OR($F809="",$I809=""),0,IFERROR(INDEX(Nutrition!$F$2:$F$300,MATCH($F809,Nutrition!$A$2:$A$300,0))*$I809/100,0))</f>
        <v>21.42</v>
      </c>
      <c r="M809" s="30">
        <f>IF(OR($F809="",$I809=""),0,IFERROR(INDEX(Nutrition!$G$2:$G$300,MATCH($F809,Nutrition!$A$2:$A$300,0))*$I809/100,0))</f>
        <v>8.8060000000000009</v>
      </c>
      <c r="N809" s="30">
        <f>IF(OR($F809="",$I809=""),0,IFERROR(INDEX(Nutrition!$H$2:$H$300,MATCH($F809,Nutrition!$A$2:$A$300,0))*$I809/100,0))</f>
        <v>11.9</v>
      </c>
      <c r="O809" s="30">
        <f>IF(OR($F809="",$I809=""),0,IFERROR(INDEX(Nutrition!$I$2:$I$300,MATCH($F809,Nutrition!$A$2:$A$300,0))*$I809/100,0))</f>
        <v>208.25</v>
      </c>
      <c r="P809" s="30">
        <f>IF(OR($F809="",$I809=""),0,IFERROR(INDEX(Nutrition!$J$2:$J$300,MATCH($F809,Nutrition!$A$2:$A$300,0))*$I809/100,0))</f>
        <v>0.44030000000000002</v>
      </c>
      <c r="Q809" s="30">
        <f>IF(OR($F809="",$I809=""),0,IFERROR(INDEX(Nutrition!$K$2:$K$300,MATCH($F809,Nutrition!$A$2:$A$300,0))*$I809/100,0))</f>
        <v>0.26655999999999996</v>
      </c>
      <c r="R809" s="30">
        <f>IF(OR($F809="",$I809=""),0,IFERROR(INDEX(Nutrition!$L$2:$L$300,MATCH($F809,Nutrition!$A$2:$A$300,0))*$I809/100,0))</f>
        <v>11.9</v>
      </c>
      <c r="S809" s="30">
        <f>IF(OR($F809="",$I809=""),0,IFERROR(INDEX(Nutrition!$M$2:$M$300,MATCH($F809,Nutrition!$A$2:$A$300,0))*$I809/100,0))</f>
        <v>0.40460000000000002</v>
      </c>
    </row>
    <row r="810" spans="1:19" ht="15" customHeight="1" x14ac:dyDescent="0.25">
      <c r="A810" s="22" t="s">
        <v>1963</v>
      </c>
      <c r="B810" s="33" t="str">
        <f>IFERROR(INDEX(Recipes!$B$2:$B$500,MATCH(A810,Recipes!$A$2:$A$500,0)),"")</f>
        <v>Piperade (Basque Pepper Base with Eggs)</v>
      </c>
      <c r="C810" s="7" t="s">
        <v>482</v>
      </c>
      <c r="D810" s="34">
        <v>0.5</v>
      </c>
      <c r="E810" s="22" t="s">
        <v>2748</v>
      </c>
      <c r="F810" s="22" t="s">
        <v>481</v>
      </c>
      <c r="G810" s="22" t="s">
        <v>2755</v>
      </c>
      <c r="H810" s="7" t="s">
        <v>2903</v>
      </c>
      <c r="I810" s="35">
        <v>80</v>
      </c>
      <c r="J810" s="30">
        <f>IF(OR($F810="",$I810=""),0,IFERROR(INDEX(Nutrition!$D$2:$D$300,MATCH($F810,Nutrition!$A$2:$A$300,0))*$I810/100,0))</f>
        <v>1.36</v>
      </c>
      <c r="K810" s="30">
        <f>IF(OR($F810="",$I810=""),0,IFERROR(INDEX(Nutrition!$E$2:$E$300,MATCH($F810,Nutrition!$A$2:$A$300,0))*$I810/100,0))</f>
        <v>5.92</v>
      </c>
      <c r="L810" s="30">
        <f>IF(OR($F810="",$I810=""),0,IFERROR(INDEX(Nutrition!$F$2:$F$300,MATCH($F810,Nutrition!$A$2:$A$300,0))*$I810/100,0))</f>
        <v>0</v>
      </c>
      <c r="M810" s="30">
        <f>IF(OR($F810="",$I810=""),0,IFERROR(INDEX(Nutrition!$G$2:$G$300,MATCH($F810,Nutrition!$A$2:$A$300,0))*$I810/100,0))</f>
        <v>0.32</v>
      </c>
      <c r="N810" s="30">
        <f>IF(OR($F810="",$I810=""),0,IFERROR(INDEX(Nutrition!$H$2:$H$300,MATCH($F810,Nutrition!$A$2:$A$300,0))*$I810/100,0))</f>
        <v>15.2</v>
      </c>
      <c r="O810" s="30">
        <f>IF(OR($F810="",$I810=""),0,IFERROR(INDEX(Nutrition!$I$2:$I$300,MATCH($F810,Nutrition!$A$2:$A$300,0))*$I810/100,0))</f>
        <v>116.8</v>
      </c>
      <c r="P810" s="30">
        <f>IF(OR($F810="",$I810=""),0,IFERROR(INDEX(Nutrition!$J$2:$J$300,MATCH($F810,Nutrition!$A$2:$A$300,0))*$I810/100,0))</f>
        <v>1.6E-2</v>
      </c>
      <c r="Q810" s="30">
        <f>IF(OR($F810="",$I810=""),0,IFERROR(INDEX(Nutrition!$K$2:$K$300,MATCH($F810,Nutrition!$A$2:$A$300,0))*$I810/100,0))</f>
        <v>9.6000000000000002E-2</v>
      </c>
      <c r="R810" s="30">
        <f>IF(OR($F810="",$I810=""),0,IFERROR(INDEX(Nutrition!$L$2:$L$300,MATCH($F810,Nutrition!$A$2:$A$300,0))*$I810/100,0))</f>
        <v>8</v>
      </c>
      <c r="S810" s="30">
        <f>IF(OR($F810="",$I810=""),0,IFERROR(INDEX(Nutrition!$M$2:$M$300,MATCH($F810,Nutrition!$A$2:$A$300,0))*$I810/100,0))</f>
        <v>0.16800000000000001</v>
      </c>
    </row>
    <row r="811" spans="1:19" ht="15" customHeight="1" x14ac:dyDescent="0.25">
      <c r="A811" s="22" t="s">
        <v>1963</v>
      </c>
      <c r="B811" s="33" t="str">
        <f>IFERROR(INDEX(Recipes!$B$2:$B$500,MATCH(A811,Recipes!$A$2:$A$500,0)),"")</f>
        <v>Piperade (Basque Pepper Base with Eggs)</v>
      </c>
      <c r="C811" s="7" t="s">
        <v>500</v>
      </c>
      <c r="D811" s="34">
        <v>1</v>
      </c>
      <c r="E811" s="22" t="s">
        <v>2816</v>
      </c>
      <c r="F811" s="22" t="s">
        <v>499</v>
      </c>
      <c r="G811" s="22" t="s">
        <v>2755</v>
      </c>
      <c r="H811" s="7" t="s">
        <v>2775</v>
      </c>
      <c r="I811" s="35">
        <v>3</v>
      </c>
      <c r="J811" s="30">
        <f>IF(OR($F811="",$I811=""),0,IFERROR(INDEX(Nutrition!$D$2:$D$300,MATCH($F811,Nutrition!$A$2:$A$300,0))*$I811/100,0))</f>
        <v>6.3E-2</v>
      </c>
      <c r="K811" s="30">
        <f>IF(OR($F811="",$I811=""),0,IFERROR(INDEX(Nutrition!$E$2:$E$300,MATCH($F811,Nutrition!$A$2:$A$300,0))*$I811/100,0))</f>
        <v>0.93599999999999994</v>
      </c>
      <c r="L811" s="30">
        <f>IF(OR($F811="",$I811=""),0,IFERROR(INDEX(Nutrition!$F$2:$F$300,MATCH($F811,Nutrition!$A$2:$A$300,0))*$I811/100,0))</f>
        <v>0</v>
      </c>
      <c r="M811" s="30">
        <f>IF(OR($F811="",$I811=""),0,IFERROR(INDEX(Nutrition!$G$2:$G$300,MATCH($F811,Nutrition!$A$2:$A$300,0))*$I811/100,0))</f>
        <v>5.0999999999999997E-2</v>
      </c>
      <c r="N811" s="30">
        <f>IF(OR($F811="",$I811=""),0,IFERROR(INDEX(Nutrition!$H$2:$H$300,MATCH($F811,Nutrition!$A$2:$A$300,0))*$I811/100,0))</f>
        <v>0.09</v>
      </c>
      <c r="O811" s="30">
        <f>IF(OR($F811="",$I811=""),0,IFERROR(INDEX(Nutrition!$I$2:$I$300,MATCH($F811,Nutrition!$A$2:$A$300,0))*$I811/100,0))</f>
        <v>12.03</v>
      </c>
      <c r="P811" s="30">
        <f>IF(OR($F811="",$I811=""),0,IFERROR(INDEX(Nutrition!$J$2:$J$300,MATCH($F811,Nutrition!$A$2:$A$300,0))*$I811/100,0))</f>
        <v>2.3999999999999998E-3</v>
      </c>
      <c r="Q811" s="30">
        <f>IF(OR($F811="",$I811=""),0,IFERROR(INDEX(Nutrition!$K$2:$K$300,MATCH($F811,Nutrition!$A$2:$A$300,0))*$I811/100,0))</f>
        <v>3.705E-2</v>
      </c>
      <c r="R811" s="30">
        <f>IF(OR($F811="",$I811=""),0,IFERROR(INDEX(Nutrition!$L$2:$L$300,MATCH($F811,Nutrition!$A$2:$A$300,0))*$I811/100,0))</f>
        <v>0.75</v>
      </c>
      <c r="S811" s="30">
        <f>IF(OR($F811="",$I811=""),0,IFERROR(INDEX(Nutrition!$M$2:$M$300,MATCH($F811,Nutrition!$A$2:$A$300,0))*$I811/100,0))</f>
        <v>5.0999999999999997E-2</v>
      </c>
    </row>
    <row r="812" spans="1:19" ht="15" customHeight="1" x14ac:dyDescent="0.25">
      <c r="A812" s="22" t="s">
        <v>1963</v>
      </c>
      <c r="B812" s="33" t="str">
        <f>IFERROR(INDEX(Recipes!$B$2:$B$500,MATCH(A812,Recipes!$A$2:$A$500,0)),"")</f>
        <v>Piperade (Basque Pepper Base with Eggs)</v>
      </c>
      <c r="C812" s="7" t="s">
        <v>473</v>
      </c>
      <c r="D812" s="34">
        <v>0.5</v>
      </c>
      <c r="E812" s="22" t="s">
        <v>2754</v>
      </c>
      <c r="F812" s="22" t="s">
        <v>472</v>
      </c>
      <c r="G812" s="22" t="s">
        <v>2755</v>
      </c>
      <c r="H812" s="7" t="s">
        <v>2775</v>
      </c>
      <c r="I812" s="35">
        <v>5</v>
      </c>
      <c r="J812" s="30">
        <f>IF(OR($F812="",$I812=""),0,IFERROR(INDEX(Nutrition!$D$2:$D$300,MATCH($F812,Nutrition!$A$2:$A$300,0))*$I812/100,0))</f>
        <v>7.4999999999999997E-2</v>
      </c>
      <c r="K812" s="30">
        <f>IF(OR($F812="",$I812=""),0,IFERROR(INDEX(Nutrition!$E$2:$E$300,MATCH($F812,Nutrition!$A$2:$A$300,0))*$I812/100,0))</f>
        <v>7.1849999999999996</v>
      </c>
      <c r="L812" s="30">
        <f>IF(OR($F812="",$I812=""),0,IFERROR(INDEX(Nutrition!$F$2:$F$300,MATCH($F812,Nutrition!$A$2:$A$300,0))*$I812/100,0))</f>
        <v>2.4</v>
      </c>
      <c r="M812" s="30">
        <f>IF(OR($F812="",$I812=""),0,IFERROR(INDEX(Nutrition!$G$2:$G$300,MATCH($F812,Nutrition!$A$2:$A$300,0))*$I812/100,0))</f>
        <v>0.7</v>
      </c>
      <c r="N812" s="30">
        <f>IF(OR($F812="",$I812=""),0,IFERROR(INDEX(Nutrition!$H$2:$H$300,MATCH($F812,Nutrition!$A$2:$A$300,0))*$I812/100,0))</f>
        <v>1.1499999999999999</v>
      </c>
      <c r="O812" s="30">
        <f>IF(OR($F812="",$I812=""),0,IFERROR(INDEX(Nutrition!$I$2:$I$300,MATCH($F812,Nutrition!$A$2:$A$300,0))*$I812/100,0))</f>
        <v>16.100000000000001</v>
      </c>
      <c r="P812" s="30">
        <f>IF(OR($F812="",$I812=""),0,IFERROR(INDEX(Nutrition!$J$2:$J$300,MATCH($F812,Nutrition!$A$2:$A$300,0))*$I812/100,0))</f>
        <v>3.4499999999999996E-2</v>
      </c>
      <c r="Q812" s="30">
        <f>IF(OR($F812="",$I812=""),0,IFERROR(INDEX(Nutrition!$K$2:$K$300,MATCH($F812,Nutrition!$A$2:$A$300,0))*$I812/100,0))</f>
        <v>2.5300000000000003E-2</v>
      </c>
      <c r="R812" s="30">
        <f>IF(OR($F812="",$I812=""),0,IFERROR(INDEX(Nutrition!$L$2:$L$300,MATCH($F812,Nutrition!$A$2:$A$300,0))*$I812/100,0))</f>
        <v>1.1499999999999999</v>
      </c>
      <c r="S812" s="30">
        <f>IF(OR($F812="",$I812=""),0,IFERROR(INDEX(Nutrition!$M$2:$M$300,MATCH($F812,Nutrition!$A$2:$A$300,0))*$I812/100,0))</f>
        <v>5.1500000000000004E-2</v>
      </c>
    </row>
    <row r="813" spans="1:19" ht="15" customHeight="1" x14ac:dyDescent="0.25">
      <c r="A813" s="22" t="s">
        <v>1963</v>
      </c>
      <c r="B813" s="33" t="str">
        <f>IFERROR(INDEX(Recipes!$B$2:$B$500,MATCH(A813,Recipes!$A$2:$A$500,0)),"")</f>
        <v>Piperade (Basque Pepper Base with Eggs)</v>
      </c>
      <c r="C813" s="7" t="s">
        <v>674</v>
      </c>
      <c r="D813" s="34">
        <v>1</v>
      </c>
      <c r="E813" s="22" t="s">
        <v>2753</v>
      </c>
      <c r="F813" s="22" t="s">
        <v>673</v>
      </c>
      <c r="G813" s="22" t="s">
        <v>2755</v>
      </c>
      <c r="H813" s="7" t="s">
        <v>2775</v>
      </c>
      <c r="I813" s="35">
        <v>4</v>
      </c>
      <c r="J813" s="30">
        <f>IF(OR($F813="",$I813=""),0,IFERROR(INDEX(Nutrition!$D$2:$D$300,MATCH($F813,Nutrition!$A$2:$A$300,0))*$I813/100,0))</f>
        <v>6.4000000000000001E-2</v>
      </c>
      <c r="K813" s="30">
        <f>IF(OR($F813="",$I813=""),0,IFERROR(INDEX(Nutrition!$E$2:$E$300,MATCH($F813,Nutrition!$A$2:$A$300,0))*$I813/100,0))</f>
        <v>0.72</v>
      </c>
      <c r="L813" s="30">
        <f>IF(OR($F813="",$I813=""),0,IFERROR(INDEX(Nutrition!$F$2:$F$300,MATCH($F813,Nutrition!$A$2:$A$300,0))*$I813/100,0))</f>
        <v>10.56</v>
      </c>
      <c r="M813" s="30">
        <f>IF(OR($F813="",$I813=""),0,IFERROR(INDEX(Nutrition!$G$2:$G$300,MATCH($F813,Nutrition!$A$2:$A$300,0))*$I813/100,0))</f>
        <v>16.591999999999999</v>
      </c>
      <c r="N813" s="30">
        <f>IF(OR($F813="",$I813=""),0,IFERROR(INDEX(Nutrition!$H$2:$H$300,MATCH($F813,Nutrition!$A$2:$A$300,0))*$I813/100,0))</f>
        <v>2.72</v>
      </c>
      <c r="O813" s="30">
        <f>IF(OR($F813="",$I813=""),0,IFERROR(INDEX(Nutrition!$I$2:$I$300,MATCH($F813,Nutrition!$A$2:$A$300,0))*$I813/100,0))</f>
        <v>11.8</v>
      </c>
      <c r="P813" s="30">
        <f>IF(OR($F813="",$I813=""),0,IFERROR(INDEX(Nutrition!$J$2:$J$300,MATCH($F813,Nutrition!$A$2:$A$300,0))*$I813/100,0))</f>
        <v>3.2000000000000001E-2</v>
      </c>
      <c r="Q813" s="30">
        <f>IF(OR($F813="",$I813=""),0,IFERROR(INDEX(Nutrition!$K$2:$K$300,MATCH($F813,Nutrition!$A$2:$A$300,0))*$I813/100,0))</f>
        <v>6.1999999999999998E-3</v>
      </c>
      <c r="R813" s="30">
        <f>IF(OR($F813="",$I813=""),0,IFERROR(INDEX(Nutrition!$L$2:$L$300,MATCH($F813,Nutrition!$A$2:$A$300,0))*$I813/100,0))</f>
        <v>2.56</v>
      </c>
      <c r="S813" s="30">
        <f>IF(OR($F813="",$I813=""),0,IFERROR(INDEX(Nutrition!$M$2:$M$300,MATCH($F813,Nutrition!$A$2:$A$300,0))*$I813/100,0))</f>
        <v>0.1268</v>
      </c>
    </row>
    <row r="814" spans="1:19" ht="15" customHeight="1" x14ac:dyDescent="0.25">
      <c r="A814" s="22" t="s">
        <v>1963</v>
      </c>
      <c r="B814" s="33" t="str">
        <f>IFERROR(INDEX(Recipes!$B$2:$B$500,MATCH(A814,Recipes!$A$2:$A$500,0)),"")</f>
        <v>Piperade (Basque Pepper Base with Eggs)</v>
      </c>
      <c r="C814" s="7" t="s">
        <v>671</v>
      </c>
      <c r="D814" s="34">
        <v>1</v>
      </c>
      <c r="E814" s="22" t="s">
        <v>2753</v>
      </c>
      <c r="F814" s="22" t="s">
        <v>670</v>
      </c>
      <c r="G814" s="22" t="s">
        <v>2755</v>
      </c>
      <c r="H814" s="7" t="s">
        <v>2775</v>
      </c>
      <c r="I814" s="35">
        <v>4</v>
      </c>
      <c r="J814" s="30">
        <f>IF(OR($F814="",$I814=""),0,IFERROR(INDEX(Nutrition!$D$2:$D$300,MATCH($F814,Nutrition!$A$2:$A$300,0))*$I814/100,0))</f>
        <v>0.13200000000000001</v>
      </c>
      <c r="K814" s="30">
        <f>IF(OR($F814="",$I814=""),0,IFERROR(INDEX(Nutrition!$E$2:$E$300,MATCH($F814,Nutrition!$A$2:$A$300,0))*$I814/100,0))</f>
        <v>5.32</v>
      </c>
      <c r="L814" s="30">
        <f>IF(OR($F814="",$I814=""),0,IFERROR(INDEX(Nutrition!$F$2:$F$300,MATCH($F814,Nutrition!$A$2:$A$300,0))*$I814/100,0))</f>
        <v>16.84</v>
      </c>
      <c r="M814" s="30">
        <f>IF(OR($F814="",$I814=""),0,IFERROR(INDEX(Nutrition!$G$2:$G$300,MATCH($F814,Nutrition!$A$2:$A$300,0))*$I814/100,0))</f>
        <v>65.599999999999994</v>
      </c>
      <c r="N814" s="30">
        <f>IF(OR($F814="",$I814=""),0,IFERROR(INDEX(Nutrition!$H$2:$H$300,MATCH($F814,Nutrition!$A$2:$A$300,0))*$I814/100,0))</f>
        <v>6.08</v>
      </c>
      <c r="O814" s="30">
        <f>IF(OR($F814="",$I814=""),0,IFERROR(INDEX(Nutrition!$I$2:$I$300,MATCH($F814,Nutrition!$A$2:$A$300,0))*$I814/100,0))</f>
        <v>22.16</v>
      </c>
      <c r="P814" s="30">
        <f>IF(OR($F814="",$I814=""),0,IFERROR(INDEX(Nutrition!$J$2:$J$300,MATCH($F814,Nutrition!$A$2:$A$300,0))*$I814/100,0))</f>
        <v>0.03</v>
      </c>
      <c r="Q814" s="30">
        <f>IF(OR($F814="",$I814=""),0,IFERROR(INDEX(Nutrition!$K$2:$K$300,MATCH($F814,Nutrition!$A$2:$A$300,0))*$I814/100,0))</f>
        <v>3.5999999999999999E-3</v>
      </c>
      <c r="R814" s="30">
        <f>IF(OR($F814="",$I814=""),0,IFERROR(INDEX(Nutrition!$L$2:$L$300,MATCH($F814,Nutrition!$A$2:$A$300,0))*$I814/100,0))</f>
        <v>2</v>
      </c>
      <c r="S814" s="30">
        <f>IF(OR($F814="",$I814=""),0,IFERROR(INDEX(Nutrition!$M$2:$M$300,MATCH($F814,Nutrition!$A$2:$A$300,0))*$I814/100,0))</f>
        <v>0.248</v>
      </c>
    </row>
    <row r="815" spans="1:19" ht="15" customHeight="1" x14ac:dyDescent="0.25">
      <c r="A815" s="22" t="s">
        <v>1963</v>
      </c>
      <c r="B815" s="33" t="str">
        <f>IFERROR(INDEX(Recipes!$B$2:$B$500,MATCH(A815,Recipes!$A$2:$A$500,0)),"")</f>
        <v>Piperade (Basque Pepper Base with Eggs)</v>
      </c>
      <c r="C815" s="7" t="s">
        <v>2767</v>
      </c>
      <c r="D815" s="34">
        <v>5</v>
      </c>
      <c r="E815" s="22" t="s">
        <v>2754</v>
      </c>
      <c r="F815" s="22"/>
      <c r="G815" s="22" t="s">
        <v>2768</v>
      </c>
      <c r="H815" s="7"/>
      <c r="I815" s="35"/>
      <c r="J815" s="30">
        <f>IF(OR($F815="",$I815=""),0,IFERROR(INDEX(Nutrition!$D$2:$D$300,MATCH($F815,Nutrition!$A$2:$A$300,0))*$I815/100,0))</f>
        <v>0</v>
      </c>
      <c r="K815" s="30">
        <f>IF(OR($F815="",$I815=""),0,IFERROR(INDEX(Nutrition!$E$2:$E$300,MATCH($F815,Nutrition!$A$2:$A$300,0))*$I815/100,0))</f>
        <v>0</v>
      </c>
      <c r="L815" s="30">
        <f>IF(OR($F815="",$I815=""),0,IFERROR(INDEX(Nutrition!$F$2:$F$300,MATCH($F815,Nutrition!$A$2:$A$300,0))*$I815/100,0))</f>
        <v>0</v>
      </c>
      <c r="M815" s="30">
        <f>IF(OR($F815="",$I815=""),0,IFERROR(INDEX(Nutrition!$G$2:$G$300,MATCH($F815,Nutrition!$A$2:$A$300,0))*$I815/100,0))</f>
        <v>0</v>
      </c>
      <c r="N815" s="30">
        <f>IF(OR($F815="",$I815=""),0,IFERROR(INDEX(Nutrition!$H$2:$H$300,MATCH($F815,Nutrition!$A$2:$A$300,0))*$I815/100,0))</f>
        <v>0</v>
      </c>
      <c r="O815" s="30">
        <f>IF(OR($F815="",$I815=""),0,IFERROR(INDEX(Nutrition!$I$2:$I$300,MATCH($F815,Nutrition!$A$2:$A$300,0))*$I815/100,0))</f>
        <v>0</v>
      </c>
      <c r="P815" s="30">
        <f>IF(OR($F815="",$I815=""),0,IFERROR(INDEX(Nutrition!$J$2:$J$300,MATCH($F815,Nutrition!$A$2:$A$300,0))*$I815/100,0))</f>
        <v>0</v>
      </c>
      <c r="Q815" s="30">
        <f>IF(OR($F815="",$I815=""),0,IFERROR(INDEX(Nutrition!$K$2:$K$300,MATCH($F815,Nutrition!$A$2:$A$300,0))*$I815/100,0))</f>
        <v>0</v>
      </c>
      <c r="R815" s="30">
        <f>IF(OR($F815="",$I815=""),0,IFERROR(INDEX(Nutrition!$L$2:$L$300,MATCH($F815,Nutrition!$A$2:$A$300,0))*$I815/100,0))</f>
        <v>0</v>
      </c>
      <c r="S815" s="30">
        <f>IF(OR($F815="",$I815=""),0,IFERROR(INDEX(Nutrition!$M$2:$M$300,MATCH($F815,Nutrition!$A$2:$A$300,0))*$I815/100,0))</f>
        <v>0</v>
      </c>
    </row>
    <row r="816" spans="1:19" ht="15" customHeight="1" x14ac:dyDescent="0.25">
      <c r="A816" s="22" t="s">
        <v>1963</v>
      </c>
      <c r="B816" s="33" t="str">
        <f>IFERROR(INDEX(Recipes!$B$2:$B$500,MATCH(A816,Recipes!$A$2:$A$500,0)),"")</f>
        <v>Piperade (Basque Pepper Base with Eggs)</v>
      </c>
      <c r="C816" s="7" t="s">
        <v>2805</v>
      </c>
      <c r="D816" s="34">
        <v>3</v>
      </c>
      <c r="E816" s="22" t="s">
        <v>2753</v>
      </c>
      <c r="F816" s="22"/>
      <c r="G816" s="22" t="s">
        <v>2773</v>
      </c>
      <c r="H816" s="7"/>
      <c r="I816" s="35"/>
      <c r="J816" s="30">
        <f>IF(OR($F816="",$I816=""),0,IFERROR(INDEX(Nutrition!$D$2:$D$300,MATCH($F816,Nutrition!$A$2:$A$300,0))*$I816/100,0))</f>
        <v>0</v>
      </c>
      <c r="K816" s="30">
        <f>IF(OR($F816="",$I816=""),0,IFERROR(INDEX(Nutrition!$E$2:$E$300,MATCH($F816,Nutrition!$A$2:$A$300,0))*$I816/100,0))</f>
        <v>0</v>
      </c>
      <c r="L816" s="30">
        <f>IF(OR($F816="",$I816=""),0,IFERROR(INDEX(Nutrition!$F$2:$F$300,MATCH($F816,Nutrition!$A$2:$A$300,0))*$I816/100,0))</f>
        <v>0</v>
      </c>
      <c r="M816" s="30">
        <f>IF(OR($F816="",$I816=""),0,IFERROR(INDEX(Nutrition!$G$2:$G$300,MATCH($F816,Nutrition!$A$2:$A$300,0))*$I816/100,0))</f>
        <v>0</v>
      </c>
      <c r="N816" s="30">
        <f>IF(OR($F816="",$I816=""),0,IFERROR(INDEX(Nutrition!$H$2:$H$300,MATCH($F816,Nutrition!$A$2:$A$300,0))*$I816/100,0))</f>
        <v>0</v>
      </c>
      <c r="O816" s="30">
        <f>IF(OR($F816="",$I816=""),0,IFERROR(INDEX(Nutrition!$I$2:$I$300,MATCH($F816,Nutrition!$A$2:$A$300,0))*$I816/100,0))</f>
        <v>0</v>
      </c>
      <c r="P816" s="30">
        <f>IF(OR($F816="",$I816=""),0,IFERROR(INDEX(Nutrition!$J$2:$J$300,MATCH($F816,Nutrition!$A$2:$A$300,0))*$I816/100,0))</f>
        <v>0</v>
      </c>
      <c r="Q816" s="30">
        <f>IF(OR($F816="",$I816=""),0,IFERROR(INDEX(Nutrition!$K$2:$K$300,MATCH($F816,Nutrition!$A$2:$A$300,0))*$I816/100,0))</f>
        <v>0</v>
      </c>
      <c r="R816" s="30">
        <f>IF(OR($F816="",$I816=""),0,IFERROR(INDEX(Nutrition!$L$2:$L$300,MATCH($F816,Nutrition!$A$2:$A$300,0))*$I816/100,0))</f>
        <v>0</v>
      </c>
      <c r="S816" s="30">
        <f>IF(OR($F816="",$I816=""),0,IFERROR(INDEX(Nutrition!$M$2:$M$300,MATCH($F816,Nutrition!$A$2:$A$300,0))*$I816/100,0))</f>
        <v>0</v>
      </c>
    </row>
    <row r="817" spans="1:19" ht="15" customHeight="1" x14ac:dyDescent="0.25">
      <c r="A817" s="22" t="s">
        <v>1963</v>
      </c>
      <c r="B817" s="33" t="str">
        <f>IFERROR(INDEX(Recipes!$B$2:$B$500,MATCH(A817,Recipes!$A$2:$A$500,0)),"")</f>
        <v>Piperade (Basque Pepper Base with Eggs)</v>
      </c>
      <c r="C817" s="7" t="s">
        <v>2906</v>
      </c>
      <c r="D817" s="34">
        <v>1</v>
      </c>
      <c r="E817" s="22" t="s">
        <v>2782</v>
      </c>
      <c r="F817" s="22"/>
      <c r="G817" s="22" t="s">
        <v>2773</v>
      </c>
      <c r="H817" s="7"/>
      <c r="I817" s="35"/>
      <c r="J817" s="30">
        <f>IF(OR($F817="",$I817=""),0,IFERROR(INDEX(Nutrition!$D$2:$D$300,MATCH($F817,Nutrition!$A$2:$A$300,0))*$I817/100,0))</f>
        <v>0</v>
      </c>
      <c r="K817" s="30">
        <f>IF(OR($F817="",$I817=""),0,IFERROR(INDEX(Nutrition!$E$2:$E$300,MATCH($F817,Nutrition!$A$2:$A$300,0))*$I817/100,0))</f>
        <v>0</v>
      </c>
      <c r="L817" s="30">
        <f>IF(OR($F817="",$I817=""),0,IFERROR(INDEX(Nutrition!$F$2:$F$300,MATCH($F817,Nutrition!$A$2:$A$300,0))*$I817/100,0))</f>
        <v>0</v>
      </c>
      <c r="M817" s="30">
        <f>IF(OR($F817="",$I817=""),0,IFERROR(INDEX(Nutrition!$G$2:$G$300,MATCH($F817,Nutrition!$A$2:$A$300,0))*$I817/100,0))</f>
        <v>0</v>
      </c>
      <c r="N817" s="30">
        <f>IF(OR($F817="",$I817=""),0,IFERROR(INDEX(Nutrition!$H$2:$H$300,MATCH($F817,Nutrition!$A$2:$A$300,0))*$I817/100,0))</f>
        <v>0</v>
      </c>
      <c r="O817" s="30">
        <f>IF(OR($F817="",$I817=""),0,IFERROR(INDEX(Nutrition!$I$2:$I$300,MATCH($F817,Nutrition!$A$2:$A$300,0))*$I817/100,0))</f>
        <v>0</v>
      </c>
      <c r="P817" s="30">
        <f>IF(OR($F817="",$I817=""),0,IFERROR(INDEX(Nutrition!$J$2:$J$300,MATCH($F817,Nutrition!$A$2:$A$300,0))*$I817/100,0))</f>
        <v>0</v>
      </c>
      <c r="Q817" s="30">
        <f>IF(OR($F817="",$I817=""),0,IFERROR(INDEX(Nutrition!$K$2:$K$300,MATCH($F817,Nutrition!$A$2:$A$300,0))*$I817/100,0))</f>
        <v>0</v>
      </c>
      <c r="R817" s="30">
        <f>IF(OR($F817="",$I817=""),0,IFERROR(INDEX(Nutrition!$L$2:$L$300,MATCH($F817,Nutrition!$A$2:$A$300,0))*$I817/100,0))</f>
        <v>0</v>
      </c>
      <c r="S817" s="30">
        <f>IF(OR($F817="",$I817=""),0,IFERROR(INDEX(Nutrition!$M$2:$M$300,MATCH($F817,Nutrition!$A$2:$A$300,0))*$I817/100,0))</f>
        <v>0</v>
      </c>
    </row>
    <row r="818" spans="1:19" ht="15" customHeight="1" x14ac:dyDescent="0.25">
      <c r="A818" s="22" t="s">
        <v>1976</v>
      </c>
      <c r="B818" s="33" t="str">
        <f>IFERROR(INDEX(Recipes!$B$2:$B$500,MATCH(A818,Recipes!$A$2:$A$500,0)),"")</f>
        <v>Matbucha (Slow-Cooked Tomato &amp; Tatashe Spread)</v>
      </c>
      <c r="C818" s="7" t="s">
        <v>446</v>
      </c>
      <c r="D818" s="34">
        <v>14</v>
      </c>
      <c r="E818" s="22" t="s">
        <v>2754</v>
      </c>
      <c r="F818" s="22" t="s">
        <v>445</v>
      </c>
      <c r="G818" s="22" t="s">
        <v>2755</v>
      </c>
      <c r="H818" s="7" t="s">
        <v>2958</v>
      </c>
      <c r="I818" s="35">
        <v>1400</v>
      </c>
      <c r="J818" s="30">
        <f>IF(OR($F818="",$I818=""),0,IFERROR(INDEX(Nutrition!$D$2:$D$300,MATCH($F818,Nutrition!$A$2:$A$300,0))*$I818/100,0))</f>
        <v>16.8</v>
      </c>
      <c r="K818" s="30">
        <f>IF(OR($F818="",$I818=""),0,IFERROR(INDEX(Nutrition!$E$2:$E$300,MATCH($F818,Nutrition!$A$2:$A$300,0))*$I818/100,0))</f>
        <v>191.8</v>
      </c>
      <c r="L818" s="30">
        <f>IF(OR($F818="",$I818=""),0,IFERROR(INDEX(Nutrition!$F$2:$F$300,MATCH($F818,Nutrition!$A$2:$A$300,0))*$I818/100,0))</f>
        <v>588</v>
      </c>
      <c r="M818" s="30">
        <f>IF(OR($F818="",$I818=""),0,IFERROR(INDEX(Nutrition!$G$2:$G$300,MATCH($F818,Nutrition!$A$2:$A$300,0))*$I818/100,0))</f>
        <v>110.6</v>
      </c>
      <c r="N818" s="30">
        <f>IF(OR($F818="",$I818=""),0,IFERROR(INDEX(Nutrition!$H$2:$H$300,MATCH($F818,Nutrition!$A$2:$A$300,0))*$I818/100,0))</f>
        <v>210</v>
      </c>
      <c r="O818" s="30">
        <f>IF(OR($F818="",$I818=""),0,IFERROR(INDEX(Nutrition!$I$2:$I$300,MATCH($F818,Nutrition!$A$2:$A$300,0))*$I818/100,0))</f>
        <v>3318</v>
      </c>
      <c r="P818" s="30">
        <f>IF(OR($F818="",$I818=""),0,IFERROR(INDEX(Nutrition!$J$2:$J$300,MATCH($F818,Nutrition!$A$2:$A$300,0))*$I818/100,0))</f>
        <v>7.56</v>
      </c>
      <c r="Q818" s="30">
        <f>IF(OR($F818="",$I818=""),0,IFERROR(INDEX(Nutrition!$K$2:$K$300,MATCH($F818,Nutrition!$A$2:$A$300,0))*$I818/100,0))</f>
        <v>1.1200000000000001</v>
      </c>
      <c r="R818" s="30">
        <f>IF(OR($F818="",$I818=""),0,IFERROR(INDEX(Nutrition!$L$2:$L$300,MATCH($F818,Nutrition!$A$2:$A$300,0))*$I818/100,0))</f>
        <v>154</v>
      </c>
      <c r="S818" s="30">
        <f>IF(OR($F818="",$I818=""),0,IFERROR(INDEX(Nutrition!$M$2:$M$300,MATCH($F818,Nutrition!$A$2:$A$300,0))*$I818/100,0))</f>
        <v>3.78</v>
      </c>
    </row>
    <row r="819" spans="1:19" ht="15" customHeight="1" x14ac:dyDescent="0.25">
      <c r="A819" s="22" t="s">
        <v>1976</v>
      </c>
      <c r="B819" s="33" t="str">
        <f>IFERROR(INDEX(Recipes!$B$2:$B$500,MATCH(A819,Recipes!$A$2:$A$500,0)),"")</f>
        <v>Matbucha (Slow-Cooked Tomato &amp; Tatashe Spread)</v>
      </c>
      <c r="C819" s="7" t="s">
        <v>462</v>
      </c>
      <c r="D819" s="34">
        <v>2</v>
      </c>
      <c r="E819" s="22" t="s">
        <v>2754</v>
      </c>
      <c r="F819" s="22" t="s">
        <v>461</v>
      </c>
      <c r="G819" s="22" t="s">
        <v>2755</v>
      </c>
      <c r="H819" s="7" t="s">
        <v>2959</v>
      </c>
      <c r="I819" s="35">
        <v>238</v>
      </c>
      <c r="J819" s="30">
        <f>IF(OR($F819="",$I819=""),0,IFERROR(INDEX(Nutrition!$D$2:$D$300,MATCH($F819,Nutrition!$A$2:$A$300,0))*$I819/100,0))</f>
        <v>4.9980000000000002</v>
      </c>
      <c r="K819" s="30">
        <f>IF(OR($F819="",$I819=""),0,IFERROR(INDEX(Nutrition!$E$2:$E$300,MATCH($F819,Nutrition!$A$2:$A$300,0))*$I819/100,0))</f>
        <v>303.92600000000004</v>
      </c>
      <c r="L819" s="30">
        <f>IF(OR($F819="",$I819=""),0,IFERROR(INDEX(Nutrition!$F$2:$F$300,MATCH($F819,Nutrition!$A$2:$A$300,0))*$I819/100,0))</f>
        <v>373.66</v>
      </c>
      <c r="M819" s="30">
        <f>IF(OR($F819="",$I819=""),0,IFERROR(INDEX(Nutrition!$G$2:$G$300,MATCH($F819,Nutrition!$A$2:$A$300,0))*$I819/100,0))</f>
        <v>11.662000000000001</v>
      </c>
      <c r="N819" s="30">
        <f>IF(OR($F819="",$I819=""),0,IFERROR(INDEX(Nutrition!$H$2:$H$300,MATCH($F819,Nutrition!$A$2:$A$300,0))*$I819/100,0))</f>
        <v>109.48</v>
      </c>
      <c r="O819" s="30">
        <f>IF(OR($F819="",$I819=""),0,IFERROR(INDEX(Nutrition!$I$2:$I$300,MATCH($F819,Nutrition!$A$2:$A$300,0))*$I819/100,0))</f>
        <v>502.18</v>
      </c>
      <c r="P819" s="30">
        <f>IF(OR($F819="",$I819=""),0,IFERROR(INDEX(Nutrition!$J$2:$J$300,MATCH($F819,Nutrition!$A$2:$A$300,0))*$I819/100,0))</f>
        <v>3.7604000000000002</v>
      </c>
      <c r="Q819" s="30">
        <f>IF(OR($F819="",$I819=""),0,IFERROR(INDEX(Nutrition!$K$2:$K$300,MATCH($F819,Nutrition!$A$2:$A$300,0))*$I819/100,0))</f>
        <v>0.69257999999999997</v>
      </c>
      <c r="R819" s="30">
        <f>IF(OR($F819="",$I819=""),0,IFERROR(INDEX(Nutrition!$L$2:$L$300,MATCH($F819,Nutrition!$A$2:$A$300,0))*$I819/100,0))</f>
        <v>28.56</v>
      </c>
      <c r="S819" s="30">
        <f>IF(OR($F819="",$I819=""),0,IFERROR(INDEX(Nutrition!$M$2:$M$300,MATCH($F819,Nutrition!$A$2:$A$300,0))*$I819/100,0))</f>
        <v>1.0234000000000001</v>
      </c>
    </row>
    <row r="820" spans="1:19" ht="15" customHeight="1" x14ac:dyDescent="0.25">
      <c r="A820" s="22" t="s">
        <v>1976</v>
      </c>
      <c r="B820" s="33" t="str">
        <f>IFERROR(INDEX(Recipes!$B$2:$B$500,MATCH(A820,Recipes!$A$2:$A$500,0)),"")</f>
        <v>Matbucha (Slow-Cooked Tomato &amp; Tatashe Spread)</v>
      </c>
      <c r="C820" s="7" t="s">
        <v>500</v>
      </c>
      <c r="D820" s="34">
        <v>4</v>
      </c>
      <c r="E820" s="22" t="s">
        <v>2776</v>
      </c>
      <c r="F820" s="22" t="s">
        <v>499</v>
      </c>
      <c r="G820" s="22" t="s">
        <v>2755</v>
      </c>
      <c r="H820" s="7" t="s">
        <v>2830</v>
      </c>
      <c r="I820" s="35">
        <v>12</v>
      </c>
      <c r="J820" s="30">
        <f>IF(OR($F820="",$I820=""),0,IFERROR(INDEX(Nutrition!$D$2:$D$300,MATCH($F820,Nutrition!$A$2:$A$300,0))*$I820/100,0))</f>
        <v>0.252</v>
      </c>
      <c r="K820" s="30">
        <f>IF(OR($F820="",$I820=""),0,IFERROR(INDEX(Nutrition!$E$2:$E$300,MATCH($F820,Nutrition!$A$2:$A$300,0))*$I820/100,0))</f>
        <v>3.7439999999999998</v>
      </c>
      <c r="L820" s="30">
        <f>IF(OR($F820="",$I820=""),0,IFERROR(INDEX(Nutrition!$F$2:$F$300,MATCH($F820,Nutrition!$A$2:$A$300,0))*$I820/100,0))</f>
        <v>0</v>
      </c>
      <c r="M820" s="30">
        <f>IF(OR($F820="",$I820=""),0,IFERROR(INDEX(Nutrition!$G$2:$G$300,MATCH($F820,Nutrition!$A$2:$A$300,0))*$I820/100,0))</f>
        <v>0.20399999999999999</v>
      </c>
      <c r="N820" s="30">
        <f>IF(OR($F820="",$I820=""),0,IFERROR(INDEX(Nutrition!$H$2:$H$300,MATCH($F820,Nutrition!$A$2:$A$300,0))*$I820/100,0))</f>
        <v>0.36</v>
      </c>
      <c r="O820" s="30">
        <f>IF(OR($F820="",$I820=""),0,IFERROR(INDEX(Nutrition!$I$2:$I$300,MATCH($F820,Nutrition!$A$2:$A$300,0))*$I820/100,0))</f>
        <v>48.12</v>
      </c>
      <c r="P820" s="30">
        <f>IF(OR($F820="",$I820=""),0,IFERROR(INDEX(Nutrition!$J$2:$J$300,MATCH($F820,Nutrition!$A$2:$A$300,0))*$I820/100,0))</f>
        <v>9.5999999999999992E-3</v>
      </c>
      <c r="Q820" s="30">
        <f>IF(OR($F820="",$I820=""),0,IFERROR(INDEX(Nutrition!$K$2:$K$300,MATCH($F820,Nutrition!$A$2:$A$300,0))*$I820/100,0))</f>
        <v>0.1482</v>
      </c>
      <c r="R820" s="30">
        <f>IF(OR($F820="",$I820=""),0,IFERROR(INDEX(Nutrition!$L$2:$L$300,MATCH($F820,Nutrition!$A$2:$A$300,0))*$I820/100,0))</f>
        <v>3</v>
      </c>
      <c r="S820" s="30">
        <f>IF(OR($F820="",$I820=""),0,IFERROR(INDEX(Nutrition!$M$2:$M$300,MATCH($F820,Nutrition!$A$2:$A$300,0))*$I820/100,0))</f>
        <v>0.20399999999999999</v>
      </c>
    </row>
    <row r="821" spans="1:19" ht="15" customHeight="1" x14ac:dyDescent="0.25">
      <c r="A821" s="22" t="s">
        <v>1976</v>
      </c>
      <c r="B821" s="33" t="str">
        <f>IFERROR(INDEX(Recipes!$B$2:$B$500,MATCH(A821,Recipes!$A$2:$A$500,0)),"")</f>
        <v>Matbucha (Slow-Cooked Tomato &amp; Tatashe Spread)</v>
      </c>
      <c r="C821" s="7" t="s">
        <v>478</v>
      </c>
      <c r="D821" s="34">
        <v>1</v>
      </c>
      <c r="E821" s="22" t="s">
        <v>2754</v>
      </c>
      <c r="F821" s="22" t="s">
        <v>477</v>
      </c>
      <c r="G821" s="22" t="s">
        <v>2755</v>
      </c>
      <c r="H821" s="7" t="s">
        <v>2903</v>
      </c>
      <c r="I821" s="35">
        <v>20</v>
      </c>
      <c r="J821" s="30">
        <f>IF(OR($F821="",$I821=""),0,IFERROR(INDEX(Nutrition!$D$2:$D$300,MATCH($F821,Nutrition!$A$2:$A$300,0))*$I821/100,0))</f>
        <v>0.3</v>
      </c>
      <c r="K821" s="30">
        <f>IF(OR($F821="",$I821=""),0,IFERROR(INDEX(Nutrition!$E$2:$E$300,MATCH($F821,Nutrition!$A$2:$A$300,0))*$I821/100,0))</f>
        <v>28.74</v>
      </c>
      <c r="L821" s="30">
        <f>IF(OR($F821="",$I821=""),0,IFERROR(INDEX(Nutrition!$F$2:$F$300,MATCH($F821,Nutrition!$A$2:$A$300,0))*$I821/100,0))</f>
        <v>9.6</v>
      </c>
      <c r="M821" s="30">
        <f>IF(OR($F821="",$I821=""),0,IFERROR(INDEX(Nutrition!$G$2:$G$300,MATCH($F821,Nutrition!$A$2:$A$300,0))*$I821/100,0))</f>
        <v>2.8</v>
      </c>
      <c r="N821" s="30">
        <f>IF(OR($F821="",$I821=""),0,IFERROR(INDEX(Nutrition!$H$2:$H$300,MATCH($F821,Nutrition!$A$2:$A$300,0))*$I821/100,0))</f>
        <v>4.5999999999999996</v>
      </c>
      <c r="O821" s="30">
        <f>IF(OR($F821="",$I821=""),0,IFERROR(INDEX(Nutrition!$I$2:$I$300,MATCH($F821,Nutrition!$A$2:$A$300,0))*$I821/100,0))</f>
        <v>64.400000000000006</v>
      </c>
      <c r="P821" s="30">
        <f>IF(OR($F821="",$I821=""),0,IFERROR(INDEX(Nutrition!$J$2:$J$300,MATCH($F821,Nutrition!$A$2:$A$300,0))*$I821/100,0))</f>
        <v>0.13799999999999998</v>
      </c>
      <c r="Q821" s="30">
        <f>IF(OR($F821="",$I821=""),0,IFERROR(INDEX(Nutrition!$K$2:$K$300,MATCH($F821,Nutrition!$A$2:$A$300,0))*$I821/100,0))</f>
        <v>0.10120000000000001</v>
      </c>
      <c r="R821" s="30">
        <f>IF(OR($F821="",$I821=""),0,IFERROR(INDEX(Nutrition!$L$2:$L$300,MATCH($F821,Nutrition!$A$2:$A$300,0))*$I821/100,0))</f>
        <v>4.5999999999999996</v>
      </c>
      <c r="S821" s="30">
        <f>IF(OR($F821="",$I821=""),0,IFERROR(INDEX(Nutrition!$M$2:$M$300,MATCH($F821,Nutrition!$A$2:$A$300,0))*$I821/100,0))</f>
        <v>0.20600000000000002</v>
      </c>
    </row>
    <row r="822" spans="1:19" ht="15" customHeight="1" x14ac:dyDescent="0.25">
      <c r="A822" s="22" t="s">
        <v>1976</v>
      </c>
      <c r="B822" s="33" t="str">
        <f>IFERROR(INDEX(Recipes!$B$2:$B$500,MATCH(A822,Recipes!$A$2:$A$500,0)),"")</f>
        <v>Matbucha (Slow-Cooked Tomato &amp; Tatashe Spread)</v>
      </c>
      <c r="C822" s="7" t="s">
        <v>2898</v>
      </c>
      <c r="D822" s="34">
        <v>4</v>
      </c>
      <c r="E822" s="22" t="s">
        <v>2753</v>
      </c>
      <c r="F822" s="22"/>
      <c r="G822" s="22" t="s">
        <v>2773</v>
      </c>
      <c r="H822" s="7"/>
      <c r="I822" s="35"/>
      <c r="J822" s="30">
        <f>IF(OR($F822="",$I822=""),0,IFERROR(INDEX(Nutrition!$D$2:$D$300,MATCH($F822,Nutrition!$A$2:$A$300,0))*$I822/100,0))</f>
        <v>0</v>
      </c>
      <c r="K822" s="30">
        <f>IF(OR($F822="",$I822=""),0,IFERROR(INDEX(Nutrition!$E$2:$E$300,MATCH($F822,Nutrition!$A$2:$A$300,0))*$I822/100,0))</f>
        <v>0</v>
      </c>
      <c r="L822" s="30">
        <f>IF(OR($F822="",$I822=""),0,IFERROR(INDEX(Nutrition!$F$2:$F$300,MATCH($F822,Nutrition!$A$2:$A$300,0))*$I822/100,0))</f>
        <v>0</v>
      </c>
      <c r="M822" s="30">
        <f>IF(OR($F822="",$I822=""),0,IFERROR(INDEX(Nutrition!$G$2:$G$300,MATCH($F822,Nutrition!$A$2:$A$300,0))*$I822/100,0))</f>
        <v>0</v>
      </c>
      <c r="N822" s="30">
        <f>IF(OR($F822="",$I822=""),0,IFERROR(INDEX(Nutrition!$H$2:$H$300,MATCH($F822,Nutrition!$A$2:$A$300,0))*$I822/100,0))</f>
        <v>0</v>
      </c>
      <c r="O822" s="30">
        <f>IF(OR($F822="",$I822=""),0,IFERROR(INDEX(Nutrition!$I$2:$I$300,MATCH($F822,Nutrition!$A$2:$A$300,0))*$I822/100,0))</f>
        <v>0</v>
      </c>
      <c r="P822" s="30">
        <f>IF(OR($F822="",$I822=""),0,IFERROR(INDEX(Nutrition!$J$2:$J$300,MATCH($F822,Nutrition!$A$2:$A$300,0))*$I822/100,0))</f>
        <v>0</v>
      </c>
      <c r="Q822" s="30">
        <f>IF(OR($F822="",$I822=""),0,IFERROR(INDEX(Nutrition!$K$2:$K$300,MATCH($F822,Nutrition!$A$2:$A$300,0))*$I822/100,0))</f>
        <v>0</v>
      </c>
      <c r="R822" s="30">
        <f>IF(OR($F822="",$I822=""),0,IFERROR(INDEX(Nutrition!$L$2:$L$300,MATCH($F822,Nutrition!$A$2:$A$300,0))*$I822/100,0))</f>
        <v>0</v>
      </c>
      <c r="S822" s="30">
        <f>IF(OR($F822="",$I822=""),0,IFERROR(INDEX(Nutrition!$M$2:$M$300,MATCH($F822,Nutrition!$A$2:$A$300,0))*$I822/100,0))</f>
        <v>0</v>
      </c>
    </row>
    <row r="823" spans="1:19" ht="15" customHeight="1" x14ac:dyDescent="0.25">
      <c r="A823" s="22" t="s">
        <v>1976</v>
      </c>
      <c r="B823" s="33" t="str">
        <f>IFERROR(INDEX(Recipes!$B$2:$B$500,MATCH(A823,Recipes!$A$2:$A$500,0)),"")</f>
        <v>Matbucha (Slow-Cooked Tomato &amp; Tatashe Spread)</v>
      </c>
      <c r="C823" s="7" t="s">
        <v>2952</v>
      </c>
      <c r="D823" s="34">
        <v>1</v>
      </c>
      <c r="E823" s="22" t="s">
        <v>2753</v>
      </c>
      <c r="F823" s="22"/>
      <c r="G823" s="22" t="s">
        <v>2749</v>
      </c>
      <c r="H823" s="7"/>
      <c r="I823" s="35"/>
      <c r="J823" s="30">
        <f>IF(OR($F823="",$I823=""),0,IFERROR(INDEX(Nutrition!$D$2:$D$300,MATCH($F823,Nutrition!$A$2:$A$300,0))*$I823/100,0))</f>
        <v>0</v>
      </c>
      <c r="K823" s="30">
        <f>IF(OR($F823="",$I823=""),0,IFERROR(INDEX(Nutrition!$E$2:$E$300,MATCH($F823,Nutrition!$A$2:$A$300,0))*$I823/100,0))</f>
        <v>0</v>
      </c>
      <c r="L823" s="30">
        <f>IF(OR($F823="",$I823=""),0,IFERROR(INDEX(Nutrition!$F$2:$F$300,MATCH($F823,Nutrition!$A$2:$A$300,0))*$I823/100,0))</f>
        <v>0</v>
      </c>
      <c r="M823" s="30">
        <f>IF(OR($F823="",$I823=""),0,IFERROR(INDEX(Nutrition!$G$2:$G$300,MATCH($F823,Nutrition!$A$2:$A$300,0))*$I823/100,0))</f>
        <v>0</v>
      </c>
      <c r="N823" s="30">
        <f>IF(OR($F823="",$I823=""),0,IFERROR(INDEX(Nutrition!$H$2:$H$300,MATCH($F823,Nutrition!$A$2:$A$300,0))*$I823/100,0))</f>
        <v>0</v>
      </c>
      <c r="O823" s="30">
        <f>IF(OR($F823="",$I823=""),0,IFERROR(INDEX(Nutrition!$I$2:$I$300,MATCH($F823,Nutrition!$A$2:$A$300,0))*$I823/100,0))</f>
        <v>0</v>
      </c>
      <c r="P823" s="30">
        <f>IF(OR($F823="",$I823=""),0,IFERROR(INDEX(Nutrition!$J$2:$J$300,MATCH($F823,Nutrition!$A$2:$A$300,0))*$I823/100,0))</f>
        <v>0</v>
      </c>
      <c r="Q823" s="30">
        <f>IF(OR($F823="",$I823=""),0,IFERROR(INDEX(Nutrition!$K$2:$K$300,MATCH($F823,Nutrition!$A$2:$A$300,0))*$I823/100,0))</f>
        <v>0</v>
      </c>
      <c r="R823" s="30">
        <f>IF(OR($F823="",$I823=""),0,IFERROR(INDEX(Nutrition!$L$2:$L$300,MATCH($F823,Nutrition!$A$2:$A$300,0))*$I823/100,0))</f>
        <v>0</v>
      </c>
      <c r="S823" s="30">
        <f>IF(OR($F823="",$I823=""),0,IFERROR(INDEX(Nutrition!$M$2:$M$300,MATCH($F823,Nutrition!$A$2:$A$300,0))*$I823/100,0))</f>
        <v>0</v>
      </c>
    </row>
    <row r="824" spans="1:19" ht="15" customHeight="1" x14ac:dyDescent="0.25">
      <c r="A824" s="22" t="s">
        <v>1976</v>
      </c>
      <c r="B824" s="33" t="str">
        <f>IFERROR(INDEX(Recipes!$B$2:$B$500,MATCH(A824,Recipes!$A$2:$A$500,0)),"")</f>
        <v>Matbucha (Slow-Cooked Tomato &amp; Tatashe Spread)</v>
      </c>
      <c r="C824" s="7" t="s">
        <v>2781</v>
      </c>
      <c r="D824" s="34">
        <v>1</v>
      </c>
      <c r="E824" s="22" t="s">
        <v>2759</v>
      </c>
      <c r="F824" s="22"/>
      <c r="G824" s="22" t="s">
        <v>2773</v>
      </c>
      <c r="H824" s="7"/>
      <c r="I824" s="35"/>
      <c r="J824" s="30">
        <f>IF(OR($F824="",$I824=""),0,IFERROR(INDEX(Nutrition!$D$2:$D$300,MATCH($F824,Nutrition!$A$2:$A$300,0))*$I824/100,0))</f>
        <v>0</v>
      </c>
      <c r="K824" s="30">
        <f>IF(OR($F824="",$I824=""),0,IFERROR(INDEX(Nutrition!$E$2:$E$300,MATCH($F824,Nutrition!$A$2:$A$300,0))*$I824/100,0))</f>
        <v>0</v>
      </c>
      <c r="L824" s="30">
        <f>IF(OR($F824="",$I824=""),0,IFERROR(INDEX(Nutrition!$F$2:$F$300,MATCH($F824,Nutrition!$A$2:$A$300,0))*$I824/100,0))</f>
        <v>0</v>
      </c>
      <c r="M824" s="30">
        <f>IF(OR($F824="",$I824=""),0,IFERROR(INDEX(Nutrition!$G$2:$G$300,MATCH($F824,Nutrition!$A$2:$A$300,0))*$I824/100,0))</f>
        <v>0</v>
      </c>
      <c r="N824" s="30">
        <f>IF(OR($F824="",$I824=""),0,IFERROR(INDEX(Nutrition!$H$2:$H$300,MATCH($F824,Nutrition!$A$2:$A$300,0))*$I824/100,0))</f>
        <v>0</v>
      </c>
      <c r="O824" s="30">
        <f>IF(OR($F824="",$I824=""),0,IFERROR(INDEX(Nutrition!$I$2:$I$300,MATCH($F824,Nutrition!$A$2:$A$300,0))*$I824/100,0))</f>
        <v>0</v>
      </c>
      <c r="P824" s="30">
        <f>IF(OR($F824="",$I824=""),0,IFERROR(INDEX(Nutrition!$J$2:$J$300,MATCH($F824,Nutrition!$A$2:$A$300,0))*$I824/100,0))</f>
        <v>0</v>
      </c>
      <c r="Q824" s="30">
        <f>IF(OR($F824="",$I824=""),0,IFERROR(INDEX(Nutrition!$K$2:$K$300,MATCH($F824,Nutrition!$A$2:$A$300,0))*$I824/100,0))</f>
        <v>0</v>
      </c>
      <c r="R824" s="30">
        <f>IF(OR($F824="",$I824=""),0,IFERROR(INDEX(Nutrition!$L$2:$L$300,MATCH($F824,Nutrition!$A$2:$A$300,0))*$I824/100,0))</f>
        <v>0</v>
      </c>
      <c r="S824" s="30">
        <f>IF(OR($F824="",$I824=""),0,IFERROR(INDEX(Nutrition!$M$2:$M$300,MATCH($F824,Nutrition!$A$2:$A$300,0))*$I824/100,0))</f>
        <v>0</v>
      </c>
    </row>
    <row r="825" spans="1:19" ht="15" customHeight="1" x14ac:dyDescent="0.25">
      <c r="A825" s="22" t="s">
        <v>1989</v>
      </c>
      <c r="B825" s="33" t="str">
        <f>IFERROR(INDEX(Recipes!$B$2:$B$500,MATCH(A825,Recipes!$A$2:$A$500,0)),"")</f>
        <v>Ezme (Turkish Chopped Tomato &amp; Pepper Spread)</v>
      </c>
      <c r="C825" s="7" t="s">
        <v>446</v>
      </c>
      <c r="D825" s="34">
        <v>4</v>
      </c>
      <c r="E825" s="22" t="s">
        <v>2754</v>
      </c>
      <c r="F825" s="22" t="s">
        <v>445</v>
      </c>
      <c r="G825" s="22" t="s">
        <v>2755</v>
      </c>
      <c r="H825" s="7" t="s">
        <v>2960</v>
      </c>
      <c r="I825" s="35">
        <v>248</v>
      </c>
      <c r="J825" s="30">
        <f>IF(OR($F825="",$I825=""),0,IFERROR(INDEX(Nutrition!$D$2:$D$300,MATCH($F825,Nutrition!$A$2:$A$300,0))*$I825/100,0))</f>
        <v>2.9759999999999995</v>
      </c>
      <c r="K825" s="30">
        <f>IF(OR($F825="",$I825=""),0,IFERROR(INDEX(Nutrition!$E$2:$E$300,MATCH($F825,Nutrition!$A$2:$A$300,0))*$I825/100,0))</f>
        <v>33.975999999999999</v>
      </c>
      <c r="L825" s="30">
        <f>IF(OR($F825="",$I825=""),0,IFERROR(INDEX(Nutrition!$F$2:$F$300,MATCH($F825,Nutrition!$A$2:$A$300,0))*$I825/100,0))</f>
        <v>104.16</v>
      </c>
      <c r="M825" s="30">
        <f>IF(OR($F825="",$I825=""),0,IFERROR(INDEX(Nutrition!$G$2:$G$300,MATCH($F825,Nutrition!$A$2:$A$300,0))*$I825/100,0))</f>
        <v>19.591999999999999</v>
      </c>
      <c r="N825" s="30">
        <f>IF(OR($F825="",$I825=""),0,IFERROR(INDEX(Nutrition!$H$2:$H$300,MATCH($F825,Nutrition!$A$2:$A$300,0))*$I825/100,0))</f>
        <v>37.200000000000003</v>
      </c>
      <c r="O825" s="30">
        <f>IF(OR($F825="",$I825=""),0,IFERROR(INDEX(Nutrition!$I$2:$I$300,MATCH($F825,Nutrition!$A$2:$A$300,0))*$I825/100,0))</f>
        <v>587.76</v>
      </c>
      <c r="P825" s="30">
        <f>IF(OR($F825="",$I825=""),0,IFERROR(INDEX(Nutrition!$J$2:$J$300,MATCH($F825,Nutrition!$A$2:$A$300,0))*$I825/100,0))</f>
        <v>1.3392000000000002</v>
      </c>
      <c r="Q825" s="30">
        <f>IF(OR($F825="",$I825=""),0,IFERROR(INDEX(Nutrition!$K$2:$K$300,MATCH($F825,Nutrition!$A$2:$A$300,0))*$I825/100,0))</f>
        <v>0.19839999999999999</v>
      </c>
      <c r="R825" s="30">
        <f>IF(OR($F825="",$I825=""),0,IFERROR(INDEX(Nutrition!$L$2:$L$300,MATCH($F825,Nutrition!$A$2:$A$300,0))*$I825/100,0))</f>
        <v>27.28</v>
      </c>
      <c r="S825" s="30">
        <f>IF(OR($F825="",$I825=""),0,IFERROR(INDEX(Nutrition!$M$2:$M$300,MATCH($F825,Nutrition!$A$2:$A$300,0))*$I825/100,0))</f>
        <v>0.66960000000000008</v>
      </c>
    </row>
    <row r="826" spans="1:19" ht="15" customHeight="1" x14ac:dyDescent="0.25">
      <c r="A826" s="22" t="s">
        <v>1989</v>
      </c>
      <c r="B826" s="33" t="str">
        <f>IFERROR(INDEX(Recipes!$B$2:$B$500,MATCH(A826,Recipes!$A$2:$A$500,0)),"")</f>
        <v>Ezme (Turkish Chopped Tomato &amp; Pepper Spread)</v>
      </c>
      <c r="C826" s="7" t="s">
        <v>482</v>
      </c>
      <c r="D826" s="34">
        <v>1</v>
      </c>
      <c r="E826" s="22" t="s">
        <v>2754</v>
      </c>
      <c r="F826" s="22" t="s">
        <v>481</v>
      </c>
      <c r="G826" s="22" t="s">
        <v>2755</v>
      </c>
      <c r="H826" s="7" t="s">
        <v>2903</v>
      </c>
      <c r="I826" s="35">
        <v>110</v>
      </c>
      <c r="J826" s="30">
        <f>IF(OR($F826="",$I826=""),0,IFERROR(INDEX(Nutrition!$D$2:$D$300,MATCH($F826,Nutrition!$A$2:$A$300,0))*$I826/100,0))</f>
        <v>1.87</v>
      </c>
      <c r="K826" s="30">
        <f>IF(OR($F826="",$I826=""),0,IFERROR(INDEX(Nutrition!$E$2:$E$300,MATCH($F826,Nutrition!$A$2:$A$300,0))*$I826/100,0))</f>
        <v>8.14</v>
      </c>
      <c r="L826" s="30">
        <f>IF(OR($F826="",$I826=""),0,IFERROR(INDEX(Nutrition!$F$2:$F$300,MATCH($F826,Nutrition!$A$2:$A$300,0))*$I826/100,0))</f>
        <v>0</v>
      </c>
      <c r="M826" s="30">
        <f>IF(OR($F826="",$I826=""),0,IFERROR(INDEX(Nutrition!$G$2:$G$300,MATCH($F826,Nutrition!$A$2:$A$300,0))*$I826/100,0))</f>
        <v>0.44</v>
      </c>
      <c r="N826" s="30">
        <f>IF(OR($F826="",$I826=""),0,IFERROR(INDEX(Nutrition!$H$2:$H$300,MATCH($F826,Nutrition!$A$2:$A$300,0))*$I826/100,0))</f>
        <v>20.9</v>
      </c>
      <c r="O826" s="30">
        <f>IF(OR($F826="",$I826=""),0,IFERROR(INDEX(Nutrition!$I$2:$I$300,MATCH($F826,Nutrition!$A$2:$A$300,0))*$I826/100,0))</f>
        <v>160.6</v>
      </c>
      <c r="P826" s="30">
        <f>IF(OR($F826="",$I826=""),0,IFERROR(INDEX(Nutrition!$J$2:$J$300,MATCH($F826,Nutrition!$A$2:$A$300,0))*$I826/100,0))</f>
        <v>2.2000000000000002E-2</v>
      </c>
      <c r="Q826" s="30">
        <f>IF(OR($F826="",$I826=""),0,IFERROR(INDEX(Nutrition!$K$2:$K$300,MATCH($F826,Nutrition!$A$2:$A$300,0))*$I826/100,0))</f>
        <v>0.13200000000000001</v>
      </c>
      <c r="R826" s="30">
        <f>IF(OR($F826="",$I826=""),0,IFERROR(INDEX(Nutrition!$L$2:$L$300,MATCH($F826,Nutrition!$A$2:$A$300,0))*$I826/100,0))</f>
        <v>11</v>
      </c>
      <c r="S826" s="30">
        <f>IF(OR($F826="",$I826=""),0,IFERROR(INDEX(Nutrition!$M$2:$M$300,MATCH($F826,Nutrition!$A$2:$A$300,0))*$I826/100,0))</f>
        <v>0.23099999999999998</v>
      </c>
    </row>
    <row r="827" spans="1:19" ht="15" customHeight="1" x14ac:dyDescent="0.25">
      <c r="A827" s="22" t="s">
        <v>1989</v>
      </c>
      <c r="B827" s="33" t="str">
        <f>IFERROR(INDEX(Recipes!$B$2:$B$500,MATCH(A827,Recipes!$A$2:$A$500,0)),"")</f>
        <v>Ezme (Turkish Chopped Tomato &amp; Pepper Spread)</v>
      </c>
      <c r="C827" s="7" t="s">
        <v>468</v>
      </c>
      <c r="D827" s="34">
        <v>1</v>
      </c>
      <c r="E827" s="22" t="s">
        <v>2754</v>
      </c>
      <c r="F827" s="22" t="s">
        <v>467</v>
      </c>
      <c r="G827" s="22" t="s">
        <v>2755</v>
      </c>
      <c r="H827" s="7" t="s">
        <v>2903</v>
      </c>
      <c r="I827" s="35">
        <v>119</v>
      </c>
      <c r="J827" s="30">
        <f>IF(OR($F827="",$I827=""),0,IFERROR(INDEX(Nutrition!$D$2:$D$300,MATCH($F827,Nutrition!$A$2:$A$300,0))*$I827/100,0))</f>
        <v>2.0229999999999997</v>
      </c>
      <c r="K827" s="30">
        <f>IF(OR($F827="",$I827=""),0,IFERROR(INDEX(Nutrition!$E$2:$E$300,MATCH($F827,Nutrition!$A$2:$A$300,0))*$I827/100,0))</f>
        <v>95.676000000000002</v>
      </c>
      <c r="L827" s="30">
        <f>IF(OR($F827="",$I827=""),0,IFERROR(INDEX(Nutrition!$F$2:$F$300,MATCH($F827,Nutrition!$A$2:$A$300,0))*$I827/100,0))</f>
        <v>21.42</v>
      </c>
      <c r="M827" s="30">
        <f>IF(OR($F827="",$I827=""),0,IFERROR(INDEX(Nutrition!$G$2:$G$300,MATCH($F827,Nutrition!$A$2:$A$300,0))*$I827/100,0))</f>
        <v>8.8060000000000009</v>
      </c>
      <c r="N827" s="30">
        <f>IF(OR($F827="",$I827=""),0,IFERROR(INDEX(Nutrition!$H$2:$H$300,MATCH($F827,Nutrition!$A$2:$A$300,0))*$I827/100,0))</f>
        <v>11.9</v>
      </c>
      <c r="O827" s="30">
        <f>IF(OR($F827="",$I827=""),0,IFERROR(INDEX(Nutrition!$I$2:$I$300,MATCH($F827,Nutrition!$A$2:$A$300,0))*$I827/100,0))</f>
        <v>208.25</v>
      </c>
      <c r="P827" s="30">
        <f>IF(OR($F827="",$I827=""),0,IFERROR(INDEX(Nutrition!$J$2:$J$300,MATCH($F827,Nutrition!$A$2:$A$300,0))*$I827/100,0))</f>
        <v>0.44030000000000002</v>
      </c>
      <c r="Q827" s="30">
        <f>IF(OR($F827="",$I827=""),0,IFERROR(INDEX(Nutrition!$K$2:$K$300,MATCH($F827,Nutrition!$A$2:$A$300,0))*$I827/100,0))</f>
        <v>0.26655999999999996</v>
      </c>
      <c r="R827" s="30">
        <f>IF(OR($F827="",$I827=""),0,IFERROR(INDEX(Nutrition!$L$2:$L$300,MATCH($F827,Nutrition!$A$2:$A$300,0))*$I827/100,0))</f>
        <v>11.9</v>
      </c>
      <c r="S827" s="30">
        <f>IF(OR($F827="",$I827=""),0,IFERROR(INDEX(Nutrition!$M$2:$M$300,MATCH($F827,Nutrition!$A$2:$A$300,0))*$I827/100,0))</f>
        <v>0.40460000000000002</v>
      </c>
    </row>
    <row r="828" spans="1:19" ht="15" customHeight="1" x14ac:dyDescent="0.25">
      <c r="A828" s="22" t="s">
        <v>1989</v>
      </c>
      <c r="B828" s="33" t="str">
        <f>IFERROR(INDEX(Recipes!$B$2:$B$500,MATCH(A828,Recipes!$A$2:$A$500,0)),"")</f>
        <v>Ezme (Turkish Chopped Tomato &amp; Pepper Spread)</v>
      </c>
      <c r="C828" s="7" t="s">
        <v>478</v>
      </c>
      <c r="D828" s="34">
        <v>1</v>
      </c>
      <c r="E828" s="22" t="s">
        <v>2754</v>
      </c>
      <c r="F828" s="22" t="s">
        <v>477</v>
      </c>
      <c r="G828" s="22" t="s">
        <v>2755</v>
      </c>
      <c r="H828" s="7" t="s">
        <v>2903</v>
      </c>
      <c r="I828" s="35">
        <v>20</v>
      </c>
      <c r="J828" s="30">
        <f>IF(OR($F828="",$I828=""),0,IFERROR(INDEX(Nutrition!$D$2:$D$300,MATCH($F828,Nutrition!$A$2:$A$300,0))*$I828/100,0))</f>
        <v>0.3</v>
      </c>
      <c r="K828" s="30">
        <f>IF(OR($F828="",$I828=""),0,IFERROR(INDEX(Nutrition!$E$2:$E$300,MATCH($F828,Nutrition!$A$2:$A$300,0))*$I828/100,0))</f>
        <v>28.74</v>
      </c>
      <c r="L828" s="30">
        <f>IF(OR($F828="",$I828=""),0,IFERROR(INDEX(Nutrition!$F$2:$F$300,MATCH($F828,Nutrition!$A$2:$A$300,0))*$I828/100,0))</f>
        <v>9.6</v>
      </c>
      <c r="M828" s="30">
        <f>IF(OR($F828="",$I828=""),0,IFERROR(INDEX(Nutrition!$G$2:$G$300,MATCH($F828,Nutrition!$A$2:$A$300,0))*$I828/100,0))</f>
        <v>2.8</v>
      </c>
      <c r="N828" s="30">
        <f>IF(OR($F828="",$I828=""),0,IFERROR(INDEX(Nutrition!$H$2:$H$300,MATCH($F828,Nutrition!$A$2:$A$300,0))*$I828/100,0))</f>
        <v>4.5999999999999996</v>
      </c>
      <c r="O828" s="30">
        <f>IF(OR($F828="",$I828=""),0,IFERROR(INDEX(Nutrition!$I$2:$I$300,MATCH($F828,Nutrition!$A$2:$A$300,0))*$I828/100,0))</f>
        <v>64.400000000000006</v>
      </c>
      <c r="P828" s="30">
        <f>IF(OR($F828="",$I828=""),0,IFERROR(INDEX(Nutrition!$J$2:$J$300,MATCH($F828,Nutrition!$A$2:$A$300,0))*$I828/100,0))</f>
        <v>0.13799999999999998</v>
      </c>
      <c r="Q828" s="30">
        <f>IF(OR($F828="",$I828=""),0,IFERROR(INDEX(Nutrition!$K$2:$K$300,MATCH($F828,Nutrition!$A$2:$A$300,0))*$I828/100,0))</f>
        <v>0.10120000000000001</v>
      </c>
      <c r="R828" s="30">
        <f>IF(OR($F828="",$I828=""),0,IFERROR(INDEX(Nutrition!$L$2:$L$300,MATCH($F828,Nutrition!$A$2:$A$300,0))*$I828/100,0))</f>
        <v>4.5999999999999996</v>
      </c>
      <c r="S828" s="30">
        <f>IF(OR($F828="",$I828=""),0,IFERROR(INDEX(Nutrition!$M$2:$M$300,MATCH($F828,Nutrition!$A$2:$A$300,0))*$I828/100,0))</f>
        <v>0.20600000000000002</v>
      </c>
    </row>
    <row r="829" spans="1:19" ht="15" customHeight="1" x14ac:dyDescent="0.25">
      <c r="A829" s="22" t="s">
        <v>1989</v>
      </c>
      <c r="B829" s="33" t="str">
        <f>IFERROR(INDEX(Recipes!$B$2:$B$500,MATCH(A829,Recipes!$A$2:$A$500,0)),"")</f>
        <v>Ezme (Turkish Chopped Tomato &amp; Pepper Spread)</v>
      </c>
      <c r="C829" s="7" t="s">
        <v>671</v>
      </c>
      <c r="D829" s="34">
        <v>1</v>
      </c>
      <c r="E829" s="22" t="s">
        <v>2809</v>
      </c>
      <c r="F829" s="22" t="s">
        <v>670</v>
      </c>
      <c r="G829" s="22" t="s">
        <v>2755</v>
      </c>
      <c r="H829" s="7" t="s">
        <v>2903</v>
      </c>
      <c r="I829" s="35">
        <v>30</v>
      </c>
      <c r="J829" s="30">
        <f>IF(OR($F829="",$I829=""),0,IFERROR(INDEX(Nutrition!$D$2:$D$300,MATCH($F829,Nutrition!$A$2:$A$300,0))*$I829/100,0))</f>
        <v>0.99</v>
      </c>
      <c r="K829" s="30">
        <f>IF(OR($F829="",$I829=""),0,IFERROR(INDEX(Nutrition!$E$2:$E$300,MATCH($F829,Nutrition!$A$2:$A$300,0))*$I829/100,0))</f>
        <v>39.9</v>
      </c>
      <c r="L829" s="30">
        <f>IF(OR($F829="",$I829=""),0,IFERROR(INDEX(Nutrition!$F$2:$F$300,MATCH($F829,Nutrition!$A$2:$A$300,0))*$I829/100,0))</f>
        <v>126.3</v>
      </c>
      <c r="M829" s="30">
        <f>IF(OR($F829="",$I829=""),0,IFERROR(INDEX(Nutrition!$G$2:$G$300,MATCH($F829,Nutrition!$A$2:$A$300,0))*$I829/100,0))</f>
        <v>492</v>
      </c>
      <c r="N829" s="30">
        <f>IF(OR($F829="",$I829=""),0,IFERROR(INDEX(Nutrition!$H$2:$H$300,MATCH($F829,Nutrition!$A$2:$A$300,0))*$I829/100,0))</f>
        <v>45.6</v>
      </c>
      <c r="O829" s="30">
        <f>IF(OR($F829="",$I829=""),0,IFERROR(INDEX(Nutrition!$I$2:$I$300,MATCH($F829,Nutrition!$A$2:$A$300,0))*$I829/100,0))</f>
        <v>166.2</v>
      </c>
      <c r="P829" s="30">
        <f>IF(OR($F829="",$I829=""),0,IFERROR(INDEX(Nutrition!$J$2:$J$300,MATCH($F829,Nutrition!$A$2:$A$300,0))*$I829/100,0))</f>
        <v>0.22500000000000001</v>
      </c>
      <c r="Q829" s="30">
        <f>IF(OR($F829="",$I829=""),0,IFERROR(INDEX(Nutrition!$K$2:$K$300,MATCH($F829,Nutrition!$A$2:$A$300,0))*$I829/100,0))</f>
        <v>2.6999999999999996E-2</v>
      </c>
      <c r="R829" s="30">
        <f>IF(OR($F829="",$I829=""),0,IFERROR(INDEX(Nutrition!$L$2:$L$300,MATCH($F829,Nutrition!$A$2:$A$300,0))*$I829/100,0))</f>
        <v>15</v>
      </c>
      <c r="S829" s="30">
        <f>IF(OR($F829="",$I829=""),0,IFERROR(INDEX(Nutrition!$M$2:$M$300,MATCH($F829,Nutrition!$A$2:$A$300,0))*$I829/100,0))</f>
        <v>1.86</v>
      </c>
    </row>
    <row r="830" spans="1:19" ht="15" customHeight="1" x14ac:dyDescent="0.25">
      <c r="A830" s="22" t="s">
        <v>1989</v>
      </c>
      <c r="B830" s="33" t="str">
        <f>IFERROR(INDEX(Recipes!$B$2:$B$500,MATCH(A830,Recipes!$A$2:$A$500,0)),"")</f>
        <v>Ezme (Turkish Chopped Tomato &amp; Pepper Spread)</v>
      </c>
      <c r="C830" s="7" t="s">
        <v>663</v>
      </c>
      <c r="D830" s="34">
        <v>1</v>
      </c>
      <c r="E830" s="22" t="s">
        <v>2809</v>
      </c>
      <c r="F830" s="22" t="s">
        <v>662</v>
      </c>
      <c r="G830" s="22" t="s">
        <v>2755</v>
      </c>
      <c r="H830" s="7" t="s">
        <v>2903</v>
      </c>
      <c r="I830" s="35">
        <v>30</v>
      </c>
      <c r="J830" s="30">
        <f>IF(OR($F830="",$I830=""),0,IFERROR(INDEX(Nutrition!$D$2:$D$300,MATCH($F830,Nutrition!$A$2:$A$300,0))*$I830/100,0))</f>
        <v>2.04</v>
      </c>
      <c r="K830" s="30">
        <f>IF(OR($F830="",$I830=""),0,IFERROR(INDEX(Nutrition!$E$2:$E$300,MATCH($F830,Nutrition!$A$2:$A$300,0))*$I830/100,0))</f>
        <v>3.99</v>
      </c>
      <c r="L830" s="30">
        <f>IF(OR($F830="",$I830=""),0,IFERROR(INDEX(Nutrition!$F$2:$F$300,MATCH($F830,Nutrition!$A$2:$A$300,0))*$I830/100,0))</f>
        <v>60.9</v>
      </c>
      <c r="M830" s="30">
        <f>IF(OR($F830="",$I830=""),0,IFERROR(INDEX(Nutrition!$G$2:$G$300,MATCH($F830,Nutrition!$A$2:$A$300,0))*$I830/100,0))</f>
        <v>0</v>
      </c>
      <c r="N830" s="30">
        <f>IF(OR($F830="",$I830=""),0,IFERROR(INDEX(Nutrition!$H$2:$H$300,MATCH($F830,Nutrition!$A$2:$A$300,0))*$I830/100,0))</f>
        <v>31.5</v>
      </c>
      <c r="O830" s="30">
        <f>IF(OR($F830="",$I830=""),0,IFERROR(INDEX(Nutrition!$I$2:$I$300,MATCH($F830,Nutrition!$A$2:$A$300,0))*$I830/100,0))</f>
        <v>137.4</v>
      </c>
      <c r="P830" s="30">
        <f>IF(OR($F830="",$I830=""),0,IFERROR(INDEX(Nutrition!$J$2:$J$300,MATCH($F830,Nutrition!$A$2:$A$300,0))*$I830/100,0))</f>
        <v>0</v>
      </c>
      <c r="Q830" s="30">
        <f>IF(OR($F830="",$I830=""),0,IFERROR(INDEX(Nutrition!$K$2:$K$300,MATCH($F830,Nutrition!$A$2:$A$300,0))*$I830/100,0))</f>
        <v>4.7400000000000005E-2</v>
      </c>
      <c r="R830" s="30">
        <f>IF(OR($F830="",$I830=""),0,IFERROR(INDEX(Nutrition!$L$2:$L$300,MATCH($F830,Nutrition!$A$2:$A$300,0))*$I830/100,0))</f>
        <v>18.899999999999999</v>
      </c>
      <c r="S830" s="30">
        <f>IF(OR($F830="",$I830=""),0,IFERROR(INDEX(Nutrition!$M$2:$M$300,MATCH($F830,Nutrition!$A$2:$A$300,0))*$I830/100,0))</f>
        <v>3.5609999999999995</v>
      </c>
    </row>
    <row r="831" spans="1:19" ht="15" customHeight="1" x14ac:dyDescent="0.25">
      <c r="A831" s="22" t="s">
        <v>1989</v>
      </c>
      <c r="B831" s="33" t="str">
        <f>IFERROR(INDEX(Recipes!$B$2:$B$500,MATCH(A831,Recipes!$A$2:$A$500,0)),"")</f>
        <v>Ezme (Turkish Chopped Tomato &amp; Pepper Spread)</v>
      </c>
      <c r="C831" s="7" t="s">
        <v>206</v>
      </c>
      <c r="D831" s="34">
        <v>0.5</v>
      </c>
      <c r="E831" s="22" t="s">
        <v>2754</v>
      </c>
      <c r="F831" s="22" t="s">
        <v>205</v>
      </c>
      <c r="G831" s="22" t="s">
        <v>2755</v>
      </c>
      <c r="H831" s="7" t="s">
        <v>2912</v>
      </c>
      <c r="I831" s="35">
        <v>29</v>
      </c>
      <c r="J831" s="30">
        <f>IF(OR($F831="",$I831=""),0,IFERROR(INDEX(Nutrition!$D$2:$D$300,MATCH($F831,Nutrition!$A$2:$A$300,0))*$I831/100,0))</f>
        <v>0.81199999999999983</v>
      </c>
      <c r="K831" s="30">
        <f>IF(OR($F831="",$I831=""),0,IFERROR(INDEX(Nutrition!$E$2:$E$300,MATCH($F831,Nutrition!$A$2:$A$300,0))*$I831/100,0))</f>
        <v>15.37</v>
      </c>
      <c r="L831" s="30">
        <f>IF(OR($F831="",$I831=""),0,IFERROR(INDEX(Nutrition!$F$2:$F$300,MATCH($F831,Nutrition!$A$2:$A$300,0))*$I831/100,0))</f>
        <v>0.28999999999999998</v>
      </c>
      <c r="M831" s="30">
        <f>IF(OR($F831="",$I831=""),0,IFERROR(INDEX(Nutrition!$G$2:$G$300,MATCH($F831,Nutrition!$A$2:$A$300,0))*$I831/100,0))</f>
        <v>0</v>
      </c>
      <c r="N831" s="30">
        <f>IF(OR($F831="",$I831=""),0,IFERROR(INDEX(Nutrition!$H$2:$H$300,MATCH($F831,Nutrition!$A$2:$A$300,0))*$I831/100,0))</f>
        <v>3.19</v>
      </c>
      <c r="O831" s="30">
        <f>IF(OR($F831="",$I831=""),0,IFERROR(INDEX(Nutrition!$I$2:$I$300,MATCH($F831,Nutrition!$A$2:$A$300,0))*$I831/100,0))</f>
        <v>40.020000000000003</v>
      </c>
      <c r="P831" s="30">
        <f>IF(OR($F831="",$I831=""),0,IFERROR(INDEX(Nutrition!$J$2:$J$300,MATCH($F831,Nutrition!$A$2:$A$300,0))*$I831/100,0))</f>
        <v>4.3499999999999997E-2</v>
      </c>
      <c r="Q831" s="30">
        <f>IF(OR($F831="",$I831=""),0,IFERROR(INDEX(Nutrition!$K$2:$K$300,MATCH($F831,Nutrition!$A$2:$A$300,0))*$I831/100,0))</f>
        <v>2.3199999999999998E-2</v>
      </c>
      <c r="R831" s="30">
        <f>IF(OR($F831="",$I831=""),0,IFERROR(INDEX(Nutrition!$L$2:$L$300,MATCH($F831,Nutrition!$A$2:$A$300,0))*$I831/100,0))</f>
        <v>2.3199999999999998</v>
      </c>
      <c r="S831" s="30">
        <f>IF(OR($F831="",$I831=""),0,IFERROR(INDEX(Nutrition!$M$2:$M$300,MATCH($F831,Nutrition!$A$2:$A$300,0))*$I831/100,0))</f>
        <v>0.17399999999999999</v>
      </c>
    </row>
    <row r="832" spans="1:19" ht="15" customHeight="1" x14ac:dyDescent="0.25">
      <c r="A832" s="22" t="s">
        <v>1989</v>
      </c>
      <c r="B832" s="33" t="str">
        <f>IFERROR(INDEX(Recipes!$B$2:$B$500,MATCH(A832,Recipes!$A$2:$A$500,0)),"")</f>
        <v>Ezme (Turkish Chopped Tomato &amp; Pepper Spread)</v>
      </c>
      <c r="C832" s="7" t="s">
        <v>2961</v>
      </c>
      <c r="D832" s="34">
        <v>1</v>
      </c>
      <c r="E832" s="22" t="s">
        <v>2753</v>
      </c>
      <c r="F832" s="22"/>
      <c r="G832" s="22" t="s">
        <v>2749</v>
      </c>
      <c r="H832" s="7"/>
      <c r="I832" s="35"/>
      <c r="J832" s="30">
        <f>IF(OR($F832="",$I832=""),0,IFERROR(INDEX(Nutrition!$D$2:$D$300,MATCH($F832,Nutrition!$A$2:$A$300,0))*$I832/100,0))</f>
        <v>0</v>
      </c>
      <c r="K832" s="30">
        <f>IF(OR($F832="",$I832=""),0,IFERROR(INDEX(Nutrition!$E$2:$E$300,MATCH($F832,Nutrition!$A$2:$A$300,0))*$I832/100,0))</f>
        <v>0</v>
      </c>
      <c r="L832" s="30">
        <f>IF(OR($F832="",$I832=""),0,IFERROR(INDEX(Nutrition!$F$2:$F$300,MATCH($F832,Nutrition!$A$2:$A$300,0))*$I832/100,0))</f>
        <v>0</v>
      </c>
      <c r="M832" s="30">
        <f>IF(OR($F832="",$I832=""),0,IFERROR(INDEX(Nutrition!$G$2:$G$300,MATCH($F832,Nutrition!$A$2:$A$300,0))*$I832/100,0))</f>
        <v>0</v>
      </c>
      <c r="N832" s="30">
        <f>IF(OR($F832="",$I832=""),0,IFERROR(INDEX(Nutrition!$H$2:$H$300,MATCH($F832,Nutrition!$A$2:$A$300,0))*$I832/100,0))</f>
        <v>0</v>
      </c>
      <c r="O832" s="30">
        <f>IF(OR($F832="",$I832=""),0,IFERROR(INDEX(Nutrition!$I$2:$I$300,MATCH($F832,Nutrition!$A$2:$A$300,0))*$I832/100,0))</f>
        <v>0</v>
      </c>
      <c r="P832" s="30">
        <f>IF(OR($F832="",$I832=""),0,IFERROR(INDEX(Nutrition!$J$2:$J$300,MATCH($F832,Nutrition!$A$2:$A$300,0))*$I832/100,0))</f>
        <v>0</v>
      </c>
      <c r="Q832" s="30">
        <f>IF(OR($F832="",$I832=""),0,IFERROR(INDEX(Nutrition!$K$2:$K$300,MATCH($F832,Nutrition!$A$2:$A$300,0))*$I832/100,0))</f>
        <v>0</v>
      </c>
      <c r="R832" s="30">
        <f>IF(OR($F832="",$I832=""),0,IFERROR(INDEX(Nutrition!$L$2:$L$300,MATCH($F832,Nutrition!$A$2:$A$300,0))*$I832/100,0))</f>
        <v>0</v>
      </c>
      <c r="S832" s="30">
        <f>IF(OR($F832="",$I832=""),0,IFERROR(INDEX(Nutrition!$M$2:$M$300,MATCH($F832,Nutrition!$A$2:$A$300,0))*$I832/100,0))</f>
        <v>0</v>
      </c>
    </row>
    <row r="833" spans="1:19" ht="15" customHeight="1" x14ac:dyDescent="0.25">
      <c r="A833" s="22" t="s">
        <v>1989</v>
      </c>
      <c r="B833" s="33" t="str">
        <f>IFERROR(INDEX(Recipes!$B$2:$B$500,MATCH(A833,Recipes!$A$2:$A$500,0)),"")</f>
        <v>Ezme (Turkish Chopped Tomato &amp; Pepper Spread)</v>
      </c>
      <c r="C833" s="7" t="s">
        <v>2805</v>
      </c>
      <c r="D833" s="34">
        <v>2</v>
      </c>
      <c r="E833" s="22" t="s">
        <v>2753</v>
      </c>
      <c r="F833" s="22"/>
      <c r="G833" s="22" t="s">
        <v>2773</v>
      </c>
      <c r="H833" s="7"/>
      <c r="I833" s="35"/>
      <c r="J833" s="30">
        <f>IF(OR($F833="",$I833=""),0,IFERROR(INDEX(Nutrition!$D$2:$D$300,MATCH($F833,Nutrition!$A$2:$A$300,0))*$I833/100,0))</f>
        <v>0</v>
      </c>
      <c r="K833" s="30">
        <f>IF(OR($F833="",$I833=""),0,IFERROR(INDEX(Nutrition!$E$2:$E$300,MATCH($F833,Nutrition!$A$2:$A$300,0))*$I833/100,0))</f>
        <v>0</v>
      </c>
      <c r="L833" s="30">
        <f>IF(OR($F833="",$I833=""),0,IFERROR(INDEX(Nutrition!$F$2:$F$300,MATCH($F833,Nutrition!$A$2:$A$300,0))*$I833/100,0))</f>
        <v>0</v>
      </c>
      <c r="M833" s="30">
        <f>IF(OR($F833="",$I833=""),0,IFERROR(INDEX(Nutrition!$G$2:$G$300,MATCH($F833,Nutrition!$A$2:$A$300,0))*$I833/100,0))</f>
        <v>0</v>
      </c>
      <c r="N833" s="30">
        <f>IF(OR($F833="",$I833=""),0,IFERROR(INDEX(Nutrition!$H$2:$H$300,MATCH($F833,Nutrition!$A$2:$A$300,0))*$I833/100,0))</f>
        <v>0</v>
      </c>
      <c r="O833" s="30">
        <f>IF(OR($F833="",$I833=""),0,IFERROR(INDEX(Nutrition!$I$2:$I$300,MATCH($F833,Nutrition!$A$2:$A$300,0))*$I833/100,0))</f>
        <v>0</v>
      </c>
      <c r="P833" s="30">
        <f>IF(OR($F833="",$I833=""),0,IFERROR(INDEX(Nutrition!$J$2:$J$300,MATCH($F833,Nutrition!$A$2:$A$300,0))*$I833/100,0))</f>
        <v>0</v>
      </c>
      <c r="Q833" s="30">
        <f>IF(OR($F833="",$I833=""),0,IFERROR(INDEX(Nutrition!$K$2:$K$300,MATCH($F833,Nutrition!$A$2:$A$300,0))*$I833/100,0))</f>
        <v>0</v>
      </c>
      <c r="R833" s="30">
        <f>IF(OR($F833="",$I833=""),0,IFERROR(INDEX(Nutrition!$L$2:$L$300,MATCH($F833,Nutrition!$A$2:$A$300,0))*$I833/100,0))</f>
        <v>0</v>
      </c>
      <c r="S833" s="30">
        <f>IF(OR($F833="",$I833=""),0,IFERROR(INDEX(Nutrition!$M$2:$M$300,MATCH($F833,Nutrition!$A$2:$A$300,0))*$I833/100,0))</f>
        <v>0</v>
      </c>
    </row>
    <row r="834" spans="1:19" ht="15" customHeight="1" x14ac:dyDescent="0.25">
      <c r="A834" s="22" t="s">
        <v>1989</v>
      </c>
      <c r="B834" s="33" t="str">
        <f>IFERROR(INDEX(Recipes!$B$2:$B$500,MATCH(A834,Recipes!$A$2:$A$500,0)),"")</f>
        <v>Ezme (Turkish Chopped Tomato &amp; Pepper Spread)</v>
      </c>
      <c r="C834" s="7" t="s">
        <v>2906</v>
      </c>
      <c r="D834" s="34">
        <v>1</v>
      </c>
      <c r="E834" s="22" t="s">
        <v>2782</v>
      </c>
      <c r="F834" s="22"/>
      <c r="G834" s="22" t="s">
        <v>2773</v>
      </c>
      <c r="H834" s="7"/>
      <c r="I834" s="35"/>
      <c r="J834" s="30">
        <f>IF(OR($F834="",$I834=""),0,IFERROR(INDEX(Nutrition!$D$2:$D$300,MATCH($F834,Nutrition!$A$2:$A$300,0))*$I834/100,0))</f>
        <v>0</v>
      </c>
      <c r="K834" s="30">
        <f>IF(OR($F834="",$I834=""),0,IFERROR(INDEX(Nutrition!$E$2:$E$300,MATCH($F834,Nutrition!$A$2:$A$300,0))*$I834/100,0))</f>
        <v>0</v>
      </c>
      <c r="L834" s="30">
        <f>IF(OR($F834="",$I834=""),0,IFERROR(INDEX(Nutrition!$F$2:$F$300,MATCH($F834,Nutrition!$A$2:$A$300,0))*$I834/100,0))</f>
        <v>0</v>
      </c>
      <c r="M834" s="30">
        <f>IF(OR($F834="",$I834=""),0,IFERROR(INDEX(Nutrition!$G$2:$G$300,MATCH($F834,Nutrition!$A$2:$A$300,0))*$I834/100,0))</f>
        <v>0</v>
      </c>
      <c r="N834" s="30">
        <f>IF(OR($F834="",$I834=""),0,IFERROR(INDEX(Nutrition!$H$2:$H$300,MATCH($F834,Nutrition!$A$2:$A$300,0))*$I834/100,0))</f>
        <v>0</v>
      </c>
      <c r="O834" s="30">
        <f>IF(OR($F834="",$I834=""),0,IFERROR(INDEX(Nutrition!$I$2:$I$300,MATCH($F834,Nutrition!$A$2:$A$300,0))*$I834/100,0))</f>
        <v>0</v>
      </c>
      <c r="P834" s="30">
        <f>IF(OR($F834="",$I834=""),0,IFERROR(INDEX(Nutrition!$J$2:$J$300,MATCH($F834,Nutrition!$A$2:$A$300,0))*$I834/100,0))</f>
        <v>0</v>
      </c>
      <c r="Q834" s="30">
        <f>IF(OR($F834="",$I834=""),0,IFERROR(INDEX(Nutrition!$K$2:$K$300,MATCH($F834,Nutrition!$A$2:$A$300,0))*$I834/100,0))</f>
        <v>0</v>
      </c>
      <c r="R834" s="30">
        <f>IF(OR($F834="",$I834=""),0,IFERROR(INDEX(Nutrition!$L$2:$L$300,MATCH($F834,Nutrition!$A$2:$A$300,0))*$I834/100,0))</f>
        <v>0</v>
      </c>
      <c r="S834" s="30">
        <f>IF(OR($F834="",$I834=""),0,IFERROR(INDEX(Nutrition!$M$2:$M$300,MATCH($F834,Nutrition!$A$2:$A$300,0))*$I834/100,0))</f>
        <v>0</v>
      </c>
    </row>
    <row r="835" spans="1:19" ht="15" customHeight="1" x14ac:dyDescent="0.25">
      <c r="A835" s="22" t="s">
        <v>1999</v>
      </c>
      <c r="B835" s="33" t="str">
        <f>IFERROR(INDEX(Recipes!$B$2:$B$500,MATCH(A835,Recipes!$A$2:$A$500,0)),"")</f>
        <v>Pico de Gallo</v>
      </c>
      <c r="C835" s="7" t="s">
        <v>446</v>
      </c>
      <c r="D835" s="34">
        <v>2</v>
      </c>
      <c r="E835" s="22" t="s">
        <v>2790</v>
      </c>
      <c r="F835" s="22" t="s">
        <v>445</v>
      </c>
      <c r="G835" s="22" t="s">
        <v>2755</v>
      </c>
      <c r="H835" s="7" t="s">
        <v>2756</v>
      </c>
      <c r="I835" s="35">
        <v>360</v>
      </c>
      <c r="J835" s="30">
        <f>IF(OR($F835="",$I835=""),0,IFERROR(INDEX(Nutrition!$D$2:$D$300,MATCH($F835,Nutrition!$A$2:$A$300,0))*$I835/100,0))</f>
        <v>4.32</v>
      </c>
      <c r="K835" s="30">
        <f>IF(OR($F835="",$I835=""),0,IFERROR(INDEX(Nutrition!$E$2:$E$300,MATCH($F835,Nutrition!$A$2:$A$300,0))*$I835/100,0))</f>
        <v>49.32</v>
      </c>
      <c r="L835" s="30">
        <f>IF(OR($F835="",$I835=""),0,IFERROR(INDEX(Nutrition!$F$2:$F$300,MATCH($F835,Nutrition!$A$2:$A$300,0))*$I835/100,0))</f>
        <v>151.19999999999999</v>
      </c>
      <c r="M835" s="30">
        <f>IF(OR($F835="",$I835=""),0,IFERROR(INDEX(Nutrition!$G$2:$G$300,MATCH($F835,Nutrition!$A$2:$A$300,0))*$I835/100,0))</f>
        <v>28.44</v>
      </c>
      <c r="N835" s="30">
        <f>IF(OR($F835="",$I835=""),0,IFERROR(INDEX(Nutrition!$H$2:$H$300,MATCH($F835,Nutrition!$A$2:$A$300,0))*$I835/100,0))</f>
        <v>54</v>
      </c>
      <c r="O835" s="30">
        <f>IF(OR($F835="",$I835=""),0,IFERROR(INDEX(Nutrition!$I$2:$I$300,MATCH($F835,Nutrition!$A$2:$A$300,0))*$I835/100,0))</f>
        <v>853.2</v>
      </c>
      <c r="P835" s="30">
        <f>IF(OR($F835="",$I835=""),0,IFERROR(INDEX(Nutrition!$J$2:$J$300,MATCH($F835,Nutrition!$A$2:$A$300,0))*$I835/100,0))</f>
        <v>1.944</v>
      </c>
      <c r="Q835" s="30">
        <f>IF(OR($F835="",$I835=""),0,IFERROR(INDEX(Nutrition!$K$2:$K$300,MATCH($F835,Nutrition!$A$2:$A$300,0))*$I835/100,0))</f>
        <v>0.28800000000000003</v>
      </c>
      <c r="R835" s="30">
        <f>IF(OR($F835="",$I835=""),0,IFERROR(INDEX(Nutrition!$L$2:$L$300,MATCH($F835,Nutrition!$A$2:$A$300,0))*$I835/100,0))</f>
        <v>39.6</v>
      </c>
      <c r="S835" s="30">
        <f>IF(OR($F835="",$I835=""),0,IFERROR(INDEX(Nutrition!$M$2:$M$300,MATCH($F835,Nutrition!$A$2:$A$300,0))*$I835/100,0))</f>
        <v>0.97199999999999998</v>
      </c>
    </row>
    <row r="836" spans="1:19" ht="15" customHeight="1" x14ac:dyDescent="0.25">
      <c r="A836" s="22" t="s">
        <v>1999</v>
      </c>
      <c r="B836" s="33" t="str">
        <f>IFERROR(INDEX(Recipes!$B$2:$B$500,MATCH(A836,Recipes!$A$2:$A$500,0)),"")</f>
        <v>Pico de Gallo</v>
      </c>
      <c r="C836" s="7" t="s">
        <v>482</v>
      </c>
      <c r="D836" s="34">
        <v>0.75</v>
      </c>
      <c r="E836" s="22" t="s">
        <v>2748</v>
      </c>
      <c r="F836" s="22" t="s">
        <v>481</v>
      </c>
      <c r="G836" s="22" t="s">
        <v>2755</v>
      </c>
      <c r="H836" s="7" t="s">
        <v>2962</v>
      </c>
      <c r="I836" s="35">
        <v>120</v>
      </c>
      <c r="J836" s="30">
        <f>IF(OR($F836="",$I836=""),0,IFERROR(INDEX(Nutrition!$D$2:$D$300,MATCH($F836,Nutrition!$A$2:$A$300,0))*$I836/100,0))</f>
        <v>2.04</v>
      </c>
      <c r="K836" s="30">
        <f>IF(OR($F836="",$I836=""),0,IFERROR(INDEX(Nutrition!$E$2:$E$300,MATCH($F836,Nutrition!$A$2:$A$300,0))*$I836/100,0))</f>
        <v>8.8800000000000008</v>
      </c>
      <c r="L836" s="30">
        <f>IF(OR($F836="",$I836=""),0,IFERROR(INDEX(Nutrition!$F$2:$F$300,MATCH($F836,Nutrition!$A$2:$A$300,0))*$I836/100,0))</f>
        <v>0</v>
      </c>
      <c r="M836" s="30">
        <f>IF(OR($F836="",$I836=""),0,IFERROR(INDEX(Nutrition!$G$2:$G$300,MATCH($F836,Nutrition!$A$2:$A$300,0))*$I836/100,0))</f>
        <v>0.48</v>
      </c>
      <c r="N836" s="30">
        <f>IF(OR($F836="",$I836=""),0,IFERROR(INDEX(Nutrition!$H$2:$H$300,MATCH($F836,Nutrition!$A$2:$A$300,0))*$I836/100,0))</f>
        <v>22.8</v>
      </c>
      <c r="O836" s="30">
        <f>IF(OR($F836="",$I836=""),0,IFERROR(INDEX(Nutrition!$I$2:$I$300,MATCH($F836,Nutrition!$A$2:$A$300,0))*$I836/100,0))</f>
        <v>175.2</v>
      </c>
      <c r="P836" s="30">
        <f>IF(OR($F836="",$I836=""),0,IFERROR(INDEX(Nutrition!$J$2:$J$300,MATCH($F836,Nutrition!$A$2:$A$300,0))*$I836/100,0))</f>
        <v>2.4E-2</v>
      </c>
      <c r="Q836" s="30">
        <f>IF(OR($F836="",$I836=""),0,IFERROR(INDEX(Nutrition!$K$2:$K$300,MATCH($F836,Nutrition!$A$2:$A$300,0))*$I836/100,0))</f>
        <v>0.14399999999999999</v>
      </c>
      <c r="R836" s="30">
        <f>IF(OR($F836="",$I836=""),0,IFERROR(INDEX(Nutrition!$L$2:$L$300,MATCH($F836,Nutrition!$A$2:$A$300,0))*$I836/100,0))</f>
        <v>12</v>
      </c>
      <c r="S836" s="30">
        <f>IF(OR($F836="",$I836=""),0,IFERROR(INDEX(Nutrition!$M$2:$M$300,MATCH($F836,Nutrition!$A$2:$A$300,0))*$I836/100,0))</f>
        <v>0.252</v>
      </c>
    </row>
    <row r="837" spans="1:19" ht="15" customHeight="1" x14ac:dyDescent="0.25">
      <c r="A837" s="22" t="s">
        <v>1999</v>
      </c>
      <c r="B837" s="33" t="str">
        <f>IFERROR(INDEX(Recipes!$B$2:$B$500,MATCH(A837,Recipes!$A$2:$A$500,0)),"")</f>
        <v>Pico de Gallo</v>
      </c>
      <c r="C837" s="7" t="s">
        <v>668</v>
      </c>
      <c r="D837" s="34">
        <v>0.5</v>
      </c>
      <c r="E837" s="22" t="s">
        <v>2748</v>
      </c>
      <c r="F837" s="22" t="s">
        <v>667</v>
      </c>
      <c r="G837" s="22" t="s">
        <v>2755</v>
      </c>
      <c r="H837" s="7" t="s">
        <v>2775</v>
      </c>
      <c r="I837" s="35">
        <v>8</v>
      </c>
      <c r="J837" s="30">
        <f>IF(OR($F837="",$I837=""),0,IFERROR(INDEX(Nutrition!$D$2:$D$300,MATCH($F837,Nutrition!$A$2:$A$300,0))*$I837/100,0))</f>
        <v>0.22399999999999998</v>
      </c>
      <c r="K837" s="30">
        <f>IF(OR($F837="",$I837=""),0,IFERROR(INDEX(Nutrition!$E$2:$E$300,MATCH($F837,Nutrition!$A$2:$A$300,0))*$I837/100,0))</f>
        <v>2.16</v>
      </c>
      <c r="L837" s="30">
        <f>IF(OR($F837="",$I837=""),0,IFERROR(INDEX(Nutrition!$F$2:$F$300,MATCH($F837,Nutrition!$A$2:$A$300,0))*$I837/100,0))</f>
        <v>26.96</v>
      </c>
      <c r="M837" s="30">
        <f>IF(OR($F837="",$I837=""),0,IFERROR(INDEX(Nutrition!$G$2:$G$300,MATCH($F837,Nutrition!$A$2:$A$300,0))*$I837/100,0))</f>
        <v>24.8</v>
      </c>
      <c r="N837" s="30">
        <f>IF(OR($F837="",$I837=""),0,IFERROR(INDEX(Nutrition!$H$2:$H$300,MATCH($F837,Nutrition!$A$2:$A$300,0))*$I837/100,0))</f>
        <v>4.96</v>
      </c>
      <c r="O837" s="30">
        <f>IF(OR($F837="",$I837=""),0,IFERROR(INDEX(Nutrition!$I$2:$I$300,MATCH($F837,Nutrition!$A$2:$A$300,0))*$I837/100,0))</f>
        <v>41.68</v>
      </c>
      <c r="P837" s="30">
        <f>IF(OR($F837="",$I837=""),0,IFERROR(INDEX(Nutrition!$J$2:$J$300,MATCH($F837,Nutrition!$A$2:$A$300,0))*$I837/100,0))</f>
        <v>0.2</v>
      </c>
      <c r="Q837" s="30">
        <f>IF(OR($F837="",$I837=""),0,IFERROR(INDEX(Nutrition!$K$2:$K$300,MATCH($F837,Nutrition!$A$2:$A$300,0))*$I837/100,0))</f>
        <v>1.192E-2</v>
      </c>
      <c r="R837" s="30">
        <f>IF(OR($F837="",$I837=""),0,IFERROR(INDEX(Nutrition!$L$2:$L$300,MATCH($F837,Nutrition!$A$2:$A$300,0))*$I837/100,0))</f>
        <v>2.08</v>
      </c>
      <c r="S837" s="30">
        <f>IF(OR($F837="",$I837=""),0,IFERROR(INDEX(Nutrition!$M$2:$M$300,MATCH($F837,Nutrition!$A$2:$A$300,0))*$I837/100,0))</f>
        <v>0.1416</v>
      </c>
    </row>
    <row r="838" spans="1:19" ht="15" customHeight="1" x14ac:dyDescent="0.25">
      <c r="A838" s="22" t="s">
        <v>1999</v>
      </c>
      <c r="B838" s="33" t="str">
        <f>IFERROR(INDEX(Recipes!$B$2:$B$500,MATCH(A838,Recipes!$A$2:$A$500,0)),"")</f>
        <v>Pico de Gallo</v>
      </c>
      <c r="C838" s="7" t="s">
        <v>213</v>
      </c>
      <c r="D838" s="34">
        <v>2</v>
      </c>
      <c r="E838" s="22" t="s">
        <v>2754</v>
      </c>
      <c r="F838" s="22" t="s">
        <v>212</v>
      </c>
      <c r="G838" s="22" t="s">
        <v>2755</v>
      </c>
      <c r="H838" s="7" t="s">
        <v>2912</v>
      </c>
      <c r="I838" s="35">
        <v>134</v>
      </c>
      <c r="J838" s="30">
        <f>IF(OR($F838="",$I838=""),0,IFERROR(INDEX(Nutrition!$D$2:$D$300,MATCH($F838,Nutrition!$A$2:$A$300,0))*$I838/100,0))</f>
        <v>3.7519999999999998</v>
      </c>
      <c r="K838" s="30">
        <f>IF(OR($F838="",$I838=""),0,IFERROR(INDEX(Nutrition!$E$2:$E$300,MATCH($F838,Nutrition!$A$2:$A$300,0))*$I838/100,0))</f>
        <v>38.994</v>
      </c>
      <c r="L838" s="30">
        <f>IF(OR($F838="",$I838=""),0,IFERROR(INDEX(Nutrition!$F$2:$F$300,MATCH($F838,Nutrition!$A$2:$A$300,0))*$I838/100,0))</f>
        <v>2.68</v>
      </c>
      <c r="M838" s="30">
        <f>IF(OR($F838="",$I838=""),0,IFERROR(INDEX(Nutrition!$G$2:$G$300,MATCH($F838,Nutrition!$A$2:$A$300,0))*$I838/100,0))</f>
        <v>0.80399999999999994</v>
      </c>
      <c r="N838" s="30">
        <f>IF(OR($F838="",$I838=""),0,IFERROR(INDEX(Nutrition!$H$2:$H$300,MATCH($F838,Nutrition!$A$2:$A$300,0))*$I838/100,0))</f>
        <v>10.72</v>
      </c>
      <c r="O838" s="30">
        <f>IF(OR($F838="",$I838=""),0,IFERROR(INDEX(Nutrition!$I$2:$I$300,MATCH($F838,Nutrition!$A$2:$A$300,0))*$I838/100,0))</f>
        <v>136.68</v>
      </c>
      <c r="P838" s="30">
        <f>IF(OR($F838="",$I838=""),0,IFERROR(INDEX(Nutrition!$J$2:$J$300,MATCH($F838,Nutrition!$A$2:$A$300,0))*$I838/100,0))</f>
        <v>0.29480000000000001</v>
      </c>
      <c r="Q838" s="30">
        <f>IF(OR($F838="",$I838=""),0,IFERROR(INDEX(Nutrition!$K$2:$K$300,MATCH($F838,Nutrition!$A$2:$A$300,0))*$I838/100,0))</f>
        <v>5.7619999999999998E-2</v>
      </c>
      <c r="R838" s="30">
        <f>IF(OR($F838="",$I838=""),0,IFERROR(INDEX(Nutrition!$L$2:$L$300,MATCH($F838,Nutrition!$A$2:$A$300,0))*$I838/100,0))</f>
        <v>8.0399999999999991</v>
      </c>
      <c r="S838" s="30">
        <f>IF(OR($F838="",$I838=""),0,IFERROR(INDEX(Nutrition!$M$2:$M$300,MATCH($F838,Nutrition!$A$2:$A$300,0))*$I838/100,0))</f>
        <v>0.80399999999999994</v>
      </c>
    </row>
    <row r="839" spans="1:19" ht="15" customHeight="1" x14ac:dyDescent="0.25">
      <c r="A839" s="22" t="s">
        <v>1999</v>
      </c>
      <c r="B839" s="33" t="str">
        <f>IFERROR(INDEX(Recipes!$B$2:$B$500,MATCH(A839,Recipes!$A$2:$A$500,0)),"")</f>
        <v>Pico de Gallo</v>
      </c>
      <c r="C839" s="7" t="s">
        <v>500</v>
      </c>
      <c r="D839" s="34">
        <v>2</v>
      </c>
      <c r="E839" s="22" t="s">
        <v>2776</v>
      </c>
      <c r="F839" s="22" t="s">
        <v>499</v>
      </c>
      <c r="G839" s="22" t="s">
        <v>2755</v>
      </c>
      <c r="H839" s="7" t="s">
        <v>2896</v>
      </c>
      <c r="I839" s="35">
        <v>6</v>
      </c>
      <c r="J839" s="30">
        <f>IF(OR($F839="",$I839=""),0,IFERROR(INDEX(Nutrition!$D$2:$D$300,MATCH($F839,Nutrition!$A$2:$A$300,0))*$I839/100,0))</f>
        <v>0.126</v>
      </c>
      <c r="K839" s="30">
        <f>IF(OR($F839="",$I839=""),0,IFERROR(INDEX(Nutrition!$E$2:$E$300,MATCH($F839,Nutrition!$A$2:$A$300,0))*$I839/100,0))</f>
        <v>1.8719999999999999</v>
      </c>
      <c r="L839" s="30">
        <f>IF(OR($F839="",$I839=""),0,IFERROR(INDEX(Nutrition!$F$2:$F$300,MATCH($F839,Nutrition!$A$2:$A$300,0))*$I839/100,0))</f>
        <v>0</v>
      </c>
      <c r="M839" s="30">
        <f>IF(OR($F839="",$I839=""),0,IFERROR(INDEX(Nutrition!$G$2:$G$300,MATCH($F839,Nutrition!$A$2:$A$300,0))*$I839/100,0))</f>
        <v>0.10199999999999999</v>
      </c>
      <c r="N839" s="30">
        <f>IF(OR($F839="",$I839=""),0,IFERROR(INDEX(Nutrition!$H$2:$H$300,MATCH($F839,Nutrition!$A$2:$A$300,0))*$I839/100,0))</f>
        <v>0.18</v>
      </c>
      <c r="O839" s="30">
        <f>IF(OR($F839="",$I839=""),0,IFERROR(INDEX(Nutrition!$I$2:$I$300,MATCH($F839,Nutrition!$A$2:$A$300,0))*$I839/100,0))</f>
        <v>24.06</v>
      </c>
      <c r="P839" s="30">
        <f>IF(OR($F839="",$I839=""),0,IFERROR(INDEX(Nutrition!$J$2:$J$300,MATCH($F839,Nutrition!$A$2:$A$300,0))*$I839/100,0))</f>
        <v>4.7999999999999996E-3</v>
      </c>
      <c r="Q839" s="30">
        <f>IF(OR($F839="",$I839=""),0,IFERROR(INDEX(Nutrition!$K$2:$K$300,MATCH($F839,Nutrition!$A$2:$A$300,0))*$I839/100,0))</f>
        <v>7.4099999999999999E-2</v>
      </c>
      <c r="R839" s="30">
        <f>IF(OR($F839="",$I839=""),0,IFERROR(INDEX(Nutrition!$L$2:$L$300,MATCH($F839,Nutrition!$A$2:$A$300,0))*$I839/100,0))</f>
        <v>1.5</v>
      </c>
      <c r="S839" s="30">
        <f>IF(OR($F839="",$I839=""),0,IFERROR(INDEX(Nutrition!$M$2:$M$300,MATCH($F839,Nutrition!$A$2:$A$300,0))*$I839/100,0))</f>
        <v>0.10199999999999999</v>
      </c>
    </row>
    <row r="840" spans="1:19" ht="15" customHeight="1" x14ac:dyDescent="0.25">
      <c r="A840" s="22" t="s">
        <v>1999</v>
      </c>
      <c r="B840" s="33" t="str">
        <f>IFERROR(INDEX(Recipes!$B$2:$B$500,MATCH(A840,Recipes!$A$2:$A$500,0)),"")</f>
        <v>Pico de Gallo</v>
      </c>
      <c r="C840" s="7" t="s">
        <v>473</v>
      </c>
      <c r="D840" s="34">
        <v>0.5</v>
      </c>
      <c r="E840" s="22" t="s">
        <v>2754</v>
      </c>
      <c r="F840" s="22" t="s">
        <v>472</v>
      </c>
      <c r="G840" s="22" t="s">
        <v>2755</v>
      </c>
      <c r="H840" s="7" t="s">
        <v>2771</v>
      </c>
      <c r="I840" s="35">
        <v>5</v>
      </c>
      <c r="J840" s="30">
        <f>IF(OR($F840="",$I840=""),0,IFERROR(INDEX(Nutrition!$D$2:$D$300,MATCH($F840,Nutrition!$A$2:$A$300,0))*$I840/100,0))</f>
        <v>7.4999999999999997E-2</v>
      </c>
      <c r="K840" s="30">
        <f>IF(OR($F840="",$I840=""),0,IFERROR(INDEX(Nutrition!$E$2:$E$300,MATCH($F840,Nutrition!$A$2:$A$300,0))*$I840/100,0))</f>
        <v>7.1849999999999996</v>
      </c>
      <c r="L840" s="30">
        <f>IF(OR($F840="",$I840=""),0,IFERROR(INDEX(Nutrition!$F$2:$F$300,MATCH($F840,Nutrition!$A$2:$A$300,0))*$I840/100,0))</f>
        <v>2.4</v>
      </c>
      <c r="M840" s="30">
        <f>IF(OR($F840="",$I840=""),0,IFERROR(INDEX(Nutrition!$G$2:$G$300,MATCH($F840,Nutrition!$A$2:$A$300,0))*$I840/100,0))</f>
        <v>0.7</v>
      </c>
      <c r="N840" s="30">
        <f>IF(OR($F840="",$I840=""),0,IFERROR(INDEX(Nutrition!$H$2:$H$300,MATCH($F840,Nutrition!$A$2:$A$300,0))*$I840/100,0))</f>
        <v>1.1499999999999999</v>
      </c>
      <c r="O840" s="30">
        <f>IF(OR($F840="",$I840=""),0,IFERROR(INDEX(Nutrition!$I$2:$I$300,MATCH($F840,Nutrition!$A$2:$A$300,0))*$I840/100,0))</f>
        <v>16.100000000000001</v>
      </c>
      <c r="P840" s="30">
        <f>IF(OR($F840="",$I840=""),0,IFERROR(INDEX(Nutrition!$J$2:$J$300,MATCH($F840,Nutrition!$A$2:$A$300,0))*$I840/100,0))</f>
        <v>3.4499999999999996E-2</v>
      </c>
      <c r="Q840" s="30">
        <f>IF(OR($F840="",$I840=""),0,IFERROR(INDEX(Nutrition!$K$2:$K$300,MATCH($F840,Nutrition!$A$2:$A$300,0))*$I840/100,0))</f>
        <v>2.5300000000000003E-2</v>
      </c>
      <c r="R840" s="30">
        <f>IF(OR($F840="",$I840=""),0,IFERROR(INDEX(Nutrition!$L$2:$L$300,MATCH($F840,Nutrition!$A$2:$A$300,0))*$I840/100,0))</f>
        <v>1.1499999999999999</v>
      </c>
      <c r="S840" s="30">
        <f>IF(OR($F840="",$I840=""),0,IFERROR(INDEX(Nutrition!$M$2:$M$300,MATCH($F840,Nutrition!$A$2:$A$300,0))*$I840/100,0))</f>
        <v>5.1500000000000004E-2</v>
      </c>
    </row>
    <row r="841" spans="1:19" ht="15" customHeight="1" x14ac:dyDescent="0.25">
      <c r="A841" s="22" t="s">
        <v>1999</v>
      </c>
      <c r="B841" s="33" t="str">
        <f>IFERROR(INDEX(Recipes!$B$2:$B$500,MATCH(A841,Recipes!$A$2:$A$500,0)),"")</f>
        <v>Pico de Gallo</v>
      </c>
      <c r="C841" s="7" t="s">
        <v>2781</v>
      </c>
      <c r="D841" s="34">
        <v>0.5</v>
      </c>
      <c r="E841" s="22" t="s">
        <v>2759</v>
      </c>
      <c r="F841" s="22"/>
      <c r="G841" s="22" t="s">
        <v>2773</v>
      </c>
      <c r="H841" s="7"/>
      <c r="I841" s="35"/>
      <c r="J841" s="30">
        <f>IF(OR($F841="",$I841=""),0,IFERROR(INDEX(Nutrition!$D$2:$D$300,MATCH($F841,Nutrition!$A$2:$A$300,0))*$I841/100,0))</f>
        <v>0</v>
      </c>
      <c r="K841" s="30">
        <f>IF(OR($F841="",$I841=""),0,IFERROR(INDEX(Nutrition!$E$2:$E$300,MATCH($F841,Nutrition!$A$2:$A$300,0))*$I841/100,0))</f>
        <v>0</v>
      </c>
      <c r="L841" s="30">
        <f>IF(OR($F841="",$I841=""),0,IFERROR(INDEX(Nutrition!$F$2:$F$300,MATCH($F841,Nutrition!$A$2:$A$300,0))*$I841/100,0))</f>
        <v>0</v>
      </c>
      <c r="M841" s="30">
        <f>IF(OR($F841="",$I841=""),0,IFERROR(INDEX(Nutrition!$G$2:$G$300,MATCH($F841,Nutrition!$A$2:$A$300,0))*$I841/100,0))</f>
        <v>0</v>
      </c>
      <c r="N841" s="30">
        <f>IF(OR($F841="",$I841=""),0,IFERROR(INDEX(Nutrition!$H$2:$H$300,MATCH($F841,Nutrition!$A$2:$A$300,0))*$I841/100,0))</f>
        <v>0</v>
      </c>
      <c r="O841" s="30">
        <f>IF(OR($F841="",$I841=""),0,IFERROR(INDEX(Nutrition!$I$2:$I$300,MATCH($F841,Nutrition!$A$2:$A$300,0))*$I841/100,0))</f>
        <v>0</v>
      </c>
      <c r="P841" s="30">
        <f>IF(OR($F841="",$I841=""),0,IFERROR(INDEX(Nutrition!$J$2:$J$300,MATCH($F841,Nutrition!$A$2:$A$300,0))*$I841/100,0))</f>
        <v>0</v>
      </c>
      <c r="Q841" s="30">
        <f>IF(OR($F841="",$I841=""),0,IFERROR(INDEX(Nutrition!$K$2:$K$300,MATCH($F841,Nutrition!$A$2:$A$300,0))*$I841/100,0))</f>
        <v>0</v>
      </c>
      <c r="R841" s="30">
        <f>IF(OR($F841="",$I841=""),0,IFERROR(INDEX(Nutrition!$L$2:$L$300,MATCH($F841,Nutrition!$A$2:$A$300,0))*$I841/100,0))</f>
        <v>0</v>
      </c>
      <c r="S841" s="30">
        <f>IF(OR($F841="",$I841=""),0,IFERROR(INDEX(Nutrition!$M$2:$M$300,MATCH($F841,Nutrition!$A$2:$A$300,0))*$I841/100,0))</f>
        <v>0</v>
      </c>
    </row>
    <row r="842" spans="1:19" ht="15" customHeight="1" x14ac:dyDescent="0.25">
      <c r="A842" s="22" t="s">
        <v>2008</v>
      </c>
      <c r="B842" s="33" t="str">
        <f>IFERROR(INDEX(Recipes!$B$2:$B$500,MATCH(A842,Recipes!$A$2:$A$500,0)),"")</f>
        <v>Roasted Salsa Roja</v>
      </c>
      <c r="C842" s="7" t="s">
        <v>446</v>
      </c>
      <c r="D842" s="34">
        <v>8</v>
      </c>
      <c r="E842" s="22" t="s">
        <v>2754</v>
      </c>
      <c r="F842" s="22" t="s">
        <v>445</v>
      </c>
      <c r="G842" s="22" t="s">
        <v>2755</v>
      </c>
      <c r="H842" s="7" t="s">
        <v>2963</v>
      </c>
      <c r="I842" s="35">
        <v>496</v>
      </c>
      <c r="J842" s="30">
        <f>IF(OR($F842="",$I842=""),0,IFERROR(INDEX(Nutrition!$D$2:$D$300,MATCH($F842,Nutrition!$A$2:$A$300,0))*$I842/100,0))</f>
        <v>5.9519999999999991</v>
      </c>
      <c r="K842" s="30">
        <f>IF(OR($F842="",$I842=""),0,IFERROR(INDEX(Nutrition!$E$2:$E$300,MATCH($F842,Nutrition!$A$2:$A$300,0))*$I842/100,0))</f>
        <v>67.951999999999998</v>
      </c>
      <c r="L842" s="30">
        <f>IF(OR($F842="",$I842=""),0,IFERROR(INDEX(Nutrition!$F$2:$F$300,MATCH($F842,Nutrition!$A$2:$A$300,0))*$I842/100,0))</f>
        <v>208.32</v>
      </c>
      <c r="M842" s="30">
        <f>IF(OR($F842="",$I842=""),0,IFERROR(INDEX(Nutrition!$G$2:$G$300,MATCH($F842,Nutrition!$A$2:$A$300,0))*$I842/100,0))</f>
        <v>39.183999999999997</v>
      </c>
      <c r="N842" s="30">
        <f>IF(OR($F842="",$I842=""),0,IFERROR(INDEX(Nutrition!$H$2:$H$300,MATCH($F842,Nutrition!$A$2:$A$300,0))*$I842/100,0))</f>
        <v>74.400000000000006</v>
      </c>
      <c r="O842" s="30">
        <f>IF(OR($F842="",$I842=""),0,IFERROR(INDEX(Nutrition!$I$2:$I$300,MATCH($F842,Nutrition!$A$2:$A$300,0))*$I842/100,0))</f>
        <v>1175.52</v>
      </c>
      <c r="P842" s="30">
        <f>IF(OR($F842="",$I842=""),0,IFERROR(INDEX(Nutrition!$J$2:$J$300,MATCH($F842,Nutrition!$A$2:$A$300,0))*$I842/100,0))</f>
        <v>2.6784000000000003</v>
      </c>
      <c r="Q842" s="30">
        <f>IF(OR($F842="",$I842=""),0,IFERROR(INDEX(Nutrition!$K$2:$K$300,MATCH($F842,Nutrition!$A$2:$A$300,0))*$I842/100,0))</f>
        <v>0.39679999999999999</v>
      </c>
      <c r="R842" s="30">
        <f>IF(OR($F842="",$I842=""),0,IFERROR(INDEX(Nutrition!$L$2:$L$300,MATCH($F842,Nutrition!$A$2:$A$300,0))*$I842/100,0))</f>
        <v>54.56</v>
      </c>
      <c r="S842" s="30">
        <f>IF(OR($F842="",$I842=""),0,IFERROR(INDEX(Nutrition!$M$2:$M$300,MATCH($F842,Nutrition!$A$2:$A$300,0))*$I842/100,0))</f>
        <v>1.3392000000000002</v>
      </c>
    </row>
    <row r="843" spans="1:19" ht="15" customHeight="1" x14ac:dyDescent="0.25">
      <c r="A843" s="22" t="s">
        <v>2008</v>
      </c>
      <c r="B843" s="33" t="str">
        <f>IFERROR(INDEX(Recipes!$B$2:$B$500,MATCH(A843,Recipes!$A$2:$A$500,0)),"")</f>
        <v>Roasted Salsa Roja</v>
      </c>
      <c r="C843" s="7" t="s">
        <v>482</v>
      </c>
      <c r="D843" s="34">
        <v>0.5</v>
      </c>
      <c r="E843" s="22" t="s">
        <v>2754</v>
      </c>
      <c r="F843" s="22" t="s">
        <v>481</v>
      </c>
      <c r="G843" s="22" t="s">
        <v>2755</v>
      </c>
      <c r="H843" s="7" t="s">
        <v>2911</v>
      </c>
      <c r="I843" s="35">
        <v>55</v>
      </c>
      <c r="J843" s="30">
        <f>IF(OR($F843="",$I843=""),0,IFERROR(INDEX(Nutrition!$D$2:$D$300,MATCH($F843,Nutrition!$A$2:$A$300,0))*$I843/100,0))</f>
        <v>0.93500000000000005</v>
      </c>
      <c r="K843" s="30">
        <f>IF(OR($F843="",$I843=""),0,IFERROR(INDEX(Nutrition!$E$2:$E$300,MATCH($F843,Nutrition!$A$2:$A$300,0))*$I843/100,0))</f>
        <v>4.07</v>
      </c>
      <c r="L843" s="30">
        <f>IF(OR($F843="",$I843=""),0,IFERROR(INDEX(Nutrition!$F$2:$F$300,MATCH($F843,Nutrition!$A$2:$A$300,0))*$I843/100,0))</f>
        <v>0</v>
      </c>
      <c r="M843" s="30">
        <f>IF(OR($F843="",$I843=""),0,IFERROR(INDEX(Nutrition!$G$2:$G$300,MATCH($F843,Nutrition!$A$2:$A$300,0))*$I843/100,0))</f>
        <v>0.22</v>
      </c>
      <c r="N843" s="30">
        <f>IF(OR($F843="",$I843=""),0,IFERROR(INDEX(Nutrition!$H$2:$H$300,MATCH($F843,Nutrition!$A$2:$A$300,0))*$I843/100,0))</f>
        <v>10.45</v>
      </c>
      <c r="O843" s="30">
        <f>IF(OR($F843="",$I843=""),0,IFERROR(INDEX(Nutrition!$I$2:$I$300,MATCH($F843,Nutrition!$A$2:$A$300,0))*$I843/100,0))</f>
        <v>80.3</v>
      </c>
      <c r="P843" s="30">
        <f>IF(OR($F843="",$I843=""),0,IFERROR(INDEX(Nutrition!$J$2:$J$300,MATCH($F843,Nutrition!$A$2:$A$300,0))*$I843/100,0))</f>
        <v>1.1000000000000001E-2</v>
      </c>
      <c r="Q843" s="30">
        <f>IF(OR($F843="",$I843=""),0,IFERROR(INDEX(Nutrition!$K$2:$K$300,MATCH($F843,Nutrition!$A$2:$A$300,0))*$I843/100,0))</f>
        <v>6.6000000000000003E-2</v>
      </c>
      <c r="R843" s="30">
        <f>IF(OR($F843="",$I843=""),0,IFERROR(INDEX(Nutrition!$L$2:$L$300,MATCH($F843,Nutrition!$A$2:$A$300,0))*$I843/100,0))</f>
        <v>5.5</v>
      </c>
      <c r="S843" s="30">
        <f>IF(OR($F843="",$I843=""),0,IFERROR(INDEX(Nutrition!$M$2:$M$300,MATCH($F843,Nutrition!$A$2:$A$300,0))*$I843/100,0))</f>
        <v>0.11549999999999999</v>
      </c>
    </row>
    <row r="844" spans="1:19" ht="15" customHeight="1" x14ac:dyDescent="0.25">
      <c r="A844" s="22" t="s">
        <v>2008</v>
      </c>
      <c r="B844" s="33" t="str">
        <f>IFERROR(INDEX(Recipes!$B$2:$B$500,MATCH(A844,Recipes!$A$2:$A$500,0)),"")</f>
        <v>Roasted Salsa Roja</v>
      </c>
      <c r="C844" s="7" t="s">
        <v>478</v>
      </c>
      <c r="D844" s="34">
        <v>2</v>
      </c>
      <c r="E844" s="22" t="s">
        <v>2754</v>
      </c>
      <c r="F844" s="22" t="s">
        <v>477</v>
      </c>
      <c r="G844" s="22" t="s">
        <v>2755</v>
      </c>
      <c r="H844" s="7"/>
      <c r="I844" s="35">
        <v>40</v>
      </c>
      <c r="J844" s="30">
        <f>IF(OR($F844="",$I844=""),0,IFERROR(INDEX(Nutrition!$D$2:$D$300,MATCH($F844,Nutrition!$A$2:$A$300,0))*$I844/100,0))</f>
        <v>0.6</v>
      </c>
      <c r="K844" s="30">
        <f>IF(OR($F844="",$I844=""),0,IFERROR(INDEX(Nutrition!$E$2:$E$300,MATCH($F844,Nutrition!$A$2:$A$300,0))*$I844/100,0))</f>
        <v>57.48</v>
      </c>
      <c r="L844" s="30">
        <f>IF(OR($F844="",$I844=""),0,IFERROR(INDEX(Nutrition!$F$2:$F$300,MATCH($F844,Nutrition!$A$2:$A$300,0))*$I844/100,0))</f>
        <v>19.2</v>
      </c>
      <c r="M844" s="30">
        <f>IF(OR($F844="",$I844=""),0,IFERROR(INDEX(Nutrition!$G$2:$G$300,MATCH($F844,Nutrition!$A$2:$A$300,0))*$I844/100,0))</f>
        <v>5.6</v>
      </c>
      <c r="N844" s="30">
        <f>IF(OR($F844="",$I844=""),0,IFERROR(INDEX(Nutrition!$H$2:$H$300,MATCH($F844,Nutrition!$A$2:$A$300,0))*$I844/100,0))</f>
        <v>9.1999999999999993</v>
      </c>
      <c r="O844" s="30">
        <f>IF(OR($F844="",$I844=""),0,IFERROR(INDEX(Nutrition!$I$2:$I$300,MATCH($F844,Nutrition!$A$2:$A$300,0))*$I844/100,0))</f>
        <v>128.80000000000001</v>
      </c>
      <c r="P844" s="30">
        <f>IF(OR($F844="",$I844=""),0,IFERROR(INDEX(Nutrition!$J$2:$J$300,MATCH($F844,Nutrition!$A$2:$A$300,0))*$I844/100,0))</f>
        <v>0.27599999999999997</v>
      </c>
      <c r="Q844" s="30">
        <f>IF(OR($F844="",$I844=""),0,IFERROR(INDEX(Nutrition!$K$2:$K$300,MATCH($F844,Nutrition!$A$2:$A$300,0))*$I844/100,0))</f>
        <v>0.20240000000000002</v>
      </c>
      <c r="R844" s="30">
        <f>IF(OR($F844="",$I844=""),0,IFERROR(INDEX(Nutrition!$L$2:$L$300,MATCH($F844,Nutrition!$A$2:$A$300,0))*$I844/100,0))</f>
        <v>9.1999999999999993</v>
      </c>
      <c r="S844" s="30">
        <f>IF(OR($F844="",$I844=""),0,IFERROR(INDEX(Nutrition!$M$2:$M$300,MATCH($F844,Nutrition!$A$2:$A$300,0))*$I844/100,0))</f>
        <v>0.41200000000000003</v>
      </c>
    </row>
    <row r="845" spans="1:19" ht="15" customHeight="1" x14ac:dyDescent="0.25">
      <c r="A845" s="22" t="s">
        <v>2008</v>
      </c>
      <c r="B845" s="33" t="str">
        <f>IFERROR(INDEX(Recipes!$B$2:$B$500,MATCH(A845,Recipes!$A$2:$A$500,0)),"")</f>
        <v>Roasted Salsa Roja</v>
      </c>
      <c r="C845" s="7" t="s">
        <v>500</v>
      </c>
      <c r="D845" s="34">
        <v>3</v>
      </c>
      <c r="E845" s="22" t="s">
        <v>2776</v>
      </c>
      <c r="F845" s="22" t="s">
        <v>499</v>
      </c>
      <c r="G845" s="22" t="s">
        <v>2755</v>
      </c>
      <c r="H845" s="7" t="s">
        <v>2964</v>
      </c>
      <c r="I845" s="35">
        <v>9</v>
      </c>
      <c r="J845" s="30">
        <f>IF(OR($F845="",$I845=""),0,IFERROR(INDEX(Nutrition!$D$2:$D$300,MATCH($F845,Nutrition!$A$2:$A$300,0))*$I845/100,0))</f>
        <v>0.18900000000000003</v>
      </c>
      <c r="K845" s="30">
        <f>IF(OR($F845="",$I845=""),0,IFERROR(INDEX(Nutrition!$E$2:$E$300,MATCH($F845,Nutrition!$A$2:$A$300,0))*$I845/100,0))</f>
        <v>2.8080000000000003</v>
      </c>
      <c r="L845" s="30">
        <f>IF(OR($F845="",$I845=""),0,IFERROR(INDEX(Nutrition!$F$2:$F$300,MATCH($F845,Nutrition!$A$2:$A$300,0))*$I845/100,0))</f>
        <v>0</v>
      </c>
      <c r="M845" s="30">
        <f>IF(OR($F845="",$I845=""),0,IFERROR(INDEX(Nutrition!$G$2:$G$300,MATCH($F845,Nutrition!$A$2:$A$300,0))*$I845/100,0))</f>
        <v>0.153</v>
      </c>
      <c r="N845" s="30">
        <f>IF(OR($F845="",$I845=""),0,IFERROR(INDEX(Nutrition!$H$2:$H$300,MATCH($F845,Nutrition!$A$2:$A$300,0))*$I845/100,0))</f>
        <v>0.27</v>
      </c>
      <c r="O845" s="30">
        <f>IF(OR($F845="",$I845=""),0,IFERROR(INDEX(Nutrition!$I$2:$I$300,MATCH($F845,Nutrition!$A$2:$A$300,0))*$I845/100,0))</f>
        <v>36.090000000000003</v>
      </c>
      <c r="P845" s="30">
        <f>IF(OR($F845="",$I845=""),0,IFERROR(INDEX(Nutrition!$J$2:$J$300,MATCH($F845,Nutrition!$A$2:$A$300,0))*$I845/100,0))</f>
        <v>7.1999999999999998E-3</v>
      </c>
      <c r="Q845" s="30">
        <f>IF(OR($F845="",$I845=""),0,IFERROR(INDEX(Nutrition!$K$2:$K$300,MATCH($F845,Nutrition!$A$2:$A$300,0))*$I845/100,0))</f>
        <v>0.11115</v>
      </c>
      <c r="R845" s="30">
        <f>IF(OR($F845="",$I845=""),0,IFERROR(INDEX(Nutrition!$L$2:$L$300,MATCH($F845,Nutrition!$A$2:$A$300,0))*$I845/100,0))</f>
        <v>2.25</v>
      </c>
      <c r="S845" s="30">
        <f>IF(OR($F845="",$I845=""),0,IFERROR(INDEX(Nutrition!$M$2:$M$300,MATCH($F845,Nutrition!$A$2:$A$300,0))*$I845/100,0))</f>
        <v>0.153</v>
      </c>
    </row>
    <row r="846" spans="1:19" ht="15" customHeight="1" x14ac:dyDescent="0.25">
      <c r="A846" s="22" t="s">
        <v>2008</v>
      </c>
      <c r="B846" s="33" t="str">
        <f>IFERROR(INDEX(Recipes!$B$2:$B$500,MATCH(A846,Recipes!$A$2:$A$500,0)),"")</f>
        <v>Roasted Salsa Roja</v>
      </c>
      <c r="C846" s="7" t="s">
        <v>668</v>
      </c>
      <c r="D846" s="34">
        <v>3</v>
      </c>
      <c r="E846" s="22" t="s">
        <v>2753</v>
      </c>
      <c r="F846" s="22" t="s">
        <v>667</v>
      </c>
      <c r="G846" s="22" t="s">
        <v>2755</v>
      </c>
      <c r="H846" s="7" t="s">
        <v>2775</v>
      </c>
      <c r="I846" s="35">
        <v>12</v>
      </c>
      <c r="J846" s="30">
        <f>IF(OR($F846="",$I846=""),0,IFERROR(INDEX(Nutrition!$D$2:$D$300,MATCH($F846,Nutrition!$A$2:$A$300,0))*$I846/100,0))</f>
        <v>0.33599999999999997</v>
      </c>
      <c r="K846" s="30">
        <f>IF(OR($F846="",$I846=""),0,IFERROR(INDEX(Nutrition!$E$2:$E$300,MATCH($F846,Nutrition!$A$2:$A$300,0))*$I846/100,0))</f>
        <v>3.24</v>
      </c>
      <c r="L846" s="30">
        <f>IF(OR($F846="",$I846=""),0,IFERROR(INDEX(Nutrition!$F$2:$F$300,MATCH($F846,Nutrition!$A$2:$A$300,0))*$I846/100,0))</f>
        <v>40.44</v>
      </c>
      <c r="M846" s="30">
        <f>IF(OR($F846="",$I846=""),0,IFERROR(INDEX(Nutrition!$G$2:$G$300,MATCH($F846,Nutrition!$A$2:$A$300,0))*$I846/100,0))</f>
        <v>37.200000000000003</v>
      </c>
      <c r="N846" s="30">
        <f>IF(OR($F846="",$I846=""),0,IFERROR(INDEX(Nutrition!$H$2:$H$300,MATCH($F846,Nutrition!$A$2:$A$300,0))*$I846/100,0))</f>
        <v>7.44</v>
      </c>
      <c r="O846" s="30">
        <f>IF(OR($F846="",$I846=""),0,IFERROR(INDEX(Nutrition!$I$2:$I$300,MATCH($F846,Nutrition!$A$2:$A$300,0))*$I846/100,0))</f>
        <v>62.52</v>
      </c>
      <c r="P846" s="30">
        <f>IF(OR($F846="",$I846=""),0,IFERROR(INDEX(Nutrition!$J$2:$J$300,MATCH($F846,Nutrition!$A$2:$A$300,0))*$I846/100,0))</f>
        <v>0.3</v>
      </c>
      <c r="Q846" s="30">
        <f>IF(OR($F846="",$I846=""),0,IFERROR(INDEX(Nutrition!$K$2:$K$300,MATCH($F846,Nutrition!$A$2:$A$300,0))*$I846/100,0))</f>
        <v>1.7879999999999997E-2</v>
      </c>
      <c r="R846" s="30">
        <f>IF(OR($F846="",$I846=""),0,IFERROR(INDEX(Nutrition!$L$2:$L$300,MATCH($F846,Nutrition!$A$2:$A$300,0))*$I846/100,0))</f>
        <v>3.12</v>
      </c>
      <c r="S846" s="30">
        <f>IF(OR($F846="",$I846=""),0,IFERROR(INDEX(Nutrition!$M$2:$M$300,MATCH($F846,Nutrition!$A$2:$A$300,0))*$I846/100,0))</f>
        <v>0.21240000000000003</v>
      </c>
    </row>
    <row r="847" spans="1:19" ht="15" customHeight="1" x14ac:dyDescent="0.25">
      <c r="A847" s="22" t="s">
        <v>2008</v>
      </c>
      <c r="B847" s="33" t="str">
        <f>IFERROR(INDEX(Recipes!$B$2:$B$500,MATCH(A847,Recipes!$A$2:$A$500,0)),"")</f>
        <v>Roasted Salsa Roja</v>
      </c>
      <c r="C847" s="7" t="s">
        <v>213</v>
      </c>
      <c r="D847" s="34">
        <v>1</v>
      </c>
      <c r="E847" s="22" t="s">
        <v>2754</v>
      </c>
      <c r="F847" s="22" t="s">
        <v>212</v>
      </c>
      <c r="G847" s="22" t="s">
        <v>2755</v>
      </c>
      <c r="H847" s="7" t="s">
        <v>2912</v>
      </c>
      <c r="I847" s="35">
        <v>67</v>
      </c>
      <c r="J847" s="30">
        <f>IF(OR($F847="",$I847=""),0,IFERROR(INDEX(Nutrition!$D$2:$D$300,MATCH($F847,Nutrition!$A$2:$A$300,0))*$I847/100,0))</f>
        <v>1.8759999999999999</v>
      </c>
      <c r="K847" s="30">
        <f>IF(OR($F847="",$I847=""),0,IFERROR(INDEX(Nutrition!$E$2:$E$300,MATCH($F847,Nutrition!$A$2:$A$300,0))*$I847/100,0))</f>
        <v>19.497</v>
      </c>
      <c r="L847" s="30">
        <f>IF(OR($F847="",$I847=""),0,IFERROR(INDEX(Nutrition!$F$2:$F$300,MATCH($F847,Nutrition!$A$2:$A$300,0))*$I847/100,0))</f>
        <v>1.34</v>
      </c>
      <c r="M847" s="30">
        <f>IF(OR($F847="",$I847=""),0,IFERROR(INDEX(Nutrition!$G$2:$G$300,MATCH($F847,Nutrition!$A$2:$A$300,0))*$I847/100,0))</f>
        <v>0.40199999999999997</v>
      </c>
      <c r="N847" s="30">
        <f>IF(OR($F847="",$I847=""),0,IFERROR(INDEX(Nutrition!$H$2:$H$300,MATCH($F847,Nutrition!$A$2:$A$300,0))*$I847/100,0))</f>
        <v>5.36</v>
      </c>
      <c r="O847" s="30">
        <f>IF(OR($F847="",$I847=""),0,IFERROR(INDEX(Nutrition!$I$2:$I$300,MATCH($F847,Nutrition!$A$2:$A$300,0))*$I847/100,0))</f>
        <v>68.34</v>
      </c>
      <c r="P847" s="30">
        <f>IF(OR($F847="",$I847=""),0,IFERROR(INDEX(Nutrition!$J$2:$J$300,MATCH($F847,Nutrition!$A$2:$A$300,0))*$I847/100,0))</f>
        <v>0.1474</v>
      </c>
      <c r="Q847" s="30">
        <f>IF(OR($F847="",$I847=""),0,IFERROR(INDEX(Nutrition!$K$2:$K$300,MATCH($F847,Nutrition!$A$2:$A$300,0))*$I847/100,0))</f>
        <v>2.8809999999999999E-2</v>
      </c>
      <c r="R847" s="30">
        <f>IF(OR($F847="",$I847=""),0,IFERROR(INDEX(Nutrition!$L$2:$L$300,MATCH($F847,Nutrition!$A$2:$A$300,0))*$I847/100,0))</f>
        <v>4.0199999999999996</v>
      </c>
      <c r="S847" s="30">
        <f>IF(OR($F847="",$I847=""),0,IFERROR(INDEX(Nutrition!$M$2:$M$300,MATCH($F847,Nutrition!$A$2:$A$300,0))*$I847/100,0))</f>
        <v>0.40199999999999997</v>
      </c>
    </row>
    <row r="848" spans="1:19" ht="15" customHeight="1" x14ac:dyDescent="0.25">
      <c r="A848" s="22" t="s">
        <v>2008</v>
      </c>
      <c r="B848" s="33" t="str">
        <f>IFERROR(INDEX(Recipes!$B$2:$B$500,MATCH(A848,Recipes!$A$2:$A$500,0)),"")</f>
        <v>Roasted Salsa Roja</v>
      </c>
      <c r="C848" s="7" t="s">
        <v>2898</v>
      </c>
      <c r="D848" s="34">
        <v>1</v>
      </c>
      <c r="E848" s="22" t="s">
        <v>2753</v>
      </c>
      <c r="F848" s="22"/>
      <c r="G848" s="22" t="s">
        <v>2773</v>
      </c>
      <c r="H848" s="7"/>
      <c r="I848" s="35"/>
      <c r="J848" s="30">
        <f>IF(OR($F848="",$I848=""),0,IFERROR(INDEX(Nutrition!$D$2:$D$300,MATCH($F848,Nutrition!$A$2:$A$300,0))*$I848/100,0))</f>
        <v>0</v>
      </c>
      <c r="K848" s="30">
        <f>IF(OR($F848="",$I848=""),0,IFERROR(INDEX(Nutrition!$E$2:$E$300,MATCH($F848,Nutrition!$A$2:$A$300,0))*$I848/100,0))</f>
        <v>0</v>
      </c>
      <c r="L848" s="30">
        <f>IF(OR($F848="",$I848=""),0,IFERROR(INDEX(Nutrition!$F$2:$F$300,MATCH($F848,Nutrition!$A$2:$A$300,0))*$I848/100,0))</f>
        <v>0</v>
      </c>
      <c r="M848" s="30">
        <f>IF(OR($F848="",$I848=""),0,IFERROR(INDEX(Nutrition!$G$2:$G$300,MATCH($F848,Nutrition!$A$2:$A$300,0))*$I848/100,0))</f>
        <v>0</v>
      </c>
      <c r="N848" s="30">
        <f>IF(OR($F848="",$I848=""),0,IFERROR(INDEX(Nutrition!$H$2:$H$300,MATCH($F848,Nutrition!$A$2:$A$300,0))*$I848/100,0))</f>
        <v>0</v>
      </c>
      <c r="O848" s="30">
        <f>IF(OR($F848="",$I848=""),0,IFERROR(INDEX(Nutrition!$I$2:$I$300,MATCH($F848,Nutrition!$A$2:$A$300,0))*$I848/100,0))</f>
        <v>0</v>
      </c>
      <c r="P848" s="30">
        <f>IF(OR($F848="",$I848=""),0,IFERROR(INDEX(Nutrition!$J$2:$J$300,MATCH($F848,Nutrition!$A$2:$A$300,0))*$I848/100,0))</f>
        <v>0</v>
      </c>
      <c r="Q848" s="30">
        <f>IF(OR($F848="",$I848=""),0,IFERROR(INDEX(Nutrition!$K$2:$K$300,MATCH($F848,Nutrition!$A$2:$A$300,0))*$I848/100,0))</f>
        <v>0</v>
      </c>
      <c r="R848" s="30">
        <f>IF(OR($F848="",$I848=""),0,IFERROR(INDEX(Nutrition!$L$2:$L$300,MATCH($F848,Nutrition!$A$2:$A$300,0))*$I848/100,0))</f>
        <v>0</v>
      </c>
      <c r="S848" s="30">
        <f>IF(OR($F848="",$I848=""),0,IFERROR(INDEX(Nutrition!$M$2:$M$300,MATCH($F848,Nutrition!$A$2:$A$300,0))*$I848/100,0))</f>
        <v>0</v>
      </c>
    </row>
    <row r="849" spans="1:19" ht="15" customHeight="1" x14ac:dyDescent="0.25">
      <c r="A849" s="22" t="s">
        <v>2008</v>
      </c>
      <c r="B849" s="33" t="str">
        <f>IFERROR(INDEX(Recipes!$B$2:$B$500,MATCH(A849,Recipes!$A$2:$A$500,0)),"")</f>
        <v>Roasted Salsa Roja</v>
      </c>
      <c r="C849" s="7" t="s">
        <v>2781</v>
      </c>
      <c r="D849" s="34">
        <v>1</v>
      </c>
      <c r="E849" s="22" t="s">
        <v>2782</v>
      </c>
      <c r="F849" s="22"/>
      <c r="G849" s="22" t="s">
        <v>2773</v>
      </c>
      <c r="H849" s="7"/>
      <c r="I849" s="35"/>
      <c r="J849" s="30">
        <f>IF(OR($F849="",$I849=""),0,IFERROR(INDEX(Nutrition!$D$2:$D$300,MATCH($F849,Nutrition!$A$2:$A$300,0))*$I849/100,0))</f>
        <v>0</v>
      </c>
      <c r="K849" s="30">
        <f>IF(OR($F849="",$I849=""),0,IFERROR(INDEX(Nutrition!$E$2:$E$300,MATCH($F849,Nutrition!$A$2:$A$300,0))*$I849/100,0))</f>
        <v>0</v>
      </c>
      <c r="L849" s="30">
        <f>IF(OR($F849="",$I849=""),0,IFERROR(INDEX(Nutrition!$F$2:$F$300,MATCH($F849,Nutrition!$A$2:$A$300,0))*$I849/100,0))</f>
        <v>0</v>
      </c>
      <c r="M849" s="30">
        <f>IF(OR($F849="",$I849=""),0,IFERROR(INDEX(Nutrition!$G$2:$G$300,MATCH($F849,Nutrition!$A$2:$A$300,0))*$I849/100,0))</f>
        <v>0</v>
      </c>
      <c r="N849" s="30">
        <f>IF(OR($F849="",$I849=""),0,IFERROR(INDEX(Nutrition!$H$2:$H$300,MATCH($F849,Nutrition!$A$2:$A$300,0))*$I849/100,0))</f>
        <v>0</v>
      </c>
      <c r="O849" s="30">
        <f>IF(OR($F849="",$I849=""),0,IFERROR(INDEX(Nutrition!$I$2:$I$300,MATCH($F849,Nutrition!$A$2:$A$300,0))*$I849/100,0))</f>
        <v>0</v>
      </c>
      <c r="P849" s="30">
        <f>IF(OR($F849="",$I849=""),0,IFERROR(INDEX(Nutrition!$J$2:$J$300,MATCH($F849,Nutrition!$A$2:$A$300,0))*$I849/100,0))</f>
        <v>0</v>
      </c>
      <c r="Q849" s="30">
        <f>IF(OR($F849="",$I849=""),0,IFERROR(INDEX(Nutrition!$K$2:$K$300,MATCH($F849,Nutrition!$A$2:$A$300,0))*$I849/100,0))</f>
        <v>0</v>
      </c>
      <c r="R849" s="30">
        <f>IF(OR($F849="",$I849=""),0,IFERROR(INDEX(Nutrition!$L$2:$L$300,MATCH($F849,Nutrition!$A$2:$A$300,0))*$I849/100,0))</f>
        <v>0</v>
      </c>
      <c r="S849" s="30">
        <f>IF(OR($F849="",$I849=""),0,IFERROR(INDEX(Nutrition!$M$2:$M$300,MATCH($F849,Nutrition!$A$2:$A$300,0))*$I849/100,0))</f>
        <v>0</v>
      </c>
    </row>
    <row r="850" spans="1:19" ht="15" customHeight="1" x14ac:dyDescent="0.25">
      <c r="A850" s="22" t="s">
        <v>2019</v>
      </c>
      <c r="B850" s="33" t="str">
        <f>IFERROR(INDEX(Recipes!$B$2:$B$500,MATCH(A850,Recipes!$A$2:$A$500,0)),"")</f>
        <v>Arrabbiata Sauce</v>
      </c>
      <c r="C850" s="7" t="s">
        <v>446</v>
      </c>
      <c r="D850" s="34">
        <v>10</v>
      </c>
      <c r="E850" s="22" t="s">
        <v>2754</v>
      </c>
      <c r="F850" s="22" t="s">
        <v>445</v>
      </c>
      <c r="G850" s="22" t="s">
        <v>2755</v>
      </c>
      <c r="H850" s="7" t="s">
        <v>2965</v>
      </c>
      <c r="I850" s="35">
        <v>1000</v>
      </c>
      <c r="J850" s="30">
        <f>IF(OR($F850="",$I850=""),0,IFERROR(INDEX(Nutrition!$D$2:$D$300,MATCH($F850,Nutrition!$A$2:$A$300,0))*$I850/100,0))</f>
        <v>12</v>
      </c>
      <c r="K850" s="30">
        <f>IF(OR($F850="",$I850=""),0,IFERROR(INDEX(Nutrition!$E$2:$E$300,MATCH($F850,Nutrition!$A$2:$A$300,0))*$I850/100,0))</f>
        <v>137</v>
      </c>
      <c r="L850" s="30">
        <f>IF(OR($F850="",$I850=""),0,IFERROR(INDEX(Nutrition!$F$2:$F$300,MATCH($F850,Nutrition!$A$2:$A$300,0))*$I850/100,0))</f>
        <v>420</v>
      </c>
      <c r="M850" s="30">
        <f>IF(OR($F850="",$I850=""),0,IFERROR(INDEX(Nutrition!$G$2:$G$300,MATCH($F850,Nutrition!$A$2:$A$300,0))*$I850/100,0))</f>
        <v>79</v>
      </c>
      <c r="N850" s="30">
        <f>IF(OR($F850="",$I850=""),0,IFERROR(INDEX(Nutrition!$H$2:$H$300,MATCH($F850,Nutrition!$A$2:$A$300,0))*$I850/100,0))</f>
        <v>150</v>
      </c>
      <c r="O850" s="30">
        <f>IF(OR($F850="",$I850=""),0,IFERROR(INDEX(Nutrition!$I$2:$I$300,MATCH($F850,Nutrition!$A$2:$A$300,0))*$I850/100,0))</f>
        <v>2370</v>
      </c>
      <c r="P850" s="30">
        <f>IF(OR($F850="",$I850=""),0,IFERROR(INDEX(Nutrition!$J$2:$J$300,MATCH($F850,Nutrition!$A$2:$A$300,0))*$I850/100,0))</f>
        <v>5.4</v>
      </c>
      <c r="Q850" s="30">
        <f>IF(OR($F850="",$I850=""),0,IFERROR(INDEX(Nutrition!$K$2:$K$300,MATCH($F850,Nutrition!$A$2:$A$300,0))*$I850/100,0))</f>
        <v>0.8</v>
      </c>
      <c r="R850" s="30">
        <f>IF(OR($F850="",$I850=""),0,IFERROR(INDEX(Nutrition!$L$2:$L$300,MATCH($F850,Nutrition!$A$2:$A$300,0))*$I850/100,0))</f>
        <v>110</v>
      </c>
      <c r="S850" s="30">
        <f>IF(OR($F850="",$I850=""),0,IFERROR(INDEX(Nutrition!$M$2:$M$300,MATCH($F850,Nutrition!$A$2:$A$300,0))*$I850/100,0))</f>
        <v>2.7</v>
      </c>
    </row>
    <row r="851" spans="1:19" ht="15" customHeight="1" x14ac:dyDescent="0.25">
      <c r="A851" s="22" t="s">
        <v>2019</v>
      </c>
      <c r="B851" s="33" t="str">
        <f>IFERROR(INDEX(Recipes!$B$2:$B$500,MATCH(A851,Recipes!$A$2:$A$500,0)),"")</f>
        <v>Arrabbiata Sauce</v>
      </c>
      <c r="C851" s="7" t="s">
        <v>482</v>
      </c>
      <c r="D851" s="34">
        <v>0.25</v>
      </c>
      <c r="E851" s="22" t="s">
        <v>2754</v>
      </c>
      <c r="F851" s="22" t="s">
        <v>481</v>
      </c>
      <c r="G851" s="22" t="s">
        <v>2755</v>
      </c>
      <c r="H851" s="7" t="s">
        <v>2903</v>
      </c>
      <c r="I851" s="35">
        <v>28</v>
      </c>
      <c r="J851" s="30">
        <f>IF(OR($F851="",$I851=""),0,IFERROR(INDEX(Nutrition!$D$2:$D$300,MATCH($F851,Nutrition!$A$2:$A$300,0))*$I851/100,0))</f>
        <v>0.47600000000000003</v>
      </c>
      <c r="K851" s="30">
        <f>IF(OR($F851="",$I851=""),0,IFERROR(INDEX(Nutrition!$E$2:$E$300,MATCH($F851,Nutrition!$A$2:$A$300,0))*$I851/100,0))</f>
        <v>2.0720000000000001</v>
      </c>
      <c r="L851" s="30">
        <f>IF(OR($F851="",$I851=""),0,IFERROR(INDEX(Nutrition!$F$2:$F$300,MATCH($F851,Nutrition!$A$2:$A$300,0))*$I851/100,0))</f>
        <v>0</v>
      </c>
      <c r="M851" s="30">
        <f>IF(OR($F851="",$I851=""),0,IFERROR(INDEX(Nutrition!$G$2:$G$300,MATCH($F851,Nutrition!$A$2:$A$300,0))*$I851/100,0))</f>
        <v>0.11200000000000002</v>
      </c>
      <c r="N851" s="30">
        <f>IF(OR($F851="",$I851=""),0,IFERROR(INDEX(Nutrition!$H$2:$H$300,MATCH($F851,Nutrition!$A$2:$A$300,0))*$I851/100,0))</f>
        <v>5.32</v>
      </c>
      <c r="O851" s="30">
        <f>IF(OR($F851="",$I851=""),0,IFERROR(INDEX(Nutrition!$I$2:$I$300,MATCH($F851,Nutrition!$A$2:$A$300,0))*$I851/100,0))</f>
        <v>40.880000000000003</v>
      </c>
      <c r="P851" s="30">
        <f>IF(OR($F851="",$I851=""),0,IFERROR(INDEX(Nutrition!$J$2:$J$300,MATCH($F851,Nutrition!$A$2:$A$300,0))*$I851/100,0))</f>
        <v>5.6000000000000008E-3</v>
      </c>
      <c r="Q851" s="30">
        <f>IF(OR($F851="",$I851=""),0,IFERROR(INDEX(Nutrition!$K$2:$K$300,MATCH($F851,Nutrition!$A$2:$A$300,0))*$I851/100,0))</f>
        <v>3.3599999999999998E-2</v>
      </c>
      <c r="R851" s="30">
        <f>IF(OR($F851="",$I851=""),0,IFERROR(INDEX(Nutrition!$L$2:$L$300,MATCH($F851,Nutrition!$A$2:$A$300,0))*$I851/100,0))</f>
        <v>2.8</v>
      </c>
      <c r="S851" s="30">
        <f>IF(OR($F851="",$I851=""),0,IFERROR(INDEX(Nutrition!$M$2:$M$300,MATCH($F851,Nutrition!$A$2:$A$300,0))*$I851/100,0))</f>
        <v>5.8799999999999998E-2</v>
      </c>
    </row>
    <row r="852" spans="1:19" ht="15" customHeight="1" x14ac:dyDescent="0.25">
      <c r="A852" s="22" t="s">
        <v>2019</v>
      </c>
      <c r="B852" s="33" t="str">
        <f>IFERROR(INDEX(Recipes!$B$2:$B$500,MATCH(A852,Recipes!$A$2:$A$500,0)),"")</f>
        <v>Arrabbiata Sauce</v>
      </c>
      <c r="C852" s="7" t="s">
        <v>500</v>
      </c>
      <c r="D852" s="34">
        <v>3</v>
      </c>
      <c r="E852" s="22" t="s">
        <v>2776</v>
      </c>
      <c r="F852" s="22" t="s">
        <v>499</v>
      </c>
      <c r="G852" s="22" t="s">
        <v>2755</v>
      </c>
      <c r="H852" s="7" t="s">
        <v>2903</v>
      </c>
      <c r="I852" s="35">
        <v>9</v>
      </c>
      <c r="J852" s="30">
        <f>IF(OR($F852="",$I852=""),0,IFERROR(INDEX(Nutrition!$D$2:$D$300,MATCH($F852,Nutrition!$A$2:$A$300,0))*$I852/100,0))</f>
        <v>0.18900000000000003</v>
      </c>
      <c r="K852" s="30">
        <f>IF(OR($F852="",$I852=""),0,IFERROR(INDEX(Nutrition!$E$2:$E$300,MATCH($F852,Nutrition!$A$2:$A$300,0))*$I852/100,0))</f>
        <v>2.8080000000000003</v>
      </c>
      <c r="L852" s="30">
        <f>IF(OR($F852="",$I852=""),0,IFERROR(INDEX(Nutrition!$F$2:$F$300,MATCH($F852,Nutrition!$A$2:$A$300,0))*$I852/100,0))</f>
        <v>0</v>
      </c>
      <c r="M852" s="30">
        <f>IF(OR($F852="",$I852=""),0,IFERROR(INDEX(Nutrition!$G$2:$G$300,MATCH($F852,Nutrition!$A$2:$A$300,0))*$I852/100,0))</f>
        <v>0.153</v>
      </c>
      <c r="N852" s="30">
        <f>IF(OR($F852="",$I852=""),0,IFERROR(INDEX(Nutrition!$H$2:$H$300,MATCH($F852,Nutrition!$A$2:$A$300,0))*$I852/100,0))</f>
        <v>0.27</v>
      </c>
      <c r="O852" s="30">
        <f>IF(OR($F852="",$I852=""),0,IFERROR(INDEX(Nutrition!$I$2:$I$300,MATCH($F852,Nutrition!$A$2:$A$300,0))*$I852/100,0))</f>
        <v>36.090000000000003</v>
      </c>
      <c r="P852" s="30">
        <f>IF(OR($F852="",$I852=""),0,IFERROR(INDEX(Nutrition!$J$2:$J$300,MATCH($F852,Nutrition!$A$2:$A$300,0))*$I852/100,0))</f>
        <v>7.1999999999999998E-3</v>
      </c>
      <c r="Q852" s="30">
        <f>IF(OR($F852="",$I852=""),0,IFERROR(INDEX(Nutrition!$K$2:$K$300,MATCH($F852,Nutrition!$A$2:$A$300,0))*$I852/100,0))</f>
        <v>0.11115</v>
      </c>
      <c r="R852" s="30">
        <f>IF(OR($F852="",$I852=""),0,IFERROR(INDEX(Nutrition!$L$2:$L$300,MATCH($F852,Nutrition!$A$2:$A$300,0))*$I852/100,0))</f>
        <v>2.25</v>
      </c>
      <c r="S852" s="30">
        <f>IF(OR($F852="",$I852=""),0,IFERROR(INDEX(Nutrition!$M$2:$M$300,MATCH($F852,Nutrition!$A$2:$A$300,0))*$I852/100,0))</f>
        <v>0.153</v>
      </c>
    </row>
    <row r="853" spans="1:19" ht="15" customHeight="1" x14ac:dyDescent="0.25">
      <c r="A853" s="22" t="s">
        <v>2019</v>
      </c>
      <c r="B853" s="33" t="str">
        <f>IFERROR(INDEX(Recipes!$B$2:$B$500,MATCH(A853,Recipes!$A$2:$A$500,0)),"")</f>
        <v>Arrabbiata Sauce</v>
      </c>
      <c r="C853" s="7" t="s">
        <v>473</v>
      </c>
      <c r="D853" s="34">
        <v>1</v>
      </c>
      <c r="E853" s="22" t="s">
        <v>2754</v>
      </c>
      <c r="F853" s="22" t="s">
        <v>472</v>
      </c>
      <c r="G853" s="22" t="s">
        <v>2755</v>
      </c>
      <c r="H853" s="7" t="s">
        <v>2903</v>
      </c>
      <c r="I853" s="35">
        <v>10</v>
      </c>
      <c r="J853" s="30">
        <f>IF(OR($F853="",$I853=""),0,IFERROR(INDEX(Nutrition!$D$2:$D$300,MATCH($F853,Nutrition!$A$2:$A$300,0))*$I853/100,0))</f>
        <v>0.15</v>
      </c>
      <c r="K853" s="30">
        <f>IF(OR($F853="",$I853=""),0,IFERROR(INDEX(Nutrition!$E$2:$E$300,MATCH($F853,Nutrition!$A$2:$A$300,0))*$I853/100,0))</f>
        <v>14.37</v>
      </c>
      <c r="L853" s="30">
        <f>IF(OR($F853="",$I853=""),0,IFERROR(INDEX(Nutrition!$F$2:$F$300,MATCH($F853,Nutrition!$A$2:$A$300,0))*$I853/100,0))</f>
        <v>4.8</v>
      </c>
      <c r="M853" s="30">
        <f>IF(OR($F853="",$I853=""),0,IFERROR(INDEX(Nutrition!$G$2:$G$300,MATCH($F853,Nutrition!$A$2:$A$300,0))*$I853/100,0))</f>
        <v>1.4</v>
      </c>
      <c r="N853" s="30">
        <f>IF(OR($F853="",$I853=""),0,IFERROR(INDEX(Nutrition!$H$2:$H$300,MATCH($F853,Nutrition!$A$2:$A$300,0))*$I853/100,0))</f>
        <v>2.2999999999999998</v>
      </c>
      <c r="O853" s="30">
        <f>IF(OR($F853="",$I853=""),0,IFERROR(INDEX(Nutrition!$I$2:$I$300,MATCH($F853,Nutrition!$A$2:$A$300,0))*$I853/100,0))</f>
        <v>32.200000000000003</v>
      </c>
      <c r="P853" s="30">
        <f>IF(OR($F853="",$I853=""),0,IFERROR(INDEX(Nutrition!$J$2:$J$300,MATCH($F853,Nutrition!$A$2:$A$300,0))*$I853/100,0))</f>
        <v>6.8999999999999992E-2</v>
      </c>
      <c r="Q853" s="30">
        <f>IF(OR($F853="",$I853=""),0,IFERROR(INDEX(Nutrition!$K$2:$K$300,MATCH($F853,Nutrition!$A$2:$A$300,0))*$I853/100,0))</f>
        <v>5.0600000000000006E-2</v>
      </c>
      <c r="R853" s="30">
        <f>IF(OR($F853="",$I853=""),0,IFERROR(INDEX(Nutrition!$L$2:$L$300,MATCH($F853,Nutrition!$A$2:$A$300,0))*$I853/100,0))</f>
        <v>2.2999999999999998</v>
      </c>
      <c r="S853" s="30">
        <f>IF(OR($F853="",$I853=""),0,IFERROR(INDEX(Nutrition!$M$2:$M$300,MATCH($F853,Nutrition!$A$2:$A$300,0))*$I853/100,0))</f>
        <v>0.10300000000000001</v>
      </c>
    </row>
    <row r="854" spans="1:19" ht="15" customHeight="1" x14ac:dyDescent="0.25">
      <c r="A854" s="22" t="s">
        <v>2019</v>
      </c>
      <c r="B854" s="33" t="str">
        <f>IFERROR(INDEX(Recipes!$B$2:$B$500,MATCH(A854,Recipes!$A$2:$A$500,0)),"")</f>
        <v>Arrabbiata Sauce</v>
      </c>
      <c r="C854" s="7" t="s">
        <v>674</v>
      </c>
      <c r="D854" s="34">
        <v>1</v>
      </c>
      <c r="E854" s="22" t="s">
        <v>2809</v>
      </c>
      <c r="F854" s="22" t="s">
        <v>673</v>
      </c>
      <c r="G854" s="22" t="s">
        <v>2755</v>
      </c>
      <c r="H854" s="7" t="s">
        <v>2909</v>
      </c>
      <c r="I854" s="35">
        <v>30</v>
      </c>
      <c r="J854" s="30">
        <f>IF(OR($F854="",$I854=""),0,IFERROR(INDEX(Nutrition!$D$2:$D$300,MATCH($F854,Nutrition!$A$2:$A$300,0))*$I854/100,0))</f>
        <v>0.48</v>
      </c>
      <c r="K854" s="30">
        <f>IF(OR($F854="",$I854=""),0,IFERROR(INDEX(Nutrition!$E$2:$E$300,MATCH($F854,Nutrition!$A$2:$A$300,0))*$I854/100,0))</f>
        <v>5.4</v>
      </c>
      <c r="L854" s="30">
        <f>IF(OR($F854="",$I854=""),0,IFERROR(INDEX(Nutrition!$F$2:$F$300,MATCH($F854,Nutrition!$A$2:$A$300,0))*$I854/100,0))</f>
        <v>79.2</v>
      </c>
      <c r="M854" s="30">
        <f>IF(OR($F854="",$I854=""),0,IFERROR(INDEX(Nutrition!$G$2:$G$300,MATCH($F854,Nutrition!$A$2:$A$300,0))*$I854/100,0))</f>
        <v>124.44</v>
      </c>
      <c r="N854" s="30">
        <f>IF(OR($F854="",$I854=""),0,IFERROR(INDEX(Nutrition!$H$2:$H$300,MATCH($F854,Nutrition!$A$2:$A$300,0))*$I854/100,0))</f>
        <v>20.399999999999999</v>
      </c>
      <c r="O854" s="30">
        <f>IF(OR($F854="",$I854=""),0,IFERROR(INDEX(Nutrition!$I$2:$I$300,MATCH($F854,Nutrition!$A$2:$A$300,0))*$I854/100,0))</f>
        <v>88.5</v>
      </c>
      <c r="P854" s="30">
        <f>IF(OR($F854="",$I854=""),0,IFERROR(INDEX(Nutrition!$J$2:$J$300,MATCH($F854,Nutrition!$A$2:$A$300,0))*$I854/100,0))</f>
        <v>0.24</v>
      </c>
      <c r="Q854" s="30">
        <f>IF(OR($F854="",$I854=""),0,IFERROR(INDEX(Nutrition!$K$2:$K$300,MATCH($F854,Nutrition!$A$2:$A$300,0))*$I854/100,0))</f>
        <v>4.6500000000000007E-2</v>
      </c>
      <c r="R854" s="30">
        <f>IF(OR($F854="",$I854=""),0,IFERROR(INDEX(Nutrition!$L$2:$L$300,MATCH($F854,Nutrition!$A$2:$A$300,0))*$I854/100,0))</f>
        <v>19.2</v>
      </c>
      <c r="S854" s="30">
        <f>IF(OR($F854="",$I854=""),0,IFERROR(INDEX(Nutrition!$M$2:$M$300,MATCH($F854,Nutrition!$A$2:$A$300,0))*$I854/100,0))</f>
        <v>0.95099999999999996</v>
      </c>
    </row>
    <row r="855" spans="1:19" ht="15" customHeight="1" x14ac:dyDescent="0.25">
      <c r="A855" s="22" t="s">
        <v>2019</v>
      </c>
      <c r="B855" s="33" t="str">
        <f>IFERROR(INDEX(Recipes!$B$2:$B$500,MATCH(A855,Recipes!$A$2:$A$500,0)),"")</f>
        <v>Arrabbiata Sauce</v>
      </c>
      <c r="C855" s="7" t="s">
        <v>2805</v>
      </c>
      <c r="D855" s="34">
        <v>3</v>
      </c>
      <c r="E855" s="22" t="s">
        <v>2753</v>
      </c>
      <c r="F855" s="22"/>
      <c r="G855" s="22" t="s">
        <v>2773</v>
      </c>
      <c r="H855" s="7"/>
      <c r="I855" s="35"/>
      <c r="J855" s="30">
        <f>IF(OR($F855="",$I855=""),0,IFERROR(INDEX(Nutrition!$D$2:$D$300,MATCH($F855,Nutrition!$A$2:$A$300,0))*$I855/100,0))</f>
        <v>0</v>
      </c>
      <c r="K855" s="30">
        <f>IF(OR($F855="",$I855=""),0,IFERROR(INDEX(Nutrition!$E$2:$E$300,MATCH($F855,Nutrition!$A$2:$A$300,0))*$I855/100,0))</f>
        <v>0</v>
      </c>
      <c r="L855" s="30">
        <f>IF(OR($F855="",$I855=""),0,IFERROR(INDEX(Nutrition!$F$2:$F$300,MATCH($F855,Nutrition!$A$2:$A$300,0))*$I855/100,0))</f>
        <v>0</v>
      </c>
      <c r="M855" s="30">
        <f>IF(OR($F855="",$I855=""),0,IFERROR(INDEX(Nutrition!$G$2:$G$300,MATCH($F855,Nutrition!$A$2:$A$300,0))*$I855/100,0))</f>
        <v>0</v>
      </c>
      <c r="N855" s="30">
        <f>IF(OR($F855="",$I855=""),0,IFERROR(INDEX(Nutrition!$H$2:$H$300,MATCH($F855,Nutrition!$A$2:$A$300,0))*$I855/100,0))</f>
        <v>0</v>
      </c>
      <c r="O855" s="30">
        <f>IF(OR($F855="",$I855=""),0,IFERROR(INDEX(Nutrition!$I$2:$I$300,MATCH($F855,Nutrition!$A$2:$A$300,0))*$I855/100,0))</f>
        <v>0</v>
      </c>
      <c r="P855" s="30">
        <f>IF(OR($F855="",$I855=""),0,IFERROR(INDEX(Nutrition!$J$2:$J$300,MATCH($F855,Nutrition!$A$2:$A$300,0))*$I855/100,0))</f>
        <v>0</v>
      </c>
      <c r="Q855" s="30">
        <f>IF(OR($F855="",$I855=""),0,IFERROR(INDEX(Nutrition!$K$2:$K$300,MATCH($F855,Nutrition!$A$2:$A$300,0))*$I855/100,0))</f>
        <v>0</v>
      </c>
      <c r="R855" s="30">
        <f>IF(OR($F855="",$I855=""),0,IFERROR(INDEX(Nutrition!$L$2:$L$300,MATCH($F855,Nutrition!$A$2:$A$300,0))*$I855/100,0))</f>
        <v>0</v>
      </c>
      <c r="S855" s="30">
        <f>IF(OR($F855="",$I855=""),0,IFERROR(INDEX(Nutrition!$M$2:$M$300,MATCH($F855,Nutrition!$A$2:$A$300,0))*$I855/100,0))</f>
        <v>0</v>
      </c>
    </row>
    <row r="856" spans="1:19" ht="15" customHeight="1" x14ac:dyDescent="0.25">
      <c r="A856" s="22" t="s">
        <v>2019</v>
      </c>
      <c r="B856" s="33" t="str">
        <f>IFERROR(INDEX(Recipes!$B$2:$B$500,MATCH(A856,Recipes!$A$2:$A$500,0)),"")</f>
        <v>Arrabbiata Sauce</v>
      </c>
      <c r="C856" s="7" t="s">
        <v>2917</v>
      </c>
      <c r="D856" s="34">
        <v>1</v>
      </c>
      <c r="E856" s="22" t="s">
        <v>2782</v>
      </c>
      <c r="F856" s="22"/>
      <c r="G856" s="22" t="s">
        <v>2749</v>
      </c>
      <c r="H856" s="7"/>
      <c r="I856" s="35"/>
      <c r="J856" s="30">
        <f>IF(OR($F856="",$I856=""),0,IFERROR(INDEX(Nutrition!$D$2:$D$300,MATCH($F856,Nutrition!$A$2:$A$300,0))*$I856/100,0))</f>
        <v>0</v>
      </c>
      <c r="K856" s="30">
        <f>IF(OR($F856="",$I856=""),0,IFERROR(INDEX(Nutrition!$E$2:$E$300,MATCH($F856,Nutrition!$A$2:$A$300,0))*$I856/100,0))</f>
        <v>0</v>
      </c>
      <c r="L856" s="30">
        <f>IF(OR($F856="",$I856=""),0,IFERROR(INDEX(Nutrition!$F$2:$F$300,MATCH($F856,Nutrition!$A$2:$A$300,0))*$I856/100,0))</f>
        <v>0</v>
      </c>
      <c r="M856" s="30">
        <f>IF(OR($F856="",$I856=""),0,IFERROR(INDEX(Nutrition!$G$2:$G$300,MATCH($F856,Nutrition!$A$2:$A$300,0))*$I856/100,0))</f>
        <v>0</v>
      </c>
      <c r="N856" s="30">
        <f>IF(OR($F856="",$I856=""),0,IFERROR(INDEX(Nutrition!$H$2:$H$300,MATCH($F856,Nutrition!$A$2:$A$300,0))*$I856/100,0))</f>
        <v>0</v>
      </c>
      <c r="O856" s="30">
        <f>IF(OR($F856="",$I856=""),0,IFERROR(INDEX(Nutrition!$I$2:$I$300,MATCH($F856,Nutrition!$A$2:$A$300,0))*$I856/100,0))</f>
        <v>0</v>
      </c>
      <c r="P856" s="30">
        <f>IF(OR($F856="",$I856=""),0,IFERROR(INDEX(Nutrition!$J$2:$J$300,MATCH($F856,Nutrition!$A$2:$A$300,0))*$I856/100,0))</f>
        <v>0</v>
      </c>
      <c r="Q856" s="30">
        <f>IF(OR($F856="",$I856=""),0,IFERROR(INDEX(Nutrition!$K$2:$K$300,MATCH($F856,Nutrition!$A$2:$A$300,0))*$I856/100,0))</f>
        <v>0</v>
      </c>
      <c r="R856" s="30">
        <f>IF(OR($F856="",$I856=""),0,IFERROR(INDEX(Nutrition!$L$2:$L$300,MATCH($F856,Nutrition!$A$2:$A$300,0))*$I856/100,0))</f>
        <v>0</v>
      </c>
      <c r="S856" s="30">
        <f>IF(OR($F856="",$I856=""),0,IFERROR(INDEX(Nutrition!$M$2:$M$300,MATCH($F856,Nutrition!$A$2:$A$300,0))*$I856/100,0))</f>
        <v>0</v>
      </c>
    </row>
    <row r="857" spans="1:19" ht="15" customHeight="1" x14ac:dyDescent="0.25">
      <c r="A857" s="22" t="s">
        <v>2019</v>
      </c>
      <c r="B857" s="33" t="str">
        <f>IFERROR(INDEX(Recipes!$B$2:$B$500,MATCH(A857,Recipes!$A$2:$A$500,0)),"")</f>
        <v>Arrabbiata Sauce</v>
      </c>
      <c r="C857" s="7" t="s">
        <v>2781</v>
      </c>
      <c r="D857" s="34">
        <v>0.5</v>
      </c>
      <c r="E857" s="22" t="s">
        <v>2759</v>
      </c>
      <c r="F857" s="22"/>
      <c r="G857" s="22" t="s">
        <v>2773</v>
      </c>
      <c r="H857" s="7"/>
      <c r="I857" s="35"/>
      <c r="J857" s="30">
        <f>IF(OR($F857="",$I857=""),0,IFERROR(INDEX(Nutrition!$D$2:$D$300,MATCH($F857,Nutrition!$A$2:$A$300,0))*$I857/100,0))</f>
        <v>0</v>
      </c>
      <c r="K857" s="30">
        <f>IF(OR($F857="",$I857=""),0,IFERROR(INDEX(Nutrition!$E$2:$E$300,MATCH($F857,Nutrition!$A$2:$A$300,0))*$I857/100,0))</f>
        <v>0</v>
      </c>
      <c r="L857" s="30">
        <f>IF(OR($F857="",$I857=""),0,IFERROR(INDEX(Nutrition!$F$2:$F$300,MATCH($F857,Nutrition!$A$2:$A$300,0))*$I857/100,0))</f>
        <v>0</v>
      </c>
      <c r="M857" s="30">
        <f>IF(OR($F857="",$I857=""),0,IFERROR(INDEX(Nutrition!$G$2:$G$300,MATCH($F857,Nutrition!$A$2:$A$300,0))*$I857/100,0))</f>
        <v>0</v>
      </c>
      <c r="N857" s="30">
        <f>IF(OR($F857="",$I857=""),0,IFERROR(INDEX(Nutrition!$H$2:$H$300,MATCH($F857,Nutrition!$A$2:$A$300,0))*$I857/100,0))</f>
        <v>0</v>
      </c>
      <c r="O857" s="30">
        <f>IF(OR($F857="",$I857=""),0,IFERROR(INDEX(Nutrition!$I$2:$I$300,MATCH($F857,Nutrition!$A$2:$A$300,0))*$I857/100,0))</f>
        <v>0</v>
      </c>
      <c r="P857" s="30">
        <f>IF(OR($F857="",$I857=""),0,IFERROR(INDEX(Nutrition!$J$2:$J$300,MATCH($F857,Nutrition!$A$2:$A$300,0))*$I857/100,0))</f>
        <v>0</v>
      </c>
      <c r="Q857" s="30">
        <f>IF(OR($F857="",$I857=""),0,IFERROR(INDEX(Nutrition!$K$2:$K$300,MATCH($F857,Nutrition!$A$2:$A$300,0))*$I857/100,0))</f>
        <v>0</v>
      </c>
      <c r="R857" s="30">
        <f>IF(OR($F857="",$I857=""),0,IFERROR(INDEX(Nutrition!$L$2:$L$300,MATCH($F857,Nutrition!$A$2:$A$300,0))*$I857/100,0))</f>
        <v>0</v>
      </c>
      <c r="S857" s="30">
        <f>IF(OR($F857="",$I857=""),0,IFERROR(INDEX(Nutrition!$M$2:$M$300,MATCH($F857,Nutrition!$A$2:$A$300,0))*$I857/100,0))</f>
        <v>0</v>
      </c>
    </row>
    <row r="858" spans="1:19" ht="15" customHeight="1" x14ac:dyDescent="0.25">
      <c r="A858" s="22" t="s">
        <v>2029</v>
      </c>
      <c r="B858" s="33" t="str">
        <f>IFERROR(INDEX(Recipes!$B$2:$B$500,MATCH(A858,Recipes!$A$2:$A$500,0)),"")</f>
        <v>Puttanesca Sauce</v>
      </c>
      <c r="C858" s="7" t="s">
        <v>446</v>
      </c>
      <c r="D858" s="34">
        <v>10</v>
      </c>
      <c r="E858" s="22" t="s">
        <v>2754</v>
      </c>
      <c r="F858" s="22" t="s">
        <v>445</v>
      </c>
      <c r="G858" s="22" t="s">
        <v>2755</v>
      </c>
      <c r="H858" s="7" t="s">
        <v>2966</v>
      </c>
      <c r="I858" s="35">
        <v>1000</v>
      </c>
      <c r="J858" s="30">
        <f>IF(OR($F858="",$I858=""),0,IFERROR(INDEX(Nutrition!$D$2:$D$300,MATCH($F858,Nutrition!$A$2:$A$300,0))*$I858/100,0))</f>
        <v>12</v>
      </c>
      <c r="K858" s="30">
        <f>IF(OR($F858="",$I858=""),0,IFERROR(INDEX(Nutrition!$E$2:$E$300,MATCH($F858,Nutrition!$A$2:$A$300,0))*$I858/100,0))</f>
        <v>137</v>
      </c>
      <c r="L858" s="30">
        <f>IF(OR($F858="",$I858=""),0,IFERROR(INDEX(Nutrition!$F$2:$F$300,MATCH($F858,Nutrition!$A$2:$A$300,0))*$I858/100,0))</f>
        <v>420</v>
      </c>
      <c r="M858" s="30">
        <f>IF(OR($F858="",$I858=""),0,IFERROR(INDEX(Nutrition!$G$2:$G$300,MATCH($F858,Nutrition!$A$2:$A$300,0))*$I858/100,0))</f>
        <v>79</v>
      </c>
      <c r="N858" s="30">
        <f>IF(OR($F858="",$I858=""),0,IFERROR(INDEX(Nutrition!$H$2:$H$300,MATCH($F858,Nutrition!$A$2:$A$300,0))*$I858/100,0))</f>
        <v>150</v>
      </c>
      <c r="O858" s="30">
        <f>IF(OR($F858="",$I858=""),0,IFERROR(INDEX(Nutrition!$I$2:$I$300,MATCH($F858,Nutrition!$A$2:$A$300,0))*$I858/100,0))</f>
        <v>2370</v>
      </c>
      <c r="P858" s="30">
        <f>IF(OR($F858="",$I858=""),0,IFERROR(INDEX(Nutrition!$J$2:$J$300,MATCH($F858,Nutrition!$A$2:$A$300,0))*$I858/100,0))</f>
        <v>5.4</v>
      </c>
      <c r="Q858" s="30">
        <f>IF(OR($F858="",$I858=""),0,IFERROR(INDEX(Nutrition!$K$2:$K$300,MATCH($F858,Nutrition!$A$2:$A$300,0))*$I858/100,0))</f>
        <v>0.8</v>
      </c>
      <c r="R858" s="30">
        <f>IF(OR($F858="",$I858=""),0,IFERROR(INDEX(Nutrition!$L$2:$L$300,MATCH($F858,Nutrition!$A$2:$A$300,0))*$I858/100,0))</f>
        <v>110</v>
      </c>
      <c r="S858" s="30">
        <f>IF(OR($F858="",$I858=""),0,IFERROR(INDEX(Nutrition!$M$2:$M$300,MATCH($F858,Nutrition!$A$2:$A$300,0))*$I858/100,0))</f>
        <v>2.7</v>
      </c>
    </row>
    <row r="859" spans="1:19" ht="15" customHeight="1" x14ac:dyDescent="0.25">
      <c r="A859" s="22" t="s">
        <v>2029</v>
      </c>
      <c r="B859" s="33" t="str">
        <f>IFERROR(INDEX(Recipes!$B$2:$B$500,MATCH(A859,Recipes!$A$2:$A$500,0)),"")</f>
        <v>Puttanesca Sauce</v>
      </c>
      <c r="C859" s="7" t="s">
        <v>496</v>
      </c>
      <c r="D859" s="34">
        <v>2</v>
      </c>
      <c r="E859" s="22" t="s">
        <v>2754</v>
      </c>
      <c r="F859" s="22" t="s">
        <v>495</v>
      </c>
      <c r="G859" s="22" t="s">
        <v>2755</v>
      </c>
      <c r="H859" s="7" t="s">
        <v>2903</v>
      </c>
      <c r="I859" s="35">
        <v>50</v>
      </c>
      <c r="J859" s="30">
        <f>IF(OR($F859="",$I859=""),0,IFERROR(INDEX(Nutrition!$D$2:$D$300,MATCH($F859,Nutrition!$A$2:$A$300,0))*$I859/100,0))</f>
        <v>1.6</v>
      </c>
      <c r="K859" s="30">
        <f>IF(OR($F859="",$I859=""),0,IFERROR(INDEX(Nutrition!$E$2:$E$300,MATCH($F859,Nutrition!$A$2:$A$300,0))*$I859/100,0))</f>
        <v>4</v>
      </c>
      <c r="L859" s="30">
        <f>IF(OR($F859="",$I859=""),0,IFERROR(INDEX(Nutrition!$F$2:$F$300,MATCH($F859,Nutrition!$A$2:$A$300,0))*$I859/100,0))</f>
        <v>0</v>
      </c>
      <c r="M859" s="30">
        <f>IF(OR($F859="",$I859=""),0,IFERROR(INDEX(Nutrition!$G$2:$G$300,MATCH($F859,Nutrition!$A$2:$A$300,0))*$I859/100,0))</f>
        <v>0.4</v>
      </c>
      <c r="N859" s="30">
        <f>IF(OR($F859="",$I859=""),0,IFERROR(INDEX(Nutrition!$H$2:$H$300,MATCH($F859,Nutrition!$A$2:$A$300,0))*$I859/100,0))</f>
        <v>17</v>
      </c>
      <c r="O859" s="30">
        <f>IF(OR($F859="",$I859=""),0,IFERROR(INDEX(Nutrition!$I$2:$I$300,MATCH($F859,Nutrition!$A$2:$A$300,0))*$I859/100,0))</f>
        <v>167</v>
      </c>
      <c r="P859" s="30">
        <f>IF(OR($F859="",$I859=""),0,IFERROR(INDEX(Nutrition!$J$2:$J$300,MATCH($F859,Nutrition!$A$2:$A$300,0))*$I859/100,0))</f>
        <v>0.02</v>
      </c>
      <c r="Q859" s="30">
        <f>IF(OR($F859="",$I859=""),0,IFERROR(INDEX(Nutrition!$K$2:$K$300,MATCH($F859,Nutrition!$A$2:$A$300,0))*$I859/100,0))</f>
        <v>0.17249999999999999</v>
      </c>
      <c r="R859" s="30">
        <f>IF(OR($F859="",$I859=""),0,IFERROR(INDEX(Nutrition!$L$2:$L$300,MATCH($F859,Nutrition!$A$2:$A$300,0))*$I859/100,0))</f>
        <v>10.5</v>
      </c>
      <c r="S859" s="30">
        <f>IF(OR($F859="",$I859=""),0,IFERROR(INDEX(Nutrition!$M$2:$M$300,MATCH($F859,Nutrition!$A$2:$A$300,0))*$I859/100,0))</f>
        <v>0.6</v>
      </c>
    </row>
    <row r="860" spans="1:19" ht="15" customHeight="1" x14ac:dyDescent="0.25">
      <c r="A860" s="22" t="s">
        <v>2029</v>
      </c>
      <c r="B860" s="33" t="str">
        <f>IFERROR(INDEX(Recipes!$B$2:$B$500,MATCH(A860,Recipes!$A$2:$A$500,0)),"")</f>
        <v>Puttanesca Sauce</v>
      </c>
      <c r="C860" s="7" t="s">
        <v>500</v>
      </c>
      <c r="D860" s="34">
        <v>3</v>
      </c>
      <c r="E860" s="22" t="s">
        <v>2776</v>
      </c>
      <c r="F860" s="22" t="s">
        <v>499</v>
      </c>
      <c r="G860" s="22" t="s">
        <v>2755</v>
      </c>
      <c r="H860" s="7" t="s">
        <v>2903</v>
      </c>
      <c r="I860" s="35">
        <v>9</v>
      </c>
      <c r="J860" s="30">
        <f>IF(OR($F860="",$I860=""),0,IFERROR(INDEX(Nutrition!$D$2:$D$300,MATCH($F860,Nutrition!$A$2:$A$300,0))*$I860/100,0))</f>
        <v>0.18900000000000003</v>
      </c>
      <c r="K860" s="30">
        <f>IF(OR($F860="",$I860=""),0,IFERROR(INDEX(Nutrition!$E$2:$E$300,MATCH($F860,Nutrition!$A$2:$A$300,0))*$I860/100,0))</f>
        <v>2.8080000000000003</v>
      </c>
      <c r="L860" s="30">
        <f>IF(OR($F860="",$I860=""),0,IFERROR(INDEX(Nutrition!$F$2:$F$300,MATCH($F860,Nutrition!$A$2:$A$300,0))*$I860/100,0))</f>
        <v>0</v>
      </c>
      <c r="M860" s="30">
        <f>IF(OR($F860="",$I860=""),0,IFERROR(INDEX(Nutrition!$G$2:$G$300,MATCH($F860,Nutrition!$A$2:$A$300,0))*$I860/100,0))</f>
        <v>0.153</v>
      </c>
      <c r="N860" s="30">
        <f>IF(OR($F860="",$I860=""),0,IFERROR(INDEX(Nutrition!$H$2:$H$300,MATCH($F860,Nutrition!$A$2:$A$300,0))*$I860/100,0))</f>
        <v>0.27</v>
      </c>
      <c r="O860" s="30">
        <f>IF(OR($F860="",$I860=""),0,IFERROR(INDEX(Nutrition!$I$2:$I$300,MATCH($F860,Nutrition!$A$2:$A$300,0))*$I860/100,0))</f>
        <v>36.090000000000003</v>
      </c>
      <c r="P860" s="30">
        <f>IF(OR($F860="",$I860=""),0,IFERROR(INDEX(Nutrition!$J$2:$J$300,MATCH($F860,Nutrition!$A$2:$A$300,0))*$I860/100,0))</f>
        <v>7.1999999999999998E-3</v>
      </c>
      <c r="Q860" s="30">
        <f>IF(OR($F860="",$I860=""),0,IFERROR(INDEX(Nutrition!$K$2:$K$300,MATCH($F860,Nutrition!$A$2:$A$300,0))*$I860/100,0))</f>
        <v>0.11115</v>
      </c>
      <c r="R860" s="30">
        <f>IF(OR($F860="",$I860=""),0,IFERROR(INDEX(Nutrition!$L$2:$L$300,MATCH($F860,Nutrition!$A$2:$A$300,0))*$I860/100,0))</f>
        <v>2.25</v>
      </c>
      <c r="S860" s="30">
        <f>IF(OR($F860="",$I860=""),0,IFERROR(INDEX(Nutrition!$M$2:$M$300,MATCH($F860,Nutrition!$A$2:$A$300,0))*$I860/100,0))</f>
        <v>0.153</v>
      </c>
    </row>
    <row r="861" spans="1:19" ht="15" customHeight="1" x14ac:dyDescent="0.25">
      <c r="A861" s="22" t="s">
        <v>2029</v>
      </c>
      <c r="B861" s="33" t="str">
        <f>IFERROR(INDEX(Recipes!$B$2:$B$500,MATCH(A861,Recipes!$A$2:$A$500,0)),"")</f>
        <v>Puttanesca Sauce</v>
      </c>
      <c r="C861" s="7" t="s">
        <v>671</v>
      </c>
      <c r="D861" s="34">
        <v>0.25</v>
      </c>
      <c r="E861" s="22" t="s">
        <v>2748</v>
      </c>
      <c r="F861" s="22" t="s">
        <v>670</v>
      </c>
      <c r="G861" s="22" t="s">
        <v>2755</v>
      </c>
      <c r="H861" s="7" t="s">
        <v>2775</v>
      </c>
      <c r="I861" s="35">
        <v>15</v>
      </c>
      <c r="J861" s="30">
        <f>IF(OR($F861="",$I861=""),0,IFERROR(INDEX(Nutrition!$D$2:$D$300,MATCH($F861,Nutrition!$A$2:$A$300,0))*$I861/100,0))</f>
        <v>0.495</v>
      </c>
      <c r="K861" s="30">
        <f>IF(OR($F861="",$I861=""),0,IFERROR(INDEX(Nutrition!$E$2:$E$300,MATCH($F861,Nutrition!$A$2:$A$300,0))*$I861/100,0))</f>
        <v>19.95</v>
      </c>
      <c r="L861" s="30">
        <f>IF(OR($F861="",$I861=""),0,IFERROR(INDEX(Nutrition!$F$2:$F$300,MATCH($F861,Nutrition!$A$2:$A$300,0))*$I861/100,0))</f>
        <v>63.15</v>
      </c>
      <c r="M861" s="30">
        <f>IF(OR($F861="",$I861=""),0,IFERROR(INDEX(Nutrition!$G$2:$G$300,MATCH($F861,Nutrition!$A$2:$A$300,0))*$I861/100,0))</f>
        <v>246</v>
      </c>
      <c r="N861" s="30">
        <f>IF(OR($F861="",$I861=""),0,IFERROR(INDEX(Nutrition!$H$2:$H$300,MATCH($F861,Nutrition!$A$2:$A$300,0))*$I861/100,0))</f>
        <v>22.8</v>
      </c>
      <c r="O861" s="30">
        <f>IF(OR($F861="",$I861=""),0,IFERROR(INDEX(Nutrition!$I$2:$I$300,MATCH($F861,Nutrition!$A$2:$A$300,0))*$I861/100,0))</f>
        <v>83.1</v>
      </c>
      <c r="P861" s="30">
        <f>IF(OR($F861="",$I861=""),0,IFERROR(INDEX(Nutrition!$J$2:$J$300,MATCH($F861,Nutrition!$A$2:$A$300,0))*$I861/100,0))</f>
        <v>0.1125</v>
      </c>
      <c r="Q861" s="30">
        <f>IF(OR($F861="",$I861=""),0,IFERROR(INDEX(Nutrition!$K$2:$K$300,MATCH($F861,Nutrition!$A$2:$A$300,0))*$I861/100,0))</f>
        <v>1.3499999999999998E-2</v>
      </c>
      <c r="R861" s="30">
        <f>IF(OR($F861="",$I861=""),0,IFERROR(INDEX(Nutrition!$L$2:$L$300,MATCH($F861,Nutrition!$A$2:$A$300,0))*$I861/100,0))</f>
        <v>7.5</v>
      </c>
      <c r="S861" s="30">
        <f>IF(OR($F861="",$I861=""),0,IFERROR(INDEX(Nutrition!$M$2:$M$300,MATCH($F861,Nutrition!$A$2:$A$300,0))*$I861/100,0))</f>
        <v>0.93</v>
      </c>
    </row>
    <row r="862" spans="1:19" ht="15" customHeight="1" x14ac:dyDescent="0.25">
      <c r="A862" s="22" t="s">
        <v>2029</v>
      </c>
      <c r="B862" s="33" t="str">
        <f>IFERROR(INDEX(Recipes!$B$2:$B$500,MATCH(A862,Recipes!$A$2:$A$500,0)),"")</f>
        <v>Puttanesca Sauce</v>
      </c>
      <c r="C862" s="7" t="s">
        <v>473</v>
      </c>
      <c r="D862" s="34">
        <v>0.5</v>
      </c>
      <c r="E862" s="22" t="s">
        <v>2754</v>
      </c>
      <c r="F862" s="22" t="s">
        <v>472</v>
      </c>
      <c r="G862" s="22" t="s">
        <v>2755</v>
      </c>
      <c r="H862" s="7" t="s">
        <v>2903</v>
      </c>
      <c r="I862" s="35">
        <v>5</v>
      </c>
      <c r="J862" s="30">
        <f>IF(OR($F862="",$I862=""),0,IFERROR(INDEX(Nutrition!$D$2:$D$300,MATCH($F862,Nutrition!$A$2:$A$300,0))*$I862/100,0))</f>
        <v>7.4999999999999997E-2</v>
      </c>
      <c r="K862" s="30">
        <f>IF(OR($F862="",$I862=""),0,IFERROR(INDEX(Nutrition!$E$2:$E$300,MATCH($F862,Nutrition!$A$2:$A$300,0))*$I862/100,0))</f>
        <v>7.1849999999999996</v>
      </c>
      <c r="L862" s="30">
        <f>IF(OR($F862="",$I862=""),0,IFERROR(INDEX(Nutrition!$F$2:$F$300,MATCH($F862,Nutrition!$A$2:$A$300,0))*$I862/100,0))</f>
        <v>2.4</v>
      </c>
      <c r="M862" s="30">
        <f>IF(OR($F862="",$I862=""),0,IFERROR(INDEX(Nutrition!$G$2:$G$300,MATCH($F862,Nutrition!$A$2:$A$300,0))*$I862/100,0))</f>
        <v>0.7</v>
      </c>
      <c r="N862" s="30">
        <f>IF(OR($F862="",$I862=""),0,IFERROR(INDEX(Nutrition!$H$2:$H$300,MATCH($F862,Nutrition!$A$2:$A$300,0))*$I862/100,0))</f>
        <v>1.1499999999999999</v>
      </c>
      <c r="O862" s="30">
        <f>IF(OR($F862="",$I862=""),0,IFERROR(INDEX(Nutrition!$I$2:$I$300,MATCH($F862,Nutrition!$A$2:$A$300,0))*$I862/100,0))</f>
        <v>16.100000000000001</v>
      </c>
      <c r="P862" s="30">
        <f>IF(OR($F862="",$I862=""),0,IFERROR(INDEX(Nutrition!$J$2:$J$300,MATCH($F862,Nutrition!$A$2:$A$300,0))*$I862/100,0))</f>
        <v>3.4499999999999996E-2</v>
      </c>
      <c r="Q862" s="30">
        <f>IF(OR($F862="",$I862=""),0,IFERROR(INDEX(Nutrition!$K$2:$K$300,MATCH($F862,Nutrition!$A$2:$A$300,0))*$I862/100,0))</f>
        <v>2.5300000000000003E-2</v>
      </c>
      <c r="R862" s="30">
        <f>IF(OR($F862="",$I862=""),0,IFERROR(INDEX(Nutrition!$L$2:$L$300,MATCH($F862,Nutrition!$A$2:$A$300,0))*$I862/100,0))</f>
        <v>1.1499999999999999</v>
      </c>
      <c r="S862" s="30">
        <f>IF(OR($F862="",$I862=""),0,IFERROR(INDEX(Nutrition!$M$2:$M$300,MATCH($F862,Nutrition!$A$2:$A$300,0))*$I862/100,0))</f>
        <v>5.1500000000000004E-2</v>
      </c>
    </row>
    <row r="863" spans="1:19" ht="15" customHeight="1" x14ac:dyDescent="0.25">
      <c r="A863" s="22" t="s">
        <v>2029</v>
      </c>
      <c r="B863" s="33" t="str">
        <f>IFERROR(INDEX(Recipes!$B$2:$B$500,MATCH(A863,Recipes!$A$2:$A$500,0)),"")</f>
        <v>Puttanesca Sauce</v>
      </c>
      <c r="C863" s="7" t="s">
        <v>206</v>
      </c>
      <c r="D863" s="34">
        <v>0.5</v>
      </c>
      <c r="E863" s="22" t="s">
        <v>2754</v>
      </c>
      <c r="F863" s="22" t="s">
        <v>205</v>
      </c>
      <c r="G863" s="22" t="s">
        <v>2755</v>
      </c>
      <c r="H863" s="7" t="s">
        <v>2912</v>
      </c>
      <c r="I863" s="35">
        <v>29</v>
      </c>
      <c r="J863" s="30">
        <f>IF(OR($F863="",$I863=""),0,IFERROR(INDEX(Nutrition!$D$2:$D$300,MATCH($F863,Nutrition!$A$2:$A$300,0))*$I863/100,0))</f>
        <v>0.81199999999999983</v>
      </c>
      <c r="K863" s="30">
        <f>IF(OR($F863="",$I863=""),0,IFERROR(INDEX(Nutrition!$E$2:$E$300,MATCH($F863,Nutrition!$A$2:$A$300,0))*$I863/100,0))</f>
        <v>15.37</v>
      </c>
      <c r="L863" s="30">
        <f>IF(OR($F863="",$I863=""),0,IFERROR(INDEX(Nutrition!$F$2:$F$300,MATCH($F863,Nutrition!$A$2:$A$300,0))*$I863/100,0))</f>
        <v>0.28999999999999998</v>
      </c>
      <c r="M863" s="30">
        <f>IF(OR($F863="",$I863=""),0,IFERROR(INDEX(Nutrition!$G$2:$G$300,MATCH($F863,Nutrition!$A$2:$A$300,0))*$I863/100,0))</f>
        <v>0</v>
      </c>
      <c r="N863" s="30">
        <f>IF(OR($F863="",$I863=""),0,IFERROR(INDEX(Nutrition!$H$2:$H$300,MATCH($F863,Nutrition!$A$2:$A$300,0))*$I863/100,0))</f>
        <v>3.19</v>
      </c>
      <c r="O863" s="30">
        <f>IF(OR($F863="",$I863=""),0,IFERROR(INDEX(Nutrition!$I$2:$I$300,MATCH($F863,Nutrition!$A$2:$A$300,0))*$I863/100,0))</f>
        <v>40.020000000000003</v>
      </c>
      <c r="P863" s="30">
        <f>IF(OR($F863="",$I863=""),0,IFERROR(INDEX(Nutrition!$J$2:$J$300,MATCH($F863,Nutrition!$A$2:$A$300,0))*$I863/100,0))</f>
        <v>4.3499999999999997E-2</v>
      </c>
      <c r="Q863" s="30">
        <f>IF(OR($F863="",$I863=""),0,IFERROR(INDEX(Nutrition!$K$2:$K$300,MATCH($F863,Nutrition!$A$2:$A$300,0))*$I863/100,0))</f>
        <v>2.3199999999999998E-2</v>
      </c>
      <c r="R863" s="30">
        <f>IF(OR($F863="",$I863=""),0,IFERROR(INDEX(Nutrition!$L$2:$L$300,MATCH($F863,Nutrition!$A$2:$A$300,0))*$I863/100,0))</f>
        <v>2.3199999999999998</v>
      </c>
      <c r="S863" s="30">
        <f>IF(OR($F863="",$I863=""),0,IFERROR(INDEX(Nutrition!$M$2:$M$300,MATCH($F863,Nutrition!$A$2:$A$300,0))*$I863/100,0))</f>
        <v>0.17399999999999999</v>
      </c>
    </row>
    <row r="864" spans="1:19" ht="15" customHeight="1" x14ac:dyDescent="0.25">
      <c r="A864" s="22" t="s">
        <v>2029</v>
      </c>
      <c r="B864" s="33" t="str">
        <f>IFERROR(INDEX(Recipes!$B$2:$B$500,MATCH(A864,Recipes!$A$2:$A$500,0)),"")</f>
        <v>Puttanesca Sauce</v>
      </c>
      <c r="C864" s="7" t="s">
        <v>2826</v>
      </c>
      <c r="D864" s="34">
        <v>0.5</v>
      </c>
      <c r="E864" s="22" t="s">
        <v>2748</v>
      </c>
      <c r="F864" s="22"/>
      <c r="G864" s="22" t="s">
        <v>2749</v>
      </c>
      <c r="H864" s="7" t="s">
        <v>2967</v>
      </c>
      <c r="I864" s="35"/>
      <c r="J864" s="30">
        <f>IF(OR($F864="",$I864=""),0,IFERROR(INDEX(Nutrition!$D$2:$D$300,MATCH($F864,Nutrition!$A$2:$A$300,0))*$I864/100,0))</f>
        <v>0</v>
      </c>
      <c r="K864" s="30">
        <f>IF(OR($F864="",$I864=""),0,IFERROR(INDEX(Nutrition!$E$2:$E$300,MATCH($F864,Nutrition!$A$2:$A$300,0))*$I864/100,0))</f>
        <v>0</v>
      </c>
      <c r="L864" s="30">
        <f>IF(OR($F864="",$I864=""),0,IFERROR(INDEX(Nutrition!$F$2:$F$300,MATCH($F864,Nutrition!$A$2:$A$300,0))*$I864/100,0))</f>
        <v>0</v>
      </c>
      <c r="M864" s="30">
        <f>IF(OR($F864="",$I864=""),0,IFERROR(INDEX(Nutrition!$G$2:$G$300,MATCH($F864,Nutrition!$A$2:$A$300,0))*$I864/100,0))</f>
        <v>0</v>
      </c>
      <c r="N864" s="30">
        <f>IF(OR($F864="",$I864=""),0,IFERROR(INDEX(Nutrition!$H$2:$H$300,MATCH($F864,Nutrition!$A$2:$A$300,0))*$I864/100,0))</f>
        <v>0</v>
      </c>
      <c r="O864" s="30">
        <f>IF(OR($F864="",$I864=""),0,IFERROR(INDEX(Nutrition!$I$2:$I$300,MATCH($F864,Nutrition!$A$2:$A$300,0))*$I864/100,0))</f>
        <v>0</v>
      </c>
      <c r="P864" s="30">
        <f>IF(OR($F864="",$I864=""),0,IFERROR(INDEX(Nutrition!$J$2:$J$300,MATCH($F864,Nutrition!$A$2:$A$300,0))*$I864/100,0))</f>
        <v>0</v>
      </c>
      <c r="Q864" s="30">
        <f>IF(OR($F864="",$I864=""),0,IFERROR(INDEX(Nutrition!$K$2:$K$300,MATCH($F864,Nutrition!$A$2:$A$300,0))*$I864/100,0))</f>
        <v>0</v>
      </c>
      <c r="R864" s="30">
        <f>IF(OR($F864="",$I864=""),0,IFERROR(INDEX(Nutrition!$L$2:$L$300,MATCH($F864,Nutrition!$A$2:$A$300,0))*$I864/100,0))</f>
        <v>0</v>
      </c>
      <c r="S864" s="30">
        <f>IF(OR($F864="",$I864=""),0,IFERROR(INDEX(Nutrition!$M$2:$M$300,MATCH($F864,Nutrition!$A$2:$A$300,0))*$I864/100,0))</f>
        <v>0</v>
      </c>
    </row>
    <row r="865" spans="1:19" ht="15" customHeight="1" x14ac:dyDescent="0.25">
      <c r="A865" s="22" t="s">
        <v>2029</v>
      </c>
      <c r="B865" s="33" t="str">
        <f>IFERROR(INDEX(Recipes!$B$2:$B$500,MATCH(A865,Recipes!$A$2:$A$500,0)),"")</f>
        <v>Puttanesca Sauce</v>
      </c>
      <c r="C865" s="7" t="s">
        <v>2805</v>
      </c>
      <c r="D865" s="34">
        <v>3</v>
      </c>
      <c r="E865" s="22" t="s">
        <v>2753</v>
      </c>
      <c r="F865" s="22"/>
      <c r="G865" s="22" t="s">
        <v>2773</v>
      </c>
      <c r="H865" s="7"/>
      <c r="I865" s="35"/>
      <c r="J865" s="30">
        <f>IF(OR($F865="",$I865=""),0,IFERROR(INDEX(Nutrition!$D$2:$D$300,MATCH($F865,Nutrition!$A$2:$A$300,0))*$I865/100,0))</f>
        <v>0</v>
      </c>
      <c r="K865" s="30">
        <f>IF(OR($F865="",$I865=""),0,IFERROR(INDEX(Nutrition!$E$2:$E$300,MATCH($F865,Nutrition!$A$2:$A$300,0))*$I865/100,0))</f>
        <v>0</v>
      </c>
      <c r="L865" s="30">
        <f>IF(OR($F865="",$I865=""),0,IFERROR(INDEX(Nutrition!$F$2:$F$300,MATCH($F865,Nutrition!$A$2:$A$300,0))*$I865/100,0))</f>
        <v>0</v>
      </c>
      <c r="M865" s="30">
        <f>IF(OR($F865="",$I865=""),0,IFERROR(INDEX(Nutrition!$G$2:$G$300,MATCH($F865,Nutrition!$A$2:$A$300,0))*$I865/100,0))</f>
        <v>0</v>
      </c>
      <c r="N865" s="30">
        <f>IF(OR($F865="",$I865=""),0,IFERROR(INDEX(Nutrition!$H$2:$H$300,MATCH($F865,Nutrition!$A$2:$A$300,0))*$I865/100,0))</f>
        <v>0</v>
      </c>
      <c r="O865" s="30">
        <f>IF(OR($F865="",$I865=""),0,IFERROR(INDEX(Nutrition!$I$2:$I$300,MATCH($F865,Nutrition!$A$2:$A$300,0))*$I865/100,0))</f>
        <v>0</v>
      </c>
      <c r="P865" s="30">
        <f>IF(OR($F865="",$I865=""),0,IFERROR(INDEX(Nutrition!$J$2:$J$300,MATCH($F865,Nutrition!$A$2:$A$300,0))*$I865/100,0))</f>
        <v>0</v>
      </c>
      <c r="Q865" s="30">
        <f>IF(OR($F865="",$I865=""),0,IFERROR(INDEX(Nutrition!$K$2:$K$300,MATCH($F865,Nutrition!$A$2:$A$300,0))*$I865/100,0))</f>
        <v>0</v>
      </c>
      <c r="R865" s="30">
        <f>IF(OR($F865="",$I865=""),0,IFERROR(INDEX(Nutrition!$L$2:$L$300,MATCH($F865,Nutrition!$A$2:$A$300,0))*$I865/100,0))</f>
        <v>0</v>
      </c>
      <c r="S865" s="30">
        <f>IF(OR($F865="",$I865=""),0,IFERROR(INDEX(Nutrition!$M$2:$M$300,MATCH($F865,Nutrition!$A$2:$A$300,0))*$I865/100,0))</f>
        <v>0</v>
      </c>
    </row>
    <row r="866" spans="1:19" ht="15" customHeight="1" x14ac:dyDescent="0.25">
      <c r="A866" s="22" t="s">
        <v>2029</v>
      </c>
      <c r="B866" s="33" t="str">
        <f>IFERROR(INDEX(Recipes!$B$2:$B$500,MATCH(A866,Recipes!$A$2:$A$500,0)),"")</f>
        <v>Puttanesca Sauce</v>
      </c>
      <c r="C866" s="7" t="s">
        <v>2781</v>
      </c>
      <c r="D866" s="34">
        <v>0.25</v>
      </c>
      <c r="E866" s="22" t="s">
        <v>2759</v>
      </c>
      <c r="F866" s="22"/>
      <c r="G866" s="22" t="s">
        <v>2773</v>
      </c>
      <c r="H866" s="7"/>
      <c r="I866" s="35"/>
      <c r="J866" s="30">
        <f>IF(OR($F866="",$I866=""),0,IFERROR(INDEX(Nutrition!$D$2:$D$300,MATCH($F866,Nutrition!$A$2:$A$300,0))*$I866/100,0))</f>
        <v>0</v>
      </c>
      <c r="K866" s="30">
        <f>IF(OR($F866="",$I866=""),0,IFERROR(INDEX(Nutrition!$E$2:$E$300,MATCH($F866,Nutrition!$A$2:$A$300,0))*$I866/100,0))</f>
        <v>0</v>
      </c>
      <c r="L866" s="30">
        <f>IF(OR($F866="",$I866=""),0,IFERROR(INDEX(Nutrition!$F$2:$F$300,MATCH($F866,Nutrition!$A$2:$A$300,0))*$I866/100,0))</f>
        <v>0</v>
      </c>
      <c r="M866" s="30">
        <f>IF(OR($F866="",$I866=""),0,IFERROR(INDEX(Nutrition!$G$2:$G$300,MATCH($F866,Nutrition!$A$2:$A$300,0))*$I866/100,0))</f>
        <v>0</v>
      </c>
      <c r="N866" s="30">
        <f>IF(OR($F866="",$I866=""),0,IFERROR(INDEX(Nutrition!$H$2:$H$300,MATCH($F866,Nutrition!$A$2:$A$300,0))*$I866/100,0))</f>
        <v>0</v>
      </c>
      <c r="O866" s="30">
        <f>IF(OR($F866="",$I866=""),0,IFERROR(INDEX(Nutrition!$I$2:$I$300,MATCH($F866,Nutrition!$A$2:$A$300,0))*$I866/100,0))</f>
        <v>0</v>
      </c>
      <c r="P866" s="30">
        <f>IF(OR($F866="",$I866=""),0,IFERROR(INDEX(Nutrition!$J$2:$J$300,MATCH($F866,Nutrition!$A$2:$A$300,0))*$I866/100,0))</f>
        <v>0</v>
      </c>
      <c r="Q866" s="30">
        <f>IF(OR($F866="",$I866=""),0,IFERROR(INDEX(Nutrition!$K$2:$K$300,MATCH($F866,Nutrition!$A$2:$A$300,0))*$I866/100,0))</f>
        <v>0</v>
      </c>
      <c r="R866" s="30">
        <f>IF(OR($F866="",$I866=""),0,IFERROR(INDEX(Nutrition!$L$2:$L$300,MATCH($F866,Nutrition!$A$2:$A$300,0))*$I866/100,0))</f>
        <v>0</v>
      </c>
      <c r="S866" s="30">
        <f>IF(OR($F866="",$I866=""),0,IFERROR(INDEX(Nutrition!$M$2:$M$300,MATCH($F866,Nutrition!$A$2:$A$300,0))*$I866/100,0))</f>
        <v>0</v>
      </c>
    </row>
    <row r="867" spans="1:19" ht="15" customHeight="1" x14ac:dyDescent="0.25">
      <c r="A867" s="22" t="s">
        <v>2039</v>
      </c>
      <c r="B867" s="33" t="str">
        <f>IFERROR(INDEX(Recipes!$B$2:$B$500,MATCH(A867,Recipes!$A$2:$A$500,0)),"")</f>
        <v>Briam (Greek Baked Vegetables)</v>
      </c>
      <c r="C867" s="7" t="s">
        <v>617</v>
      </c>
      <c r="D867" s="34">
        <v>500</v>
      </c>
      <c r="E867" s="22" t="s">
        <v>2813</v>
      </c>
      <c r="F867" s="22" t="s">
        <v>616</v>
      </c>
      <c r="G867" s="22" t="s">
        <v>2755</v>
      </c>
      <c r="H867" s="7" t="s">
        <v>2968</v>
      </c>
      <c r="I867" s="35">
        <v>500</v>
      </c>
      <c r="J867" s="30">
        <f>IF(OR($F867="",$I867=""),0,IFERROR(INDEX(Nutrition!$D$2:$D$300,MATCH($F867,Nutrition!$A$2:$A$300,0))*$I867/100,0))</f>
        <v>10.5</v>
      </c>
      <c r="K867" s="30">
        <f>IF(OR($F867="",$I867=""),0,IFERROR(INDEX(Nutrition!$E$2:$E$300,MATCH($F867,Nutrition!$A$2:$A$300,0))*$I867/100,0))</f>
        <v>98.5</v>
      </c>
      <c r="L867" s="30">
        <f>IF(OR($F867="",$I867=""),0,IFERROR(INDEX(Nutrition!$F$2:$F$300,MATCH($F867,Nutrition!$A$2:$A$300,0))*$I867/100,0))</f>
        <v>0</v>
      </c>
      <c r="M867" s="30">
        <f>IF(OR($F867="",$I867=""),0,IFERROR(INDEX(Nutrition!$G$2:$G$300,MATCH($F867,Nutrition!$A$2:$A$300,0))*$I867/100,0))</f>
        <v>10</v>
      </c>
      <c r="N867" s="30">
        <f>IF(OR($F867="",$I867=""),0,IFERROR(INDEX(Nutrition!$H$2:$H$300,MATCH($F867,Nutrition!$A$2:$A$300,0))*$I867/100,0))</f>
        <v>75</v>
      </c>
      <c r="O867" s="30">
        <f>IF(OR($F867="",$I867=""),0,IFERROR(INDEX(Nutrition!$I$2:$I$300,MATCH($F867,Nutrition!$A$2:$A$300,0))*$I867/100,0))</f>
        <v>2125</v>
      </c>
      <c r="P867" s="30">
        <f>IF(OR($F867="",$I867=""),0,IFERROR(INDEX(Nutrition!$J$2:$J$300,MATCH($F867,Nutrition!$A$2:$A$300,0))*$I867/100,0))</f>
        <v>0.05</v>
      </c>
      <c r="Q867" s="30">
        <f>IF(OR($F867="",$I867=""),0,IFERROR(INDEX(Nutrition!$K$2:$K$300,MATCH($F867,Nutrition!$A$2:$A$300,0))*$I867/100,0))</f>
        <v>1.49</v>
      </c>
      <c r="R867" s="30">
        <f>IF(OR($F867="",$I867=""),0,IFERROR(INDEX(Nutrition!$L$2:$L$300,MATCH($F867,Nutrition!$A$2:$A$300,0))*$I867/100,0))</f>
        <v>115</v>
      </c>
      <c r="S867" s="30">
        <f>IF(OR($F867="",$I867=""),0,IFERROR(INDEX(Nutrition!$M$2:$M$300,MATCH($F867,Nutrition!$A$2:$A$300,0))*$I867/100,0))</f>
        <v>4.05</v>
      </c>
    </row>
    <row r="868" spans="1:19" ht="15" customHeight="1" x14ac:dyDescent="0.25">
      <c r="A868" s="22" t="s">
        <v>2039</v>
      </c>
      <c r="B868" s="33" t="str">
        <f>IFERROR(INDEX(Recipes!$B$2:$B$500,MATCH(A868,Recipes!$A$2:$A$500,0)),"")</f>
        <v>Briam (Greek Baked Vegetables)</v>
      </c>
      <c r="C868" s="7" t="s">
        <v>592</v>
      </c>
      <c r="D868" s="34">
        <v>500</v>
      </c>
      <c r="E868" s="22" t="s">
        <v>2813</v>
      </c>
      <c r="F868" s="22" t="s">
        <v>591</v>
      </c>
      <c r="G868" s="22" t="s">
        <v>2755</v>
      </c>
      <c r="H868" s="7" t="s">
        <v>2969</v>
      </c>
      <c r="I868" s="35">
        <v>500</v>
      </c>
      <c r="J868" s="30">
        <f>IF(OR($F868="",$I868=""),0,IFERROR(INDEX(Nutrition!$D$2:$D$300,MATCH($F868,Nutrition!$A$2:$A$300,0))*$I868/100,0))</f>
        <v>5</v>
      </c>
      <c r="K868" s="30">
        <f>IF(OR($F868="",$I868=""),0,IFERROR(INDEX(Nutrition!$E$2:$E$300,MATCH($F868,Nutrition!$A$2:$A$300,0))*$I868/100,0))</f>
        <v>89.5</v>
      </c>
      <c r="L868" s="30">
        <f>IF(OR($F868="",$I868=""),0,IFERROR(INDEX(Nutrition!$F$2:$F$300,MATCH($F868,Nutrition!$A$2:$A$300,0))*$I868/100,0))</f>
        <v>50</v>
      </c>
      <c r="M868" s="30">
        <f>IF(OR($F868="",$I868=""),0,IFERROR(INDEX(Nutrition!$G$2:$G$300,MATCH($F868,Nutrition!$A$2:$A$300,0))*$I868/100,0))</f>
        <v>21.5</v>
      </c>
      <c r="N868" s="30">
        <f>IF(OR($F868="",$I868=""),0,IFERROR(INDEX(Nutrition!$H$2:$H$300,MATCH($F868,Nutrition!$A$2:$A$300,0))*$I868/100,0))</f>
        <v>120</v>
      </c>
      <c r="O868" s="30">
        <f>IF(OR($F868="",$I868=""),0,IFERROR(INDEX(Nutrition!$I$2:$I$300,MATCH($F868,Nutrition!$A$2:$A$300,0))*$I868/100,0))</f>
        <v>1305</v>
      </c>
      <c r="P868" s="30">
        <f>IF(OR($F868="",$I868=""),0,IFERROR(INDEX(Nutrition!$J$2:$J$300,MATCH($F868,Nutrition!$A$2:$A$300,0))*$I868/100,0))</f>
        <v>0.6</v>
      </c>
      <c r="Q868" s="30">
        <f>IF(OR($F868="",$I868=""),0,IFERROR(INDEX(Nutrition!$K$2:$K$300,MATCH($F868,Nutrition!$A$2:$A$300,0))*$I868/100,0))</f>
        <v>0.81499999999999995</v>
      </c>
      <c r="R868" s="30">
        <f>IF(OR($F868="",$I868=""),0,IFERROR(INDEX(Nutrition!$L$2:$L$300,MATCH($F868,Nutrition!$A$2:$A$300,0))*$I868/100,0))</f>
        <v>90</v>
      </c>
      <c r="S868" s="30">
        <f>IF(OR($F868="",$I868=""),0,IFERROR(INDEX(Nutrition!$M$2:$M$300,MATCH($F868,Nutrition!$A$2:$A$300,0))*$I868/100,0))</f>
        <v>1.85</v>
      </c>
    </row>
    <row r="869" spans="1:19" ht="15" customHeight="1" x14ac:dyDescent="0.25">
      <c r="A869" s="22" t="s">
        <v>2039</v>
      </c>
      <c r="B869" s="33" t="str">
        <f>IFERROR(INDEX(Recipes!$B$2:$B$500,MATCH(A869,Recipes!$A$2:$A$500,0)),"")</f>
        <v>Briam (Greek Baked Vegetables)</v>
      </c>
      <c r="C869" s="7" t="s">
        <v>566</v>
      </c>
      <c r="D869" s="34">
        <v>4</v>
      </c>
      <c r="E869" s="22" t="s">
        <v>2754</v>
      </c>
      <c r="F869" s="22" t="s">
        <v>565</v>
      </c>
      <c r="G869" s="22" t="s">
        <v>2755</v>
      </c>
      <c r="H869" s="7" t="s">
        <v>2969</v>
      </c>
      <c r="I869" s="35">
        <v>160</v>
      </c>
      <c r="J869" s="30">
        <f>IF(OR($F869="",$I869=""),0,IFERROR(INDEX(Nutrition!$D$2:$D$300,MATCH($F869,Nutrition!$A$2:$A$300,0))*$I869/100,0))</f>
        <v>5.6</v>
      </c>
      <c r="K869" s="30">
        <f>IF(OR($F869="",$I869=""),0,IFERROR(INDEX(Nutrition!$E$2:$E$300,MATCH($F869,Nutrition!$A$2:$A$300,0))*$I869/100,0))</f>
        <v>18.559999999999999</v>
      </c>
      <c r="L869" s="30">
        <f>IF(OR($F869="",$I869=""),0,IFERROR(INDEX(Nutrition!$F$2:$F$300,MATCH($F869,Nutrition!$A$2:$A$300,0))*$I869/100,0))</f>
        <v>3.2</v>
      </c>
      <c r="M869" s="30">
        <f>IF(OR($F869="",$I869=""),0,IFERROR(INDEX(Nutrition!$G$2:$G$300,MATCH($F869,Nutrition!$A$2:$A$300,0))*$I869/100,0))</f>
        <v>5.6</v>
      </c>
      <c r="N869" s="30">
        <f>IF(OR($F869="",$I869=""),0,IFERROR(INDEX(Nutrition!$H$2:$H$300,MATCH($F869,Nutrition!$A$2:$A$300,0))*$I869/100,0))</f>
        <v>35.200000000000003</v>
      </c>
      <c r="O869" s="30">
        <f>IF(OR($F869="",$I869=""),0,IFERROR(INDEX(Nutrition!$I$2:$I$300,MATCH($F869,Nutrition!$A$2:$A$300,0))*$I869/100,0))</f>
        <v>384</v>
      </c>
      <c r="P869" s="30">
        <f>IF(OR($F869="",$I869=""),0,IFERROR(INDEX(Nutrition!$J$2:$J$300,MATCH($F869,Nutrition!$A$2:$A$300,0))*$I869/100,0))</f>
        <v>0.48</v>
      </c>
      <c r="Q869" s="30">
        <f>IF(OR($F869="",$I869=""),0,IFERROR(INDEX(Nutrition!$K$2:$K$300,MATCH($F869,Nutrition!$A$2:$A$300,0))*$I869/100,0))</f>
        <v>0.128</v>
      </c>
      <c r="R869" s="30">
        <f>IF(OR($F869="",$I869=""),0,IFERROR(INDEX(Nutrition!$L$2:$L$300,MATCH($F869,Nutrition!$A$2:$A$300,0))*$I869/100,0))</f>
        <v>24</v>
      </c>
      <c r="S869" s="30">
        <f>IF(OR($F869="",$I869=""),0,IFERROR(INDEX(Nutrition!$M$2:$M$300,MATCH($F869,Nutrition!$A$2:$A$300,0))*$I869/100,0))</f>
        <v>0.8</v>
      </c>
    </row>
    <row r="870" spans="1:19" ht="15" customHeight="1" x14ac:dyDescent="0.25">
      <c r="A870" s="22" t="s">
        <v>2039</v>
      </c>
      <c r="B870" s="33" t="str">
        <f>IFERROR(INDEX(Recipes!$B$2:$B$500,MATCH(A870,Recipes!$A$2:$A$500,0)),"")</f>
        <v>Briam (Greek Baked Vegetables)</v>
      </c>
      <c r="C870" s="7" t="s">
        <v>446</v>
      </c>
      <c r="D870" s="34">
        <v>8</v>
      </c>
      <c r="E870" s="22" t="s">
        <v>2754</v>
      </c>
      <c r="F870" s="22" t="s">
        <v>445</v>
      </c>
      <c r="G870" s="22" t="s">
        <v>2755</v>
      </c>
      <c r="H870" s="7" t="s">
        <v>2970</v>
      </c>
      <c r="I870" s="35">
        <v>800</v>
      </c>
      <c r="J870" s="30">
        <f>IF(OR($F870="",$I870=""),0,IFERROR(INDEX(Nutrition!$D$2:$D$300,MATCH($F870,Nutrition!$A$2:$A$300,0))*$I870/100,0))</f>
        <v>9.6</v>
      </c>
      <c r="K870" s="30">
        <f>IF(OR($F870="",$I870=""),0,IFERROR(INDEX(Nutrition!$E$2:$E$300,MATCH($F870,Nutrition!$A$2:$A$300,0))*$I870/100,0))</f>
        <v>109.6</v>
      </c>
      <c r="L870" s="30">
        <f>IF(OR($F870="",$I870=""),0,IFERROR(INDEX(Nutrition!$F$2:$F$300,MATCH($F870,Nutrition!$A$2:$A$300,0))*$I870/100,0))</f>
        <v>336</v>
      </c>
      <c r="M870" s="30">
        <f>IF(OR($F870="",$I870=""),0,IFERROR(INDEX(Nutrition!$G$2:$G$300,MATCH($F870,Nutrition!$A$2:$A$300,0))*$I870/100,0))</f>
        <v>63.2</v>
      </c>
      <c r="N870" s="30">
        <f>IF(OR($F870="",$I870=""),0,IFERROR(INDEX(Nutrition!$H$2:$H$300,MATCH($F870,Nutrition!$A$2:$A$300,0))*$I870/100,0))</f>
        <v>120</v>
      </c>
      <c r="O870" s="30">
        <f>IF(OR($F870="",$I870=""),0,IFERROR(INDEX(Nutrition!$I$2:$I$300,MATCH($F870,Nutrition!$A$2:$A$300,0))*$I870/100,0))</f>
        <v>1896</v>
      </c>
      <c r="P870" s="30">
        <f>IF(OR($F870="",$I870=""),0,IFERROR(INDEX(Nutrition!$J$2:$J$300,MATCH($F870,Nutrition!$A$2:$A$300,0))*$I870/100,0))</f>
        <v>4.32</v>
      </c>
      <c r="Q870" s="30">
        <f>IF(OR($F870="",$I870=""),0,IFERROR(INDEX(Nutrition!$K$2:$K$300,MATCH($F870,Nutrition!$A$2:$A$300,0))*$I870/100,0))</f>
        <v>0.64</v>
      </c>
      <c r="R870" s="30">
        <f>IF(OR($F870="",$I870=""),0,IFERROR(INDEX(Nutrition!$L$2:$L$300,MATCH($F870,Nutrition!$A$2:$A$300,0))*$I870/100,0))</f>
        <v>88</v>
      </c>
      <c r="S870" s="30">
        <f>IF(OR($F870="",$I870=""),0,IFERROR(INDEX(Nutrition!$M$2:$M$300,MATCH($F870,Nutrition!$A$2:$A$300,0))*$I870/100,0))</f>
        <v>2.16</v>
      </c>
    </row>
    <row r="871" spans="1:19" ht="15" customHeight="1" x14ac:dyDescent="0.25">
      <c r="A871" s="22" t="s">
        <v>2039</v>
      </c>
      <c r="B871" s="33" t="str">
        <f>IFERROR(INDEX(Recipes!$B$2:$B$500,MATCH(A871,Recipes!$A$2:$A$500,0)),"")</f>
        <v>Briam (Greek Baked Vegetables)</v>
      </c>
      <c r="C871" s="7" t="s">
        <v>482</v>
      </c>
      <c r="D871" s="34">
        <v>1</v>
      </c>
      <c r="E871" s="22" t="s">
        <v>2754</v>
      </c>
      <c r="F871" s="22" t="s">
        <v>481</v>
      </c>
      <c r="G871" s="22" t="s">
        <v>2755</v>
      </c>
      <c r="H871" s="7" t="s">
        <v>2971</v>
      </c>
      <c r="I871" s="35">
        <v>110</v>
      </c>
      <c r="J871" s="30">
        <f>IF(OR($F871="",$I871=""),0,IFERROR(INDEX(Nutrition!$D$2:$D$300,MATCH($F871,Nutrition!$A$2:$A$300,0))*$I871/100,0))</f>
        <v>1.87</v>
      </c>
      <c r="K871" s="30">
        <f>IF(OR($F871="",$I871=""),0,IFERROR(INDEX(Nutrition!$E$2:$E$300,MATCH($F871,Nutrition!$A$2:$A$300,0))*$I871/100,0))</f>
        <v>8.14</v>
      </c>
      <c r="L871" s="30">
        <f>IF(OR($F871="",$I871=""),0,IFERROR(INDEX(Nutrition!$F$2:$F$300,MATCH($F871,Nutrition!$A$2:$A$300,0))*$I871/100,0))</f>
        <v>0</v>
      </c>
      <c r="M871" s="30">
        <f>IF(OR($F871="",$I871=""),0,IFERROR(INDEX(Nutrition!$G$2:$G$300,MATCH($F871,Nutrition!$A$2:$A$300,0))*$I871/100,0))</f>
        <v>0.44</v>
      </c>
      <c r="N871" s="30">
        <f>IF(OR($F871="",$I871=""),0,IFERROR(INDEX(Nutrition!$H$2:$H$300,MATCH($F871,Nutrition!$A$2:$A$300,0))*$I871/100,0))</f>
        <v>20.9</v>
      </c>
      <c r="O871" s="30">
        <f>IF(OR($F871="",$I871=""),0,IFERROR(INDEX(Nutrition!$I$2:$I$300,MATCH($F871,Nutrition!$A$2:$A$300,0))*$I871/100,0))</f>
        <v>160.6</v>
      </c>
      <c r="P871" s="30">
        <f>IF(OR($F871="",$I871=""),0,IFERROR(INDEX(Nutrition!$J$2:$J$300,MATCH($F871,Nutrition!$A$2:$A$300,0))*$I871/100,0))</f>
        <v>2.2000000000000002E-2</v>
      </c>
      <c r="Q871" s="30">
        <f>IF(OR($F871="",$I871=""),0,IFERROR(INDEX(Nutrition!$K$2:$K$300,MATCH($F871,Nutrition!$A$2:$A$300,0))*$I871/100,0))</f>
        <v>0.13200000000000001</v>
      </c>
      <c r="R871" s="30">
        <f>IF(OR($F871="",$I871=""),0,IFERROR(INDEX(Nutrition!$L$2:$L$300,MATCH($F871,Nutrition!$A$2:$A$300,0))*$I871/100,0))</f>
        <v>11</v>
      </c>
      <c r="S871" s="30">
        <f>IF(OR($F871="",$I871=""),0,IFERROR(INDEX(Nutrition!$M$2:$M$300,MATCH($F871,Nutrition!$A$2:$A$300,0))*$I871/100,0))</f>
        <v>0.23099999999999998</v>
      </c>
    </row>
    <row r="872" spans="1:19" ht="15" customHeight="1" x14ac:dyDescent="0.25">
      <c r="A872" s="22" t="s">
        <v>2039</v>
      </c>
      <c r="B872" s="33" t="str">
        <f>IFERROR(INDEX(Recipes!$B$2:$B$500,MATCH(A872,Recipes!$A$2:$A$500,0)),"")</f>
        <v>Briam (Greek Baked Vegetables)</v>
      </c>
      <c r="C872" s="7" t="s">
        <v>462</v>
      </c>
      <c r="D872" s="34">
        <v>1</v>
      </c>
      <c r="E872" s="22" t="s">
        <v>2754</v>
      </c>
      <c r="F872" s="22" t="s">
        <v>461</v>
      </c>
      <c r="G872" s="22" t="s">
        <v>2755</v>
      </c>
      <c r="H872" s="7" t="s">
        <v>2972</v>
      </c>
      <c r="I872" s="35">
        <v>119</v>
      </c>
      <c r="J872" s="30">
        <f>IF(OR($F872="",$I872=""),0,IFERROR(INDEX(Nutrition!$D$2:$D$300,MATCH($F872,Nutrition!$A$2:$A$300,0))*$I872/100,0))</f>
        <v>2.4990000000000001</v>
      </c>
      <c r="K872" s="30">
        <f>IF(OR($F872="",$I872=""),0,IFERROR(INDEX(Nutrition!$E$2:$E$300,MATCH($F872,Nutrition!$A$2:$A$300,0))*$I872/100,0))</f>
        <v>151.96300000000002</v>
      </c>
      <c r="L872" s="30">
        <f>IF(OR($F872="",$I872=""),0,IFERROR(INDEX(Nutrition!$F$2:$F$300,MATCH($F872,Nutrition!$A$2:$A$300,0))*$I872/100,0))</f>
        <v>186.83</v>
      </c>
      <c r="M872" s="30">
        <f>IF(OR($F872="",$I872=""),0,IFERROR(INDEX(Nutrition!$G$2:$G$300,MATCH($F872,Nutrition!$A$2:$A$300,0))*$I872/100,0))</f>
        <v>5.8310000000000004</v>
      </c>
      <c r="N872" s="30">
        <f>IF(OR($F872="",$I872=""),0,IFERROR(INDEX(Nutrition!$H$2:$H$300,MATCH($F872,Nutrition!$A$2:$A$300,0))*$I872/100,0))</f>
        <v>54.74</v>
      </c>
      <c r="O872" s="30">
        <f>IF(OR($F872="",$I872=""),0,IFERROR(INDEX(Nutrition!$I$2:$I$300,MATCH($F872,Nutrition!$A$2:$A$300,0))*$I872/100,0))</f>
        <v>251.09</v>
      </c>
      <c r="P872" s="30">
        <f>IF(OR($F872="",$I872=""),0,IFERROR(INDEX(Nutrition!$J$2:$J$300,MATCH($F872,Nutrition!$A$2:$A$300,0))*$I872/100,0))</f>
        <v>1.8802000000000001</v>
      </c>
      <c r="Q872" s="30">
        <f>IF(OR($F872="",$I872=""),0,IFERROR(INDEX(Nutrition!$K$2:$K$300,MATCH($F872,Nutrition!$A$2:$A$300,0))*$I872/100,0))</f>
        <v>0.34628999999999999</v>
      </c>
      <c r="R872" s="30">
        <f>IF(OR($F872="",$I872=""),0,IFERROR(INDEX(Nutrition!$L$2:$L$300,MATCH($F872,Nutrition!$A$2:$A$300,0))*$I872/100,0))</f>
        <v>14.28</v>
      </c>
      <c r="S872" s="30">
        <f>IF(OR($F872="",$I872=""),0,IFERROR(INDEX(Nutrition!$M$2:$M$300,MATCH($F872,Nutrition!$A$2:$A$300,0))*$I872/100,0))</f>
        <v>0.51170000000000004</v>
      </c>
    </row>
    <row r="873" spans="1:19" ht="15" customHeight="1" x14ac:dyDescent="0.25">
      <c r="A873" s="22" t="s">
        <v>2039</v>
      </c>
      <c r="B873" s="33" t="str">
        <f>IFERROR(INDEX(Recipes!$B$2:$B$500,MATCH(A873,Recipes!$A$2:$A$500,0)),"")</f>
        <v>Briam (Greek Baked Vegetables)</v>
      </c>
      <c r="C873" s="7" t="s">
        <v>500</v>
      </c>
      <c r="D873" s="34">
        <v>2</v>
      </c>
      <c r="E873" s="22" t="s">
        <v>2776</v>
      </c>
      <c r="F873" s="22" t="s">
        <v>499</v>
      </c>
      <c r="G873" s="22" t="s">
        <v>2755</v>
      </c>
      <c r="H873" s="7" t="s">
        <v>2775</v>
      </c>
      <c r="I873" s="35">
        <v>6</v>
      </c>
      <c r="J873" s="30">
        <f>IF(OR($F873="",$I873=""),0,IFERROR(INDEX(Nutrition!$D$2:$D$300,MATCH($F873,Nutrition!$A$2:$A$300,0))*$I873/100,0))</f>
        <v>0.126</v>
      </c>
      <c r="K873" s="30">
        <f>IF(OR($F873="",$I873=""),0,IFERROR(INDEX(Nutrition!$E$2:$E$300,MATCH($F873,Nutrition!$A$2:$A$300,0))*$I873/100,0))</f>
        <v>1.8719999999999999</v>
      </c>
      <c r="L873" s="30">
        <f>IF(OR($F873="",$I873=""),0,IFERROR(INDEX(Nutrition!$F$2:$F$300,MATCH($F873,Nutrition!$A$2:$A$300,0))*$I873/100,0))</f>
        <v>0</v>
      </c>
      <c r="M873" s="30">
        <f>IF(OR($F873="",$I873=""),0,IFERROR(INDEX(Nutrition!$G$2:$G$300,MATCH($F873,Nutrition!$A$2:$A$300,0))*$I873/100,0))</f>
        <v>0.10199999999999999</v>
      </c>
      <c r="N873" s="30">
        <f>IF(OR($F873="",$I873=""),0,IFERROR(INDEX(Nutrition!$H$2:$H$300,MATCH($F873,Nutrition!$A$2:$A$300,0))*$I873/100,0))</f>
        <v>0.18</v>
      </c>
      <c r="O873" s="30">
        <f>IF(OR($F873="",$I873=""),0,IFERROR(INDEX(Nutrition!$I$2:$I$300,MATCH($F873,Nutrition!$A$2:$A$300,0))*$I873/100,0))</f>
        <v>24.06</v>
      </c>
      <c r="P873" s="30">
        <f>IF(OR($F873="",$I873=""),0,IFERROR(INDEX(Nutrition!$J$2:$J$300,MATCH($F873,Nutrition!$A$2:$A$300,0))*$I873/100,0))</f>
        <v>4.7999999999999996E-3</v>
      </c>
      <c r="Q873" s="30">
        <f>IF(OR($F873="",$I873=""),0,IFERROR(INDEX(Nutrition!$K$2:$K$300,MATCH($F873,Nutrition!$A$2:$A$300,0))*$I873/100,0))</f>
        <v>7.4099999999999999E-2</v>
      </c>
      <c r="R873" s="30">
        <f>IF(OR($F873="",$I873=""),0,IFERROR(INDEX(Nutrition!$L$2:$L$300,MATCH($F873,Nutrition!$A$2:$A$300,0))*$I873/100,0))</f>
        <v>1.5</v>
      </c>
      <c r="S873" s="30">
        <f>IF(OR($F873="",$I873=""),0,IFERROR(INDEX(Nutrition!$M$2:$M$300,MATCH($F873,Nutrition!$A$2:$A$300,0))*$I873/100,0))</f>
        <v>0.10199999999999999</v>
      </c>
    </row>
    <row r="874" spans="1:19" ht="15" customHeight="1" x14ac:dyDescent="0.25">
      <c r="A874" s="22" t="s">
        <v>2039</v>
      </c>
      <c r="B874" s="33" t="str">
        <f>IFERROR(INDEX(Recipes!$B$2:$B$500,MATCH(A874,Recipes!$A$2:$A$500,0)),"")</f>
        <v>Briam (Greek Baked Vegetables)</v>
      </c>
      <c r="C874" s="7" t="s">
        <v>671</v>
      </c>
      <c r="D874" s="34">
        <v>2</v>
      </c>
      <c r="E874" s="22" t="s">
        <v>2753</v>
      </c>
      <c r="F874" s="22" t="s">
        <v>670</v>
      </c>
      <c r="G874" s="22" t="s">
        <v>2755</v>
      </c>
      <c r="H874" s="7" t="s">
        <v>2775</v>
      </c>
      <c r="I874" s="35">
        <v>8</v>
      </c>
      <c r="J874" s="30">
        <f>IF(OR($F874="",$I874=""),0,IFERROR(INDEX(Nutrition!$D$2:$D$300,MATCH($F874,Nutrition!$A$2:$A$300,0))*$I874/100,0))</f>
        <v>0.26400000000000001</v>
      </c>
      <c r="K874" s="30">
        <f>IF(OR($F874="",$I874=""),0,IFERROR(INDEX(Nutrition!$E$2:$E$300,MATCH($F874,Nutrition!$A$2:$A$300,0))*$I874/100,0))</f>
        <v>10.64</v>
      </c>
      <c r="L874" s="30">
        <f>IF(OR($F874="",$I874=""),0,IFERROR(INDEX(Nutrition!$F$2:$F$300,MATCH($F874,Nutrition!$A$2:$A$300,0))*$I874/100,0))</f>
        <v>33.68</v>
      </c>
      <c r="M874" s="30">
        <f>IF(OR($F874="",$I874=""),0,IFERROR(INDEX(Nutrition!$G$2:$G$300,MATCH($F874,Nutrition!$A$2:$A$300,0))*$I874/100,0))</f>
        <v>131.19999999999999</v>
      </c>
      <c r="N874" s="30">
        <f>IF(OR($F874="",$I874=""),0,IFERROR(INDEX(Nutrition!$H$2:$H$300,MATCH($F874,Nutrition!$A$2:$A$300,0))*$I874/100,0))</f>
        <v>12.16</v>
      </c>
      <c r="O874" s="30">
        <f>IF(OR($F874="",$I874=""),0,IFERROR(INDEX(Nutrition!$I$2:$I$300,MATCH($F874,Nutrition!$A$2:$A$300,0))*$I874/100,0))</f>
        <v>44.32</v>
      </c>
      <c r="P874" s="30">
        <f>IF(OR($F874="",$I874=""),0,IFERROR(INDEX(Nutrition!$J$2:$J$300,MATCH($F874,Nutrition!$A$2:$A$300,0))*$I874/100,0))</f>
        <v>0.06</v>
      </c>
      <c r="Q874" s="30">
        <f>IF(OR($F874="",$I874=""),0,IFERROR(INDEX(Nutrition!$K$2:$K$300,MATCH($F874,Nutrition!$A$2:$A$300,0))*$I874/100,0))</f>
        <v>7.1999999999999998E-3</v>
      </c>
      <c r="R874" s="30">
        <f>IF(OR($F874="",$I874=""),0,IFERROR(INDEX(Nutrition!$L$2:$L$300,MATCH($F874,Nutrition!$A$2:$A$300,0))*$I874/100,0))</f>
        <v>4</v>
      </c>
      <c r="S874" s="30">
        <f>IF(OR($F874="",$I874=""),0,IFERROR(INDEX(Nutrition!$M$2:$M$300,MATCH($F874,Nutrition!$A$2:$A$300,0))*$I874/100,0))</f>
        <v>0.496</v>
      </c>
    </row>
    <row r="875" spans="1:19" ht="15" customHeight="1" x14ac:dyDescent="0.25">
      <c r="A875" s="22" t="s">
        <v>2039</v>
      </c>
      <c r="B875" s="33" t="str">
        <f>IFERROR(INDEX(Recipes!$B$2:$B$500,MATCH(A875,Recipes!$A$2:$A$500,0)),"")</f>
        <v>Briam (Greek Baked Vegetables)</v>
      </c>
      <c r="C875" s="7" t="s">
        <v>2805</v>
      </c>
      <c r="D875" s="34">
        <v>4</v>
      </c>
      <c r="E875" s="22" t="s">
        <v>2753</v>
      </c>
      <c r="F875" s="22"/>
      <c r="G875" s="22" t="s">
        <v>2773</v>
      </c>
      <c r="H875" s="7"/>
      <c r="I875" s="35"/>
      <c r="J875" s="30">
        <f>IF(OR($F875="",$I875=""),0,IFERROR(INDEX(Nutrition!$D$2:$D$300,MATCH($F875,Nutrition!$A$2:$A$300,0))*$I875/100,0))</f>
        <v>0</v>
      </c>
      <c r="K875" s="30">
        <f>IF(OR($F875="",$I875=""),0,IFERROR(INDEX(Nutrition!$E$2:$E$300,MATCH($F875,Nutrition!$A$2:$A$300,0))*$I875/100,0))</f>
        <v>0</v>
      </c>
      <c r="L875" s="30">
        <f>IF(OR($F875="",$I875=""),0,IFERROR(INDEX(Nutrition!$F$2:$F$300,MATCH($F875,Nutrition!$A$2:$A$300,0))*$I875/100,0))</f>
        <v>0</v>
      </c>
      <c r="M875" s="30">
        <f>IF(OR($F875="",$I875=""),0,IFERROR(INDEX(Nutrition!$G$2:$G$300,MATCH($F875,Nutrition!$A$2:$A$300,0))*$I875/100,0))</f>
        <v>0</v>
      </c>
      <c r="N875" s="30">
        <f>IF(OR($F875="",$I875=""),0,IFERROR(INDEX(Nutrition!$H$2:$H$300,MATCH($F875,Nutrition!$A$2:$A$300,0))*$I875/100,0))</f>
        <v>0</v>
      </c>
      <c r="O875" s="30">
        <f>IF(OR($F875="",$I875=""),0,IFERROR(INDEX(Nutrition!$I$2:$I$300,MATCH($F875,Nutrition!$A$2:$A$300,0))*$I875/100,0))</f>
        <v>0</v>
      </c>
      <c r="P875" s="30">
        <f>IF(OR($F875="",$I875=""),0,IFERROR(INDEX(Nutrition!$J$2:$J$300,MATCH($F875,Nutrition!$A$2:$A$300,0))*$I875/100,0))</f>
        <v>0</v>
      </c>
      <c r="Q875" s="30">
        <f>IF(OR($F875="",$I875=""),0,IFERROR(INDEX(Nutrition!$K$2:$K$300,MATCH($F875,Nutrition!$A$2:$A$300,0))*$I875/100,0))</f>
        <v>0</v>
      </c>
      <c r="R875" s="30">
        <f>IF(OR($F875="",$I875=""),0,IFERROR(INDEX(Nutrition!$L$2:$L$300,MATCH($F875,Nutrition!$A$2:$A$300,0))*$I875/100,0))</f>
        <v>0</v>
      </c>
      <c r="S875" s="30">
        <f>IF(OR($F875="",$I875=""),0,IFERROR(INDEX(Nutrition!$M$2:$M$300,MATCH($F875,Nutrition!$A$2:$A$300,0))*$I875/100,0))</f>
        <v>0</v>
      </c>
    </row>
    <row r="876" spans="1:19" ht="15" customHeight="1" x14ac:dyDescent="0.25">
      <c r="A876" s="22" t="s">
        <v>2039</v>
      </c>
      <c r="B876" s="33" t="str">
        <f>IFERROR(INDEX(Recipes!$B$2:$B$500,MATCH(A876,Recipes!$A$2:$A$500,0)),"")</f>
        <v>Briam (Greek Baked Vegetables)</v>
      </c>
      <c r="C876" s="7" t="s">
        <v>2906</v>
      </c>
      <c r="D876" s="34">
        <v>1</v>
      </c>
      <c r="E876" s="22" t="s">
        <v>2782</v>
      </c>
      <c r="F876" s="22"/>
      <c r="G876" s="22" t="s">
        <v>2773</v>
      </c>
      <c r="H876" s="7"/>
      <c r="I876" s="35"/>
      <c r="J876" s="30">
        <f>IF(OR($F876="",$I876=""),0,IFERROR(INDEX(Nutrition!$D$2:$D$300,MATCH($F876,Nutrition!$A$2:$A$300,0))*$I876/100,0))</f>
        <v>0</v>
      </c>
      <c r="K876" s="30">
        <f>IF(OR($F876="",$I876=""),0,IFERROR(INDEX(Nutrition!$E$2:$E$300,MATCH($F876,Nutrition!$A$2:$A$300,0))*$I876/100,0))</f>
        <v>0</v>
      </c>
      <c r="L876" s="30">
        <f>IF(OR($F876="",$I876=""),0,IFERROR(INDEX(Nutrition!$F$2:$F$300,MATCH($F876,Nutrition!$A$2:$A$300,0))*$I876/100,0))</f>
        <v>0</v>
      </c>
      <c r="M876" s="30">
        <f>IF(OR($F876="",$I876=""),0,IFERROR(INDEX(Nutrition!$G$2:$G$300,MATCH($F876,Nutrition!$A$2:$A$300,0))*$I876/100,0))</f>
        <v>0</v>
      </c>
      <c r="N876" s="30">
        <f>IF(OR($F876="",$I876=""),0,IFERROR(INDEX(Nutrition!$H$2:$H$300,MATCH($F876,Nutrition!$A$2:$A$300,0))*$I876/100,0))</f>
        <v>0</v>
      </c>
      <c r="O876" s="30">
        <f>IF(OR($F876="",$I876=""),0,IFERROR(INDEX(Nutrition!$I$2:$I$300,MATCH($F876,Nutrition!$A$2:$A$300,0))*$I876/100,0))</f>
        <v>0</v>
      </c>
      <c r="P876" s="30">
        <f>IF(OR($F876="",$I876=""),0,IFERROR(INDEX(Nutrition!$J$2:$J$300,MATCH($F876,Nutrition!$A$2:$A$300,0))*$I876/100,0))</f>
        <v>0</v>
      </c>
      <c r="Q876" s="30">
        <f>IF(OR($F876="",$I876=""),0,IFERROR(INDEX(Nutrition!$K$2:$K$300,MATCH($F876,Nutrition!$A$2:$A$300,0))*$I876/100,0))</f>
        <v>0</v>
      </c>
      <c r="R876" s="30">
        <f>IF(OR($F876="",$I876=""),0,IFERROR(INDEX(Nutrition!$L$2:$L$300,MATCH($F876,Nutrition!$A$2:$A$300,0))*$I876/100,0))</f>
        <v>0</v>
      </c>
      <c r="S876" s="30">
        <f>IF(OR($F876="",$I876=""),0,IFERROR(INDEX(Nutrition!$M$2:$M$300,MATCH($F876,Nutrition!$A$2:$A$300,0))*$I876/100,0))</f>
        <v>0</v>
      </c>
    </row>
    <row r="877" spans="1:19" ht="15" customHeight="1" x14ac:dyDescent="0.25">
      <c r="A877" s="22" t="s">
        <v>2052</v>
      </c>
      <c r="B877" s="33" t="str">
        <f>IFERROR(INDEX(Recipes!$B$2:$B$500,MATCH(A877,Recipes!$A$2:$A$500,0)),"")</f>
        <v>Tikil Gomen (Cabbage, Carrot &amp; Potato)</v>
      </c>
      <c r="C877" s="7" t="s">
        <v>537</v>
      </c>
      <c r="D877" s="34">
        <v>1</v>
      </c>
      <c r="E877" s="22" t="s">
        <v>2808</v>
      </c>
      <c r="F877" s="22" t="s">
        <v>536</v>
      </c>
      <c r="G877" s="22" t="s">
        <v>2755</v>
      </c>
      <c r="H877" s="7" t="s">
        <v>2973</v>
      </c>
      <c r="I877" s="35">
        <v>800</v>
      </c>
      <c r="J877" s="30">
        <f>IF(OR($F877="",$I877=""),0,IFERROR(INDEX(Nutrition!$D$2:$D$300,MATCH($F877,Nutrition!$A$2:$A$300,0))*$I877/100,0))</f>
        <v>20</v>
      </c>
      <c r="K877" s="30">
        <f>IF(OR($F877="",$I877=""),0,IFERROR(INDEX(Nutrition!$E$2:$E$300,MATCH($F877,Nutrition!$A$2:$A$300,0))*$I877/100,0))</f>
        <v>292.8</v>
      </c>
      <c r="L877" s="30">
        <f>IF(OR($F877="",$I877=""),0,IFERROR(INDEX(Nutrition!$F$2:$F$300,MATCH($F877,Nutrition!$A$2:$A$300,0))*$I877/100,0))</f>
        <v>40</v>
      </c>
      <c r="M877" s="30">
        <f>IF(OR($F877="",$I877=""),0,IFERROR(INDEX(Nutrition!$G$2:$G$300,MATCH($F877,Nutrition!$A$2:$A$300,0))*$I877/100,0))</f>
        <v>608</v>
      </c>
      <c r="N877" s="30">
        <f>IF(OR($F877="",$I877=""),0,IFERROR(INDEX(Nutrition!$H$2:$H$300,MATCH($F877,Nutrition!$A$2:$A$300,0))*$I877/100,0))</f>
        <v>344</v>
      </c>
      <c r="O877" s="30">
        <f>IF(OR($F877="",$I877=""),0,IFERROR(INDEX(Nutrition!$I$2:$I$300,MATCH($F877,Nutrition!$A$2:$A$300,0))*$I877/100,0))</f>
        <v>1360</v>
      </c>
      <c r="P877" s="30">
        <f>IF(OR($F877="",$I877=""),0,IFERROR(INDEX(Nutrition!$J$2:$J$300,MATCH($F877,Nutrition!$A$2:$A$300,0))*$I877/100,0))</f>
        <v>1.2</v>
      </c>
      <c r="Q877" s="30">
        <f>IF(OR($F877="",$I877=""),0,IFERROR(INDEX(Nutrition!$K$2:$K$300,MATCH($F877,Nutrition!$A$2:$A$300,0))*$I877/100,0))</f>
        <v>0.99199999999999999</v>
      </c>
      <c r="R877" s="30">
        <f>IF(OR($F877="",$I877=""),0,IFERROR(INDEX(Nutrition!$L$2:$L$300,MATCH($F877,Nutrition!$A$2:$A$300,0))*$I877/100,0))</f>
        <v>96</v>
      </c>
      <c r="S877" s="30">
        <f>IF(OR($F877="",$I877=""),0,IFERROR(INDEX(Nutrition!$M$2:$M$300,MATCH($F877,Nutrition!$A$2:$A$300,0))*$I877/100,0))</f>
        <v>3.76</v>
      </c>
    </row>
    <row r="878" spans="1:19" ht="15" customHeight="1" x14ac:dyDescent="0.25">
      <c r="A878" s="22" t="s">
        <v>2052</v>
      </c>
      <c r="B878" s="33" t="str">
        <f>IFERROR(INDEX(Recipes!$B$2:$B$500,MATCH(A878,Recipes!$A$2:$A$500,0)),"")</f>
        <v>Tikil Gomen (Cabbage, Carrot &amp; Potato)</v>
      </c>
      <c r="C878" s="7" t="s">
        <v>529</v>
      </c>
      <c r="D878" s="34">
        <v>3</v>
      </c>
      <c r="E878" s="22" t="s">
        <v>2754</v>
      </c>
      <c r="F878" s="22" t="s">
        <v>528</v>
      </c>
      <c r="G878" s="22" t="s">
        <v>2755</v>
      </c>
      <c r="H878" s="7" t="s">
        <v>2830</v>
      </c>
      <c r="I878" s="35">
        <v>183</v>
      </c>
      <c r="J878" s="30">
        <f>IF(OR($F878="",$I878=""),0,IFERROR(INDEX(Nutrition!$D$2:$D$300,MATCH($F878,Nutrition!$A$2:$A$300,0))*$I878/100,0))</f>
        <v>5.1239999999999997</v>
      </c>
      <c r="K878" s="30">
        <f>IF(OR($F878="",$I878=""),0,IFERROR(INDEX(Nutrition!$E$2:$E$300,MATCH($F878,Nutrition!$A$2:$A$300,0))*$I878/100,0))</f>
        <v>10.797000000000001</v>
      </c>
      <c r="L878" s="30">
        <f>IF(OR($F878="",$I878=""),0,IFERROR(INDEX(Nutrition!$F$2:$F$300,MATCH($F878,Nutrition!$A$2:$A$300,0))*$I878/100,0))</f>
        <v>1528.05</v>
      </c>
      <c r="M878" s="30">
        <f>IF(OR($F878="",$I878=""),0,IFERROR(INDEX(Nutrition!$G$2:$G$300,MATCH($F878,Nutrition!$A$2:$A$300,0))*$I878/100,0))</f>
        <v>24.155999999999999</v>
      </c>
      <c r="N878" s="30">
        <f>IF(OR($F878="",$I878=""),0,IFERROR(INDEX(Nutrition!$H$2:$H$300,MATCH($F878,Nutrition!$A$2:$A$300,0))*$I878/100,0))</f>
        <v>34.770000000000003</v>
      </c>
      <c r="O878" s="30">
        <f>IF(OR($F878="",$I878=""),0,IFERROR(INDEX(Nutrition!$I$2:$I$300,MATCH($F878,Nutrition!$A$2:$A$300,0))*$I878/100,0))</f>
        <v>585.6</v>
      </c>
      <c r="P878" s="30">
        <f>IF(OR($F878="",$I878=""),0,IFERROR(INDEX(Nutrition!$J$2:$J$300,MATCH($F878,Nutrition!$A$2:$A$300,0))*$I878/100,0))</f>
        <v>1.2078</v>
      </c>
      <c r="Q878" s="30">
        <f>IF(OR($F878="",$I878=""),0,IFERROR(INDEX(Nutrition!$K$2:$K$300,MATCH($F878,Nutrition!$A$2:$A$300,0))*$I878/100,0))</f>
        <v>0.25253999999999999</v>
      </c>
      <c r="R878" s="30">
        <f>IF(OR($F878="",$I878=""),0,IFERROR(INDEX(Nutrition!$L$2:$L$300,MATCH($F878,Nutrition!$A$2:$A$300,0))*$I878/100,0))</f>
        <v>21.96</v>
      </c>
      <c r="S878" s="30">
        <f>IF(OR($F878="",$I878=""),0,IFERROR(INDEX(Nutrition!$M$2:$M$300,MATCH($F878,Nutrition!$A$2:$A$300,0))*$I878/100,0))</f>
        <v>0.54899999999999993</v>
      </c>
    </row>
    <row r="879" spans="1:19" ht="15" customHeight="1" x14ac:dyDescent="0.25">
      <c r="A879" s="22" t="s">
        <v>2052</v>
      </c>
      <c r="B879" s="33" t="str">
        <f>IFERROR(INDEX(Recipes!$B$2:$B$500,MATCH(A879,Recipes!$A$2:$A$500,0)),"")</f>
        <v>Tikil Gomen (Cabbage, Carrot &amp; Potato)</v>
      </c>
      <c r="C879" s="7" t="s">
        <v>617</v>
      </c>
      <c r="D879" s="34">
        <v>2</v>
      </c>
      <c r="E879" s="22" t="s">
        <v>2754</v>
      </c>
      <c r="F879" s="22" t="s">
        <v>616</v>
      </c>
      <c r="G879" s="22" t="s">
        <v>2755</v>
      </c>
      <c r="H879" s="7" t="s">
        <v>2974</v>
      </c>
      <c r="I879" s="35">
        <v>426</v>
      </c>
      <c r="J879" s="30">
        <f>IF(OR($F879="",$I879=""),0,IFERROR(INDEX(Nutrition!$D$2:$D$300,MATCH($F879,Nutrition!$A$2:$A$300,0))*$I879/100,0))</f>
        <v>8.9459999999999997</v>
      </c>
      <c r="K879" s="30">
        <f>IF(OR($F879="",$I879=""),0,IFERROR(INDEX(Nutrition!$E$2:$E$300,MATCH($F879,Nutrition!$A$2:$A$300,0))*$I879/100,0))</f>
        <v>83.921999999999983</v>
      </c>
      <c r="L879" s="30">
        <f>IF(OR($F879="",$I879=""),0,IFERROR(INDEX(Nutrition!$F$2:$F$300,MATCH($F879,Nutrition!$A$2:$A$300,0))*$I879/100,0))</f>
        <v>0</v>
      </c>
      <c r="M879" s="30">
        <f>IF(OR($F879="",$I879=""),0,IFERROR(INDEX(Nutrition!$G$2:$G$300,MATCH($F879,Nutrition!$A$2:$A$300,0))*$I879/100,0))</f>
        <v>8.52</v>
      </c>
      <c r="N879" s="30">
        <f>IF(OR($F879="",$I879=""),0,IFERROR(INDEX(Nutrition!$H$2:$H$300,MATCH($F879,Nutrition!$A$2:$A$300,0))*$I879/100,0))</f>
        <v>63.9</v>
      </c>
      <c r="O879" s="30">
        <f>IF(OR($F879="",$I879=""),0,IFERROR(INDEX(Nutrition!$I$2:$I$300,MATCH($F879,Nutrition!$A$2:$A$300,0))*$I879/100,0))</f>
        <v>1810.5</v>
      </c>
      <c r="P879" s="30">
        <f>IF(OR($F879="",$I879=""),0,IFERROR(INDEX(Nutrition!$J$2:$J$300,MATCH($F879,Nutrition!$A$2:$A$300,0))*$I879/100,0))</f>
        <v>4.2599999999999999E-2</v>
      </c>
      <c r="Q879" s="30">
        <f>IF(OR($F879="",$I879=""),0,IFERROR(INDEX(Nutrition!$K$2:$K$300,MATCH($F879,Nutrition!$A$2:$A$300,0))*$I879/100,0))</f>
        <v>1.2694799999999999</v>
      </c>
      <c r="R879" s="30">
        <f>IF(OR($F879="",$I879=""),0,IFERROR(INDEX(Nutrition!$L$2:$L$300,MATCH($F879,Nutrition!$A$2:$A$300,0))*$I879/100,0))</f>
        <v>97.98</v>
      </c>
      <c r="S879" s="30">
        <f>IF(OR($F879="",$I879=""),0,IFERROR(INDEX(Nutrition!$M$2:$M$300,MATCH($F879,Nutrition!$A$2:$A$300,0))*$I879/100,0))</f>
        <v>3.4506000000000001</v>
      </c>
    </row>
    <row r="880" spans="1:19" ht="15" customHeight="1" x14ac:dyDescent="0.25">
      <c r="A880" s="22" t="s">
        <v>2052</v>
      </c>
      <c r="B880" s="33" t="str">
        <f>IFERROR(INDEX(Recipes!$B$2:$B$500,MATCH(A880,Recipes!$A$2:$A$500,0)),"")</f>
        <v>Tikil Gomen (Cabbage, Carrot &amp; Potato)</v>
      </c>
      <c r="C880" s="7" t="s">
        <v>482</v>
      </c>
      <c r="D880" s="34">
        <v>2</v>
      </c>
      <c r="E880" s="22" t="s">
        <v>2754</v>
      </c>
      <c r="F880" s="22" t="s">
        <v>481</v>
      </c>
      <c r="G880" s="22" t="s">
        <v>2755</v>
      </c>
      <c r="H880" s="7" t="s">
        <v>2902</v>
      </c>
      <c r="I880" s="35">
        <v>220</v>
      </c>
      <c r="J880" s="30">
        <f>IF(OR($F880="",$I880=""),0,IFERROR(INDEX(Nutrition!$D$2:$D$300,MATCH($F880,Nutrition!$A$2:$A$300,0))*$I880/100,0))</f>
        <v>3.74</v>
      </c>
      <c r="K880" s="30">
        <f>IF(OR($F880="",$I880=""),0,IFERROR(INDEX(Nutrition!$E$2:$E$300,MATCH($F880,Nutrition!$A$2:$A$300,0))*$I880/100,0))</f>
        <v>16.28</v>
      </c>
      <c r="L880" s="30">
        <f>IF(OR($F880="",$I880=""),0,IFERROR(INDEX(Nutrition!$F$2:$F$300,MATCH($F880,Nutrition!$A$2:$A$300,0))*$I880/100,0))</f>
        <v>0</v>
      </c>
      <c r="M880" s="30">
        <f>IF(OR($F880="",$I880=""),0,IFERROR(INDEX(Nutrition!$G$2:$G$300,MATCH($F880,Nutrition!$A$2:$A$300,0))*$I880/100,0))</f>
        <v>0.88</v>
      </c>
      <c r="N880" s="30">
        <f>IF(OR($F880="",$I880=""),0,IFERROR(INDEX(Nutrition!$H$2:$H$300,MATCH($F880,Nutrition!$A$2:$A$300,0))*$I880/100,0))</f>
        <v>41.8</v>
      </c>
      <c r="O880" s="30">
        <f>IF(OR($F880="",$I880=""),0,IFERROR(INDEX(Nutrition!$I$2:$I$300,MATCH($F880,Nutrition!$A$2:$A$300,0))*$I880/100,0))</f>
        <v>321.2</v>
      </c>
      <c r="P880" s="30">
        <f>IF(OR($F880="",$I880=""),0,IFERROR(INDEX(Nutrition!$J$2:$J$300,MATCH($F880,Nutrition!$A$2:$A$300,0))*$I880/100,0))</f>
        <v>4.4000000000000004E-2</v>
      </c>
      <c r="Q880" s="30">
        <f>IF(OR($F880="",$I880=""),0,IFERROR(INDEX(Nutrition!$K$2:$K$300,MATCH($F880,Nutrition!$A$2:$A$300,0))*$I880/100,0))</f>
        <v>0.26400000000000001</v>
      </c>
      <c r="R880" s="30">
        <f>IF(OR($F880="",$I880=""),0,IFERROR(INDEX(Nutrition!$L$2:$L$300,MATCH($F880,Nutrition!$A$2:$A$300,0))*$I880/100,0))</f>
        <v>22</v>
      </c>
      <c r="S880" s="30">
        <f>IF(OR($F880="",$I880=""),0,IFERROR(INDEX(Nutrition!$M$2:$M$300,MATCH($F880,Nutrition!$A$2:$A$300,0))*$I880/100,0))</f>
        <v>0.46199999999999997</v>
      </c>
    </row>
    <row r="881" spans="1:19" ht="15" customHeight="1" x14ac:dyDescent="0.25">
      <c r="A881" s="22" t="s">
        <v>2052</v>
      </c>
      <c r="B881" s="33" t="str">
        <f>IFERROR(INDEX(Recipes!$B$2:$B$500,MATCH(A881,Recipes!$A$2:$A$500,0)),"")</f>
        <v>Tikil Gomen (Cabbage, Carrot &amp; Potato)</v>
      </c>
      <c r="C881" s="7" t="s">
        <v>500</v>
      </c>
      <c r="D881" s="34">
        <v>2</v>
      </c>
      <c r="E881" s="22" t="s">
        <v>2776</v>
      </c>
      <c r="F881" s="22" t="s">
        <v>499</v>
      </c>
      <c r="G881" s="22" t="s">
        <v>2755</v>
      </c>
      <c r="H881" s="7" t="s">
        <v>2896</v>
      </c>
      <c r="I881" s="35">
        <v>6</v>
      </c>
      <c r="J881" s="30">
        <f>IF(OR($F881="",$I881=""),0,IFERROR(INDEX(Nutrition!$D$2:$D$300,MATCH($F881,Nutrition!$A$2:$A$300,0))*$I881/100,0))</f>
        <v>0.126</v>
      </c>
      <c r="K881" s="30">
        <f>IF(OR($F881="",$I881=""),0,IFERROR(INDEX(Nutrition!$E$2:$E$300,MATCH($F881,Nutrition!$A$2:$A$300,0))*$I881/100,0))</f>
        <v>1.8719999999999999</v>
      </c>
      <c r="L881" s="30">
        <f>IF(OR($F881="",$I881=""),0,IFERROR(INDEX(Nutrition!$F$2:$F$300,MATCH($F881,Nutrition!$A$2:$A$300,0))*$I881/100,0))</f>
        <v>0</v>
      </c>
      <c r="M881" s="30">
        <f>IF(OR($F881="",$I881=""),0,IFERROR(INDEX(Nutrition!$G$2:$G$300,MATCH($F881,Nutrition!$A$2:$A$300,0))*$I881/100,0))</f>
        <v>0.10199999999999999</v>
      </c>
      <c r="N881" s="30">
        <f>IF(OR($F881="",$I881=""),0,IFERROR(INDEX(Nutrition!$H$2:$H$300,MATCH($F881,Nutrition!$A$2:$A$300,0))*$I881/100,0))</f>
        <v>0.18</v>
      </c>
      <c r="O881" s="30">
        <f>IF(OR($F881="",$I881=""),0,IFERROR(INDEX(Nutrition!$I$2:$I$300,MATCH($F881,Nutrition!$A$2:$A$300,0))*$I881/100,0))</f>
        <v>24.06</v>
      </c>
      <c r="P881" s="30">
        <f>IF(OR($F881="",$I881=""),0,IFERROR(INDEX(Nutrition!$J$2:$J$300,MATCH($F881,Nutrition!$A$2:$A$300,0))*$I881/100,0))</f>
        <v>4.7999999999999996E-3</v>
      </c>
      <c r="Q881" s="30">
        <f>IF(OR($F881="",$I881=""),0,IFERROR(INDEX(Nutrition!$K$2:$K$300,MATCH($F881,Nutrition!$A$2:$A$300,0))*$I881/100,0))</f>
        <v>7.4099999999999999E-2</v>
      </c>
      <c r="R881" s="30">
        <f>IF(OR($F881="",$I881=""),0,IFERROR(INDEX(Nutrition!$L$2:$L$300,MATCH($F881,Nutrition!$A$2:$A$300,0))*$I881/100,0))</f>
        <v>1.5</v>
      </c>
      <c r="S881" s="30">
        <f>IF(OR($F881="",$I881=""),0,IFERROR(INDEX(Nutrition!$M$2:$M$300,MATCH($F881,Nutrition!$A$2:$A$300,0))*$I881/100,0))</f>
        <v>0.10199999999999999</v>
      </c>
    </row>
    <row r="882" spans="1:19" ht="15" customHeight="1" x14ac:dyDescent="0.25">
      <c r="A882" s="22" t="s">
        <v>2052</v>
      </c>
      <c r="B882" s="33" t="str">
        <f>IFERROR(INDEX(Recipes!$B$2:$B$500,MATCH(A882,Recipes!$A$2:$A$500,0)),"")</f>
        <v>Tikil Gomen (Cabbage, Carrot &amp; Potato)</v>
      </c>
      <c r="C882" s="7" t="s">
        <v>508</v>
      </c>
      <c r="D882" s="34">
        <v>1</v>
      </c>
      <c r="E882" s="22" t="s">
        <v>2821</v>
      </c>
      <c r="F882" s="22" t="s">
        <v>507</v>
      </c>
      <c r="G882" s="22" t="s">
        <v>2755</v>
      </c>
      <c r="H882" s="7" t="s">
        <v>2896</v>
      </c>
      <c r="I882" s="35">
        <v>15</v>
      </c>
      <c r="J882" s="30">
        <f>IF(OR($F882="",$I882=""),0,IFERROR(INDEX(Nutrition!$D$2:$D$300,MATCH($F882,Nutrition!$A$2:$A$300,0))*$I882/100,0))</f>
        <v>0.3</v>
      </c>
      <c r="K882" s="30">
        <f>IF(OR($F882="",$I882=""),0,IFERROR(INDEX(Nutrition!$E$2:$E$300,MATCH($F882,Nutrition!$A$2:$A$300,0))*$I882/100,0))</f>
        <v>0.75</v>
      </c>
      <c r="L882" s="30">
        <f>IF(OR($F882="",$I882=""),0,IFERROR(INDEX(Nutrition!$F$2:$F$300,MATCH($F882,Nutrition!$A$2:$A$300,0))*$I882/100,0))</f>
        <v>0</v>
      </c>
      <c r="M882" s="30">
        <f>IF(OR($F882="",$I882=""),0,IFERROR(INDEX(Nutrition!$G$2:$G$300,MATCH($F882,Nutrition!$A$2:$A$300,0))*$I882/100,0))</f>
        <v>1.4999999999999999E-2</v>
      </c>
      <c r="N882" s="30">
        <f>IF(OR($F882="",$I882=""),0,IFERROR(INDEX(Nutrition!$H$2:$H$300,MATCH($F882,Nutrition!$A$2:$A$300,0))*$I882/100,0))</f>
        <v>1.65</v>
      </c>
      <c r="O882" s="30">
        <f>IF(OR($F882="",$I882=""),0,IFERROR(INDEX(Nutrition!$I$2:$I$300,MATCH($F882,Nutrition!$A$2:$A$300,0))*$I882/100,0))</f>
        <v>62.25</v>
      </c>
      <c r="P882" s="30">
        <f>IF(OR($F882="",$I882=""),0,IFERROR(INDEX(Nutrition!$J$2:$J$300,MATCH($F882,Nutrition!$A$2:$A$300,0))*$I882/100,0))</f>
        <v>3.9000000000000007E-2</v>
      </c>
      <c r="Q882" s="30">
        <f>IF(OR($F882="",$I882=""),0,IFERROR(INDEX(Nutrition!$K$2:$K$300,MATCH($F882,Nutrition!$A$2:$A$300,0))*$I882/100,0))</f>
        <v>2.4E-2</v>
      </c>
      <c r="R882" s="30">
        <f>IF(OR($F882="",$I882=""),0,IFERROR(INDEX(Nutrition!$L$2:$L$300,MATCH($F882,Nutrition!$A$2:$A$300,0))*$I882/100,0))</f>
        <v>6.45</v>
      </c>
      <c r="S882" s="30">
        <f>IF(OR($F882="",$I882=""),0,IFERROR(INDEX(Nutrition!$M$2:$M$300,MATCH($F882,Nutrition!$A$2:$A$300,0))*$I882/100,0))</f>
        <v>0.09</v>
      </c>
    </row>
    <row r="883" spans="1:19" ht="15" customHeight="1" x14ac:dyDescent="0.25">
      <c r="A883" s="22" t="s">
        <v>2052</v>
      </c>
      <c r="B883" s="33" t="str">
        <f>IFERROR(INDEX(Recipes!$B$2:$B$500,MATCH(A883,Recipes!$A$2:$A$500,0)),"")</f>
        <v>Tikil Gomen (Cabbage, Carrot &amp; Potato)</v>
      </c>
      <c r="C883" s="7" t="s">
        <v>516</v>
      </c>
      <c r="D883" s="34">
        <v>1</v>
      </c>
      <c r="E883" s="22" t="s">
        <v>2821</v>
      </c>
      <c r="F883" s="22" t="s">
        <v>515</v>
      </c>
      <c r="G883" s="22" t="s">
        <v>2755</v>
      </c>
      <c r="H883" s="7" t="s">
        <v>2791</v>
      </c>
      <c r="I883" s="35">
        <v>10</v>
      </c>
      <c r="J883" s="30">
        <f>IF(OR($F883="",$I883=""),0,IFERROR(INDEX(Nutrition!$D$2:$D$300,MATCH($F883,Nutrition!$A$2:$A$300,0))*$I883/100,0))</f>
        <v>0.56999999999999995</v>
      </c>
      <c r="K883" s="30">
        <f>IF(OR($F883="",$I883=""),0,IFERROR(INDEX(Nutrition!$E$2:$E$300,MATCH($F883,Nutrition!$A$2:$A$300,0))*$I883/100,0))</f>
        <v>0.3</v>
      </c>
      <c r="L883" s="30">
        <f>IF(OR($F883="",$I883=""),0,IFERROR(INDEX(Nutrition!$F$2:$F$300,MATCH($F883,Nutrition!$A$2:$A$300,0))*$I883/100,0))</f>
        <v>0</v>
      </c>
      <c r="M883" s="30">
        <f>IF(OR($F883="",$I883=""),0,IFERROR(INDEX(Nutrition!$G$2:$G$300,MATCH($F883,Nutrition!$A$2:$A$300,0))*$I883/100,0))</f>
        <v>0.34</v>
      </c>
      <c r="N883" s="30">
        <f>IF(OR($F883="",$I883=""),0,IFERROR(INDEX(Nutrition!$H$2:$H$300,MATCH($F883,Nutrition!$A$2:$A$300,0))*$I883/100,0))</f>
        <v>0.5</v>
      </c>
      <c r="O883" s="30">
        <f>IF(OR($F883="",$I883=""),0,IFERROR(INDEX(Nutrition!$I$2:$I$300,MATCH($F883,Nutrition!$A$2:$A$300,0))*$I883/100,0))</f>
        <v>52</v>
      </c>
      <c r="P883" s="30">
        <f>IF(OR($F883="",$I883=""),0,IFERROR(INDEX(Nutrition!$J$2:$J$300,MATCH($F883,Nutrition!$A$2:$A$300,0))*$I883/100,0))</f>
        <v>0.11</v>
      </c>
      <c r="Q883" s="30">
        <f>IF(OR($F883="",$I883=""),0,IFERROR(INDEX(Nutrition!$K$2:$K$300,MATCH($F883,Nutrition!$A$2:$A$300,0))*$I883/100,0))</f>
        <v>3.0000000000000001E-3</v>
      </c>
      <c r="R883" s="30">
        <f>IF(OR($F883="",$I883=""),0,IFERROR(INDEX(Nutrition!$L$2:$L$300,MATCH($F883,Nutrition!$A$2:$A$300,0))*$I883/100,0))</f>
        <v>5.2</v>
      </c>
      <c r="S883" s="30">
        <f>IF(OR($F883="",$I883=""),0,IFERROR(INDEX(Nutrition!$M$2:$M$300,MATCH($F883,Nutrition!$A$2:$A$300,0))*$I883/100,0))</f>
        <v>1.38</v>
      </c>
    </row>
    <row r="884" spans="1:19" ht="15" customHeight="1" x14ac:dyDescent="0.25">
      <c r="A884" s="22" t="s">
        <v>2052</v>
      </c>
      <c r="B884" s="33" t="str">
        <f>IFERROR(INDEX(Recipes!$B$2:$B$500,MATCH(A884,Recipes!$A$2:$A$500,0)),"")</f>
        <v>Tikil Gomen (Cabbage, Carrot &amp; Potato)</v>
      </c>
      <c r="C884" s="7" t="s">
        <v>473</v>
      </c>
      <c r="D884" s="34">
        <v>1</v>
      </c>
      <c r="E884" s="22" t="s">
        <v>2754</v>
      </c>
      <c r="F884" s="22" t="s">
        <v>472</v>
      </c>
      <c r="G884" s="22" t="s">
        <v>2755</v>
      </c>
      <c r="H884" s="7" t="s">
        <v>2975</v>
      </c>
      <c r="I884" s="35">
        <v>10</v>
      </c>
      <c r="J884" s="30">
        <f>IF(OR($F884="",$I884=""),0,IFERROR(INDEX(Nutrition!$D$2:$D$300,MATCH($F884,Nutrition!$A$2:$A$300,0))*$I884/100,0))</f>
        <v>0.15</v>
      </c>
      <c r="K884" s="30">
        <f>IF(OR($F884="",$I884=""),0,IFERROR(INDEX(Nutrition!$E$2:$E$300,MATCH($F884,Nutrition!$A$2:$A$300,0))*$I884/100,0))</f>
        <v>14.37</v>
      </c>
      <c r="L884" s="30">
        <f>IF(OR($F884="",$I884=""),0,IFERROR(INDEX(Nutrition!$F$2:$F$300,MATCH($F884,Nutrition!$A$2:$A$300,0))*$I884/100,0))</f>
        <v>4.8</v>
      </c>
      <c r="M884" s="30">
        <f>IF(OR($F884="",$I884=""),0,IFERROR(INDEX(Nutrition!$G$2:$G$300,MATCH($F884,Nutrition!$A$2:$A$300,0))*$I884/100,0))</f>
        <v>1.4</v>
      </c>
      <c r="N884" s="30">
        <f>IF(OR($F884="",$I884=""),0,IFERROR(INDEX(Nutrition!$H$2:$H$300,MATCH($F884,Nutrition!$A$2:$A$300,0))*$I884/100,0))</f>
        <v>2.2999999999999998</v>
      </c>
      <c r="O884" s="30">
        <f>IF(OR($F884="",$I884=""),0,IFERROR(INDEX(Nutrition!$I$2:$I$300,MATCH($F884,Nutrition!$A$2:$A$300,0))*$I884/100,0))</f>
        <v>32.200000000000003</v>
      </c>
      <c r="P884" s="30">
        <f>IF(OR($F884="",$I884=""),0,IFERROR(INDEX(Nutrition!$J$2:$J$300,MATCH($F884,Nutrition!$A$2:$A$300,0))*$I884/100,0))</f>
        <v>6.8999999999999992E-2</v>
      </c>
      <c r="Q884" s="30">
        <f>IF(OR($F884="",$I884=""),0,IFERROR(INDEX(Nutrition!$K$2:$K$300,MATCH($F884,Nutrition!$A$2:$A$300,0))*$I884/100,0))</f>
        <v>5.0600000000000006E-2</v>
      </c>
      <c r="R884" s="30">
        <f>IF(OR($F884="",$I884=""),0,IFERROR(INDEX(Nutrition!$L$2:$L$300,MATCH($F884,Nutrition!$A$2:$A$300,0))*$I884/100,0))</f>
        <v>2.2999999999999998</v>
      </c>
      <c r="S884" s="30">
        <f>IF(OR($F884="",$I884=""),0,IFERROR(INDEX(Nutrition!$M$2:$M$300,MATCH($F884,Nutrition!$A$2:$A$300,0))*$I884/100,0))</f>
        <v>0.10300000000000001</v>
      </c>
    </row>
    <row r="885" spans="1:19" ht="15" customHeight="1" x14ac:dyDescent="0.25">
      <c r="A885" s="22" t="s">
        <v>2052</v>
      </c>
      <c r="B885" s="33" t="str">
        <f>IFERROR(INDEX(Recipes!$B$2:$B$500,MATCH(A885,Recipes!$A$2:$A$500,0)),"")</f>
        <v>Tikil Gomen (Cabbage, Carrot &amp; Potato)</v>
      </c>
      <c r="C885" s="7" t="s">
        <v>2898</v>
      </c>
      <c r="D885" s="34">
        <v>3</v>
      </c>
      <c r="E885" s="22" t="s">
        <v>2753</v>
      </c>
      <c r="F885" s="22"/>
      <c r="G885" s="22" t="s">
        <v>2773</v>
      </c>
      <c r="H885" s="7"/>
      <c r="I885" s="35"/>
      <c r="J885" s="30">
        <f>IF(OR($F885="",$I885=""),0,IFERROR(INDEX(Nutrition!$D$2:$D$300,MATCH($F885,Nutrition!$A$2:$A$300,0))*$I885/100,0))</f>
        <v>0</v>
      </c>
      <c r="K885" s="30">
        <f>IF(OR($F885="",$I885=""),0,IFERROR(INDEX(Nutrition!$E$2:$E$300,MATCH($F885,Nutrition!$A$2:$A$300,0))*$I885/100,0))</f>
        <v>0</v>
      </c>
      <c r="L885" s="30">
        <f>IF(OR($F885="",$I885=""),0,IFERROR(INDEX(Nutrition!$F$2:$F$300,MATCH($F885,Nutrition!$A$2:$A$300,0))*$I885/100,0))</f>
        <v>0</v>
      </c>
      <c r="M885" s="30">
        <f>IF(OR($F885="",$I885=""),0,IFERROR(INDEX(Nutrition!$G$2:$G$300,MATCH($F885,Nutrition!$A$2:$A$300,0))*$I885/100,0))</f>
        <v>0</v>
      </c>
      <c r="N885" s="30">
        <f>IF(OR($F885="",$I885=""),0,IFERROR(INDEX(Nutrition!$H$2:$H$300,MATCH($F885,Nutrition!$A$2:$A$300,0))*$I885/100,0))</f>
        <v>0</v>
      </c>
      <c r="O885" s="30">
        <f>IF(OR($F885="",$I885=""),0,IFERROR(INDEX(Nutrition!$I$2:$I$300,MATCH($F885,Nutrition!$A$2:$A$300,0))*$I885/100,0))</f>
        <v>0</v>
      </c>
      <c r="P885" s="30">
        <f>IF(OR($F885="",$I885=""),0,IFERROR(INDEX(Nutrition!$J$2:$J$300,MATCH($F885,Nutrition!$A$2:$A$300,0))*$I885/100,0))</f>
        <v>0</v>
      </c>
      <c r="Q885" s="30">
        <f>IF(OR($F885="",$I885=""),0,IFERROR(INDEX(Nutrition!$K$2:$K$300,MATCH($F885,Nutrition!$A$2:$A$300,0))*$I885/100,0))</f>
        <v>0</v>
      </c>
      <c r="R885" s="30">
        <f>IF(OR($F885="",$I885=""),0,IFERROR(INDEX(Nutrition!$L$2:$L$300,MATCH($F885,Nutrition!$A$2:$A$300,0))*$I885/100,0))</f>
        <v>0</v>
      </c>
      <c r="S885" s="30">
        <f>IF(OR($F885="",$I885=""),0,IFERROR(INDEX(Nutrition!$M$2:$M$300,MATCH($F885,Nutrition!$A$2:$A$300,0))*$I885/100,0))</f>
        <v>0</v>
      </c>
    </row>
    <row r="886" spans="1:19" ht="15" customHeight="1" x14ac:dyDescent="0.25">
      <c r="A886" s="22" t="s">
        <v>2052</v>
      </c>
      <c r="B886" s="33" t="str">
        <f>IFERROR(INDEX(Recipes!$B$2:$B$500,MATCH(A886,Recipes!$A$2:$A$500,0)),"")</f>
        <v>Tikil Gomen (Cabbage, Carrot &amp; Potato)</v>
      </c>
      <c r="C886" s="7" t="s">
        <v>2906</v>
      </c>
      <c r="D886" s="34">
        <v>1</v>
      </c>
      <c r="E886" s="22" t="s">
        <v>2782</v>
      </c>
      <c r="F886" s="22"/>
      <c r="G886" s="22" t="s">
        <v>2773</v>
      </c>
      <c r="H886" s="7"/>
      <c r="I886" s="35"/>
      <c r="J886" s="30">
        <f>IF(OR($F886="",$I886=""),0,IFERROR(INDEX(Nutrition!$D$2:$D$300,MATCH($F886,Nutrition!$A$2:$A$300,0))*$I886/100,0))</f>
        <v>0</v>
      </c>
      <c r="K886" s="30">
        <f>IF(OR($F886="",$I886=""),0,IFERROR(INDEX(Nutrition!$E$2:$E$300,MATCH($F886,Nutrition!$A$2:$A$300,0))*$I886/100,0))</f>
        <v>0</v>
      </c>
      <c r="L886" s="30">
        <f>IF(OR($F886="",$I886=""),0,IFERROR(INDEX(Nutrition!$F$2:$F$300,MATCH($F886,Nutrition!$A$2:$A$300,0))*$I886/100,0))</f>
        <v>0</v>
      </c>
      <c r="M886" s="30">
        <f>IF(OR($F886="",$I886=""),0,IFERROR(INDEX(Nutrition!$G$2:$G$300,MATCH($F886,Nutrition!$A$2:$A$300,0))*$I886/100,0))</f>
        <v>0</v>
      </c>
      <c r="N886" s="30">
        <f>IF(OR($F886="",$I886=""),0,IFERROR(INDEX(Nutrition!$H$2:$H$300,MATCH($F886,Nutrition!$A$2:$A$300,0))*$I886/100,0))</f>
        <v>0</v>
      </c>
      <c r="O886" s="30">
        <f>IF(OR($F886="",$I886=""),0,IFERROR(INDEX(Nutrition!$I$2:$I$300,MATCH($F886,Nutrition!$A$2:$A$300,0))*$I886/100,0))</f>
        <v>0</v>
      </c>
      <c r="P886" s="30">
        <f>IF(OR($F886="",$I886=""),0,IFERROR(INDEX(Nutrition!$J$2:$J$300,MATCH($F886,Nutrition!$A$2:$A$300,0))*$I886/100,0))</f>
        <v>0</v>
      </c>
      <c r="Q886" s="30">
        <f>IF(OR($F886="",$I886=""),0,IFERROR(INDEX(Nutrition!$K$2:$K$300,MATCH($F886,Nutrition!$A$2:$A$300,0))*$I886/100,0))</f>
        <v>0</v>
      </c>
      <c r="R886" s="30">
        <f>IF(OR($F886="",$I886=""),0,IFERROR(INDEX(Nutrition!$L$2:$L$300,MATCH($F886,Nutrition!$A$2:$A$300,0))*$I886/100,0))</f>
        <v>0</v>
      </c>
      <c r="S886" s="30">
        <f>IF(OR($F886="",$I886=""),0,IFERROR(INDEX(Nutrition!$M$2:$M$300,MATCH($F886,Nutrition!$A$2:$A$300,0))*$I886/100,0))</f>
        <v>0</v>
      </c>
    </row>
    <row r="887" spans="1:19" ht="15" customHeight="1" x14ac:dyDescent="0.25">
      <c r="A887" s="22" t="s">
        <v>2064</v>
      </c>
      <c r="B887" s="33" t="str">
        <f>IFERROR(INDEX(Recipes!$B$2:$B$500,MATCH(A887,Recipes!$A$2:$A$500,0)),"")</f>
        <v>Caribbean Creole Sauce</v>
      </c>
      <c r="C887" s="7" t="s">
        <v>482</v>
      </c>
      <c r="D887" s="34">
        <v>1</v>
      </c>
      <c r="E887" s="22" t="s">
        <v>2754</v>
      </c>
      <c r="F887" s="22" t="s">
        <v>481</v>
      </c>
      <c r="G887" s="22" t="s">
        <v>2755</v>
      </c>
      <c r="H887" s="7" t="s">
        <v>2756</v>
      </c>
      <c r="I887" s="35">
        <v>110</v>
      </c>
      <c r="J887" s="30">
        <f>IF(OR($F887="",$I887=""),0,IFERROR(INDEX(Nutrition!$D$2:$D$300,MATCH($F887,Nutrition!$A$2:$A$300,0))*$I887/100,0))</f>
        <v>1.87</v>
      </c>
      <c r="K887" s="30">
        <f>IF(OR($F887="",$I887=""),0,IFERROR(INDEX(Nutrition!$E$2:$E$300,MATCH($F887,Nutrition!$A$2:$A$300,0))*$I887/100,0))</f>
        <v>8.14</v>
      </c>
      <c r="L887" s="30">
        <f>IF(OR($F887="",$I887=""),0,IFERROR(INDEX(Nutrition!$F$2:$F$300,MATCH($F887,Nutrition!$A$2:$A$300,0))*$I887/100,0))</f>
        <v>0</v>
      </c>
      <c r="M887" s="30">
        <f>IF(OR($F887="",$I887=""),0,IFERROR(INDEX(Nutrition!$G$2:$G$300,MATCH($F887,Nutrition!$A$2:$A$300,0))*$I887/100,0))</f>
        <v>0.44</v>
      </c>
      <c r="N887" s="30">
        <f>IF(OR($F887="",$I887=""),0,IFERROR(INDEX(Nutrition!$H$2:$H$300,MATCH($F887,Nutrition!$A$2:$A$300,0))*$I887/100,0))</f>
        <v>20.9</v>
      </c>
      <c r="O887" s="30">
        <f>IF(OR($F887="",$I887=""),0,IFERROR(INDEX(Nutrition!$I$2:$I$300,MATCH($F887,Nutrition!$A$2:$A$300,0))*$I887/100,0))</f>
        <v>160.6</v>
      </c>
      <c r="P887" s="30">
        <f>IF(OR($F887="",$I887=""),0,IFERROR(INDEX(Nutrition!$J$2:$J$300,MATCH($F887,Nutrition!$A$2:$A$300,0))*$I887/100,0))</f>
        <v>2.2000000000000002E-2</v>
      </c>
      <c r="Q887" s="30">
        <f>IF(OR($F887="",$I887=""),0,IFERROR(INDEX(Nutrition!$K$2:$K$300,MATCH($F887,Nutrition!$A$2:$A$300,0))*$I887/100,0))</f>
        <v>0.13200000000000001</v>
      </c>
      <c r="R887" s="30">
        <f>IF(OR($F887="",$I887=""),0,IFERROR(INDEX(Nutrition!$L$2:$L$300,MATCH($F887,Nutrition!$A$2:$A$300,0))*$I887/100,0))</f>
        <v>11</v>
      </c>
      <c r="S887" s="30">
        <f>IF(OR($F887="",$I887=""),0,IFERROR(INDEX(Nutrition!$M$2:$M$300,MATCH($F887,Nutrition!$A$2:$A$300,0))*$I887/100,0))</f>
        <v>0.23099999999999998</v>
      </c>
    </row>
    <row r="888" spans="1:19" ht="15" customHeight="1" x14ac:dyDescent="0.25">
      <c r="A888" s="22" t="s">
        <v>2064</v>
      </c>
      <c r="B888" s="33" t="str">
        <f>IFERROR(INDEX(Recipes!$B$2:$B$500,MATCH(A888,Recipes!$A$2:$A$500,0)),"")</f>
        <v>Caribbean Creole Sauce</v>
      </c>
      <c r="C888" s="7" t="s">
        <v>468</v>
      </c>
      <c r="D888" s="34">
        <v>1</v>
      </c>
      <c r="E888" s="22" t="s">
        <v>2754</v>
      </c>
      <c r="F888" s="22" t="s">
        <v>467</v>
      </c>
      <c r="G888" s="22" t="s">
        <v>2755</v>
      </c>
      <c r="H888" s="7" t="s">
        <v>2756</v>
      </c>
      <c r="I888" s="35">
        <v>119</v>
      </c>
      <c r="J888" s="30">
        <f>IF(OR($F888="",$I888=""),0,IFERROR(INDEX(Nutrition!$D$2:$D$300,MATCH($F888,Nutrition!$A$2:$A$300,0))*$I888/100,0))</f>
        <v>2.0229999999999997</v>
      </c>
      <c r="K888" s="30">
        <f>IF(OR($F888="",$I888=""),0,IFERROR(INDEX(Nutrition!$E$2:$E$300,MATCH($F888,Nutrition!$A$2:$A$300,0))*$I888/100,0))</f>
        <v>95.676000000000002</v>
      </c>
      <c r="L888" s="30">
        <f>IF(OR($F888="",$I888=""),0,IFERROR(INDEX(Nutrition!$F$2:$F$300,MATCH($F888,Nutrition!$A$2:$A$300,0))*$I888/100,0))</f>
        <v>21.42</v>
      </c>
      <c r="M888" s="30">
        <f>IF(OR($F888="",$I888=""),0,IFERROR(INDEX(Nutrition!$G$2:$G$300,MATCH($F888,Nutrition!$A$2:$A$300,0))*$I888/100,0))</f>
        <v>8.8060000000000009</v>
      </c>
      <c r="N888" s="30">
        <f>IF(OR($F888="",$I888=""),0,IFERROR(INDEX(Nutrition!$H$2:$H$300,MATCH($F888,Nutrition!$A$2:$A$300,0))*$I888/100,0))</f>
        <v>11.9</v>
      </c>
      <c r="O888" s="30">
        <f>IF(OR($F888="",$I888=""),0,IFERROR(INDEX(Nutrition!$I$2:$I$300,MATCH($F888,Nutrition!$A$2:$A$300,0))*$I888/100,0))</f>
        <v>208.25</v>
      </c>
      <c r="P888" s="30">
        <f>IF(OR($F888="",$I888=""),0,IFERROR(INDEX(Nutrition!$J$2:$J$300,MATCH($F888,Nutrition!$A$2:$A$300,0))*$I888/100,0))</f>
        <v>0.44030000000000002</v>
      </c>
      <c r="Q888" s="30">
        <f>IF(OR($F888="",$I888=""),0,IFERROR(INDEX(Nutrition!$K$2:$K$300,MATCH($F888,Nutrition!$A$2:$A$300,0))*$I888/100,0))</f>
        <v>0.26655999999999996</v>
      </c>
      <c r="R888" s="30">
        <f>IF(OR($F888="",$I888=""),0,IFERROR(INDEX(Nutrition!$L$2:$L$300,MATCH($F888,Nutrition!$A$2:$A$300,0))*$I888/100,0))</f>
        <v>11.9</v>
      </c>
      <c r="S888" s="30">
        <f>IF(OR($F888="",$I888=""),0,IFERROR(INDEX(Nutrition!$M$2:$M$300,MATCH($F888,Nutrition!$A$2:$A$300,0))*$I888/100,0))</f>
        <v>0.40460000000000002</v>
      </c>
    </row>
    <row r="889" spans="1:19" ht="15" customHeight="1" x14ac:dyDescent="0.25">
      <c r="A889" s="22" t="s">
        <v>2064</v>
      </c>
      <c r="B889" s="33" t="str">
        <f>IFERROR(INDEX(Recipes!$B$2:$B$500,MATCH(A889,Recipes!$A$2:$A$500,0)),"")</f>
        <v>Caribbean Creole Sauce</v>
      </c>
      <c r="C889" s="7" t="s">
        <v>446</v>
      </c>
      <c r="D889" s="34">
        <v>2</v>
      </c>
      <c r="E889" s="22" t="s">
        <v>2754</v>
      </c>
      <c r="F889" s="22" t="s">
        <v>445</v>
      </c>
      <c r="G889" s="22" t="s">
        <v>2755</v>
      </c>
      <c r="H889" s="7" t="s">
        <v>2756</v>
      </c>
      <c r="I889" s="35">
        <v>124</v>
      </c>
      <c r="J889" s="30">
        <f>IF(OR($F889="",$I889=""),0,IFERROR(INDEX(Nutrition!$D$2:$D$300,MATCH($F889,Nutrition!$A$2:$A$300,0))*$I889/100,0))</f>
        <v>1.4879999999999998</v>
      </c>
      <c r="K889" s="30">
        <f>IF(OR($F889="",$I889=""),0,IFERROR(INDEX(Nutrition!$E$2:$E$300,MATCH($F889,Nutrition!$A$2:$A$300,0))*$I889/100,0))</f>
        <v>16.988</v>
      </c>
      <c r="L889" s="30">
        <f>IF(OR($F889="",$I889=""),0,IFERROR(INDEX(Nutrition!$F$2:$F$300,MATCH($F889,Nutrition!$A$2:$A$300,0))*$I889/100,0))</f>
        <v>52.08</v>
      </c>
      <c r="M889" s="30">
        <f>IF(OR($F889="",$I889=""),0,IFERROR(INDEX(Nutrition!$G$2:$G$300,MATCH($F889,Nutrition!$A$2:$A$300,0))*$I889/100,0))</f>
        <v>9.7959999999999994</v>
      </c>
      <c r="N889" s="30">
        <f>IF(OR($F889="",$I889=""),0,IFERROR(INDEX(Nutrition!$H$2:$H$300,MATCH($F889,Nutrition!$A$2:$A$300,0))*$I889/100,0))</f>
        <v>18.600000000000001</v>
      </c>
      <c r="O889" s="30">
        <f>IF(OR($F889="",$I889=""),0,IFERROR(INDEX(Nutrition!$I$2:$I$300,MATCH($F889,Nutrition!$A$2:$A$300,0))*$I889/100,0))</f>
        <v>293.88</v>
      </c>
      <c r="P889" s="30">
        <f>IF(OR($F889="",$I889=""),0,IFERROR(INDEX(Nutrition!$J$2:$J$300,MATCH($F889,Nutrition!$A$2:$A$300,0))*$I889/100,0))</f>
        <v>0.66960000000000008</v>
      </c>
      <c r="Q889" s="30">
        <f>IF(OR($F889="",$I889=""),0,IFERROR(INDEX(Nutrition!$K$2:$K$300,MATCH($F889,Nutrition!$A$2:$A$300,0))*$I889/100,0))</f>
        <v>9.9199999999999997E-2</v>
      </c>
      <c r="R889" s="30">
        <f>IF(OR($F889="",$I889=""),0,IFERROR(INDEX(Nutrition!$L$2:$L$300,MATCH($F889,Nutrition!$A$2:$A$300,0))*$I889/100,0))</f>
        <v>13.64</v>
      </c>
      <c r="S889" s="30">
        <f>IF(OR($F889="",$I889=""),0,IFERROR(INDEX(Nutrition!$M$2:$M$300,MATCH($F889,Nutrition!$A$2:$A$300,0))*$I889/100,0))</f>
        <v>0.33480000000000004</v>
      </c>
    </row>
    <row r="890" spans="1:19" ht="15" customHeight="1" x14ac:dyDescent="0.25">
      <c r="A890" s="22" t="s">
        <v>2064</v>
      </c>
      <c r="B890" s="33" t="str">
        <f>IFERROR(INDEX(Recipes!$B$2:$B$500,MATCH(A890,Recipes!$A$2:$A$500,0)),"")</f>
        <v>Caribbean Creole Sauce</v>
      </c>
      <c r="C890" s="7" t="s">
        <v>500</v>
      </c>
      <c r="D890" s="34">
        <v>3</v>
      </c>
      <c r="E890" s="22" t="s">
        <v>2776</v>
      </c>
      <c r="F890" s="22" t="s">
        <v>499</v>
      </c>
      <c r="G890" s="22" t="s">
        <v>2755</v>
      </c>
      <c r="H890" s="7" t="s">
        <v>2896</v>
      </c>
      <c r="I890" s="35">
        <v>9</v>
      </c>
      <c r="J890" s="30">
        <f>IF(OR($F890="",$I890=""),0,IFERROR(INDEX(Nutrition!$D$2:$D$300,MATCH($F890,Nutrition!$A$2:$A$300,0))*$I890/100,0))</f>
        <v>0.18900000000000003</v>
      </c>
      <c r="K890" s="30">
        <f>IF(OR($F890="",$I890=""),0,IFERROR(INDEX(Nutrition!$E$2:$E$300,MATCH($F890,Nutrition!$A$2:$A$300,0))*$I890/100,0))</f>
        <v>2.8080000000000003</v>
      </c>
      <c r="L890" s="30">
        <f>IF(OR($F890="",$I890=""),0,IFERROR(INDEX(Nutrition!$F$2:$F$300,MATCH($F890,Nutrition!$A$2:$A$300,0))*$I890/100,0))</f>
        <v>0</v>
      </c>
      <c r="M890" s="30">
        <f>IF(OR($F890="",$I890=""),0,IFERROR(INDEX(Nutrition!$G$2:$G$300,MATCH($F890,Nutrition!$A$2:$A$300,0))*$I890/100,0))</f>
        <v>0.153</v>
      </c>
      <c r="N890" s="30">
        <f>IF(OR($F890="",$I890=""),0,IFERROR(INDEX(Nutrition!$H$2:$H$300,MATCH($F890,Nutrition!$A$2:$A$300,0))*$I890/100,0))</f>
        <v>0.27</v>
      </c>
      <c r="O890" s="30">
        <f>IF(OR($F890="",$I890=""),0,IFERROR(INDEX(Nutrition!$I$2:$I$300,MATCH($F890,Nutrition!$A$2:$A$300,0))*$I890/100,0))</f>
        <v>36.090000000000003</v>
      </c>
      <c r="P890" s="30">
        <f>IF(OR($F890="",$I890=""),0,IFERROR(INDEX(Nutrition!$J$2:$J$300,MATCH($F890,Nutrition!$A$2:$A$300,0))*$I890/100,0))</f>
        <v>7.1999999999999998E-3</v>
      </c>
      <c r="Q890" s="30">
        <f>IF(OR($F890="",$I890=""),0,IFERROR(INDEX(Nutrition!$K$2:$K$300,MATCH($F890,Nutrition!$A$2:$A$300,0))*$I890/100,0))</f>
        <v>0.11115</v>
      </c>
      <c r="R890" s="30">
        <f>IF(OR($F890="",$I890=""),0,IFERROR(INDEX(Nutrition!$L$2:$L$300,MATCH($F890,Nutrition!$A$2:$A$300,0))*$I890/100,0))</f>
        <v>2.25</v>
      </c>
      <c r="S890" s="30">
        <f>IF(OR($F890="",$I890=""),0,IFERROR(INDEX(Nutrition!$M$2:$M$300,MATCH($F890,Nutrition!$A$2:$A$300,0))*$I890/100,0))</f>
        <v>0.153</v>
      </c>
    </row>
    <row r="891" spans="1:19" ht="15" customHeight="1" x14ac:dyDescent="0.25">
      <c r="A891" s="22" t="s">
        <v>2064</v>
      </c>
      <c r="B891" s="33" t="str">
        <f>IFERROR(INDEX(Recipes!$B$2:$B$500,MATCH(A891,Recipes!$A$2:$A$500,0)),"")</f>
        <v>Caribbean Creole Sauce</v>
      </c>
      <c r="C891" s="7" t="s">
        <v>490</v>
      </c>
      <c r="D891" s="34">
        <v>2</v>
      </c>
      <c r="E891" s="22" t="s">
        <v>2820</v>
      </c>
      <c r="F891" s="22" t="s">
        <v>489</v>
      </c>
      <c r="G891" s="22" t="s">
        <v>2755</v>
      </c>
      <c r="H891" s="7" t="s">
        <v>2775</v>
      </c>
      <c r="I891" s="35">
        <v>30</v>
      </c>
      <c r="J891" s="30">
        <f>IF(OR($F891="",$I891=""),0,IFERROR(INDEX(Nutrition!$D$2:$D$300,MATCH($F891,Nutrition!$A$2:$A$300,0))*$I891/100,0))</f>
        <v>0.78</v>
      </c>
      <c r="K891" s="30">
        <f>IF(OR($F891="",$I891=""),0,IFERROR(INDEX(Nutrition!$E$2:$E$300,MATCH($F891,Nutrition!$A$2:$A$300,0))*$I891/100,0))</f>
        <v>5.64</v>
      </c>
      <c r="L891" s="30">
        <f>IF(OR($F891="",$I891=""),0,IFERROR(INDEX(Nutrition!$F$2:$F$300,MATCH($F891,Nutrition!$A$2:$A$300,0))*$I891/100,0))</f>
        <v>15</v>
      </c>
      <c r="M891" s="30">
        <f>IF(OR($F891="",$I891=""),0,IFERROR(INDEX(Nutrition!$G$2:$G$300,MATCH($F891,Nutrition!$A$2:$A$300,0))*$I891/100,0))</f>
        <v>62.1</v>
      </c>
      <c r="N891" s="30">
        <f>IF(OR($F891="",$I891=""),0,IFERROR(INDEX(Nutrition!$H$2:$H$300,MATCH($F891,Nutrition!$A$2:$A$300,0))*$I891/100,0))</f>
        <v>19.2</v>
      </c>
      <c r="O891" s="30">
        <f>IF(OR($F891="",$I891=""),0,IFERROR(INDEX(Nutrition!$I$2:$I$300,MATCH($F891,Nutrition!$A$2:$A$300,0))*$I891/100,0))</f>
        <v>82.8</v>
      </c>
      <c r="P891" s="30">
        <f>IF(OR($F891="",$I891=""),0,IFERROR(INDEX(Nutrition!$J$2:$J$300,MATCH($F891,Nutrition!$A$2:$A$300,0))*$I891/100,0))</f>
        <v>0.16500000000000001</v>
      </c>
      <c r="Q891" s="30">
        <f>IF(OR($F891="",$I891=""),0,IFERROR(INDEX(Nutrition!$K$2:$K$300,MATCH($F891,Nutrition!$A$2:$A$300,0))*$I891/100,0))</f>
        <v>1.83E-2</v>
      </c>
      <c r="R891" s="30">
        <f>IF(OR($F891="",$I891=""),0,IFERROR(INDEX(Nutrition!$L$2:$L$300,MATCH($F891,Nutrition!$A$2:$A$300,0))*$I891/100,0))</f>
        <v>6</v>
      </c>
      <c r="S891" s="30">
        <f>IF(OR($F891="",$I891=""),0,IFERROR(INDEX(Nutrition!$M$2:$M$300,MATCH($F891,Nutrition!$A$2:$A$300,0))*$I891/100,0))</f>
        <v>0.44400000000000001</v>
      </c>
    </row>
    <row r="892" spans="1:19" ht="15" customHeight="1" x14ac:dyDescent="0.25">
      <c r="A892" s="22" t="s">
        <v>2064</v>
      </c>
      <c r="B892" s="33" t="str">
        <f>IFERROR(INDEX(Recipes!$B$2:$B$500,MATCH(A892,Recipes!$A$2:$A$500,0)),"")</f>
        <v>Caribbean Creole Sauce</v>
      </c>
      <c r="C892" s="7" t="s">
        <v>473</v>
      </c>
      <c r="D892" s="34">
        <v>0.25</v>
      </c>
      <c r="E892" s="22" t="s">
        <v>2754</v>
      </c>
      <c r="F892" s="22" t="s">
        <v>472</v>
      </c>
      <c r="G892" s="22" t="s">
        <v>2755</v>
      </c>
      <c r="H892" s="7" t="s">
        <v>2771</v>
      </c>
      <c r="I892" s="35">
        <v>2</v>
      </c>
      <c r="J892" s="30">
        <f>IF(OR($F892="",$I892=""),0,IFERROR(INDEX(Nutrition!$D$2:$D$300,MATCH($F892,Nutrition!$A$2:$A$300,0))*$I892/100,0))</f>
        <v>0.03</v>
      </c>
      <c r="K892" s="30">
        <f>IF(OR($F892="",$I892=""),0,IFERROR(INDEX(Nutrition!$E$2:$E$300,MATCH($F892,Nutrition!$A$2:$A$300,0))*$I892/100,0))</f>
        <v>2.8739999999999997</v>
      </c>
      <c r="L892" s="30">
        <f>IF(OR($F892="",$I892=""),0,IFERROR(INDEX(Nutrition!$F$2:$F$300,MATCH($F892,Nutrition!$A$2:$A$300,0))*$I892/100,0))</f>
        <v>0.96</v>
      </c>
      <c r="M892" s="30">
        <f>IF(OR($F892="",$I892=""),0,IFERROR(INDEX(Nutrition!$G$2:$G$300,MATCH($F892,Nutrition!$A$2:$A$300,0))*$I892/100,0))</f>
        <v>0.28000000000000003</v>
      </c>
      <c r="N892" s="30">
        <f>IF(OR($F892="",$I892=""),0,IFERROR(INDEX(Nutrition!$H$2:$H$300,MATCH($F892,Nutrition!$A$2:$A$300,0))*$I892/100,0))</f>
        <v>0.46</v>
      </c>
      <c r="O892" s="30">
        <f>IF(OR($F892="",$I892=""),0,IFERROR(INDEX(Nutrition!$I$2:$I$300,MATCH($F892,Nutrition!$A$2:$A$300,0))*$I892/100,0))</f>
        <v>6.44</v>
      </c>
      <c r="P892" s="30">
        <f>IF(OR($F892="",$I892=""),0,IFERROR(INDEX(Nutrition!$J$2:$J$300,MATCH($F892,Nutrition!$A$2:$A$300,0))*$I892/100,0))</f>
        <v>1.38E-2</v>
      </c>
      <c r="Q892" s="30">
        <f>IF(OR($F892="",$I892=""),0,IFERROR(INDEX(Nutrition!$K$2:$K$300,MATCH($F892,Nutrition!$A$2:$A$300,0))*$I892/100,0))</f>
        <v>1.0120000000000001E-2</v>
      </c>
      <c r="R892" s="30">
        <f>IF(OR($F892="",$I892=""),0,IFERROR(INDEX(Nutrition!$L$2:$L$300,MATCH($F892,Nutrition!$A$2:$A$300,0))*$I892/100,0))</f>
        <v>0.46</v>
      </c>
      <c r="S892" s="30">
        <f>IF(OR($F892="",$I892=""),0,IFERROR(INDEX(Nutrition!$M$2:$M$300,MATCH($F892,Nutrition!$A$2:$A$300,0))*$I892/100,0))</f>
        <v>2.06E-2</v>
      </c>
    </row>
    <row r="893" spans="1:19" ht="15" customHeight="1" x14ac:dyDescent="0.25">
      <c r="A893" s="22" t="s">
        <v>2064</v>
      </c>
      <c r="B893" s="33" t="str">
        <f>IFERROR(INDEX(Recipes!$B$2:$B$500,MATCH(A893,Recipes!$A$2:$A$500,0)),"")</f>
        <v>Caribbean Creole Sauce</v>
      </c>
      <c r="C893" s="7" t="s">
        <v>684</v>
      </c>
      <c r="D893" s="34">
        <v>2</v>
      </c>
      <c r="E893" s="22" t="s">
        <v>2976</v>
      </c>
      <c r="F893" s="22" t="s">
        <v>683</v>
      </c>
      <c r="G893" s="22" t="s">
        <v>2755</v>
      </c>
      <c r="H893" s="7" t="s">
        <v>2977</v>
      </c>
      <c r="I893" s="35">
        <v>4</v>
      </c>
      <c r="J893" s="30">
        <f>IF(OR($F893="",$I893=""),0,IFERROR(INDEX(Nutrition!$D$2:$D$300,MATCH($F893,Nutrition!$A$2:$A$300,0))*$I893/100,0))</f>
        <v>0.56399999999999995</v>
      </c>
      <c r="K893" s="30">
        <f>IF(OR($F893="",$I893=""),0,IFERROR(INDEX(Nutrition!$E$2:$E$300,MATCH($F893,Nutrition!$A$2:$A$300,0))*$I893/100,0))</f>
        <v>0.872</v>
      </c>
      <c r="L893" s="30">
        <f>IF(OR($F893="",$I893=""),0,IFERROR(INDEX(Nutrition!$F$2:$F$300,MATCH($F893,Nutrition!$A$2:$A$300,0))*$I893/100,0))</f>
        <v>5.84</v>
      </c>
      <c r="M893" s="30">
        <f>IF(OR($F893="",$I893=""),0,IFERROR(INDEX(Nutrition!$G$2:$G$300,MATCH($F893,Nutrition!$A$2:$A$300,0))*$I893/100,0))</f>
        <v>0</v>
      </c>
      <c r="N893" s="30">
        <f>IF(OR($F893="",$I893=""),0,IFERROR(INDEX(Nutrition!$H$2:$H$300,MATCH($F893,Nutrition!$A$2:$A$300,0))*$I893/100,0))</f>
        <v>4.3600000000000003</v>
      </c>
      <c r="O893" s="30">
        <f>IF(OR($F893="",$I893=""),0,IFERROR(INDEX(Nutrition!$I$2:$I$300,MATCH($F893,Nutrition!$A$2:$A$300,0))*$I893/100,0))</f>
        <v>26.72</v>
      </c>
      <c r="P893" s="30">
        <f>IF(OR($F893="",$I893=""),0,IFERROR(INDEX(Nutrition!$J$2:$J$300,MATCH($F893,Nutrition!$A$2:$A$300,0))*$I893/100,0))</f>
        <v>0</v>
      </c>
      <c r="Q893" s="30">
        <f>IF(OR($F893="",$I893=""),0,IFERROR(INDEX(Nutrition!$K$2:$K$300,MATCH($F893,Nutrition!$A$2:$A$300,0))*$I893/100,0))</f>
        <v>1.3440000000000001E-2</v>
      </c>
      <c r="R893" s="30">
        <f>IF(OR($F893="",$I893=""),0,IFERROR(INDEX(Nutrition!$L$2:$L$300,MATCH($F893,Nutrition!$A$2:$A$300,0))*$I893/100,0))</f>
        <v>3.64</v>
      </c>
      <c r="S893" s="30">
        <f>IF(OR($F893="",$I893=""),0,IFERROR(INDEX(Nutrition!$M$2:$M$300,MATCH($F893,Nutrition!$A$2:$A$300,0))*$I893/100,0))</f>
        <v>0.26600000000000001</v>
      </c>
    </row>
    <row r="894" spans="1:19" ht="15" customHeight="1" x14ac:dyDescent="0.25">
      <c r="A894" s="22" t="s">
        <v>2064</v>
      </c>
      <c r="B894" s="33" t="str">
        <f>IFERROR(INDEX(Recipes!$B$2:$B$500,MATCH(A894,Recipes!$A$2:$A$500,0)),"")</f>
        <v>Caribbean Creole Sauce</v>
      </c>
      <c r="C894" s="7" t="s">
        <v>671</v>
      </c>
      <c r="D894" s="34">
        <v>2</v>
      </c>
      <c r="E894" s="22" t="s">
        <v>2753</v>
      </c>
      <c r="F894" s="22" t="s">
        <v>670</v>
      </c>
      <c r="G894" s="22" t="s">
        <v>2755</v>
      </c>
      <c r="H894" s="7" t="s">
        <v>2775</v>
      </c>
      <c r="I894" s="35">
        <v>8</v>
      </c>
      <c r="J894" s="30">
        <f>IF(OR($F894="",$I894=""),0,IFERROR(INDEX(Nutrition!$D$2:$D$300,MATCH($F894,Nutrition!$A$2:$A$300,0))*$I894/100,0))</f>
        <v>0.26400000000000001</v>
      </c>
      <c r="K894" s="30">
        <f>IF(OR($F894="",$I894=""),0,IFERROR(INDEX(Nutrition!$E$2:$E$300,MATCH($F894,Nutrition!$A$2:$A$300,0))*$I894/100,0))</f>
        <v>10.64</v>
      </c>
      <c r="L894" s="30">
        <f>IF(OR($F894="",$I894=""),0,IFERROR(INDEX(Nutrition!$F$2:$F$300,MATCH($F894,Nutrition!$A$2:$A$300,0))*$I894/100,0))</f>
        <v>33.68</v>
      </c>
      <c r="M894" s="30">
        <f>IF(OR($F894="",$I894=""),0,IFERROR(INDEX(Nutrition!$G$2:$G$300,MATCH($F894,Nutrition!$A$2:$A$300,0))*$I894/100,0))</f>
        <v>131.19999999999999</v>
      </c>
      <c r="N894" s="30">
        <f>IF(OR($F894="",$I894=""),0,IFERROR(INDEX(Nutrition!$H$2:$H$300,MATCH($F894,Nutrition!$A$2:$A$300,0))*$I894/100,0))</f>
        <v>12.16</v>
      </c>
      <c r="O894" s="30">
        <f>IF(OR($F894="",$I894=""),0,IFERROR(INDEX(Nutrition!$I$2:$I$300,MATCH($F894,Nutrition!$A$2:$A$300,0))*$I894/100,0))</f>
        <v>44.32</v>
      </c>
      <c r="P894" s="30">
        <f>IF(OR($F894="",$I894=""),0,IFERROR(INDEX(Nutrition!$J$2:$J$300,MATCH($F894,Nutrition!$A$2:$A$300,0))*$I894/100,0))</f>
        <v>0.06</v>
      </c>
      <c r="Q894" s="30">
        <f>IF(OR($F894="",$I894=""),0,IFERROR(INDEX(Nutrition!$K$2:$K$300,MATCH($F894,Nutrition!$A$2:$A$300,0))*$I894/100,0))</f>
        <v>7.1999999999999998E-3</v>
      </c>
      <c r="R894" s="30">
        <f>IF(OR($F894="",$I894=""),0,IFERROR(INDEX(Nutrition!$L$2:$L$300,MATCH($F894,Nutrition!$A$2:$A$300,0))*$I894/100,0))</f>
        <v>4</v>
      </c>
      <c r="S894" s="30">
        <f>IF(OR($F894="",$I894=""),0,IFERROR(INDEX(Nutrition!$M$2:$M$300,MATCH($F894,Nutrition!$A$2:$A$300,0))*$I894/100,0))</f>
        <v>0.496</v>
      </c>
    </row>
    <row r="895" spans="1:19" ht="15" customHeight="1" x14ac:dyDescent="0.25">
      <c r="A895" s="22" t="s">
        <v>2064</v>
      </c>
      <c r="B895" s="33" t="str">
        <f>IFERROR(INDEX(Recipes!$B$2:$B$500,MATCH(A895,Recipes!$A$2:$A$500,0)),"")</f>
        <v>Caribbean Creole Sauce</v>
      </c>
      <c r="C895" s="7" t="s">
        <v>2978</v>
      </c>
      <c r="D895" s="34">
        <v>1.5</v>
      </c>
      <c r="E895" s="22" t="s">
        <v>2790</v>
      </c>
      <c r="F895" s="22"/>
      <c r="G895" s="22" t="s">
        <v>2749</v>
      </c>
      <c r="H895" s="7" t="s">
        <v>2979</v>
      </c>
      <c r="I895" s="35"/>
      <c r="J895" s="30">
        <f>IF(OR($F895="",$I895=""),0,IFERROR(INDEX(Nutrition!$D$2:$D$300,MATCH($F895,Nutrition!$A$2:$A$300,0))*$I895/100,0))</f>
        <v>0</v>
      </c>
      <c r="K895" s="30">
        <f>IF(OR($F895="",$I895=""),0,IFERROR(INDEX(Nutrition!$E$2:$E$300,MATCH($F895,Nutrition!$A$2:$A$300,0))*$I895/100,0))</f>
        <v>0</v>
      </c>
      <c r="L895" s="30">
        <f>IF(OR($F895="",$I895=""),0,IFERROR(INDEX(Nutrition!$F$2:$F$300,MATCH($F895,Nutrition!$A$2:$A$300,0))*$I895/100,0))</f>
        <v>0</v>
      </c>
      <c r="M895" s="30">
        <f>IF(OR($F895="",$I895=""),0,IFERROR(INDEX(Nutrition!$G$2:$G$300,MATCH($F895,Nutrition!$A$2:$A$300,0))*$I895/100,0))</f>
        <v>0</v>
      </c>
      <c r="N895" s="30">
        <f>IF(OR($F895="",$I895=""),0,IFERROR(INDEX(Nutrition!$H$2:$H$300,MATCH($F895,Nutrition!$A$2:$A$300,0))*$I895/100,0))</f>
        <v>0</v>
      </c>
      <c r="O895" s="30">
        <f>IF(OR($F895="",$I895=""),0,IFERROR(INDEX(Nutrition!$I$2:$I$300,MATCH($F895,Nutrition!$A$2:$A$300,0))*$I895/100,0))</f>
        <v>0</v>
      </c>
      <c r="P895" s="30">
        <f>IF(OR($F895="",$I895=""),0,IFERROR(INDEX(Nutrition!$J$2:$J$300,MATCH($F895,Nutrition!$A$2:$A$300,0))*$I895/100,0))</f>
        <v>0</v>
      </c>
      <c r="Q895" s="30">
        <f>IF(OR($F895="",$I895=""),0,IFERROR(INDEX(Nutrition!$K$2:$K$300,MATCH($F895,Nutrition!$A$2:$A$300,0))*$I895/100,0))</f>
        <v>0</v>
      </c>
      <c r="R895" s="30">
        <f>IF(OR($F895="",$I895=""),0,IFERROR(INDEX(Nutrition!$L$2:$L$300,MATCH($F895,Nutrition!$A$2:$A$300,0))*$I895/100,0))</f>
        <v>0</v>
      </c>
      <c r="S895" s="30">
        <f>IF(OR($F895="",$I895=""),0,IFERROR(INDEX(Nutrition!$M$2:$M$300,MATCH($F895,Nutrition!$A$2:$A$300,0))*$I895/100,0))</f>
        <v>0</v>
      </c>
    </row>
    <row r="896" spans="1:19" ht="15" customHeight="1" x14ac:dyDescent="0.25">
      <c r="A896" s="22" t="s">
        <v>2064</v>
      </c>
      <c r="B896" s="33" t="str">
        <f>IFERROR(INDEX(Recipes!$B$2:$B$500,MATCH(A896,Recipes!$A$2:$A$500,0)),"")</f>
        <v>Caribbean Creole Sauce</v>
      </c>
      <c r="C896" s="7" t="s">
        <v>2961</v>
      </c>
      <c r="D896" s="34">
        <v>1</v>
      </c>
      <c r="E896" s="22" t="s">
        <v>2753</v>
      </c>
      <c r="F896" s="22"/>
      <c r="G896" s="22" t="s">
        <v>2749</v>
      </c>
      <c r="H896" s="7"/>
      <c r="I896" s="35"/>
      <c r="J896" s="30">
        <f>IF(OR($F896="",$I896=""),0,IFERROR(INDEX(Nutrition!$D$2:$D$300,MATCH($F896,Nutrition!$A$2:$A$300,0))*$I896/100,0))</f>
        <v>0</v>
      </c>
      <c r="K896" s="30">
        <f>IF(OR($F896="",$I896=""),0,IFERROR(INDEX(Nutrition!$E$2:$E$300,MATCH($F896,Nutrition!$A$2:$A$300,0))*$I896/100,0))</f>
        <v>0</v>
      </c>
      <c r="L896" s="30">
        <f>IF(OR($F896="",$I896=""),0,IFERROR(INDEX(Nutrition!$F$2:$F$300,MATCH($F896,Nutrition!$A$2:$A$300,0))*$I896/100,0))</f>
        <v>0</v>
      </c>
      <c r="M896" s="30">
        <f>IF(OR($F896="",$I896=""),0,IFERROR(INDEX(Nutrition!$G$2:$G$300,MATCH($F896,Nutrition!$A$2:$A$300,0))*$I896/100,0))</f>
        <v>0</v>
      </c>
      <c r="N896" s="30">
        <f>IF(OR($F896="",$I896=""),0,IFERROR(INDEX(Nutrition!$H$2:$H$300,MATCH($F896,Nutrition!$A$2:$A$300,0))*$I896/100,0))</f>
        <v>0</v>
      </c>
      <c r="O896" s="30">
        <f>IF(OR($F896="",$I896=""),0,IFERROR(INDEX(Nutrition!$I$2:$I$300,MATCH($F896,Nutrition!$A$2:$A$300,0))*$I896/100,0))</f>
        <v>0</v>
      </c>
      <c r="P896" s="30">
        <f>IF(OR($F896="",$I896=""),0,IFERROR(INDEX(Nutrition!$J$2:$J$300,MATCH($F896,Nutrition!$A$2:$A$300,0))*$I896/100,0))</f>
        <v>0</v>
      </c>
      <c r="Q896" s="30">
        <f>IF(OR($F896="",$I896=""),0,IFERROR(INDEX(Nutrition!$K$2:$K$300,MATCH($F896,Nutrition!$A$2:$A$300,0))*$I896/100,0))</f>
        <v>0</v>
      </c>
      <c r="R896" s="30">
        <f>IF(OR($F896="",$I896=""),0,IFERROR(INDEX(Nutrition!$L$2:$L$300,MATCH($F896,Nutrition!$A$2:$A$300,0))*$I896/100,0))</f>
        <v>0</v>
      </c>
      <c r="S896" s="30">
        <f>IF(OR($F896="",$I896=""),0,IFERROR(INDEX(Nutrition!$M$2:$M$300,MATCH($F896,Nutrition!$A$2:$A$300,0))*$I896/100,0))</f>
        <v>0</v>
      </c>
    </row>
    <row r="897" spans="1:19" ht="15" customHeight="1" x14ac:dyDescent="0.25">
      <c r="A897" s="22" t="s">
        <v>2064</v>
      </c>
      <c r="B897" s="33" t="str">
        <f>IFERROR(INDEX(Recipes!$B$2:$B$500,MATCH(A897,Recipes!$A$2:$A$500,0)),"")</f>
        <v>Caribbean Creole Sauce</v>
      </c>
      <c r="C897" s="7" t="s">
        <v>2898</v>
      </c>
      <c r="D897" s="34">
        <v>2</v>
      </c>
      <c r="E897" s="22" t="s">
        <v>2753</v>
      </c>
      <c r="F897" s="22"/>
      <c r="G897" s="22" t="s">
        <v>2773</v>
      </c>
      <c r="H897" s="7"/>
      <c r="I897" s="35"/>
      <c r="J897" s="30">
        <f>IF(OR($F897="",$I897=""),0,IFERROR(INDEX(Nutrition!$D$2:$D$300,MATCH($F897,Nutrition!$A$2:$A$300,0))*$I897/100,0))</f>
        <v>0</v>
      </c>
      <c r="K897" s="30">
        <f>IF(OR($F897="",$I897=""),0,IFERROR(INDEX(Nutrition!$E$2:$E$300,MATCH($F897,Nutrition!$A$2:$A$300,0))*$I897/100,0))</f>
        <v>0</v>
      </c>
      <c r="L897" s="30">
        <f>IF(OR($F897="",$I897=""),0,IFERROR(INDEX(Nutrition!$F$2:$F$300,MATCH($F897,Nutrition!$A$2:$A$300,0))*$I897/100,0))</f>
        <v>0</v>
      </c>
      <c r="M897" s="30">
        <f>IF(OR($F897="",$I897=""),0,IFERROR(INDEX(Nutrition!$G$2:$G$300,MATCH($F897,Nutrition!$A$2:$A$300,0))*$I897/100,0))</f>
        <v>0</v>
      </c>
      <c r="N897" s="30">
        <f>IF(OR($F897="",$I897=""),0,IFERROR(INDEX(Nutrition!$H$2:$H$300,MATCH($F897,Nutrition!$A$2:$A$300,0))*$I897/100,0))</f>
        <v>0</v>
      </c>
      <c r="O897" s="30">
        <f>IF(OR($F897="",$I897=""),0,IFERROR(INDEX(Nutrition!$I$2:$I$300,MATCH($F897,Nutrition!$A$2:$A$300,0))*$I897/100,0))</f>
        <v>0</v>
      </c>
      <c r="P897" s="30">
        <f>IF(OR($F897="",$I897=""),0,IFERROR(INDEX(Nutrition!$J$2:$J$300,MATCH($F897,Nutrition!$A$2:$A$300,0))*$I897/100,0))</f>
        <v>0</v>
      </c>
      <c r="Q897" s="30">
        <f>IF(OR($F897="",$I897=""),0,IFERROR(INDEX(Nutrition!$K$2:$K$300,MATCH($F897,Nutrition!$A$2:$A$300,0))*$I897/100,0))</f>
        <v>0</v>
      </c>
      <c r="R897" s="30">
        <f>IF(OR($F897="",$I897=""),0,IFERROR(INDEX(Nutrition!$L$2:$L$300,MATCH($F897,Nutrition!$A$2:$A$300,0))*$I897/100,0))</f>
        <v>0</v>
      </c>
      <c r="S897" s="30">
        <f>IF(OR($F897="",$I897=""),0,IFERROR(INDEX(Nutrition!$M$2:$M$300,MATCH($F897,Nutrition!$A$2:$A$300,0))*$I897/100,0))</f>
        <v>0</v>
      </c>
    </row>
    <row r="898" spans="1:19" ht="15" customHeight="1" x14ac:dyDescent="0.25">
      <c r="A898" s="22" t="s">
        <v>2064</v>
      </c>
      <c r="B898" s="33" t="str">
        <f>IFERROR(INDEX(Recipes!$B$2:$B$500,MATCH(A898,Recipes!$A$2:$A$500,0)),"")</f>
        <v>Caribbean Creole Sauce</v>
      </c>
      <c r="C898" s="7" t="s">
        <v>2842</v>
      </c>
      <c r="D898" s="34">
        <v>1</v>
      </c>
      <c r="E898" s="22" t="s">
        <v>2753</v>
      </c>
      <c r="F898" s="22"/>
      <c r="G898" s="22" t="s">
        <v>2749</v>
      </c>
      <c r="H898" s="7"/>
      <c r="I898" s="35"/>
      <c r="J898" s="30">
        <f>IF(OR($F898="",$I898=""),0,IFERROR(INDEX(Nutrition!$D$2:$D$300,MATCH($F898,Nutrition!$A$2:$A$300,0))*$I898/100,0))</f>
        <v>0</v>
      </c>
      <c r="K898" s="30">
        <f>IF(OR($F898="",$I898=""),0,IFERROR(INDEX(Nutrition!$E$2:$E$300,MATCH($F898,Nutrition!$A$2:$A$300,0))*$I898/100,0))</f>
        <v>0</v>
      </c>
      <c r="L898" s="30">
        <f>IF(OR($F898="",$I898=""),0,IFERROR(INDEX(Nutrition!$F$2:$F$300,MATCH($F898,Nutrition!$A$2:$A$300,0))*$I898/100,0))</f>
        <v>0</v>
      </c>
      <c r="M898" s="30">
        <f>IF(OR($F898="",$I898=""),0,IFERROR(INDEX(Nutrition!$G$2:$G$300,MATCH($F898,Nutrition!$A$2:$A$300,0))*$I898/100,0))</f>
        <v>0</v>
      </c>
      <c r="N898" s="30">
        <f>IF(OR($F898="",$I898=""),0,IFERROR(INDEX(Nutrition!$H$2:$H$300,MATCH($F898,Nutrition!$A$2:$A$300,0))*$I898/100,0))</f>
        <v>0</v>
      </c>
      <c r="O898" s="30">
        <f>IF(OR($F898="",$I898=""),0,IFERROR(INDEX(Nutrition!$I$2:$I$300,MATCH($F898,Nutrition!$A$2:$A$300,0))*$I898/100,0))</f>
        <v>0</v>
      </c>
      <c r="P898" s="30">
        <f>IF(OR($F898="",$I898=""),0,IFERROR(INDEX(Nutrition!$J$2:$J$300,MATCH($F898,Nutrition!$A$2:$A$300,0))*$I898/100,0))</f>
        <v>0</v>
      </c>
      <c r="Q898" s="30">
        <f>IF(OR($F898="",$I898=""),0,IFERROR(INDEX(Nutrition!$K$2:$K$300,MATCH($F898,Nutrition!$A$2:$A$300,0))*$I898/100,0))</f>
        <v>0</v>
      </c>
      <c r="R898" s="30">
        <f>IF(OR($F898="",$I898=""),0,IFERROR(INDEX(Nutrition!$L$2:$L$300,MATCH($F898,Nutrition!$A$2:$A$300,0))*$I898/100,0))</f>
        <v>0</v>
      </c>
      <c r="S898" s="30">
        <f>IF(OR($F898="",$I898=""),0,IFERROR(INDEX(Nutrition!$M$2:$M$300,MATCH($F898,Nutrition!$A$2:$A$300,0))*$I898/100,0))</f>
        <v>0</v>
      </c>
    </row>
    <row r="899" spans="1:19" ht="15" customHeight="1" x14ac:dyDescent="0.25">
      <c r="A899" s="22" t="s">
        <v>2077</v>
      </c>
      <c r="B899" s="33" t="str">
        <f>IFERROR(INDEX(Recipes!$B$2:$B$500,MATCH(A899,Recipes!$A$2:$A$500,0)),"")</f>
        <v>Bhuna Masala (Onion-Tomato Curry Base)</v>
      </c>
      <c r="C899" s="7" t="s">
        <v>482</v>
      </c>
      <c r="D899" s="34">
        <v>8</v>
      </c>
      <c r="E899" s="22" t="s">
        <v>2754</v>
      </c>
      <c r="F899" s="22" t="s">
        <v>481</v>
      </c>
      <c r="G899" s="22" t="s">
        <v>2755</v>
      </c>
      <c r="H899" s="7" t="s">
        <v>2966</v>
      </c>
      <c r="I899" s="35">
        <v>1000</v>
      </c>
      <c r="J899" s="30">
        <f>IF(OR($F899="",$I899=""),0,IFERROR(INDEX(Nutrition!$D$2:$D$300,MATCH($F899,Nutrition!$A$2:$A$300,0))*$I899/100,0))</f>
        <v>17</v>
      </c>
      <c r="K899" s="30">
        <f>IF(OR($F899="",$I899=""),0,IFERROR(INDEX(Nutrition!$E$2:$E$300,MATCH($F899,Nutrition!$A$2:$A$300,0))*$I899/100,0))</f>
        <v>74</v>
      </c>
      <c r="L899" s="30">
        <f>IF(OR($F899="",$I899=""),0,IFERROR(INDEX(Nutrition!$F$2:$F$300,MATCH($F899,Nutrition!$A$2:$A$300,0))*$I899/100,0))</f>
        <v>0</v>
      </c>
      <c r="M899" s="30">
        <f>IF(OR($F899="",$I899=""),0,IFERROR(INDEX(Nutrition!$G$2:$G$300,MATCH($F899,Nutrition!$A$2:$A$300,0))*$I899/100,0))</f>
        <v>4</v>
      </c>
      <c r="N899" s="30">
        <f>IF(OR($F899="",$I899=""),0,IFERROR(INDEX(Nutrition!$H$2:$H$300,MATCH($F899,Nutrition!$A$2:$A$300,0))*$I899/100,0))</f>
        <v>190</v>
      </c>
      <c r="O899" s="30">
        <f>IF(OR($F899="",$I899=""),0,IFERROR(INDEX(Nutrition!$I$2:$I$300,MATCH($F899,Nutrition!$A$2:$A$300,0))*$I899/100,0))</f>
        <v>1460</v>
      </c>
      <c r="P899" s="30">
        <f>IF(OR($F899="",$I899=""),0,IFERROR(INDEX(Nutrition!$J$2:$J$300,MATCH($F899,Nutrition!$A$2:$A$300,0))*$I899/100,0))</f>
        <v>0.2</v>
      </c>
      <c r="Q899" s="30">
        <f>IF(OR($F899="",$I899=""),0,IFERROR(INDEX(Nutrition!$K$2:$K$300,MATCH($F899,Nutrition!$A$2:$A$300,0))*$I899/100,0))</f>
        <v>1.2</v>
      </c>
      <c r="R899" s="30">
        <f>IF(OR($F899="",$I899=""),0,IFERROR(INDEX(Nutrition!$L$2:$L$300,MATCH($F899,Nutrition!$A$2:$A$300,0))*$I899/100,0))</f>
        <v>100</v>
      </c>
      <c r="S899" s="30">
        <f>IF(OR($F899="",$I899=""),0,IFERROR(INDEX(Nutrition!$M$2:$M$300,MATCH($F899,Nutrition!$A$2:$A$300,0))*$I899/100,0))</f>
        <v>2.1</v>
      </c>
    </row>
    <row r="900" spans="1:19" ht="15" customHeight="1" x14ac:dyDescent="0.25">
      <c r="A900" s="22" t="s">
        <v>2077</v>
      </c>
      <c r="B900" s="33" t="str">
        <f>IFERROR(INDEX(Recipes!$B$2:$B$500,MATCH(A900,Recipes!$A$2:$A$500,0)),"")</f>
        <v>Bhuna Masala (Onion-Tomato Curry Base)</v>
      </c>
      <c r="C900" s="7" t="s">
        <v>446</v>
      </c>
      <c r="D900" s="34">
        <v>8</v>
      </c>
      <c r="E900" s="22" t="s">
        <v>2754</v>
      </c>
      <c r="F900" s="22" t="s">
        <v>445</v>
      </c>
      <c r="G900" s="22" t="s">
        <v>2755</v>
      </c>
      <c r="H900" s="7" t="s">
        <v>2980</v>
      </c>
      <c r="I900" s="35">
        <v>750</v>
      </c>
      <c r="J900" s="30">
        <f>IF(OR($F900="",$I900=""),0,IFERROR(INDEX(Nutrition!$D$2:$D$300,MATCH($F900,Nutrition!$A$2:$A$300,0))*$I900/100,0))</f>
        <v>9</v>
      </c>
      <c r="K900" s="30">
        <f>IF(OR($F900="",$I900=""),0,IFERROR(INDEX(Nutrition!$E$2:$E$300,MATCH($F900,Nutrition!$A$2:$A$300,0))*$I900/100,0))</f>
        <v>102.75</v>
      </c>
      <c r="L900" s="30">
        <f>IF(OR($F900="",$I900=""),0,IFERROR(INDEX(Nutrition!$F$2:$F$300,MATCH($F900,Nutrition!$A$2:$A$300,0))*$I900/100,0))</f>
        <v>315</v>
      </c>
      <c r="M900" s="30">
        <f>IF(OR($F900="",$I900=""),0,IFERROR(INDEX(Nutrition!$G$2:$G$300,MATCH($F900,Nutrition!$A$2:$A$300,0))*$I900/100,0))</f>
        <v>59.25</v>
      </c>
      <c r="N900" s="30">
        <f>IF(OR($F900="",$I900=""),0,IFERROR(INDEX(Nutrition!$H$2:$H$300,MATCH($F900,Nutrition!$A$2:$A$300,0))*$I900/100,0))</f>
        <v>112.5</v>
      </c>
      <c r="O900" s="30">
        <f>IF(OR($F900="",$I900=""),0,IFERROR(INDEX(Nutrition!$I$2:$I$300,MATCH($F900,Nutrition!$A$2:$A$300,0))*$I900/100,0))</f>
        <v>1777.5</v>
      </c>
      <c r="P900" s="30">
        <f>IF(OR($F900="",$I900=""),0,IFERROR(INDEX(Nutrition!$J$2:$J$300,MATCH($F900,Nutrition!$A$2:$A$300,0))*$I900/100,0))</f>
        <v>4.05</v>
      </c>
      <c r="Q900" s="30">
        <f>IF(OR($F900="",$I900=""),0,IFERROR(INDEX(Nutrition!$K$2:$K$300,MATCH($F900,Nutrition!$A$2:$A$300,0))*$I900/100,0))</f>
        <v>0.6</v>
      </c>
      <c r="R900" s="30">
        <f>IF(OR($F900="",$I900=""),0,IFERROR(INDEX(Nutrition!$L$2:$L$300,MATCH($F900,Nutrition!$A$2:$A$300,0))*$I900/100,0))</f>
        <v>82.5</v>
      </c>
      <c r="S900" s="30">
        <f>IF(OR($F900="",$I900=""),0,IFERROR(INDEX(Nutrition!$M$2:$M$300,MATCH($F900,Nutrition!$A$2:$A$300,0))*$I900/100,0))</f>
        <v>2.0249999999999999</v>
      </c>
    </row>
    <row r="901" spans="1:19" ht="15" customHeight="1" x14ac:dyDescent="0.25">
      <c r="A901" s="22" t="s">
        <v>2077</v>
      </c>
      <c r="B901" s="33" t="str">
        <f>IFERROR(INDEX(Recipes!$B$2:$B$500,MATCH(A901,Recipes!$A$2:$A$500,0)),"")</f>
        <v>Bhuna Masala (Onion-Tomato Curry Base)</v>
      </c>
      <c r="C901" s="7" t="s">
        <v>500</v>
      </c>
      <c r="D901" s="34">
        <v>12</v>
      </c>
      <c r="E901" s="22" t="s">
        <v>2776</v>
      </c>
      <c r="F901" s="22" t="s">
        <v>499</v>
      </c>
      <c r="G901" s="22" t="s">
        <v>2755</v>
      </c>
      <c r="H901" s="7"/>
      <c r="I901" s="35">
        <v>36</v>
      </c>
      <c r="J901" s="30">
        <f>IF(OR($F901="",$I901=""),0,IFERROR(INDEX(Nutrition!$D$2:$D$300,MATCH($F901,Nutrition!$A$2:$A$300,0))*$I901/100,0))</f>
        <v>0.75600000000000012</v>
      </c>
      <c r="K901" s="30">
        <f>IF(OR($F901="",$I901=""),0,IFERROR(INDEX(Nutrition!$E$2:$E$300,MATCH($F901,Nutrition!$A$2:$A$300,0))*$I901/100,0))</f>
        <v>11.232000000000001</v>
      </c>
      <c r="L901" s="30">
        <f>IF(OR($F901="",$I901=""),0,IFERROR(INDEX(Nutrition!$F$2:$F$300,MATCH($F901,Nutrition!$A$2:$A$300,0))*$I901/100,0))</f>
        <v>0</v>
      </c>
      <c r="M901" s="30">
        <f>IF(OR($F901="",$I901=""),0,IFERROR(INDEX(Nutrition!$G$2:$G$300,MATCH($F901,Nutrition!$A$2:$A$300,0))*$I901/100,0))</f>
        <v>0.61199999999999999</v>
      </c>
      <c r="N901" s="30">
        <f>IF(OR($F901="",$I901=""),0,IFERROR(INDEX(Nutrition!$H$2:$H$300,MATCH($F901,Nutrition!$A$2:$A$300,0))*$I901/100,0))</f>
        <v>1.08</v>
      </c>
      <c r="O901" s="30">
        <f>IF(OR($F901="",$I901=""),0,IFERROR(INDEX(Nutrition!$I$2:$I$300,MATCH($F901,Nutrition!$A$2:$A$300,0))*$I901/100,0))</f>
        <v>144.36000000000001</v>
      </c>
      <c r="P901" s="30">
        <f>IF(OR($F901="",$I901=""),0,IFERROR(INDEX(Nutrition!$J$2:$J$300,MATCH($F901,Nutrition!$A$2:$A$300,0))*$I901/100,0))</f>
        <v>2.8799999999999999E-2</v>
      </c>
      <c r="Q901" s="30">
        <f>IF(OR($F901="",$I901=""),0,IFERROR(INDEX(Nutrition!$K$2:$K$300,MATCH($F901,Nutrition!$A$2:$A$300,0))*$I901/100,0))</f>
        <v>0.4446</v>
      </c>
      <c r="R901" s="30">
        <f>IF(OR($F901="",$I901=""),0,IFERROR(INDEX(Nutrition!$L$2:$L$300,MATCH($F901,Nutrition!$A$2:$A$300,0))*$I901/100,0))</f>
        <v>9</v>
      </c>
      <c r="S901" s="30">
        <f>IF(OR($F901="",$I901=""),0,IFERROR(INDEX(Nutrition!$M$2:$M$300,MATCH($F901,Nutrition!$A$2:$A$300,0))*$I901/100,0))</f>
        <v>0.61199999999999999</v>
      </c>
    </row>
    <row r="902" spans="1:19" ht="15" customHeight="1" x14ac:dyDescent="0.25">
      <c r="A902" s="22" t="s">
        <v>2077</v>
      </c>
      <c r="B902" s="33" t="str">
        <f>IFERROR(INDEX(Recipes!$B$2:$B$500,MATCH(A902,Recipes!$A$2:$A$500,0)),"")</f>
        <v>Bhuna Masala (Onion-Tomato Curry Base)</v>
      </c>
      <c r="C902" s="7" t="s">
        <v>508</v>
      </c>
      <c r="D902" s="34">
        <v>3</v>
      </c>
      <c r="E902" s="22" t="s">
        <v>2981</v>
      </c>
      <c r="F902" s="22" t="s">
        <v>507</v>
      </c>
      <c r="G902" s="22" t="s">
        <v>2755</v>
      </c>
      <c r="H902" s="7"/>
      <c r="I902" s="35">
        <v>45</v>
      </c>
      <c r="J902" s="30">
        <f>IF(OR($F902="",$I902=""),0,IFERROR(INDEX(Nutrition!$D$2:$D$300,MATCH($F902,Nutrition!$A$2:$A$300,0))*$I902/100,0))</f>
        <v>0.9</v>
      </c>
      <c r="K902" s="30">
        <f>IF(OR($F902="",$I902=""),0,IFERROR(INDEX(Nutrition!$E$2:$E$300,MATCH($F902,Nutrition!$A$2:$A$300,0))*$I902/100,0))</f>
        <v>2.25</v>
      </c>
      <c r="L902" s="30">
        <f>IF(OR($F902="",$I902=""),0,IFERROR(INDEX(Nutrition!$F$2:$F$300,MATCH($F902,Nutrition!$A$2:$A$300,0))*$I902/100,0))</f>
        <v>0</v>
      </c>
      <c r="M902" s="30">
        <f>IF(OR($F902="",$I902=""),0,IFERROR(INDEX(Nutrition!$G$2:$G$300,MATCH($F902,Nutrition!$A$2:$A$300,0))*$I902/100,0))</f>
        <v>4.4999999999999998E-2</v>
      </c>
      <c r="N902" s="30">
        <f>IF(OR($F902="",$I902=""),0,IFERROR(INDEX(Nutrition!$H$2:$H$300,MATCH($F902,Nutrition!$A$2:$A$300,0))*$I902/100,0))</f>
        <v>4.95</v>
      </c>
      <c r="O902" s="30">
        <f>IF(OR($F902="",$I902=""),0,IFERROR(INDEX(Nutrition!$I$2:$I$300,MATCH($F902,Nutrition!$A$2:$A$300,0))*$I902/100,0))</f>
        <v>186.75</v>
      </c>
      <c r="P902" s="30">
        <f>IF(OR($F902="",$I902=""),0,IFERROR(INDEX(Nutrition!$J$2:$J$300,MATCH($F902,Nutrition!$A$2:$A$300,0))*$I902/100,0))</f>
        <v>0.11700000000000001</v>
      </c>
      <c r="Q902" s="30">
        <f>IF(OR($F902="",$I902=""),0,IFERROR(INDEX(Nutrition!$K$2:$K$300,MATCH($F902,Nutrition!$A$2:$A$300,0))*$I902/100,0))</f>
        <v>7.2000000000000008E-2</v>
      </c>
      <c r="R902" s="30">
        <f>IF(OR($F902="",$I902=""),0,IFERROR(INDEX(Nutrition!$L$2:$L$300,MATCH($F902,Nutrition!$A$2:$A$300,0))*$I902/100,0))</f>
        <v>19.350000000000001</v>
      </c>
      <c r="S902" s="30">
        <f>IF(OR($F902="",$I902=""),0,IFERROR(INDEX(Nutrition!$M$2:$M$300,MATCH($F902,Nutrition!$A$2:$A$300,0))*$I902/100,0))</f>
        <v>0.27</v>
      </c>
    </row>
    <row r="903" spans="1:19" ht="15" customHeight="1" x14ac:dyDescent="0.25">
      <c r="A903" s="22" t="s">
        <v>2077</v>
      </c>
      <c r="B903" s="33" t="str">
        <f>IFERROR(INDEX(Recipes!$B$2:$B$500,MATCH(A903,Recipes!$A$2:$A$500,0)),"")</f>
        <v>Bhuna Masala (Onion-Tomato Curry Base)</v>
      </c>
      <c r="C903" s="7" t="s">
        <v>516</v>
      </c>
      <c r="D903" s="34">
        <v>1</v>
      </c>
      <c r="E903" s="22" t="s">
        <v>2821</v>
      </c>
      <c r="F903" s="22" t="s">
        <v>515</v>
      </c>
      <c r="G903" s="22" t="s">
        <v>2755</v>
      </c>
      <c r="H903" s="7" t="s">
        <v>2791</v>
      </c>
      <c r="I903" s="35">
        <v>10</v>
      </c>
      <c r="J903" s="30">
        <f>IF(OR($F903="",$I903=""),0,IFERROR(INDEX(Nutrition!$D$2:$D$300,MATCH($F903,Nutrition!$A$2:$A$300,0))*$I903/100,0))</f>
        <v>0.56999999999999995</v>
      </c>
      <c r="K903" s="30">
        <f>IF(OR($F903="",$I903=""),0,IFERROR(INDEX(Nutrition!$E$2:$E$300,MATCH($F903,Nutrition!$A$2:$A$300,0))*$I903/100,0))</f>
        <v>0.3</v>
      </c>
      <c r="L903" s="30">
        <f>IF(OR($F903="",$I903=""),0,IFERROR(INDEX(Nutrition!$F$2:$F$300,MATCH($F903,Nutrition!$A$2:$A$300,0))*$I903/100,0))</f>
        <v>0</v>
      </c>
      <c r="M903" s="30">
        <f>IF(OR($F903="",$I903=""),0,IFERROR(INDEX(Nutrition!$G$2:$G$300,MATCH($F903,Nutrition!$A$2:$A$300,0))*$I903/100,0))</f>
        <v>0.34</v>
      </c>
      <c r="N903" s="30">
        <f>IF(OR($F903="",$I903=""),0,IFERROR(INDEX(Nutrition!$H$2:$H$300,MATCH($F903,Nutrition!$A$2:$A$300,0))*$I903/100,0))</f>
        <v>0.5</v>
      </c>
      <c r="O903" s="30">
        <f>IF(OR($F903="",$I903=""),0,IFERROR(INDEX(Nutrition!$I$2:$I$300,MATCH($F903,Nutrition!$A$2:$A$300,0))*$I903/100,0))</f>
        <v>52</v>
      </c>
      <c r="P903" s="30">
        <f>IF(OR($F903="",$I903=""),0,IFERROR(INDEX(Nutrition!$J$2:$J$300,MATCH($F903,Nutrition!$A$2:$A$300,0))*$I903/100,0))</f>
        <v>0.11</v>
      </c>
      <c r="Q903" s="30">
        <f>IF(OR($F903="",$I903=""),0,IFERROR(INDEX(Nutrition!$K$2:$K$300,MATCH($F903,Nutrition!$A$2:$A$300,0))*$I903/100,0))</f>
        <v>3.0000000000000001E-3</v>
      </c>
      <c r="R903" s="30">
        <f>IF(OR($F903="",$I903=""),0,IFERROR(INDEX(Nutrition!$L$2:$L$300,MATCH($F903,Nutrition!$A$2:$A$300,0))*$I903/100,0))</f>
        <v>5.2</v>
      </c>
      <c r="S903" s="30">
        <f>IF(OR($F903="",$I903=""),0,IFERROR(INDEX(Nutrition!$M$2:$M$300,MATCH($F903,Nutrition!$A$2:$A$300,0))*$I903/100,0))</f>
        <v>1.38</v>
      </c>
    </row>
    <row r="904" spans="1:19" ht="15" customHeight="1" x14ac:dyDescent="0.25">
      <c r="A904" s="22" t="s">
        <v>2077</v>
      </c>
      <c r="B904" s="33" t="str">
        <f>IFERROR(INDEX(Recipes!$B$2:$B$500,MATCH(A904,Recipes!$A$2:$A$500,0)),"")</f>
        <v>Bhuna Masala (Onion-Tomato Curry Base)</v>
      </c>
      <c r="C904" s="7" t="s">
        <v>478</v>
      </c>
      <c r="D904" s="34">
        <v>3</v>
      </c>
      <c r="E904" s="22" t="s">
        <v>2754</v>
      </c>
      <c r="F904" s="22" t="s">
        <v>477</v>
      </c>
      <c r="G904" s="22" t="s">
        <v>2755</v>
      </c>
      <c r="H904" s="7"/>
      <c r="I904" s="35">
        <v>60</v>
      </c>
      <c r="J904" s="30">
        <f>IF(OR($F904="",$I904=""),0,IFERROR(INDEX(Nutrition!$D$2:$D$300,MATCH($F904,Nutrition!$A$2:$A$300,0))*$I904/100,0))</f>
        <v>0.9</v>
      </c>
      <c r="K904" s="30">
        <f>IF(OR($F904="",$I904=""),0,IFERROR(INDEX(Nutrition!$E$2:$E$300,MATCH($F904,Nutrition!$A$2:$A$300,0))*$I904/100,0))</f>
        <v>86.22</v>
      </c>
      <c r="L904" s="30">
        <f>IF(OR($F904="",$I904=""),0,IFERROR(INDEX(Nutrition!$F$2:$F$300,MATCH($F904,Nutrition!$A$2:$A$300,0))*$I904/100,0))</f>
        <v>28.8</v>
      </c>
      <c r="M904" s="30">
        <f>IF(OR($F904="",$I904=""),0,IFERROR(INDEX(Nutrition!$G$2:$G$300,MATCH($F904,Nutrition!$A$2:$A$300,0))*$I904/100,0))</f>
        <v>8.4</v>
      </c>
      <c r="N904" s="30">
        <f>IF(OR($F904="",$I904=""),0,IFERROR(INDEX(Nutrition!$H$2:$H$300,MATCH($F904,Nutrition!$A$2:$A$300,0))*$I904/100,0))</f>
        <v>13.8</v>
      </c>
      <c r="O904" s="30">
        <f>IF(OR($F904="",$I904=""),0,IFERROR(INDEX(Nutrition!$I$2:$I$300,MATCH($F904,Nutrition!$A$2:$A$300,0))*$I904/100,0))</f>
        <v>193.2</v>
      </c>
      <c r="P904" s="30">
        <f>IF(OR($F904="",$I904=""),0,IFERROR(INDEX(Nutrition!$J$2:$J$300,MATCH($F904,Nutrition!$A$2:$A$300,0))*$I904/100,0))</f>
        <v>0.41399999999999998</v>
      </c>
      <c r="Q904" s="30">
        <f>IF(OR($F904="",$I904=""),0,IFERROR(INDEX(Nutrition!$K$2:$K$300,MATCH($F904,Nutrition!$A$2:$A$300,0))*$I904/100,0))</f>
        <v>0.30359999999999998</v>
      </c>
      <c r="R904" s="30">
        <f>IF(OR($F904="",$I904=""),0,IFERROR(INDEX(Nutrition!$L$2:$L$300,MATCH($F904,Nutrition!$A$2:$A$300,0))*$I904/100,0))</f>
        <v>13.8</v>
      </c>
      <c r="S904" s="30">
        <f>IF(OR($F904="",$I904=""),0,IFERROR(INDEX(Nutrition!$M$2:$M$300,MATCH($F904,Nutrition!$A$2:$A$300,0))*$I904/100,0))</f>
        <v>0.61799999999999999</v>
      </c>
    </row>
    <row r="905" spans="1:19" ht="15" customHeight="1" x14ac:dyDescent="0.25">
      <c r="A905" s="22" t="s">
        <v>2077</v>
      </c>
      <c r="B905" s="33" t="str">
        <f>IFERROR(INDEX(Recipes!$B$2:$B$500,MATCH(A905,Recipes!$A$2:$A$500,0)),"")</f>
        <v>Bhuna Masala (Onion-Tomato Curry Base)</v>
      </c>
      <c r="C905" s="7" t="s">
        <v>428</v>
      </c>
      <c r="D905" s="34">
        <v>0.25</v>
      </c>
      <c r="E905" s="22" t="s">
        <v>2748</v>
      </c>
      <c r="F905" s="22" t="s">
        <v>427</v>
      </c>
      <c r="G905" s="22" t="s">
        <v>2755</v>
      </c>
      <c r="H905" s="7" t="s">
        <v>2982</v>
      </c>
      <c r="I905" s="35">
        <v>36</v>
      </c>
      <c r="J905" s="30">
        <f>IF(OR($F905="",$I905=""),0,IFERROR(INDEX(Nutrition!$D$2:$D$300,MATCH($F905,Nutrition!$A$2:$A$300,0))*$I905/100,0))</f>
        <v>3.06</v>
      </c>
      <c r="K905" s="30">
        <f>IF(OR($F905="",$I905=""),0,IFERROR(INDEX(Nutrition!$E$2:$E$300,MATCH($F905,Nutrition!$A$2:$A$300,0))*$I905/100,0))</f>
        <v>0</v>
      </c>
      <c r="L905" s="30">
        <f>IF(OR($F905="",$I905=""),0,IFERROR(INDEX(Nutrition!$F$2:$F$300,MATCH($F905,Nutrition!$A$2:$A$300,0))*$I905/100,0))</f>
        <v>0</v>
      </c>
      <c r="M905" s="30">
        <f>IF(OR($F905="",$I905=""),0,IFERROR(INDEX(Nutrition!$G$2:$G$300,MATCH($F905,Nutrition!$A$2:$A$300,0))*$I905/100,0))</f>
        <v>0</v>
      </c>
      <c r="N905" s="30">
        <f>IF(OR($F905="",$I905=""),0,IFERROR(INDEX(Nutrition!$H$2:$H$300,MATCH($F905,Nutrition!$A$2:$A$300,0))*$I905/100,0))</f>
        <v>86.4</v>
      </c>
      <c r="O905" s="30">
        <f>IF(OR($F905="",$I905=""),0,IFERROR(INDEX(Nutrition!$I$2:$I$300,MATCH($F905,Nutrition!$A$2:$A$300,0))*$I905/100,0))</f>
        <v>253.8</v>
      </c>
      <c r="P905" s="30">
        <f>IF(OR($F905="",$I905=""),0,IFERROR(INDEX(Nutrition!$J$2:$J$300,MATCH($F905,Nutrition!$A$2:$A$300,0))*$I905/100,0))</f>
        <v>2.9988000000000001</v>
      </c>
      <c r="Q905" s="30">
        <f>IF(OR($F905="",$I905=""),0,IFERROR(INDEX(Nutrition!$K$2:$K$300,MATCH($F905,Nutrition!$A$2:$A$300,0))*$I905/100,0))</f>
        <v>0.12527999999999997</v>
      </c>
      <c r="R905" s="30">
        <f>IF(OR($F905="",$I905=""),0,IFERROR(INDEX(Nutrition!$L$2:$L$300,MATCH($F905,Nutrition!$A$2:$A$300,0))*$I905/100,0))</f>
        <v>60.48</v>
      </c>
      <c r="S905" s="30">
        <f>IF(OR($F905="",$I905=""),0,IFERROR(INDEX(Nutrition!$M$2:$M$300,MATCH($F905,Nutrition!$A$2:$A$300,0))*$I905/100,0))</f>
        <v>1.6488</v>
      </c>
    </row>
    <row r="906" spans="1:19" ht="15" customHeight="1" x14ac:dyDescent="0.25">
      <c r="A906" s="22" t="s">
        <v>2077</v>
      </c>
      <c r="B906" s="33" t="str">
        <f>IFERROR(INDEX(Recipes!$B$2:$B$500,MATCH(A906,Recipes!$A$2:$A$500,0)),"")</f>
        <v>Bhuna Masala (Onion-Tomato Curry Base)</v>
      </c>
      <c r="C906" s="7" t="s">
        <v>2898</v>
      </c>
      <c r="D906" s="34">
        <v>6</v>
      </c>
      <c r="E906" s="22" t="s">
        <v>2753</v>
      </c>
      <c r="F906" s="22"/>
      <c r="G906" s="22" t="s">
        <v>2773</v>
      </c>
      <c r="H906" s="7"/>
      <c r="I906" s="35"/>
      <c r="J906" s="30">
        <f>IF(OR($F906="",$I906=""),0,IFERROR(INDEX(Nutrition!$D$2:$D$300,MATCH($F906,Nutrition!$A$2:$A$300,0))*$I906/100,0))</f>
        <v>0</v>
      </c>
      <c r="K906" s="30">
        <f>IF(OR($F906="",$I906=""),0,IFERROR(INDEX(Nutrition!$E$2:$E$300,MATCH($F906,Nutrition!$A$2:$A$300,0))*$I906/100,0))</f>
        <v>0</v>
      </c>
      <c r="L906" s="30">
        <f>IF(OR($F906="",$I906=""),0,IFERROR(INDEX(Nutrition!$F$2:$F$300,MATCH($F906,Nutrition!$A$2:$A$300,0))*$I906/100,0))</f>
        <v>0</v>
      </c>
      <c r="M906" s="30">
        <f>IF(OR($F906="",$I906=""),0,IFERROR(INDEX(Nutrition!$G$2:$G$300,MATCH($F906,Nutrition!$A$2:$A$300,0))*$I906/100,0))</f>
        <v>0</v>
      </c>
      <c r="N906" s="30">
        <f>IF(OR($F906="",$I906=""),0,IFERROR(INDEX(Nutrition!$H$2:$H$300,MATCH($F906,Nutrition!$A$2:$A$300,0))*$I906/100,0))</f>
        <v>0</v>
      </c>
      <c r="O906" s="30">
        <f>IF(OR($F906="",$I906=""),0,IFERROR(INDEX(Nutrition!$I$2:$I$300,MATCH($F906,Nutrition!$A$2:$A$300,0))*$I906/100,0))</f>
        <v>0</v>
      </c>
      <c r="P906" s="30">
        <f>IF(OR($F906="",$I906=""),0,IFERROR(INDEX(Nutrition!$J$2:$J$300,MATCH($F906,Nutrition!$A$2:$A$300,0))*$I906/100,0))</f>
        <v>0</v>
      </c>
      <c r="Q906" s="30">
        <f>IF(OR($F906="",$I906=""),0,IFERROR(INDEX(Nutrition!$K$2:$K$300,MATCH($F906,Nutrition!$A$2:$A$300,0))*$I906/100,0))</f>
        <v>0</v>
      </c>
      <c r="R906" s="30">
        <f>IF(OR($F906="",$I906=""),0,IFERROR(INDEX(Nutrition!$L$2:$L$300,MATCH($F906,Nutrition!$A$2:$A$300,0))*$I906/100,0))</f>
        <v>0</v>
      </c>
      <c r="S906" s="30">
        <f>IF(OR($F906="",$I906=""),0,IFERROR(INDEX(Nutrition!$M$2:$M$300,MATCH($F906,Nutrition!$A$2:$A$300,0))*$I906/100,0))</f>
        <v>0</v>
      </c>
    </row>
    <row r="907" spans="1:19" ht="15" customHeight="1" x14ac:dyDescent="0.25">
      <c r="A907" s="22" t="s">
        <v>2077</v>
      </c>
      <c r="B907" s="33" t="str">
        <f>IFERROR(INDEX(Recipes!$B$2:$B$500,MATCH(A907,Recipes!$A$2:$A$500,0)),"")</f>
        <v>Bhuna Masala (Onion-Tomato Curry Base)</v>
      </c>
      <c r="C907" s="7" t="s">
        <v>2983</v>
      </c>
      <c r="D907" s="34">
        <v>0.5</v>
      </c>
      <c r="E907" s="22" t="s">
        <v>2753</v>
      </c>
      <c r="F907" s="22"/>
      <c r="G907" s="22" t="s">
        <v>2749</v>
      </c>
      <c r="H907" s="7"/>
      <c r="I907" s="35"/>
      <c r="J907" s="30">
        <f>IF(OR($F907="",$I907=""),0,IFERROR(INDEX(Nutrition!$D$2:$D$300,MATCH($F907,Nutrition!$A$2:$A$300,0))*$I907/100,0))</f>
        <v>0</v>
      </c>
      <c r="K907" s="30">
        <f>IF(OR($F907="",$I907=""),0,IFERROR(INDEX(Nutrition!$E$2:$E$300,MATCH($F907,Nutrition!$A$2:$A$300,0))*$I907/100,0))</f>
        <v>0</v>
      </c>
      <c r="L907" s="30">
        <f>IF(OR($F907="",$I907=""),0,IFERROR(INDEX(Nutrition!$F$2:$F$300,MATCH($F907,Nutrition!$A$2:$A$300,0))*$I907/100,0))</f>
        <v>0</v>
      </c>
      <c r="M907" s="30">
        <f>IF(OR($F907="",$I907=""),0,IFERROR(INDEX(Nutrition!$G$2:$G$300,MATCH($F907,Nutrition!$A$2:$A$300,0))*$I907/100,0))</f>
        <v>0</v>
      </c>
      <c r="N907" s="30">
        <f>IF(OR($F907="",$I907=""),0,IFERROR(INDEX(Nutrition!$H$2:$H$300,MATCH($F907,Nutrition!$A$2:$A$300,0))*$I907/100,0))</f>
        <v>0</v>
      </c>
      <c r="O907" s="30">
        <f>IF(OR($F907="",$I907=""),0,IFERROR(INDEX(Nutrition!$I$2:$I$300,MATCH($F907,Nutrition!$A$2:$A$300,0))*$I907/100,0))</f>
        <v>0</v>
      </c>
      <c r="P907" s="30">
        <f>IF(OR($F907="",$I907=""),0,IFERROR(INDEX(Nutrition!$J$2:$J$300,MATCH($F907,Nutrition!$A$2:$A$300,0))*$I907/100,0))</f>
        <v>0</v>
      </c>
      <c r="Q907" s="30">
        <f>IF(OR($F907="",$I907=""),0,IFERROR(INDEX(Nutrition!$K$2:$K$300,MATCH($F907,Nutrition!$A$2:$A$300,0))*$I907/100,0))</f>
        <v>0</v>
      </c>
      <c r="R907" s="30">
        <f>IF(OR($F907="",$I907=""),0,IFERROR(INDEX(Nutrition!$L$2:$L$300,MATCH($F907,Nutrition!$A$2:$A$300,0))*$I907/100,0))</f>
        <v>0</v>
      </c>
      <c r="S907" s="30">
        <f>IF(OR($F907="",$I907=""),0,IFERROR(INDEX(Nutrition!$M$2:$M$300,MATCH($F907,Nutrition!$A$2:$A$300,0))*$I907/100,0))</f>
        <v>0</v>
      </c>
    </row>
    <row r="908" spans="1:19" ht="15" customHeight="1" x14ac:dyDescent="0.25">
      <c r="A908" s="22" t="s">
        <v>2077</v>
      </c>
      <c r="B908" s="33" t="str">
        <f>IFERROR(INDEX(Recipes!$B$2:$B$500,MATCH(A908,Recipes!$A$2:$A$500,0)),"")</f>
        <v>Bhuna Masala (Onion-Tomato Curry Base)</v>
      </c>
      <c r="C908" s="7" t="s">
        <v>2984</v>
      </c>
      <c r="D908" s="34">
        <v>2</v>
      </c>
      <c r="E908" s="22" t="s">
        <v>2753</v>
      </c>
      <c r="F908" s="22"/>
      <c r="G908" s="22" t="s">
        <v>2749</v>
      </c>
      <c r="H908" s="7"/>
      <c r="I908" s="35"/>
      <c r="J908" s="30">
        <f>IF(OR($F908="",$I908=""),0,IFERROR(INDEX(Nutrition!$D$2:$D$300,MATCH($F908,Nutrition!$A$2:$A$300,0))*$I908/100,0))</f>
        <v>0</v>
      </c>
      <c r="K908" s="30">
        <f>IF(OR($F908="",$I908=""),0,IFERROR(INDEX(Nutrition!$E$2:$E$300,MATCH($F908,Nutrition!$A$2:$A$300,0))*$I908/100,0))</f>
        <v>0</v>
      </c>
      <c r="L908" s="30">
        <f>IF(OR($F908="",$I908=""),0,IFERROR(INDEX(Nutrition!$F$2:$F$300,MATCH($F908,Nutrition!$A$2:$A$300,0))*$I908/100,0))</f>
        <v>0</v>
      </c>
      <c r="M908" s="30">
        <f>IF(OR($F908="",$I908=""),0,IFERROR(INDEX(Nutrition!$G$2:$G$300,MATCH($F908,Nutrition!$A$2:$A$300,0))*$I908/100,0))</f>
        <v>0</v>
      </c>
      <c r="N908" s="30">
        <f>IF(OR($F908="",$I908=""),0,IFERROR(INDEX(Nutrition!$H$2:$H$300,MATCH($F908,Nutrition!$A$2:$A$300,0))*$I908/100,0))</f>
        <v>0</v>
      </c>
      <c r="O908" s="30">
        <f>IF(OR($F908="",$I908=""),0,IFERROR(INDEX(Nutrition!$I$2:$I$300,MATCH($F908,Nutrition!$A$2:$A$300,0))*$I908/100,0))</f>
        <v>0</v>
      </c>
      <c r="P908" s="30">
        <f>IF(OR($F908="",$I908=""),0,IFERROR(INDEX(Nutrition!$J$2:$J$300,MATCH($F908,Nutrition!$A$2:$A$300,0))*$I908/100,0))</f>
        <v>0</v>
      </c>
      <c r="Q908" s="30">
        <f>IF(OR($F908="",$I908=""),0,IFERROR(INDEX(Nutrition!$K$2:$K$300,MATCH($F908,Nutrition!$A$2:$A$300,0))*$I908/100,0))</f>
        <v>0</v>
      </c>
      <c r="R908" s="30">
        <f>IF(OR($F908="",$I908=""),0,IFERROR(INDEX(Nutrition!$L$2:$L$300,MATCH($F908,Nutrition!$A$2:$A$300,0))*$I908/100,0))</f>
        <v>0</v>
      </c>
      <c r="S908" s="30">
        <f>IF(OR($F908="",$I908=""),0,IFERROR(INDEX(Nutrition!$M$2:$M$300,MATCH($F908,Nutrition!$A$2:$A$300,0))*$I908/100,0))</f>
        <v>0</v>
      </c>
    </row>
    <row r="909" spans="1:19" ht="15" customHeight="1" x14ac:dyDescent="0.25">
      <c r="A909" s="22" t="s">
        <v>2077</v>
      </c>
      <c r="B909" s="33" t="str">
        <f>IFERROR(INDEX(Recipes!$B$2:$B$500,MATCH(A909,Recipes!$A$2:$A$500,0)),"")</f>
        <v>Bhuna Masala (Onion-Tomato Curry Base)</v>
      </c>
      <c r="C909" s="7" t="s">
        <v>2985</v>
      </c>
      <c r="D909" s="34">
        <v>1</v>
      </c>
      <c r="E909" s="22" t="s">
        <v>2759</v>
      </c>
      <c r="F909" s="22"/>
      <c r="G909" s="22" t="s">
        <v>2749</v>
      </c>
      <c r="H909" s="7"/>
      <c r="I909" s="35"/>
      <c r="J909" s="30">
        <f>IF(OR($F909="",$I909=""),0,IFERROR(INDEX(Nutrition!$D$2:$D$300,MATCH($F909,Nutrition!$A$2:$A$300,0))*$I909/100,0))</f>
        <v>0</v>
      </c>
      <c r="K909" s="30">
        <f>IF(OR($F909="",$I909=""),0,IFERROR(INDEX(Nutrition!$E$2:$E$300,MATCH($F909,Nutrition!$A$2:$A$300,0))*$I909/100,0))</f>
        <v>0</v>
      </c>
      <c r="L909" s="30">
        <f>IF(OR($F909="",$I909=""),0,IFERROR(INDEX(Nutrition!$F$2:$F$300,MATCH($F909,Nutrition!$A$2:$A$300,0))*$I909/100,0))</f>
        <v>0</v>
      </c>
      <c r="M909" s="30">
        <f>IF(OR($F909="",$I909=""),0,IFERROR(INDEX(Nutrition!$G$2:$G$300,MATCH($F909,Nutrition!$A$2:$A$300,0))*$I909/100,0))</f>
        <v>0</v>
      </c>
      <c r="N909" s="30">
        <f>IF(OR($F909="",$I909=""),0,IFERROR(INDEX(Nutrition!$H$2:$H$300,MATCH($F909,Nutrition!$A$2:$A$300,0))*$I909/100,0))</f>
        <v>0</v>
      </c>
      <c r="O909" s="30">
        <f>IF(OR($F909="",$I909=""),0,IFERROR(INDEX(Nutrition!$I$2:$I$300,MATCH($F909,Nutrition!$A$2:$A$300,0))*$I909/100,0))</f>
        <v>0</v>
      </c>
      <c r="P909" s="30">
        <f>IF(OR($F909="",$I909=""),0,IFERROR(INDEX(Nutrition!$J$2:$J$300,MATCH($F909,Nutrition!$A$2:$A$300,0))*$I909/100,0))</f>
        <v>0</v>
      </c>
      <c r="Q909" s="30">
        <f>IF(OR($F909="",$I909=""),0,IFERROR(INDEX(Nutrition!$K$2:$K$300,MATCH($F909,Nutrition!$A$2:$A$300,0))*$I909/100,0))</f>
        <v>0</v>
      </c>
      <c r="R909" s="30">
        <f>IF(OR($F909="",$I909=""),0,IFERROR(INDEX(Nutrition!$L$2:$L$300,MATCH($F909,Nutrition!$A$2:$A$300,0))*$I909/100,0))</f>
        <v>0</v>
      </c>
      <c r="S909" s="30">
        <f>IF(OR($F909="",$I909=""),0,IFERROR(INDEX(Nutrition!$M$2:$M$300,MATCH($F909,Nutrition!$A$2:$A$300,0))*$I909/100,0))</f>
        <v>0</v>
      </c>
    </row>
    <row r="910" spans="1:19" ht="15" customHeight="1" x14ac:dyDescent="0.25">
      <c r="A910" s="22" t="s">
        <v>2077</v>
      </c>
      <c r="B910" s="33" t="str">
        <f>IFERROR(INDEX(Recipes!$B$2:$B$500,MATCH(A910,Recipes!$A$2:$A$500,0)),"")</f>
        <v>Bhuna Masala (Onion-Tomato Curry Base)</v>
      </c>
      <c r="C910" s="7" t="s">
        <v>2781</v>
      </c>
      <c r="D910" s="34">
        <v>1</v>
      </c>
      <c r="E910" s="22" t="s">
        <v>2759</v>
      </c>
      <c r="F910" s="22"/>
      <c r="G910" s="22" t="s">
        <v>2773</v>
      </c>
      <c r="H910" s="7"/>
      <c r="I910" s="35"/>
      <c r="J910" s="30">
        <f>IF(OR($F910="",$I910=""),0,IFERROR(INDEX(Nutrition!$D$2:$D$300,MATCH($F910,Nutrition!$A$2:$A$300,0))*$I910/100,0))</f>
        <v>0</v>
      </c>
      <c r="K910" s="30">
        <f>IF(OR($F910="",$I910=""),0,IFERROR(INDEX(Nutrition!$E$2:$E$300,MATCH($F910,Nutrition!$A$2:$A$300,0))*$I910/100,0))</f>
        <v>0</v>
      </c>
      <c r="L910" s="30">
        <f>IF(OR($F910="",$I910=""),0,IFERROR(INDEX(Nutrition!$F$2:$F$300,MATCH($F910,Nutrition!$A$2:$A$300,0))*$I910/100,0))</f>
        <v>0</v>
      </c>
      <c r="M910" s="30">
        <f>IF(OR($F910="",$I910=""),0,IFERROR(INDEX(Nutrition!$G$2:$G$300,MATCH($F910,Nutrition!$A$2:$A$300,0))*$I910/100,0))</f>
        <v>0</v>
      </c>
      <c r="N910" s="30">
        <f>IF(OR($F910="",$I910=""),0,IFERROR(INDEX(Nutrition!$H$2:$H$300,MATCH($F910,Nutrition!$A$2:$A$300,0))*$I910/100,0))</f>
        <v>0</v>
      </c>
      <c r="O910" s="30">
        <f>IF(OR($F910="",$I910=""),0,IFERROR(INDEX(Nutrition!$I$2:$I$300,MATCH($F910,Nutrition!$A$2:$A$300,0))*$I910/100,0))</f>
        <v>0</v>
      </c>
      <c r="P910" s="30">
        <f>IF(OR($F910="",$I910=""),0,IFERROR(INDEX(Nutrition!$J$2:$J$300,MATCH($F910,Nutrition!$A$2:$A$300,0))*$I910/100,0))</f>
        <v>0</v>
      </c>
      <c r="Q910" s="30">
        <f>IF(OR($F910="",$I910=""),0,IFERROR(INDEX(Nutrition!$K$2:$K$300,MATCH($F910,Nutrition!$A$2:$A$300,0))*$I910/100,0))</f>
        <v>0</v>
      </c>
      <c r="R910" s="30">
        <f>IF(OR($F910="",$I910=""),0,IFERROR(INDEX(Nutrition!$L$2:$L$300,MATCH($F910,Nutrition!$A$2:$A$300,0))*$I910/100,0))</f>
        <v>0</v>
      </c>
      <c r="S910" s="30">
        <f>IF(OR($F910="",$I910=""),0,IFERROR(INDEX(Nutrition!$M$2:$M$300,MATCH($F910,Nutrition!$A$2:$A$300,0))*$I910/100,0))</f>
        <v>0</v>
      </c>
    </row>
    <row r="911" spans="1:19" ht="15" customHeight="1" x14ac:dyDescent="0.25">
      <c r="A911" s="22" t="s">
        <v>2089</v>
      </c>
      <c r="B911" s="33" t="str">
        <f>IFERROR(INDEX(Recipes!$B$2:$B$500,MATCH(A911,Recipes!$A$2:$A$500,0)),"")</f>
        <v>Romesco (Tatashe &amp; Groundnut Sauce)</v>
      </c>
      <c r="C911" s="7" t="s">
        <v>462</v>
      </c>
      <c r="D911" s="34">
        <v>2</v>
      </c>
      <c r="E911" s="22" t="s">
        <v>2754</v>
      </c>
      <c r="F911" s="22" t="s">
        <v>461</v>
      </c>
      <c r="G911" s="22" t="s">
        <v>2755</v>
      </c>
      <c r="H911" s="7" t="s">
        <v>2986</v>
      </c>
      <c r="I911" s="35">
        <v>238</v>
      </c>
      <c r="J911" s="30">
        <f>IF(OR($F911="",$I911=""),0,IFERROR(INDEX(Nutrition!$D$2:$D$300,MATCH($F911,Nutrition!$A$2:$A$300,0))*$I911/100,0))</f>
        <v>4.9980000000000002</v>
      </c>
      <c r="K911" s="30">
        <f>IF(OR($F911="",$I911=""),0,IFERROR(INDEX(Nutrition!$E$2:$E$300,MATCH($F911,Nutrition!$A$2:$A$300,0))*$I911/100,0))</f>
        <v>303.92600000000004</v>
      </c>
      <c r="L911" s="30">
        <f>IF(OR($F911="",$I911=""),0,IFERROR(INDEX(Nutrition!$F$2:$F$300,MATCH($F911,Nutrition!$A$2:$A$300,0))*$I911/100,0))</f>
        <v>373.66</v>
      </c>
      <c r="M911" s="30">
        <f>IF(OR($F911="",$I911=""),0,IFERROR(INDEX(Nutrition!$G$2:$G$300,MATCH($F911,Nutrition!$A$2:$A$300,0))*$I911/100,0))</f>
        <v>11.662000000000001</v>
      </c>
      <c r="N911" s="30">
        <f>IF(OR($F911="",$I911=""),0,IFERROR(INDEX(Nutrition!$H$2:$H$300,MATCH($F911,Nutrition!$A$2:$A$300,0))*$I911/100,0))</f>
        <v>109.48</v>
      </c>
      <c r="O911" s="30">
        <f>IF(OR($F911="",$I911=""),0,IFERROR(INDEX(Nutrition!$I$2:$I$300,MATCH($F911,Nutrition!$A$2:$A$300,0))*$I911/100,0))</f>
        <v>502.18</v>
      </c>
      <c r="P911" s="30">
        <f>IF(OR($F911="",$I911=""),0,IFERROR(INDEX(Nutrition!$J$2:$J$300,MATCH($F911,Nutrition!$A$2:$A$300,0))*$I911/100,0))</f>
        <v>3.7604000000000002</v>
      </c>
      <c r="Q911" s="30">
        <f>IF(OR($F911="",$I911=""),0,IFERROR(INDEX(Nutrition!$K$2:$K$300,MATCH($F911,Nutrition!$A$2:$A$300,0))*$I911/100,0))</f>
        <v>0.69257999999999997</v>
      </c>
      <c r="R911" s="30">
        <f>IF(OR($F911="",$I911=""),0,IFERROR(INDEX(Nutrition!$L$2:$L$300,MATCH($F911,Nutrition!$A$2:$A$300,0))*$I911/100,0))</f>
        <v>28.56</v>
      </c>
      <c r="S911" s="30">
        <f>IF(OR($F911="",$I911=""),0,IFERROR(INDEX(Nutrition!$M$2:$M$300,MATCH($F911,Nutrition!$A$2:$A$300,0))*$I911/100,0))</f>
        <v>1.0234000000000001</v>
      </c>
    </row>
    <row r="912" spans="1:19" ht="15" customHeight="1" x14ac:dyDescent="0.25">
      <c r="A912" s="22" t="s">
        <v>2089</v>
      </c>
      <c r="B912" s="33" t="str">
        <f>IFERROR(INDEX(Recipes!$B$2:$B$500,MATCH(A912,Recipes!$A$2:$A$500,0)),"")</f>
        <v>Romesco (Tatashe &amp; Groundnut Sauce)</v>
      </c>
      <c r="C912" s="7" t="s">
        <v>428</v>
      </c>
      <c r="D912" s="34">
        <v>0.33</v>
      </c>
      <c r="E912" s="22" t="s">
        <v>2748</v>
      </c>
      <c r="F912" s="22" t="s">
        <v>427</v>
      </c>
      <c r="G912" s="22" t="s">
        <v>2755</v>
      </c>
      <c r="H912" s="7" t="s">
        <v>2987</v>
      </c>
      <c r="I912" s="35">
        <v>48</v>
      </c>
      <c r="J912" s="30">
        <f>IF(OR($F912="",$I912=""),0,IFERROR(INDEX(Nutrition!$D$2:$D$300,MATCH($F912,Nutrition!$A$2:$A$300,0))*$I912/100,0))</f>
        <v>4.08</v>
      </c>
      <c r="K912" s="30">
        <f>IF(OR($F912="",$I912=""),0,IFERROR(INDEX(Nutrition!$E$2:$E$300,MATCH($F912,Nutrition!$A$2:$A$300,0))*$I912/100,0))</f>
        <v>0</v>
      </c>
      <c r="L912" s="30">
        <f>IF(OR($F912="",$I912=""),0,IFERROR(INDEX(Nutrition!$F$2:$F$300,MATCH($F912,Nutrition!$A$2:$A$300,0))*$I912/100,0))</f>
        <v>0</v>
      </c>
      <c r="M912" s="30">
        <f>IF(OR($F912="",$I912=""),0,IFERROR(INDEX(Nutrition!$G$2:$G$300,MATCH($F912,Nutrition!$A$2:$A$300,0))*$I912/100,0))</f>
        <v>0</v>
      </c>
      <c r="N912" s="30">
        <f>IF(OR($F912="",$I912=""),0,IFERROR(INDEX(Nutrition!$H$2:$H$300,MATCH($F912,Nutrition!$A$2:$A$300,0))*$I912/100,0))</f>
        <v>115.2</v>
      </c>
      <c r="O912" s="30">
        <f>IF(OR($F912="",$I912=""),0,IFERROR(INDEX(Nutrition!$I$2:$I$300,MATCH($F912,Nutrition!$A$2:$A$300,0))*$I912/100,0))</f>
        <v>338.4</v>
      </c>
      <c r="P912" s="30">
        <f>IF(OR($F912="",$I912=""),0,IFERROR(INDEX(Nutrition!$J$2:$J$300,MATCH($F912,Nutrition!$A$2:$A$300,0))*$I912/100,0))</f>
        <v>3.9984000000000002</v>
      </c>
      <c r="Q912" s="30">
        <f>IF(OR($F912="",$I912=""),0,IFERROR(INDEX(Nutrition!$K$2:$K$300,MATCH($F912,Nutrition!$A$2:$A$300,0))*$I912/100,0))</f>
        <v>0.16703999999999999</v>
      </c>
      <c r="R912" s="30">
        <f>IF(OR($F912="",$I912=""),0,IFERROR(INDEX(Nutrition!$L$2:$L$300,MATCH($F912,Nutrition!$A$2:$A$300,0))*$I912/100,0))</f>
        <v>80.64</v>
      </c>
      <c r="S912" s="30">
        <f>IF(OR($F912="",$I912=""),0,IFERROR(INDEX(Nutrition!$M$2:$M$300,MATCH($F912,Nutrition!$A$2:$A$300,0))*$I912/100,0))</f>
        <v>2.1983999999999999</v>
      </c>
    </row>
    <row r="913" spans="1:19" ht="15" customHeight="1" x14ac:dyDescent="0.25">
      <c r="A913" s="22" t="s">
        <v>2089</v>
      </c>
      <c r="B913" s="33" t="str">
        <f>IFERROR(INDEX(Recipes!$B$2:$B$500,MATCH(A913,Recipes!$A$2:$A$500,0)),"")</f>
        <v>Romesco (Tatashe &amp; Groundnut Sauce)</v>
      </c>
      <c r="C913" s="7" t="s">
        <v>500</v>
      </c>
      <c r="D913" s="34">
        <v>2</v>
      </c>
      <c r="E913" s="22" t="s">
        <v>2776</v>
      </c>
      <c r="F913" s="22" t="s">
        <v>499</v>
      </c>
      <c r="G913" s="22" t="s">
        <v>2755</v>
      </c>
      <c r="H913" s="7"/>
      <c r="I913" s="35">
        <v>6</v>
      </c>
      <c r="J913" s="30">
        <f>IF(OR($F913="",$I913=""),0,IFERROR(INDEX(Nutrition!$D$2:$D$300,MATCH($F913,Nutrition!$A$2:$A$300,0))*$I913/100,0))</f>
        <v>0.126</v>
      </c>
      <c r="K913" s="30">
        <f>IF(OR($F913="",$I913=""),0,IFERROR(INDEX(Nutrition!$E$2:$E$300,MATCH($F913,Nutrition!$A$2:$A$300,0))*$I913/100,0))</f>
        <v>1.8719999999999999</v>
      </c>
      <c r="L913" s="30">
        <f>IF(OR($F913="",$I913=""),0,IFERROR(INDEX(Nutrition!$F$2:$F$300,MATCH($F913,Nutrition!$A$2:$A$300,0))*$I913/100,0))</f>
        <v>0</v>
      </c>
      <c r="M913" s="30">
        <f>IF(OR($F913="",$I913=""),0,IFERROR(INDEX(Nutrition!$G$2:$G$300,MATCH($F913,Nutrition!$A$2:$A$300,0))*$I913/100,0))</f>
        <v>0.10199999999999999</v>
      </c>
      <c r="N913" s="30">
        <f>IF(OR($F913="",$I913=""),0,IFERROR(INDEX(Nutrition!$H$2:$H$300,MATCH($F913,Nutrition!$A$2:$A$300,0))*$I913/100,0))</f>
        <v>0.18</v>
      </c>
      <c r="O913" s="30">
        <f>IF(OR($F913="",$I913=""),0,IFERROR(INDEX(Nutrition!$I$2:$I$300,MATCH($F913,Nutrition!$A$2:$A$300,0))*$I913/100,0))</f>
        <v>24.06</v>
      </c>
      <c r="P913" s="30">
        <f>IF(OR($F913="",$I913=""),0,IFERROR(INDEX(Nutrition!$J$2:$J$300,MATCH($F913,Nutrition!$A$2:$A$300,0))*$I913/100,0))</f>
        <v>4.7999999999999996E-3</v>
      </c>
      <c r="Q913" s="30">
        <f>IF(OR($F913="",$I913=""),0,IFERROR(INDEX(Nutrition!$K$2:$K$300,MATCH($F913,Nutrition!$A$2:$A$300,0))*$I913/100,0))</f>
        <v>7.4099999999999999E-2</v>
      </c>
      <c r="R913" s="30">
        <f>IF(OR($F913="",$I913=""),0,IFERROR(INDEX(Nutrition!$L$2:$L$300,MATCH($F913,Nutrition!$A$2:$A$300,0))*$I913/100,0))</f>
        <v>1.5</v>
      </c>
      <c r="S913" s="30">
        <f>IF(OR($F913="",$I913=""),0,IFERROR(INDEX(Nutrition!$M$2:$M$300,MATCH($F913,Nutrition!$A$2:$A$300,0))*$I913/100,0))</f>
        <v>0.10199999999999999</v>
      </c>
    </row>
    <row r="914" spans="1:19" ht="15" customHeight="1" x14ac:dyDescent="0.25">
      <c r="A914" s="22" t="s">
        <v>2089</v>
      </c>
      <c r="B914" s="33" t="str">
        <f>IFERROR(INDEX(Recipes!$B$2:$B$500,MATCH(A914,Recipes!$A$2:$A$500,0)),"")</f>
        <v>Romesco (Tatashe &amp; Groundnut Sauce)</v>
      </c>
      <c r="C914" s="7" t="s">
        <v>213</v>
      </c>
      <c r="D914" s="34">
        <v>1</v>
      </c>
      <c r="E914" s="22" t="s">
        <v>2754</v>
      </c>
      <c r="F914" s="22" t="s">
        <v>212</v>
      </c>
      <c r="G914" s="22" t="s">
        <v>2755</v>
      </c>
      <c r="H914" s="7" t="s">
        <v>2912</v>
      </c>
      <c r="I914" s="35">
        <v>67</v>
      </c>
      <c r="J914" s="30">
        <f>IF(OR($F914="",$I914=""),0,IFERROR(INDEX(Nutrition!$D$2:$D$300,MATCH($F914,Nutrition!$A$2:$A$300,0))*$I914/100,0))</f>
        <v>1.8759999999999999</v>
      </c>
      <c r="K914" s="30">
        <f>IF(OR($F914="",$I914=""),0,IFERROR(INDEX(Nutrition!$E$2:$E$300,MATCH($F914,Nutrition!$A$2:$A$300,0))*$I914/100,0))</f>
        <v>19.497</v>
      </c>
      <c r="L914" s="30">
        <f>IF(OR($F914="",$I914=""),0,IFERROR(INDEX(Nutrition!$F$2:$F$300,MATCH($F914,Nutrition!$A$2:$A$300,0))*$I914/100,0))</f>
        <v>1.34</v>
      </c>
      <c r="M914" s="30">
        <f>IF(OR($F914="",$I914=""),0,IFERROR(INDEX(Nutrition!$G$2:$G$300,MATCH($F914,Nutrition!$A$2:$A$300,0))*$I914/100,0))</f>
        <v>0.40199999999999997</v>
      </c>
      <c r="N914" s="30">
        <f>IF(OR($F914="",$I914=""),0,IFERROR(INDEX(Nutrition!$H$2:$H$300,MATCH($F914,Nutrition!$A$2:$A$300,0))*$I914/100,0))</f>
        <v>5.36</v>
      </c>
      <c r="O914" s="30">
        <f>IF(OR($F914="",$I914=""),0,IFERROR(INDEX(Nutrition!$I$2:$I$300,MATCH($F914,Nutrition!$A$2:$A$300,0))*$I914/100,0))</f>
        <v>68.34</v>
      </c>
      <c r="P914" s="30">
        <f>IF(OR($F914="",$I914=""),0,IFERROR(INDEX(Nutrition!$J$2:$J$300,MATCH($F914,Nutrition!$A$2:$A$300,0))*$I914/100,0))</f>
        <v>0.1474</v>
      </c>
      <c r="Q914" s="30">
        <f>IF(OR($F914="",$I914=""),0,IFERROR(INDEX(Nutrition!$K$2:$K$300,MATCH($F914,Nutrition!$A$2:$A$300,0))*$I914/100,0))</f>
        <v>2.8809999999999999E-2</v>
      </c>
      <c r="R914" s="30">
        <f>IF(OR($F914="",$I914=""),0,IFERROR(INDEX(Nutrition!$L$2:$L$300,MATCH($F914,Nutrition!$A$2:$A$300,0))*$I914/100,0))</f>
        <v>4.0199999999999996</v>
      </c>
      <c r="S914" s="30">
        <f>IF(OR($F914="",$I914=""),0,IFERROR(INDEX(Nutrition!$M$2:$M$300,MATCH($F914,Nutrition!$A$2:$A$300,0))*$I914/100,0))</f>
        <v>0.40199999999999997</v>
      </c>
    </row>
    <row r="915" spans="1:19" ht="15" customHeight="1" x14ac:dyDescent="0.25">
      <c r="A915" s="22" t="s">
        <v>2089</v>
      </c>
      <c r="B915" s="33" t="str">
        <f>IFERROR(INDEX(Recipes!$B$2:$B$500,MATCH(A915,Recipes!$A$2:$A$500,0)),"")</f>
        <v>Romesco (Tatashe &amp; Groundnut Sauce)</v>
      </c>
      <c r="C915" s="7" t="s">
        <v>473</v>
      </c>
      <c r="D915" s="34">
        <v>0.5</v>
      </c>
      <c r="E915" s="22" t="s">
        <v>2754</v>
      </c>
      <c r="F915" s="22" t="s">
        <v>472</v>
      </c>
      <c r="G915" s="22" t="s">
        <v>2755</v>
      </c>
      <c r="H915" s="7" t="s">
        <v>2760</v>
      </c>
      <c r="I915" s="35">
        <v>5</v>
      </c>
      <c r="J915" s="30">
        <f>IF(OR($F915="",$I915=""),0,IFERROR(INDEX(Nutrition!$D$2:$D$300,MATCH($F915,Nutrition!$A$2:$A$300,0))*$I915/100,0))</f>
        <v>7.4999999999999997E-2</v>
      </c>
      <c r="K915" s="30">
        <f>IF(OR($F915="",$I915=""),0,IFERROR(INDEX(Nutrition!$E$2:$E$300,MATCH($F915,Nutrition!$A$2:$A$300,0))*$I915/100,0))</f>
        <v>7.1849999999999996</v>
      </c>
      <c r="L915" s="30">
        <f>IF(OR($F915="",$I915=""),0,IFERROR(INDEX(Nutrition!$F$2:$F$300,MATCH($F915,Nutrition!$A$2:$A$300,0))*$I915/100,0))</f>
        <v>2.4</v>
      </c>
      <c r="M915" s="30">
        <f>IF(OR($F915="",$I915=""),0,IFERROR(INDEX(Nutrition!$G$2:$G$300,MATCH($F915,Nutrition!$A$2:$A$300,0))*$I915/100,0))</f>
        <v>0.7</v>
      </c>
      <c r="N915" s="30">
        <f>IF(OR($F915="",$I915=""),0,IFERROR(INDEX(Nutrition!$H$2:$H$300,MATCH($F915,Nutrition!$A$2:$A$300,0))*$I915/100,0))</f>
        <v>1.1499999999999999</v>
      </c>
      <c r="O915" s="30">
        <f>IF(OR($F915="",$I915=""),0,IFERROR(INDEX(Nutrition!$I$2:$I$300,MATCH($F915,Nutrition!$A$2:$A$300,0))*$I915/100,0))</f>
        <v>16.100000000000001</v>
      </c>
      <c r="P915" s="30">
        <f>IF(OR($F915="",$I915=""),0,IFERROR(INDEX(Nutrition!$J$2:$J$300,MATCH($F915,Nutrition!$A$2:$A$300,0))*$I915/100,0))</f>
        <v>3.4499999999999996E-2</v>
      </c>
      <c r="Q915" s="30">
        <f>IF(OR($F915="",$I915=""),0,IFERROR(INDEX(Nutrition!$K$2:$K$300,MATCH($F915,Nutrition!$A$2:$A$300,0))*$I915/100,0))</f>
        <v>2.5300000000000003E-2</v>
      </c>
      <c r="R915" s="30">
        <f>IF(OR($F915="",$I915=""),0,IFERROR(INDEX(Nutrition!$L$2:$L$300,MATCH($F915,Nutrition!$A$2:$A$300,0))*$I915/100,0))</f>
        <v>1.1499999999999999</v>
      </c>
      <c r="S915" s="30">
        <f>IF(OR($F915="",$I915=""),0,IFERROR(INDEX(Nutrition!$M$2:$M$300,MATCH($F915,Nutrition!$A$2:$A$300,0))*$I915/100,0))</f>
        <v>5.1500000000000004E-2</v>
      </c>
    </row>
    <row r="916" spans="1:19" ht="15" customHeight="1" x14ac:dyDescent="0.25">
      <c r="A916" s="22" t="s">
        <v>2089</v>
      </c>
      <c r="B916" s="33" t="str">
        <f>IFERROR(INDEX(Recipes!$B$2:$B$500,MATCH(A916,Recipes!$A$2:$A$500,0)),"")</f>
        <v>Romesco (Tatashe &amp; Groundnut Sauce)</v>
      </c>
      <c r="C916" s="7" t="s">
        <v>2961</v>
      </c>
      <c r="D916" s="34">
        <v>2</v>
      </c>
      <c r="E916" s="22" t="s">
        <v>2753</v>
      </c>
      <c r="F916" s="22"/>
      <c r="G916" s="22" t="s">
        <v>2749</v>
      </c>
      <c r="H916" s="7"/>
      <c r="I916" s="35"/>
      <c r="J916" s="30">
        <f>IF(OR($F916="",$I916=""),0,IFERROR(INDEX(Nutrition!$D$2:$D$300,MATCH($F916,Nutrition!$A$2:$A$300,0))*$I916/100,0))</f>
        <v>0</v>
      </c>
      <c r="K916" s="30">
        <f>IF(OR($F916="",$I916=""),0,IFERROR(INDEX(Nutrition!$E$2:$E$300,MATCH($F916,Nutrition!$A$2:$A$300,0))*$I916/100,0))</f>
        <v>0</v>
      </c>
      <c r="L916" s="30">
        <f>IF(OR($F916="",$I916=""),0,IFERROR(INDEX(Nutrition!$F$2:$F$300,MATCH($F916,Nutrition!$A$2:$A$300,0))*$I916/100,0))</f>
        <v>0</v>
      </c>
      <c r="M916" s="30">
        <f>IF(OR($F916="",$I916=""),0,IFERROR(INDEX(Nutrition!$G$2:$G$300,MATCH($F916,Nutrition!$A$2:$A$300,0))*$I916/100,0))</f>
        <v>0</v>
      </c>
      <c r="N916" s="30">
        <f>IF(OR($F916="",$I916=""),0,IFERROR(INDEX(Nutrition!$H$2:$H$300,MATCH($F916,Nutrition!$A$2:$A$300,0))*$I916/100,0))</f>
        <v>0</v>
      </c>
      <c r="O916" s="30">
        <f>IF(OR($F916="",$I916=""),0,IFERROR(INDEX(Nutrition!$I$2:$I$300,MATCH($F916,Nutrition!$A$2:$A$300,0))*$I916/100,0))</f>
        <v>0</v>
      </c>
      <c r="P916" s="30">
        <f>IF(OR($F916="",$I916=""),0,IFERROR(INDEX(Nutrition!$J$2:$J$300,MATCH($F916,Nutrition!$A$2:$A$300,0))*$I916/100,0))</f>
        <v>0</v>
      </c>
      <c r="Q916" s="30">
        <f>IF(OR($F916="",$I916=""),0,IFERROR(INDEX(Nutrition!$K$2:$K$300,MATCH($F916,Nutrition!$A$2:$A$300,0))*$I916/100,0))</f>
        <v>0</v>
      </c>
      <c r="R916" s="30">
        <f>IF(OR($F916="",$I916=""),0,IFERROR(INDEX(Nutrition!$L$2:$L$300,MATCH($F916,Nutrition!$A$2:$A$300,0))*$I916/100,0))</f>
        <v>0</v>
      </c>
      <c r="S916" s="30">
        <f>IF(OR($F916="",$I916=""),0,IFERROR(INDEX(Nutrition!$M$2:$M$300,MATCH($F916,Nutrition!$A$2:$A$300,0))*$I916/100,0))</f>
        <v>0</v>
      </c>
    </row>
    <row r="917" spans="1:19" ht="15" customHeight="1" x14ac:dyDescent="0.25">
      <c r="A917" s="22" t="s">
        <v>2089</v>
      </c>
      <c r="B917" s="33" t="str">
        <f>IFERROR(INDEX(Recipes!$B$2:$B$500,MATCH(A917,Recipes!$A$2:$A$500,0)),"")</f>
        <v>Romesco (Tatashe &amp; Groundnut Sauce)</v>
      </c>
      <c r="C917" s="7" t="s">
        <v>2778</v>
      </c>
      <c r="D917" s="34">
        <v>1</v>
      </c>
      <c r="E917" s="22" t="s">
        <v>2988</v>
      </c>
      <c r="F917" s="22"/>
      <c r="G917" s="22" t="s">
        <v>2749</v>
      </c>
      <c r="H917" s="7" t="s">
        <v>2989</v>
      </c>
      <c r="I917" s="35"/>
      <c r="J917" s="30">
        <f>IF(OR($F917="",$I917=""),0,IFERROR(INDEX(Nutrition!$D$2:$D$300,MATCH($F917,Nutrition!$A$2:$A$300,0))*$I917/100,0))</f>
        <v>0</v>
      </c>
      <c r="K917" s="30">
        <f>IF(OR($F917="",$I917=""),0,IFERROR(INDEX(Nutrition!$E$2:$E$300,MATCH($F917,Nutrition!$A$2:$A$300,0))*$I917/100,0))</f>
        <v>0</v>
      </c>
      <c r="L917" s="30">
        <f>IF(OR($F917="",$I917=""),0,IFERROR(INDEX(Nutrition!$F$2:$F$300,MATCH($F917,Nutrition!$A$2:$A$300,0))*$I917/100,0))</f>
        <v>0</v>
      </c>
      <c r="M917" s="30">
        <f>IF(OR($F917="",$I917=""),0,IFERROR(INDEX(Nutrition!$G$2:$G$300,MATCH($F917,Nutrition!$A$2:$A$300,0))*$I917/100,0))</f>
        <v>0</v>
      </c>
      <c r="N917" s="30">
        <f>IF(OR($F917="",$I917=""),0,IFERROR(INDEX(Nutrition!$H$2:$H$300,MATCH($F917,Nutrition!$A$2:$A$300,0))*$I917/100,0))</f>
        <v>0</v>
      </c>
      <c r="O917" s="30">
        <f>IF(OR($F917="",$I917=""),0,IFERROR(INDEX(Nutrition!$I$2:$I$300,MATCH($F917,Nutrition!$A$2:$A$300,0))*$I917/100,0))</f>
        <v>0</v>
      </c>
      <c r="P917" s="30">
        <f>IF(OR($F917="",$I917=""),0,IFERROR(INDEX(Nutrition!$J$2:$J$300,MATCH($F917,Nutrition!$A$2:$A$300,0))*$I917/100,0))</f>
        <v>0</v>
      </c>
      <c r="Q917" s="30">
        <f>IF(OR($F917="",$I917=""),0,IFERROR(INDEX(Nutrition!$K$2:$K$300,MATCH($F917,Nutrition!$A$2:$A$300,0))*$I917/100,0))</f>
        <v>0</v>
      </c>
      <c r="R917" s="30">
        <f>IF(OR($F917="",$I917=""),0,IFERROR(INDEX(Nutrition!$L$2:$L$300,MATCH($F917,Nutrition!$A$2:$A$300,0))*$I917/100,0))</f>
        <v>0</v>
      </c>
      <c r="S917" s="30">
        <f>IF(OR($F917="",$I917=""),0,IFERROR(INDEX(Nutrition!$M$2:$M$300,MATCH($F917,Nutrition!$A$2:$A$300,0))*$I917/100,0))</f>
        <v>0</v>
      </c>
    </row>
    <row r="918" spans="1:19" ht="15" customHeight="1" x14ac:dyDescent="0.25">
      <c r="A918" s="22" t="s">
        <v>2089</v>
      </c>
      <c r="B918" s="33" t="str">
        <f>IFERROR(INDEX(Recipes!$B$2:$B$500,MATCH(A918,Recipes!$A$2:$A$500,0)),"")</f>
        <v>Romesco (Tatashe &amp; Groundnut Sauce)</v>
      </c>
      <c r="C918" s="7" t="s">
        <v>2805</v>
      </c>
      <c r="D918" s="34">
        <v>0.25</v>
      </c>
      <c r="E918" s="22" t="s">
        <v>2748</v>
      </c>
      <c r="F918" s="22"/>
      <c r="G918" s="22" t="s">
        <v>2773</v>
      </c>
      <c r="H918" s="7"/>
      <c r="I918" s="35"/>
      <c r="J918" s="30">
        <f>IF(OR($F918="",$I918=""),0,IFERROR(INDEX(Nutrition!$D$2:$D$300,MATCH($F918,Nutrition!$A$2:$A$300,0))*$I918/100,0))</f>
        <v>0</v>
      </c>
      <c r="K918" s="30">
        <f>IF(OR($F918="",$I918=""),0,IFERROR(INDEX(Nutrition!$E$2:$E$300,MATCH($F918,Nutrition!$A$2:$A$300,0))*$I918/100,0))</f>
        <v>0</v>
      </c>
      <c r="L918" s="30">
        <f>IF(OR($F918="",$I918=""),0,IFERROR(INDEX(Nutrition!$F$2:$F$300,MATCH($F918,Nutrition!$A$2:$A$300,0))*$I918/100,0))</f>
        <v>0</v>
      </c>
      <c r="M918" s="30">
        <f>IF(OR($F918="",$I918=""),0,IFERROR(INDEX(Nutrition!$G$2:$G$300,MATCH($F918,Nutrition!$A$2:$A$300,0))*$I918/100,0))</f>
        <v>0</v>
      </c>
      <c r="N918" s="30">
        <f>IF(OR($F918="",$I918=""),0,IFERROR(INDEX(Nutrition!$H$2:$H$300,MATCH($F918,Nutrition!$A$2:$A$300,0))*$I918/100,0))</f>
        <v>0</v>
      </c>
      <c r="O918" s="30">
        <f>IF(OR($F918="",$I918=""),0,IFERROR(INDEX(Nutrition!$I$2:$I$300,MATCH($F918,Nutrition!$A$2:$A$300,0))*$I918/100,0))</f>
        <v>0</v>
      </c>
      <c r="P918" s="30">
        <f>IF(OR($F918="",$I918=""),0,IFERROR(INDEX(Nutrition!$J$2:$J$300,MATCH($F918,Nutrition!$A$2:$A$300,0))*$I918/100,0))</f>
        <v>0</v>
      </c>
      <c r="Q918" s="30">
        <f>IF(OR($F918="",$I918=""),0,IFERROR(INDEX(Nutrition!$K$2:$K$300,MATCH($F918,Nutrition!$A$2:$A$300,0))*$I918/100,0))</f>
        <v>0</v>
      </c>
      <c r="R918" s="30">
        <f>IF(OR($F918="",$I918=""),0,IFERROR(INDEX(Nutrition!$L$2:$L$300,MATCH($F918,Nutrition!$A$2:$A$300,0))*$I918/100,0))</f>
        <v>0</v>
      </c>
      <c r="S918" s="30">
        <f>IF(OR($F918="",$I918=""),0,IFERROR(INDEX(Nutrition!$M$2:$M$300,MATCH($F918,Nutrition!$A$2:$A$300,0))*$I918/100,0))</f>
        <v>0</v>
      </c>
    </row>
    <row r="919" spans="1:19" ht="15" customHeight="1" x14ac:dyDescent="0.25">
      <c r="A919" s="22" t="s">
        <v>2089</v>
      </c>
      <c r="B919" s="33" t="str">
        <f>IFERROR(INDEX(Recipes!$B$2:$B$500,MATCH(A919,Recipes!$A$2:$A$500,0)),"")</f>
        <v>Romesco (Tatashe &amp; Groundnut Sauce)</v>
      </c>
      <c r="C919" s="7" t="s">
        <v>2928</v>
      </c>
      <c r="D919" s="34">
        <v>1</v>
      </c>
      <c r="E919" s="22" t="s">
        <v>2759</v>
      </c>
      <c r="F919" s="22"/>
      <c r="G919" s="22" t="s">
        <v>2749</v>
      </c>
      <c r="H919" s="7"/>
      <c r="I919" s="35"/>
      <c r="J919" s="30">
        <f>IF(OR($F919="",$I919=""),0,IFERROR(INDEX(Nutrition!$D$2:$D$300,MATCH($F919,Nutrition!$A$2:$A$300,0))*$I919/100,0))</f>
        <v>0</v>
      </c>
      <c r="K919" s="30">
        <f>IF(OR($F919="",$I919=""),0,IFERROR(INDEX(Nutrition!$E$2:$E$300,MATCH($F919,Nutrition!$A$2:$A$300,0))*$I919/100,0))</f>
        <v>0</v>
      </c>
      <c r="L919" s="30">
        <f>IF(OR($F919="",$I919=""),0,IFERROR(INDEX(Nutrition!$F$2:$F$300,MATCH($F919,Nutrition!$A$2:$A$300,0))*$I919/100,0))</f>
        <v>0</v>
      </c>
      <c r="M919" s="30">
        <f>IF(OR($F919="",$I919=""),0,IFERROR(INDEX(Nutrition!$G$2:$G$300,MATCH($F919,Nutrition!$A$2:$A$300,0))*$I919/100,0))</f>
        <v>0</v>
      </c>
      <c r="N919" s="30">
        <f>IF(OR($F919="",$I919=""),0,IFERROR(INDEX(Nutrition!$H$2:$H$300,MATCH($F919,Nutrition!$A$2:$A$300,0))*$I919/100,0))</f>
        <v>0</v>
      </c>
      <c r="O919" s="30">
        <f>IF(OR($F919="",$I919=""),0,IFERROR(INDEX(Nutrition!$I$2:$I$300,MATCH($F919,Nutrition!$A$2:$A$300,0))*$I919/100,0))</f>
        <v>0</v>
      </c>
      <c r="P919" s="30">
        <f>IF(OR($F919="",$I919=""),0,IFERROR(INDEX(Nutrition!$J$2:$J$300,MATCH($F919,Nutrition!$A$2:$A$300,0))*$I919/100,0))</f>
        <v>0</v>
      </c>
      <c r="Q919" s="30">
        <f>IF(OR($F919="",$I919=""),0,IFERROR(INDEX(Nutrition!$K$2:$K$300,MATCH($F919,Nutrition!$A$2:$A$300,0))*$I919/100,0))</f>
        <v>0</v>
      </c>
      <c r="R919" s="30">
        <f>IF(OR($F919="",$I919=""),0,IFERROR(INDEX(Nutrition!$L$2:$L$300,MATCH($F919,Nutrition!$A$2:$A$300,0))*$I919/100,0))</f>
        <v>0</v>
      </c>
      <c r="S919" s="30">
        <f>IF(OR($F919="",$I919=""),0,IFERROR(INDEX(Nutrition!$M$2:$M$300,MATCH($F919,Nutrition!$A$2:$A$300,0))*$I919/100,0))</f>
        <v>0</v>
      </c>
    </row>
    <row r="920" spans="1:19" ht="15" customHeight="1" x14ac:dyDescent="0.25">
      <c r="A920" s="22" t="s">
        <v>2089</v>
      </c>
      <c r="B920" s="33" t="str">
        <f>IFERROR(INDEX(Recipes!$B$2:$B$500,MATCH(A920,Recipes!$A$2:$A$500,0)),"")</f>
        <v>Romesco (Tatashe &amp; Groundnut Sauce)</v>
      </c>
      <c r="C920" s="7" t="s">
        <v>2781</v>
      </c>
      <c r="D920" s="34">
        <v>0.5</v>
      </c>
      <c r="E920" s="22" t="s">
        <v>2759</v>
      </c>
      <c r="F920" s="22"/>
      <c r="G920" s="22" t="s">
        <v>2773</v>
      </c>
      <c r="H920" s="7"/>
      <c r="I920" s="35"/>
      <c r="J920" s="30">
        <f>IF(OR($F920="",$I920=""),0,IFERROR(INDEX(Nutrition!$D$2:$D$300,MATCH($F920,Nutrition!$A$2:$A$300,0))*$I920/100,0))</f>
        <v>0</v>
      </c>
      <c r="K920" s="30">
        <f>IF(OR($F920="",$I920=""),0,IFERROR(INDEX(Nutrition!$E$2:$E$300,MATCH($F920,Nutrition!$A$2:$A$300,0))*$I920/100,0))</f>
        <v>0</v>
      </c>
      <c r="L920" s="30">
        <f>IF(OR($F920="",$I920=""),0,IFERROR(INDEX(Nutrition!$F$2:$F$300,MATCH($F920,Nutrition!$A$2:$A$300,0))*$I920/100,0))</f>
        <v>0</v>
      </c>
      <c r="M920" s="30">
        <f>IF(OR($F920="",$I920=""),0,IFERROR(INDEX(Nutrition!$G$2:$G$300,MATCH($F920,Nutrition!$A$2:$A$300,0))*$I920/100,0))</f>
        <v>0</v>
      </c>
      <c r="N920" s="30">
        <f>IF(OR($F920="",$I920=""),0,IFERROR(INDEX(Nutrition!$H$2:$H$300,MATCH($F920,Nutrition!$A$2:$A$300,0))*$I920/100,0))</f>
        <v>0</v>
      </c>
      <c r="O920" s="30">
        <f>IF(OR($F920="",$I920=""),0,IFERROR(INDEX(Nutrition!$I$2:$I$300,MATCH($F920,Nutrition!$A$2:$A$300,0))*$I920/100,0))</f>
        <v>0</v>
      </c>
      <c r="P920" s="30">
        <f>IF(OR($F920="",$I920=""),0,IFERROR(INDEX(Nutrition!$J$2:$J$300,MATCH($F920,Nutrition!$A$2:$A$300,0))*$I920/100,0))</f>
        <v>0</v>
      </c>
      <c r="Q920" s="30">
        <f>IF(OR($F920="",$I920=""),0,IFERROR(INDEX(Nutrition!$K$2:$K$300,MATCH($F920,Nutrition!$A$2:$A$300,0))*$I920/100,0))</f>
        <v>0</v>
      </c>
      <c r="R920" s="30">
        <f>IF(OR($F920="",$I920=""),0,IFERROR(INDEX(Nutrition!$L$2:$L$300,MATCH($F920,Nutrition!$A$2:$A$300,0))*$I920/100,0))</f>
        <v>0</v>
      </c>
      <c r="S920" s="30">
        <f>IF(OR($F920="",$I920=""),0,IFERROR(INDEX(Nutrition!$M$2:$M$300,MATCH($F920,Nutrition!$A$2:$A$300,0))*$I920/100,0))</f>
        <v>0</v>
      </c>
    </row>
    <row r="921" spans="1:19" ht="15" customHeight="1" x14ac:dyDescent="0.25">
      <c r="A921" s="22" t="s">
        <v>2100</v>
      </c>
      <c r="B921" s="33" t="str">
        <f>IFERROR(INDEX(Recipes!$B$2:$B$500,MATCH(A921,Recipes!$A$2:$A$500,0)),"")</f>
        <v>Creamy Mushroom Sauce</v>
      </c>
      <c r="C921" s="7" t="s">
        <v>595</v>
      </c>
      <c r="D921" s="34">
        <v>300</v>
      </c>
      <c r="E921" s="22" t="s">
        <v>2813</v>
      </c>
      <c r="F921" s="22" t="s">
        <v>594</v>
      </c>
      <c r="G921" s="22" t="s">
        <v>2755</v>
      </c>
      <c r="H921" s="7" t="s">
        <v>2830</v>
      </c>
      <c r="I921" s="35">
        <v>300</v>
      </c>
      <c r="J921" s="30">
        <f>IF(OR($F921="",$I921=""),0,IFERROR(INDEX(Nutrition!$D$2:$D$300,MATCH($F921,Nutrition!$A$2:$A$300,0))*$I921/100,0))</f>
        <v>6.9</v>
      </c>
      <c r="K921" s="30">
        <f>IF(OR($F921="",$I921=""),0,IFERROR(INDEX(Nutrition!$E$2:$E$300,MATCH($F921,Nutrition!$A$2:$A$300,0))*$I921/100,0))</f>
        <v>0</v>
      </c>
      <c r="L921" s="30">
        <f>IF(OR($F921="",$I921=""),0,IFERROR(INDEX(Nutrition!$F$2:$F$300,MATCH($F921,Nutrition!$A$2:$A$300,0))*$I921/100,0))</f>
        <v>0</v>
      </c>
      <c r="M921" s="30">
        <f>IF(OR($F921="",$I921=""),0,IFERROR(INDEX(Nutrition!$G$2:$G$300,MATCH($F921,Nutrition!$A$2:$A$300,0))*$I921/100,0))</f>
        <v>0</v>
      </c>
      <c r="N921" s="30">
        <f>IF(OR($F921="",$I921=""),0,IFERROR(INDEX(Nutrition!$H$2:$H$300,MATCH($F921,Nutrition!$A$2:$A$300,0))*$I921/100,0))</f>
        <v>114</v>
      </c>
      <c r="O921" s="30">
        <f>IF(OR($F921="",$I921=""),0,IFERROR(INDEX(Nutrition!$I$2:$I$300,MATCH($F921,Nutrition!$A$2:$A$300,0))*$I921/100,0))</f>
        <v>1260</v>
      </c>
      <c r="P921" s="30">
        <f>IF(OR($F921="",$I921=""),0,IFERROR(INDEX(Nutrition!$J$2:$J$300,MATCH($F921,Nutrition!$A$2:$A$300,0))*$I921/100,0))</f>
        <v>0</v>
      </c>
      <c r="Q921" s="30">
        <f>IF(OR($F921="",$I921=""),0,IFERROR(INDEX(Nutrition!$K$2:$K$300,MATCH($F921,Nutrition!$A$2:$A$300,0))*$I921/100,0))</f>
        <v>0.33</v>
      </c>
      <c r="R921" s="30">
        <f>IF(OR($F921="",$I921=""),0,IFERROR(INDEX(Nutrition!$L$2:$L$300,MATCH($F921,Nutrition!$A$2:$A$300,0))*$I921/100,0))</f>
        <v>54</v>
      </c>
      <c r="S921" s="30">
        <f>IF(OR($F921="",$I921=""),0,IFERROR(INDEX(Nutrition!$M$2:$M$300,MATCH($F921,Nutrition!$A$2:$A$300,0))*$I921/100,0))</f>
        <v>3.99</v>
      </c>
    </row>
    <row r="922" spans="1:19" ht="15" customHeight="1" x14ac:dyDescent="0.25">
      <c r="A922" s="22" t="s">
        <v>2100</v>
      </c>
      <c r="B922" s="33" t="str">
        <f>IFERROR(INDEX(Recipes!$B$2:$B$500,MATCH(A922,Recipes!$A$2:$A$500,0)),"")</f>
        <v>Creamy Mushroom Sauce</v>
      </c>
      <c r="C922" s="7" t="s">
        <v>500</v>
      </c>
      <c r="D922" s="34">
        <v>2</v>
      </c>
      <c r="E922" s="22" t="s">
        <v>2776</v>
      </c>
      <c r="F922" s="22" t="s">
        <v>499</v>
      </c>
      <c r="G922" s="22" t="s">
        <v>2755</v>
      </c>
      <c r="H922" s="7" t="s">
        <v>2896</v>
      </c>
      <c r="I922" s="35">
        <v>6</v>
      </c>
      <c r="J922" s="30">
        <f>IF(OR($F922="",$I922=""),0,IFERROR(INDEX(Nutrition!$D$2:$D$300,MATCH($F922,Nutrition!$A$2:$A$300,0))*$I922/100,0))</f>
        <v>0.126</v>
      </c>
      <c r="K922" s="30">
        <f>IF(OR($F922="",$I922=""),0,IFERROR(INDEX(Nutrition!$E$2:$E$300,MATCH($F922,Nutrition!$A$2:$A$300,0))*$I922/100,0))</f>
        <v>1.8719999999999999</v>
      </c>
      <c r="L922" s="30">
        <f>IF(OR($F922="",$I922=""),0,IFERROR(INDEX(Nutrition!$F$2:$F$300,MATCH($F922,Nutrition!$A$2:$A$300,0))*$I922/100,0))</f>
        <v>0</v>
      </c>
      <c r="M922" s="30">
        <f>IF(OR($F922="",$I922=""),0,IFERROR(INDEX(Nutrition!$G$2:$G$300,MATCH($F922,Nutrition!$A$2:$A$300,0))*$I922/100,0))</f>
        <v>0.10199999999999999</v>
      </c>
      <c r="N922" s="30">
        <f>IF(OR($F922="",$I922=""),0,IFERROR(INDEX(Nutrition!$H$2:$H$300,MATCH($F922,Nutrition!$A$2:$A$300,0))*$I922/100,0))</f>
        <v>0.18</v>
      </c>
      <c r="O922" s="30">
        <f>IF(OR($F922="",$I922=""),0,IFERROR(INDEX(Nutrition!$I$2:$I$300,MATCH($F922,Nutrition!$A$2:$A$300,0))*$I922/100,0))</f>
        <v>24.06</v>
      </c>
      <c r="P922" s="30">
        <f>IF(OR($F922="",$I922=""),0,IFERROR(INDEX(Nutrition!$J$2:$J$300,MATCH($F922,Nutrition!$A$2:$A$300,0))*$I922/100,0))</f>
        <v>4.7999999999999996E-3</v>
      </c>
      <c r="Q922" s="30">
        <f>IF(OR($F922="",$I922=""),0,IFERROR(INDEX(Nutrition!$K$2:$K$300,MATCH($F922,Nutrition!$A$2:$A$300,0))*$I922/100,0))</f>
        <v>7.4099999999999999E-2</v>
      </c>
      <c r="R922" s="30">
        <f>IF(OR($F922="",$I922=""),0,IFERROR(INDEX(Nutrition!$L$2:$L$300,MATCH($F922,Nutrition!$A$2:$A$300,0))*$I922/100,0))</f>
        <v>1.5</v>
      </c>
      <c r="S922" s="30">
        <f>IF(OR($F922="",$I922=""),0,IFERROR(INDEX(Nutrition!$M$2:$M$300,MATCH($F922,Nutrition!$A$2:$A$300,0))*$I922/100,0))</f>
        <v>0.10199999999999999</v>
      </c>
    </row>
    <row r="923" spans="1:19" ht="15" customHeight="1" x14ac:dyDescent="0.25">
      <c r="A923" s="22" t="s">
        <v>2100</v>
      </c>
      <c r="B923" s="33" t="str">
        <f>IFERROR(INDEX(Recipes!$B$2:$B$500,MATCH(A923,Recipes!$A$2:$A$500,0)),"")</f>
        <v>Creamy Mushroom Sauce</v>
      </c>
      <c r="C923" s="7" t="s">
        <v>684</v>
      </c>
      <c r="D923" s="34">
        <v>1</v>
      </c>
      <c r="E923" s="22" t="s">
        <v>2990</v>
      </c>
      <c r="F923" s="22" t="s">
        <v>683</v>
      </c>
      <c r="G923" s="22" t="s">
        <v>2755</v>
      </c>
      <c r="H923" s="7" t="s">
        <v>2991</v>
      </c>
      <c r="I923" s="35">
        <v>2</v>
      </c>
      <c r="J923" s="30">
        <f>IF(OR($F923="",$I923=""),0,IFERROR(INDEX(Nutrition!$D$2:$D$300,MATCH($F923,Nutrition!$A$2:$A$300,0))*$I923/100,0))</f>
        <v>0.28199999999999997</v>
      </c>
      <c r="K923" s="30">
        <f>IF(OR($F923="",$I923=""),0,IFERROR(INDEX(Nutrition!$E$2:$E$300,MATCH($F923,Nutrition!$A$2:$A$300,0))*$I923/100,0))</f>
        <v>0.436</v>
      </c>
      <c r="L923" s="30">
        <f>IF(OR($F923="",$I923=""),0,IFERROR(INDEX(Nutrition!$F$2:$F$300,MATCH($F923,Nutrition!$A$2:$A$300,0))*$I923/100,0))</f>
        <v>2.92</v>
      </c>
      <c r="M923" s="30">
        <f>IF(OR($F923="",$I923=""),0,IFERROR(INDEX(Nutrition!$G$2:$G$300,MATCH($F923,Nutrition!$A$2:$A$300,0))*$I923/100,0))</f>
        <v>0</v>
      </c>
      <c r="N923" s="30">
        <f>IF(OR($F923="",$I923=""),0,IFERROR(INDEX(Nutrition!$H$2:$H$300,MATCH($F923,Nutrition!$A$2:$A$300,0))*$I923/100,0))</f>
        <v>2.1800000000000002</v>
      </c>
      <c r="O923" s="30">
        <f>IF(OR($F923="",$I923=""),0,IFERROR(INDEX(Nutrition!$I$2:$I$300,MATCH($F923,Nutrition!$A$2:$A$300,0))*$I923/100,0))</f>
        <v>13.36</v>
      </c>
      <c r="P923" s="30">
        <f>IF(OR($F923="",$I923=""),0,IFERROR(INDEX(Nutrition!$J$2:$J$300,MATCH($F923,Nutrition!$A$2:$A$300,0))*$I923/100,0))</f>
        <v>0</v>
      </c>
      <c r="Q923" s="30">
        <f>IF(OR($F923="",$I923=""),0,IFERROR(INDEX(Nutrition!$K$2:$K$300,MATCH($F923,Nutrition!$A$2:$A$300,0))*$I923/100,0))</f>
        <v>6.7200000000000003E-3</v>
      </c>
      <c r="R923" s="30">
        <f>IF(OR($F923="",$I923=""),0,IFERROR(INDEX(Nutrition!$L$2:$L$300,MATCH($F923,Nutrition!$A$2:$A$300,0))*$I923/100,0))</f>
        <v>1.82</v>
      </c>
      <c r="S923" s="30">
        <f>IF(OR($F923="",$I923=""),0,IFERROR(INDEX(Nutrition!$M$2:$M$300,MATCH($F923,Nutrition!$A$2:$A$300,0))*$I923/100,0))</f>
        <v>0.13300000000000001</v>
      </c>
    </row>
    <row r="924" spans="1:19" ht="15" customHeight="1" x14ac:dyDescent="0.25">
      <c r="A924" s="22" t="s">
        <v>2100</v>
      </c>
      <c r="B924" s="33" t="str">
        <f>IFERROR(INDEX(Recipes!$B$2:$B$500,MATCH(A924,Recipes!$A$2:$A$500,0)),"")</f>
        <v>Creamy Mushroom Sauce</v>
      </c>
      <c r="C924" s="7" t="s">
        <v>206</v>
      </c>
      <c r="D924" s="34">
        <v>0.5</v>
      </c>
      <c r="E924" s="22" t="s">
        <v>2754</v>
      </c>
      <c r="F924" s="22" t="s">
        <v>205</v>
      </c>
      <c r="G924" s="22" t="s">
        <v>2755</v>
      </c>
      <c r="H924" s="7" t="s">
        <v>2912</v>
      </c>
      <c r="I924" s="35">
        <v>29</v>
      </c>
      <c r="J924" s="30">
        <f>IF(OR($F924="",$I924=""),0,IFERROR(INDEX(Nutrition!$D$2:$D$300,MATCH($F924,Nutrition!$A$2:$A$300,0))*$I924/100,0))</f>
        <v>0.81199999999999983</v>
      </c>
      <c r="K924" s="30">
        <f>IF(OR($F924="",$I924=""),0,IFERROR(INDEX(Nutrition!$E$2:$E$300,MATCH($F924,Nutrition!$A$2:$A$300,0))*$I924/100,0))</f>
        <v>15.37</v>
      </c>
      <c r="L924" s="30">
        <f>IF(OR($F924="",$I924=""),0,IFERROR(INDEX(Nutrition!$F$2:$F$300,MATCH($F924,Nutrition!$A$2:$A$300,0))*$I924/100,0))</f>
        <v>0.28999999999999998</v>
      </c>
      <c r="M924" s="30">
        <f>IF(OR($F924="",$I924=""),0,IFERROR(INDEX(Nutrition!$G$2:$G$300,MATCH($F924,Nutrition!$A$2:$A$300,0))*$I924/100,0))</f>
        <v>0</v>
      </c>
      <c r="N924" s="30">
        <f>IF(OR($F924="",$I924=""),0,IFERROR(INDEX(Nutrition!$H$2:$H$300,MATCH($F924,Nutrition!$A$2:$A$300,0))*$I924/100,0))</f>
        <v>3.19</v>
      </c>
      <c r="O924" s="30">
        <f>IF(OR($F924="",$I924=""),0,IFERROR(INDEX(Nutrition!$I$2:$I$300,MATCH($F924,Nutrition!$A$2:$A$300,0))*$I924/100,0))</f>
        <v>40.020000000000003</v>
      </c>
      <c r="P924" s="30">
        <f>IF(OR($F924="",$I924=""),0,IFERROR(INDEX(Nutrition!$J$2:$J$300,MATCH($F924,Nutrition!$A$2:$A$300,0))*$I924/100,0))</f>
        <v>4.3499999999999997E-2</v>
      </c>
      <c r="Q924" s="30">
        <f>IF(OR($F924="",$I924=""),0,IFERROR(INDEX(Nutrition!$K$2:$K$300,MATCH($F924,Nutrition!$A$2:$A$300,0))*$I924/100,0))</f>
        <v>2.3199999999999998E-2</v>
      </c>
      <c r="R924" s="30">
        <f>IF(OR($F924="",$I924=""),0,IFERROR(INDEX(Nutrition!$L$2:$L$300,MATCH($F924,Nutrition!$A$2:$A$300,0))*$I924/100,0))</f>
        <v>2.3199999999999998</v>
      </c>
      <c r="S924" s="30">
        <f>IF(OR($F924="",$I924=""),0,IFERROR(INDEX(Nutrition!$M$2:$M$300,MATCH($F924,Nutrition!$A$2:$A$300,0))*$I924/100,0))</f>
        <v>0.17399999999999999</v>
      </c>
    </row>
    <row r="925" spans="1:19" ht="15" customHeight="1" x14ac:dyDescent="0.25">
      <c r="A925" s="22" t="s">
        <v>2100</v>
      </c>
      <c r="B925" s="33" t="str">
        <f>IFERROR(INDEX(Recipes!$B$2:$B$500,MATCH(A925,Recipes!$A$2:$A$500,0)),"")</f>
        <v>Creamy Mushroom Sauce</v>
      </c>
      <c r="C925" s="7" t="s">
        <v>2842</v>
      </c>
      <c r="D925" s="34">
        <v>2</v>
      </c>
      <c r="E925" s="22" t="s">
        <v>2753</v>
      </c>
      <c r="F925" s="22"/>
      <c r="G925" s="22" t="s">
        <v>2749</v>
      </c>
      <c r="H925" s="7"/>
      <c r="I925" s="35"/>
      <c r="J925" s="30">
        <f>IF(OR($F925="",$I925=""),0,IFERROR(INDEX(Nutrition!$D$2:$D$300,MATCH($F925,Nutrition!$A$2:$A$300,0))*$I925/100,0))</f>
        <v>0</v>
      </c>
      <c r="K925" s="30">
        <f>IF(OR($F925="",$I925=""),0,IFERROR(INDEX(Nutrition!$E$2:$E$300,MATCH($F925,Nutrition!$A$2:$A$300,0))*$I925/100,0))</f>
        <v>0</v>
      </c>
      <c r="L925" s="30">
        <f>IF(OR($F925="",$I925=""),0,IFERROR(INDEX(Nutrition!$F$2:$F$300,MATCH($F925,Nutrition!$A$2:$A$300,0))*$I925/100,0))</f>
        <v>0</v>
      </c>
      <c r="M925" s="30">
        <f>IF(OR($F925="",$I925=""),0,IFERROR(INDEX(Nutrition!$G$2:$G$300,MATCH($F925,Nutrition!$A$2:$A$300,0))*$I925/100,0))</f>
        <v>0</v>
      </c>
      <c r="N925" s="30">
        <f>IF(OR($F925="",$I925=""),0,IFERROR(INDEX(Nutrition!$H$2:$H$300,MATCH($F925,Nutrition!$A$2:$A$300,0))*$I925/100,0))</f>
        <v>0</v>
      </c>
      <c r="O925" s="30">
        <f>IF(OR($F925="",$I925=""),0,IFERROR(INDEX(Nutrition!$I$2:$I$300,MATCH($F925,Nutrition!$A$2:$A$300,0))*$I925/100,0))</f>
        <v>0</v>
      </c>
      <c r="P925" s="30">
        <f>IF(OR($F925="",$I925=""),0,IFERROR(INDEX(Nutrition!$J$2:$J$300,MATCH($F925,Nutrition!$A$2:$A$300,0))*$I925/100,0))</f>
        <v>0</v>
      </c>
      <c r="Q925" s="30">
        <f>IF(OR($F925="",$I925=""),0,IFERROR(INDEX(Nutrition!$K$2:$K$300,MATCH($F925,Nutrition!$A$2:$A$300,0))*$I925/100,0))</f>
        <v>0</v>
      </c>
      <c r="R925" s="30">
        <f>IF(OR($F925="",$I925=""),0,IFERROR(INDEX(Nutrition!$L$2:$L$300,MATCH($F925,Nutrition!$A$2:$A$300,0))*$I925/100,0))</f>
        <v>0</v>
      </c>
      <c r="S925" s="30">
        <f>IF(OR($F925="",$I925=""),0,IFERROR(INDEX(Nutrition!$M$2:$M$300,MATCH($F925,Nutrition!$A$2:$A$300,0))*$I925/100,0))</f>
        <v>0</v>
      </c>
    </row>
    <row r="926" spans="1:19" ht="15" customHeight="1" x14ac:dyDescent="0.25">
      <c r="A926" s="22" t="s">
        <v>2100</v>
      </c>
      <c r="B926" s="33" t="str">
        <f>IFERROR(INDEX(Recipes!$B$2:$B$500,MATCH(A926,Recipes!$A$2:$A$500,0)),"")</f>
        <v>Creamy Mushroom Sauce</v>
      </c>
      <c r="C926" s="7" t="s">
        <v>2978</v>
      </c>
      <c r="D926" s="34">
        <v>0.5</v>
      </c>
      <c r="E926" s="22" t="s">
        <v>2748</v>
      </c>
      <c r="F926" s="22"/>
      <c r="G926" s="22" t="s">
        <v>2749</v>
      </c>
      <c r="H926" s="7"/>
      <c r="I926" s="35"/>
      <c r="J926" s="30">
        <f>IF(OR($F926="",$I926=""),0,IFERROR(INDEX(Nutrition!$D$2:$D$300,MATCH($F926,Nutrition!$A$2:$A$300,0))*$I926/100,0))</f>
        <v>0</v>
      </c>
      <c r="K926" s="30">
        <f>IF(OR($F926="",$I926=""),0,IFERROR(INDEX(Nutrition!$E$2:$E$300,MATCH($F926,Nutrition!$A$2:$A$300,0))*$I926/100,0))</f>
        <v>0</v>
      </c>
      <c r="L926" s="30">
        <f>IF(OR($F926="",$I926=""),0,IFERROR(INDEX(Nutrition!$F$2:$F$300,MATCH($F926,Nutrition!$A$2:$A$300,0))*$I926/100,0))</f>
        <v>0</v>
      </c>
      <c r="M926" s="30">
        <f>IF(OR($F926="",$I926=""),0,IFERROR(INDEX(Nutrition!$G$2:$G$300,MATCH($F926,Nutrition!$A$2:$A$300,0))*$I926/100,0))</f>
        <v>0</v>
      </c>
      <c r="N926" s="30">
        <f>IF(OR($F926="",$I926=""),0,IFERROR(INDEX(Nutrition!$H$2:$H$300,MATCH($F926,Nutrition!$A$2:$A$300,0))*$I926/100,0))</f>
        <v>0</v>
      </c>
      <c r="O926" s="30">
        <f>IF(OR($F926="",$I926=""),0,IFERROR(INDEX(Nutrition!$I$2:$I$300,MATCH($F926,Nutrition!$A$2:$A$300,0))*$I926/100,0))</f>
        <v>0</v>
      </c>
      <c r="P926" s="30">
        <f>IF(OR($F926="",$I926=""),0,IFERROR(INDEX(Nutrition!$J$2:$J$300,MATCH($F926,Nutrition!$A$2:$A$300,0))*$I926/100,0))</f>
        <v>0</v>
      </c>
      <c r="Q926" s="30">
        <f>IF(OR($F926="",$I926=""),0,IFERROR(INDEX(Nutrition!$K$2:$K$300,MATCH($F926,Nutrition!$A$2:$A$300,0))*$I926/100,0))</f>
        <v>0</v>
      </c>
      <c r="R926" s="30">
        <f>IF(OR($F926="",$I926=""),0,IFERROR(INDEX(Nutrition!$L$2:$L$300,MATCH($F926,Nutrition!$A$2:$A$300,0))*$I926/100,0))</f>
        <v>0</v>
      </c>
      <c r="S926" s="30">
        <f>IF(OR($F926="",$I926=""),0,IFERROR(INDEX(Nutrition!$M$2:$M$300,MATCH($F926,Nutrition!$A$2:$A$300,0))*$I926/100,0))</f>
        <v>0</v>
      </c>
    </row>
    <row r="927" spans="1:19" ht="15" customHeight="1" x14ac:dyDescent="0.25">
      <c r="A927" s="22" t="s">
        <v>2100</v>
      </c>
      <c r="B927" s="33" t="str">
        <f>IFERROR(INDEX(Recipes!$B$2:$B$500,MATCH(A927,Recipes!$A$2:$A$500,0)),"")</f>
        <v>Creamy Mushroom Sauce</v>
      </c>
      <c r="C927" s="7" t="s">
        <v>2992</v>
      </c>
      <c r="D927" s="34">
        <v>1</v>
      </c>
      <c r="E927" s="22" t="s">
        <v>2748</v>
      </c>
      <c r="F927" s="22"/>
      <c r="G927" s="22" t="s">
        <v>2749</v>
      </c>
      <c r="H927" s="7"/>
      <c r="I927" s="35"/>
      <c r="J927" s="30">
        <f>IF(OR($F927="",$I927=""),0,IFERROR(INDEX(Nutrition!$D$2:$D$300,MATCH($F927,Nutrition!$A$2:$A$300,0))*$I927/100,0))</f>
        <v>0</v>
      </c>
      <c r="K927" s="30">
        <f>IF(OR($F927="",$I927=""),0,IFERROR(INDEX(Nutrition!$E$2:$E$300,MATCH($F927,Nutrition!$A$2:$A$300,0))*$I927/100,0))</f>
        <v>0</v>
      </c>
      <c r="L927" s="30">
        <f>IF(OR($F927="",$I927=""),0,IFERROR(INDEX(Nutrition!$F$2:$F$300,MATCH($F927,Nutrition!$A$2:$A$300,0))*$I927/100,0))</f>
        <v>0</v>
      </c>
      <c r="M927" s="30">
        <f>IF(OR($F927="",$I927=""),0,IFERROR(INDEX(Nutrition!$G$2:$G$300,MATCH($F927,Nutrition!$A$2:$A$300,0))*$I927/100,0))</f>
        <v>0</v>
      </c>
      <c r="N927" s="30">
        <f>IF(OR($F927="",$I927=""),0,IFERROR(INDEX(Nutrition!$H$2:$H$300,MATCH($F927,Nutrition!$A$2:$A$300,0))*$I927/100,0))</f>
        <v>0</v>
      </c>
      <c r="O927" s="30">
        <f>IF(OR($F927="",$I927=""),0,IFERROR(INDEX(Nutrition!$I$2:$I$300,MATCH($F927,Nutrition!$A$2:$A$300,0))*$I927/100,0))</f>
        <v>0</v>
      </c>
      <c r="P927" s="30">
        <f>IF(OR($F927="",$I927=""),0,IFERROR(INDEX(Nutrition!$J$2:$J$300,MATCH($F927,Nutrition!$A$2:$A$300,0))*$I927/100,0))</f>
        <v>0</v>
      </c>
      <c r="Q927" s="30">
        <f>IF(OR($F927="",$I927=""),0,IFERROR(INDEX(Nutrition!$K$2:$K$300,MATCH($F927,Nutrition!$A$2:$A$300,0))*$I927/100,0))</f>
        <v>0</v>
      </c>
      <c r="R927" s="30">
        <f>IF(OR($F927="",$I927=""),0,IFERROR(INDEX(Nutrition!$L$2:$L$300,MATCH($F927,Nutrition!$A$2:$A$300,0))*$I927/100,0))</f>
        <v>0</v>
      </c>
      <c r="S927" s="30">
        <f>IF(OR($F927="",$I927=""),0,IFERROR(INDEX(Nutrition!$M$2:$M$300,MATCH($F927,Nutrition!$A$2:$A$300,0))*$I927/100,0))</f>
        <v>0</v>
      </c>
    </row>
    <row r="928" spans="1:19" ht="15" customHeight="1" x14ac:dyDescent="0.25">
      <c r="A928" s="22" t="s">
        <v>2100</v>
      </c>
      <c r="B928" s="33" t="str">
        <f>IFERROR(INDEX(Recipes!$B$2:$B$500,MATCH(A928,Recipes!$A$2:$A$500,0)),"")</f>
        <v>Creamy Mushroom Sauce</v>
      </c>
      <c r="C928" s="7" t="s">
        <v>2906</v>
      </c>
      <c r="D928" s="34">
        <v>1</v>
      </c>
      <c r="E928" s="22" t="s">
        <v>2782</v>
      </c>
      <c r="F928" s="22"/>
      <c r="G928" s="22" t="s">
        <v>2773</v>
      </c>
      <c r="H928" s="7"/>
      <c r="I928" s="35"/>
      <c r="J928" s="30">
        <f>IF(OR($F928="",$I928=""),0,IFERROR(INDEX(Nutrition!$D$2:$D$300,MATCH($F928,Nutrition!$A$2:$A$300,0))*$I928/100,0))</f>
        <v>0</v>
      </c>
      <c r="K928" s="30">
        <f>IF(OR($F928="",$I928=""),0,IFERROR(INDEX(Nutrition!$E$2:$E$300,MATCH($F928,Nutrition!$A$2:$A$300,0))*$I928/100,0))</f>
        <v>0</v>
      </c>
      <c r="L928" s="30">
        <f>IF(OR($F928="",$I928=""),0,IFERROR(INDEX(Nutrition!$F$2:$F$300,MATCH($F928,Nutrition!$A$2:$A$300,0))*$I928/100,0))</f>
        <v>0</v>
      </c>
      <c r="M928" s="30">
        <f>IF(OR($F928="",$I928=""),0,IFERROR(INDEX(Nutrition!$G$2:$G$300,MATCH($F928,Nutrition!$A$2:$A$300,0))*$I928/100,0))</f>
        <v>0</v>
      </c>
      <c r="N928" s="30">
        <f>IF(OR($F928="",$I928=""),0,IFERROR(INDEX(Nutrition!$H$2:$H$300,MATCH($F928,Nutrition!$A$2:$A$300,0))*$I928/100,0))</f>
        <v>0</v>
      </c>
      <c r="O928" s="30">
        <f>IF(OR($F928="",$I928=""),0,IFERROR(INDEX(Nutrition!$I$2:$I$300,MATCH($F928,Nutrition!$A$2:$A$300,0))*$I928/100,0))</f>
        <v>0</v>
      </c>
      <c r="P928" s="30">
        <f>IF(OR($F928="",$I928=""),0,IFERROR(INDEX(Nutrition!$J$2:$J$300,MATCH($F928,Nutrition!$A$2:$A$300,0))*$I928/100,0))</f>
        <v>0</v>
      </c>
      <c r="Q928" s="30">
        <f>IF(OR($F928="",$I928=""),0,IFERROR(INDEX(Nutrition!$K$2:$K$300,MATCH($F928,Nutrition!$A$2:$A$300,0))*$I928/100,0))</f>
        <v>0</v>
      </c>
      <c r="R928" s="30">
        <f>IF(OR($F928="",$I928=""),0,IFERROR(INDEX(Nutrition!$L$2:$L$300,MATCH($F928,Nutrition!$A$2:$A$300,0))*$I928/100,0))</f>
        <v>0</v>
      </c>
      <c r="S928" s="30">
        <f>IF(OR($F928="",$I928=""),0,IFERROR(INDEX(Nutrition!$M$2:$M$300,MATCH($F928,Nutrition!$A$2:$A$300,0))*$I928/100,0))</f>
        <v>0</v>
      </c>
    </row>
    <row r="929" spans="1:19" ht="15" customHeight="1" x14ac:dyDescent="0.25">
      <c r="A929" s="22" t="s">
        <v>2112</v>
      </c>
      <c r="B929" s="33" t="str">
        <f>IFERROR(INDEX(Recipes!$B$2:$B$500,MATCH(A929,Recipes!$A$2:$A$500,0)),"")</f>
        <v>Classic Creamy Coleslaw</v>
      </c>
      <c r="C929" s="7" t="s">
        <v>537</v>
      </c>
      <c r="D929" s="34">
        <v>7</v>
      </c>
      <c r="E929" s="22" t="s">
        <v>2790</v>
      </c>
      <c r="F929" s="22" t="s">
        <v>536</v>
      </c>
      <c r="G929" s="22" t="s">
        <v>2755</v>
      </c>
      <c r="H929" s="7" t="s">
        <v>2993</v>
      </c>
      <c r="I929" s="35">
        <v>623</v>
      </c>
      <c r="J929" s="30">
        <f>IF(OR($F929="",$I929=""),0,IFERROR(INDEX(Nutrition!$D$2:$D$300,MATCH($F929,Nutrition!$A$2:$A$300,0))*$I929/100,0))</f>
        <v>15.574999999999999</v>
      </c>
      <c r="K929" s="30">
        <f>IF(OR($F929="",$I929=""),0,IFERROR(INDEX(Nutrition!$E$2:$E$300,MATCH($F929,Nutrition!$A$2:$A$300,0))*$I929/100,0))</f>
        <v>228.018</v>
      </c>
      <c r="L929" s="30">
        <f>IF(OR($F929="",$I929=""),0,IFERROR(INDEX(Nutrition!$F$2:$F$300,MATCH($F929,Nutrition!$A$2:$A$300,0))*$I929/100,0))</f>
        <v>31.15</v>
      </c>
      <c r="M929" s="30">
        <f>IF(OR($F929="",$I929=""),0,IFERROR(INDEX(Nutrition!$G$2:$G$300,MATCH($F929,Nutrition!$A$2:$A$300,0))*$I929/100,0))</f>
        <v>473.48</v>
      </c>
      <c r="N929" s="30">
        <f>IF(OR($F929="",$I929=""),0,IFERROR(INDEX(Nutrition!$H$2:$H$300,MATCH($F929,Nutrition!$A$2:$A$300,0))*$I929/100,0))</f>
        <v>267.89</v>
      </c>
      <c r="O929" s="30">
        <f>IF(OR($F929="",$I929=""),0,IFERROR(INDEX(Nutrition!$I$2:$I$300,MATCH($F929,Nutrition!$A$2:$A$300,0))*$I929/100,0))</f>
        <v>1059.0999999999999</v>
      </c>
      <c r="P929" s="30">
        <f>IF(OR($F929="",$I929=""),0,IFERROR(INDEX(Nutrition!$J$2:$J$300,MATCH($F929,Nutrition!$A$2:$A$300,0))*$I929/100,0))</f>
        <v>0.9345</v>
      </c>
      <c r="Q929" s="30">
        <f>IF(OR($F929="",$I929=""),0,IFERROR(INDEX(Nutrition!$K$2:$K$300,MATCH($F929,Nutrition!$A$2:$A$300,0))*$I929/100,0))</f>
        <v>0.77251999999999998</v>
      </c>
      <c r="R929" s="30">
        <f>IF(OR($F929="",$I929=""),0,IFERROR(INDEX(Nutrition!$L$2:$L$300,MATCH($F929,Nutrition!$A$2:$A$300,0))*$I929/100,0))</f>
        <v>74.760000000000005</v>
      </c>
      <c r="S929" s="30">
        <f>IF(OR($F929="",$I929=""),0,IFERROR(INDEX(Nutrition!$M$2:$M$300,MATCH($F929,Nutrition!$A$2:$A$300,0))*$I929/100,0))</f>
        <v>2.9281000000000001</v>
      </c>
    </row>
    <row r="930" spans="1:19" ht="15" customHeight="1" x14ac:dyDescent="0.25">
      <c r="A930" s="22" t="s">
        <v>2112</v>
      </c>
      <c r="B930" s="33" t="str">
        <f>IFERROR(INDEX(Recipes!$B$2:$B$500,MATCH(A930,Recipes!$A$2:$A$500,0)),"")</f>
        <v>Classic Creamy Coleslaw</v>
      </c>
      <c r="C930" s="7" t="s">
        <v>529</v>
      </c>
      <c r="D930" s="34">
        <v>1</v>
      </c>
      <c r="E930" s="22" t="s">
        <v>2754</v>
      </c>
      <c r="F930" s="22" t="s">
        <v>528</v>
      </c>
      <c r="G930" s="22" t="s">
        <v>2755</v>
      </c>
      <c r="H930" s="7" t="s">
        <v>2791</v>
      </c>
      <c r="I930" s="35">
        <v>61</v>
      </c>
      <c r="J930" s="30">
        <f>IF(OR($F930="",$I930=""),0,IFERROR(INDEX(Nutrition!$D$2:$D$300,MATCH($F930,Nutrition!$A$2:$A$300,0))*$I930/100,0))</f>
        <v>1.7079999999999997</v>
      </c>
      <c r="K930" s="30">
        <f>IF(OR($F930="",$I930=""),0,IFERROR(INDEX(Nutrition!$E$2:$E$300,MATCH($F930,Nutrition!$A$2:$A$300,0))*$I930/100,0))</f>
        <v>3.5990000000000002</v>
      </c>
      <c r="L930" s="30">
        <f>IF(OR($F930="",$I930=""),0,IFERROR(INDEX(Nutrition!$F$2:$F$300,MATCH($F930,Nutrition!$A$2:$A$300,0))*$I930/100,0))</f>
        <v>509.35</v>
      </c>
      <c r="M930" s="30">
        <f>IF(OR($F930="",$I930=""),0,IFERROR(INDEX(Nutrition!$G$2:$G$300,MATCH($F930,Nutrition!$A$2:$A$300,0))*$I930/100,0))</f>
        <v>8.0519999999999996</v>
      </c>
      <c r="N930" s="30">
        <f>IF(OR($F930="",$I930=""),0,IFERROR(INDEX(Nutrition!$H$2:$H$300,MATCH($F930,Nutrition!$A$2:$A$300,0))*$I930/100,0))</f>
        <v>11.59</v>
      </c>
      <c r="O930" s="30">
        <f>IF(OR($F930="",$I930=""),0,IFERROR(INDEX(Nutrition!$I$2:$I$300,MATCH($F930,Nutrition!$A$2:$A$300,0))*$I930/100,0))</f>
        <v>195.2</v>
      </c>
      <c r="P930" s="30">
        <f>IF(OR($F930="",$I930=""),0,IFERROR(INDEX(Nutrition!$J$2:$J$300,MATCH($F930,Nutrition!$A$2:$A$300,0))*$I930/100,0))</f>
        <v>0.40260000000000007</v>
      </c>
      <c r="Q930" s="30">
        <f>IF(OR($F930="",$I930=""),0,IFERROR(INDEX(Nutrition!$K$2:$K$300,MATCH($F930,Nutrition!$A$2:$A$300,0))*$I930/100,0))</f>
        <v>8.4180000000000005E-2</v>
      </c>
      <c r="R930" s="30">
        <f>IF(OR($F930="",$I930=""),0,IFERROR(INDEX(Nutrition!$L$2:$L$300,MATCH($F930,Nutrition!$A$2:$A$300,0))*$I930/100,0))</f>
        <v>7.32</v>
      </c>
      <c r="S930" s="30">
        <f>IF(OR($F930="",$I930=""),0,IFERROR(INDEX(Nutrition!$M$2:$M$300,MATCH($F930,Nutrition!$A$2:$A$300,0))*$I930/100,0))</f>
        <v>0.183</v>
      </c>
    </row>
    <row r="931" spans="1:19" ht="15" customHeight="1" x14ac:dyDescent="0.25">
      <c r="A931" s="22" t="s">
        <v>2112</v>
      </c>
      <c r="B931" s="33" t="str">
        <f>IFERROR(INDEX(Recipes!$B$2:$B$500,MATCH(A931,Recipes!$A$2:$A$500,0)),"")</f>
        <v>Classic Creamy Coleslaw</v>
      </c>
      <c r="C931" s="7" t="s">
        <v>213</v>
      </c>
      <c r="D931" s="34">
        <v>0.5</v>
      </c>
      <c r="E931" s="22" t="s">
        <v>2754</v>
      </c>
      <c r="F931" s="22" t="s">
        <v>212</v>
      </c>
      <c r="G931" s="22" t="s">
        <v>2755</v>
      </c>
      <c r="H931" s="7" t="s">
        <v>2912</v>
      </c>
      <c r="I931" s="35">
        <v>34</v>
      </c>
      <c r="J931" s="30">
        <f>IF(OR($F931="",$I931=""),0,IFERROR(INDEX(Nutrition!$D$2:$D$300,MATCH($F931,Nutrition!$A$2:$A$300,0))*$I931/100,0))</f>
        <v>0.95199999999999985</v>
      </c>
      <c r="K931" s="30">
        <f>IF(OR($F931="",$I931=""),0,IFERROR(INDEX(Nutrition!$E$2:$E$300,MATCH($F931,Nutrition!$A$2:$A$300,0))*$I931/100,0))</f>
        <v>9.8940000000000001</v>
      </c>
      <c r="L931" s="30">
        <f>IF(OR($F931="",$I931=""),0,IFERROR(INDEX(Nutrition!$F$2:$F$300,MATCH($F931,Nutrition!$A$2:$A$300,0))*$I931/100,0))</f>
        <v>0.68</v>
      </c>
      <c r="M931" s="30">
        <f>IF(OR($F931="",$I931=""),0,IFERROR(INDEX(Nutrition!$G$2:$G$300,MATCH($F931,Nutrition!$A$2:$A$300,0))*$I931/100,0))</f>
        <v>0.20399999999999999</v>
      </c>
      <c r="N931" s="30">
        <f>IF(OR($F931="",$I931=""),0,IFERROR(INDEX(Nutrition!$H$2:$H$300,MATCH($F931,Nutrition!$A$2:$A$300,0))*$I931/100,0))</f>
        <v>2.72</v>
      </c>
      <c r="O931" s="30">
        <f>IF(OR($F931="",$I931=""),0,IFERROR(INDEX(Nutrition!$I$2:$I$300,MATCH($F931,Nutrition!$A$2:$A$300,0))*$I931/100,0))</f>
        <v>34.68</v>
      </c>
      <c r="P931" s="30">
        <f>IF(OR($F931="",$I931=""),0,IFERROR(INDEX(Nutrition!$J$2:$J$300,MATCH($F931,Nutrition!$A$2:$A$300,0))*$I931/100,0))</f>
        <v>7.4800000000000005E-2</v>
      </c>
      <c r="Q931" s="30">
        <f>IF(OR($F931="",$I931=""),0,IFERROR(INDEX(Nutrition!$K$2:$K$300,MATCH($F931,Nutrition!$A$2:$A$300,0))*$I931/100,0))</f>
        <v>1.4619999999999999E-2</v>
      </c>
      <c r="R931" s="30">
        <f>IF(OR($F931="",$I931=""),0,IFERROR(INDEX(Nutrition!$L$2:$L$300,MATCH($F931,Nutrition!$A$2:$A$300,0))*$I931/100,0))</f>
        <v>2.04</v>
      </c>
      <c r="S931" s="30">
        <f>IF(OR($F931="",$I931=""),0,IFERROR(INDEX(Nutrition!$M$2:$M$300,MATCH($F931,Nutrition!$A$2:$A$300,0))*$I931/100,0))</f>
        <v>0.20399999999999999</v>
      </c>
    </row>
    <row r="932" spans="1:19" ht="15" customHeight="1" x14ac:dyDescent="0.25">
      <c r="A932" s="22" t="s">
        <v>2112</v>
      </c>
      <c r="B932" s="33" t="str">
        <f>IFERROR(INDEX(Recipes!$B$2:$B$500,MATCH(A932,Recipes!$A$2:$A$500,0)),"")</f>
        <v>Classic Creamy Coleslaw</v>
      </c>
      <c r="C932" s="7" t="s">
        <v>2994</v>
      </c>
      <c r="D932" s="34">
        <v>0.5</v>
      </c>
      <c r="E932" s="22" t="s">
        <v>2748</v>
      </c>
      <c r="F932" s="22"/>
      <c r="G932" s="22" t="s">
        <v>2749</v>
      </c>
      <c r="H932" s="7"/>
      <c r="I932" s="35"/>
      <c r="J932" s="30">
        <f>IF(OR($F932="",$I932=""),0,IFERROR(INDEX(Nutrition!$D$2:$D$300,MATCH($F932,Nutrition!$A$2:$A$300,0))*$I932/100,0))</f>
        <v>0</v>
      </c>
      <c r="K932" s="30">
        <f>IF(OR($F932="",$I932=""),0,IFERROR(INDEX(Nutrition!$E$2:$E$300,MATCH($F932,Nutrition!$A$2:$A$300,0))*$I932/100,0))</f>
        <v>0</v>
      </c>
      <c r="L932" s="30">
        <f>IF(OR($F932="",$I932=""),0,IFERROR(INDEX(Nutrition!$F$2:$F$300,MATCH($F932,Nutrition!$A$2:$A$300,0))*$I932/100,0))</f>
        <v>0</v>
      </c>
      <c r="M932" s="30">
        <f>IF(OR($F932="",$I932=""),0,IFERROR(INDEX(Nutrition!$G$2:$G$300,MATCH($F932,Nutrition!$A$2:$A$300,0))*$I932/100,0))</f>
        <v>0</v>
      </c>
      <c r="N932" s="30">
        <f>IF(OR($F932="",$I932=""),0,IFERROR(INDEX(Nutrition!$H$2:$H$300,MATCH($F932,Nutrition!$A$2:$A$300,0))*$I932/100,0))</f>
        <v>0</v>
      </c>
      <c r="O932" s="30">
        <f>IF(OR($F932="",$I932=""),0,IFERROR(INDEX(Nutrition!$I$2:$I$300,MATCH($F932,Nutrition!$A$2:$A$300,0))*$I932/100,0))</f>
        <v>0</v>
      </c>
      <c r="P932" s="30">
        <f>IF(OR($F932="",$I932=""),0,IFERROR(INDEX(Nutrition!$J$2:$J$300,MATCH($F932,Nutrition!$A$2:$A$300,0))*$I932/100,0))</f>
        <v>0</v>
      </c>
      <c r="Q932" s="30">
        <f>IF(OR($F932="",$I932=""),0,IFERROR(INDEX(Nutrition!$K$2:$K$300,MATCH($F932,Nutrition!$A$2:$A$300,0))*$I932/100,0))</f>
        <v>0</v>
      </c>
      <c r="R932" s="30">
        <f>IF(OR($F932="",$I932=""),0,IFERROR(INDEX(Nutrition!$L$2:$L$300,MATCH($F932,Nutrition!$A$2:$A$300,0))*$I932/100,0))</f>
        <v>0</v>
      </c>
      <c r="S932" s="30">
        <f>IF(OR($F932="",$I932=""),0,IFERROR(INDEX(Nutrition!$M$2:$M$300,MATCH($F932,Nutrition!$A$2:$A$300,0))*$I932/100,0))</f>
        <v>0</v>
      </c>
    </row>
    <row r="933" spans="1:19" ht="15" customHeight="1" x14ac:dyDescent="0.25">
      <c r="A933" s="22" t="s">
        <v>2112</v>
      </c>
      <c r="B933" s="33" t="str">
        <f>IFERROR(INDEX(Recipes!$B$2:$B$500,MATCH(A933,Recipes!$A$2:$A$500,0)),"")</f>
        <v>Classic Creamy Coleslaw</v>
      </c>
      <c r="C933" s="7" t="s">
        <v>2751</v>
      </c>
      <c r="D933" s="34">
        <v>0.5</v>
      </c>
      <c r="E933" s="22" t="s">
        <v>2748</v>
      </c>
      <c r="F933" s="22"/>
      <c r="G933" s="22" t="s">
        <v>2749</v>
      </c>
      <c r="H933" s="7"/>
      <c r="I933" s="35"/>
      <c r="J933" s="30">
        <f>IF(OR($F933="",$I933=""),0,IFERROR(INDEX(Nutrition!$D$2:$D$300,MATCH($F933,Nutrition!$A$2:$A$300,0))*$I933/100,0))</f>
        <v>0</v>
      </c>
      <c r="K933" s="30">
        <f>IF(OR($F933="",$I933=""),0,IFERROR(INDEX(Nutrition!$E$2:$E$300,MATCH($F933,Nutrition!$A$2:$A$300,0))*$I933/100,0))</f>
        <v>0</v>
      </c>
      <c r="L933" s="30">
        <f>IF(OR($F933="",$I933=""),0,IFERROR(INDEX(Nutrition!$F$2:$F$300,MATCH($F933,Nutrition!$A$2:$A$300,0))*$I933/100,0))</f>
        <v>0</v>
      </c>
      <c r="M933" s="30">
        <f>IF(OR($F933="",$I933=""),0,IFERROR(INDEX(Nutrition!$G$2:$G$300,MATCH($F933,Nutrition!$A$2:$A$300,0))*$I933/100,0))</f>
        <v>0</v>
      </c>
      <c r="N933" s="30">
        <f>IF(OR($F933="",$I933=""),0,IFERROR(INDEX(Nutrition!$H$2:$H$300,MATCH($F933,Nutrition!$A$2:$A$300,0))*$I933/100,0))</f>
        <v>0</v>
      </c>
      <c r="O933" s="30">
        <f>IF(OR($F933="",$I933=""),0,IFERROR(INDEX(Nutrition!$I$2:$I$300,MATCH($F933,Nutrition!$A$2:$A$300,0))*$I933/100,0))</f>
        <v>0</v>
      </c>
      <c r="P933" s="30">
        <f>IF(OR($F933="",$I933=""),0,IFERROR(INDEX(Nutrition!$J$2:$J$300,MATCH($F933,Nutrition!$A$2:$A$300,0))*$I933/100,0))</f>
        <v>0</v>
      </c>
      <c r="Q933" s="30">
        <f>IF(OR($F933="",$I933=""),0,IFERROR(INDEX(Nutrition!$K$2:$K$300,MATCH($F933,Nutrition!$A$2:$A$300,0))*$I933/100,0))</f>
        <v>0</v>
      </c>
      <c r="R933" s="30">
        <f>IF(OR($F933="",$I933=""),0,IFERROR(INDEX(Nutrition!$L$2:$L$300,MATCH($F933,Nutrition!$A$2:$A$300,0))*$I933/100,0))</f>
        <v>0</v>
      </c>
      <c r="S933" s="30">
        <f>IF(OR($F933="",$I933=""),0,IFERROR(INDEX(Nutrition!$M$2:$M$300,MATCH($F933,Nutrition!$A$2:$A$300,0))*$I933/100,0))</f>
        <v>0</v>
      </c>
    </row>
    <row r="934" spans="1:19" ht="15" customHeight="1" x14ac:dyDescent="0.25">
      <c r="A934" s="22" t="s">
        <v>2112</v>
      </c>
      <c r="B934" s="33" t="str">
        <f>IFERROR(INDEX(Recipes!$B$2:$B$500,MATCH(A934,Recipes!$A$2:$A$500,0)),"")</f>
        <v>Classic Creamy Coleslaw</v>
      </c>
      <c r="C934" s="7" t="s">
        <v>2818</v>
      </c>
      <c r="D934" s="34">
        <v>2</v>
      </c>
      <c r="E934" s="22" t="s">
        <v>2759</v>
      </c>
      <c r="F934" s="22"/>
      <c r="G934" s="22" t="s">
        <v>2749</v>
      </c>
      <c r="H934" s="7"/>
      <c r="I934" s="35"/>
      <c r="J934" s="30">
        <f>IF(OR($F934="",$I934=""),0,IFERROR(INDEX(Nutrition!$D$2:$D$300,MATCH($F934,Nutrition!$A$2:$A$300,0))*$I934/100,0))</f>
        <v>0</v>
      </c>
      <c r="K934" s="30">
        <f>IF(OR($F934="",$I934=""),0,IFERROR(INDEX(Nutrition!$E$2:$E$300,MATCH($F934,Nutrition!$A$2:$A$300,0))*$I934/100,0))</f>
        <v>0</v>
      </c>
      <c r="L934" s="30">
        <f>IF(OR($F934="",$I934=""),0,IFERROR(INDEX(Nutrition!$F$2:$F$300,MATCH($F934,Nutrition!$A$2:$A$300,0))*$I934/100,0))</f>
        <v>0</v>
      </c>
      <c r="M934" s="30">
        <f>IF(OR($F934="",$I934=""),0,IFERROR(INDEX(Nutrition!$G$2:$G$300,MATCH($F934,Nutrition!$A$2:$A$300,0))*$I934/100,0))</f>
        <v>0</v>
      </c>
      <c r="N934" s="30">
        <f>IF(OR($F934="",$I934=""),0,IFERROR(INDEX(Nutrition!$H$2:$H$300,MATCH($F934,Nutrition!$A$2:$A$300,0))*$I934/100,0))</f>
        <v>0</v>
      </c>
      <c r="O934" s="30">
        <f>IF(OR($F934="",$I934=""),0,IFERROR(INDEX(Nutrition!$I$2:$I$300,MATCH($F934,Nutrition!$A$2:$A$300,0))*$I934/100,0))</f>
        <v>0</v>
      </c>
      <c r="P934" s="30">
        <f>IF(OR($F934="",$I934=""),0,IFERROR(INDEX(Nutrition!$J$2:$J$300,MATCH($F934,Nutrition!$A$2:$A$300,0))*$I934/100,0))</f>
        <v>0</v>
      </c>
      <c r="Q934" s="30">
        <f>IF(OR($F934="",$I934=""),0,IFERROR(INDEX(Nutrition!$K$2:$K$300,MATCH($F934,Nutrition!$A$2:$A$300,0))*$I934/100,0))</f>
        <v>0</v>
      </c>
      <c r="R934" s="30">
        <f>IF(OR($F934="",$I934=""),0,IFERROR(INDEX(Nutrition!$L$2:$L$300,MATCH($F934,Nutrition!$A$2:$A$300,0))*$I934/100,0))</f>
        <v>0</v>
      </c>
      <c r="S934" s="30">
        <f>IF(OR($F934="",$I934=""),0,IFERROR(INDEX(Nutrition!$M$2:$M$300,MATCH($F934,Nutrition!$A$2:$A$300,0))*$I934/100,0))</f>
        <v>0</v>
      </c>
    </row>
    <row r="935" spans="1:19" ht="15" customHeight="1" x14ac:dyDescent="0.25">
      <c r="A935" s="22" t="s">
        <v>2112</v>
      </c>
      <c r="B935" s="33" t="str">
        <f>IFERROR(INDEX(Recipes!$B$2:$B$500,MATCH(A935,Recipes!$A$2:$A$500,0)),"")</f>
        <v>Classic Creamy Coleslaw</v>
      </c>
      <c r="C935" s="7" t="s">
        <v>2917</v>
      </c>
      <c r="D935" s="34">
        <v>1</v>
      </c>
      <c r="E935" s="22" t="s">
        <v>2753</v>
      </c>
      <c r="F935" s="22"/>
      <c r="G935" s="22" t="s">
        <v>2749</v>
      </c>
      <c r="H935" s="7"/>
      <c r="I935" s="35"/>
      <c r="J935" s="30">
        <f>IF(OR($F935="",$I935=""),0,IFERROR(INDEX(Nutrition!$D$2:$D$300,MATCH($F935,Nutrition!$A$2:$A$300,0))*$I935/100,0))</f>
        <v>0</v>
      </c>
      <c r="K935" s="30">
        <f>IF(OR($F935="",$I935=""),0,IFERROR(INDEX(Nutrition!$E$2:$E$300,MATCH($F935,Nutrition!$A$2:$A$300,0))*$I935/100,0))</f>
        <v>0</v>
      </c>
      <c r="L935" s="30">
        <f>IF(OR($F935="",$I935=""),0,IFERROR(INDEX(Nutrition!$F$2:$F$300,MATCH($F935,Nutrition!$A$2:$A$300,0))*$I935/100,0))</f>
        <v>0</v>
      </c>
      <c r="M935" s="30">
        <f>IF(OR($F935="",$I935=""),0,IFERROR(INDEX(Nutrition!$G$2:$G$300,MATCH($F935,Nutrition!$A$2:$A$300,0))*$I935/100,0))</f>
        <v>0</v>
      </c>
      <c r="N935" s="30">
        <f>IF(OR($F935="",$I935=""),0,IFERROR(INDEX(Nutrition!$H$2:$H$300,MATCH($F935,Nutrition!$A$2:$A$300,0))*$I935/100,0))</f>
        <v>0</v>
      </c>
      <c r="O935" s="30">
        <f>IF(OR($F935="",$I935=""),0,IFERROR(INDEX(Nutrition!$I$2:$I$300,MATCH($F935,Nutrition!$A$2:$A$300,0))*$I935/100,0))</f>
        <v>0</v>
      </c>
      <c r="P935" s="30">
        <f>IF(OR($F935="",$I935=""),0,IFERROR(INDEX(Nutrition!$J$2:$J$300,MATCH($F935,Nutrition!$A$2:$A$300,0))*$I935/100,0))</f>
        <v>0</v>
      </c>
      <c r="Q935" s="30">
        <f>IF(OR($F935="",$I935=""),0,IFERROR(INDEX(Nutrition!$K$2:$K$300,MATCH($F935,Nutrition!$A$2:$A$300,0))*$I935/100,0))</f>
        <v>0</v>
      </c>
      <c r="R935" s="30">
        <f>IF(OR($F935="",$I935=""),0,IFERROR(INDEX(Nutrition!$L$2:$L$300,MATCH($F935,Nutrition!$A$2:$A$300,0))*$I935/100,0))</f>
        <v>0</v>
      </c>
      <c r="S935" s="30">
        <f>IF(OR($F935="",$I935=""),0,IFERROR(INDEX(Nutrition!$M$2:$M$300,MATCH($F935,Nutrition!$A$2:$A$300,0))*$I935/100,0))</f>
        <v>0</v>
      </c>
    </row>
    <row r="936" spans="1:19" ht="15" customHeight="1" x14ac:dyDescent="0.25">
      <c r="A936" s="22" t="s">
        <v>2112</v>
      </c>
      <c r="B936" s="33" t="str">
        <f>IFERROR(INDEX(Recipes!$B$2:$B$500,MATCH(A936,Recipes!$A$2:$A$500,0)),"")</f>
        <v>Classic Creamy Coleslaw</v>
      </c>
      <c r="C936" s="7" t="s">
        <v>2906</v>
      </c>
      <c r="D936" s="34">
        <v>1</v>
      </c>
      <c r="E936" s="22" t="s">
        <v>2782</v>
      </c>
      <c r="F936" s="22"/>
      <c r="G936" s="22" t="s">
        <v>2773</v>
      </c>
      <c r="H936" s="7"/>
      <c r="I936" s="35"/>
      <c r="J936" s="30">
        <f>IF(OR($F936="",$I936=""),0,IFERROR(INDEX(Nutrition!$D$2:$D$300,MATCH($F936,Nutrition!$A$2:$A$300,0))*$I936/100,0))</f>
        <v>0</v>
      </c>
      <c r="K936" s="30">
        <f>IF(OR($F936="",$I936=""),0,IFERROR(INDEX(Nutrition!$E$2:$E$300,MATCH($F936,Nutrition!$A$2:$A$300,0))*$I936/100,0))</f>
        <v>0</v>
      </c>
      <c r="L936" s="30">
        <f>IF(OR($F936="",$I936=""),0,IFERROR(INDEX(Nutrition!$F$2:$F$300,MATCH($F936,Nutrition!$A$2:$A$300,0))*$I936/100,0))</f>
        <v>0</v>
      </c>
      <c r="M936" s="30">
        <f>IF(OR($F936="",$I936=""),0,IFERROR(INDEX(Nutrition!$G$2:$G$300,MATCH($F936,Nutrition!$A$2:$A$300,0))*$I936/100,0))</f>
        <v>0</v>
      </c>
      <c r="N936" s="30">
        <f>IF(OR($F936="",$I936=""),0,IFERROR(INDEX(Nutrition!$H$2:$H$300,MATCH($F936,Nutrition!$A$2:$A$300,0))*$I936/100,0))</f>
        <v>0</v>
      </c>
      <c r="O936" s="30">
        <f>IF(OR($F936="",$I936=""),0,IFERROR(INDEX(Nutrition!$I$2:$I$300,MATCH($F936,Nutrition!$A$2:$A$300,0))*$I936/100,0))</f>
        <v>0</v>
      </c>
      <c r="P936" s="30">
        <f>IF(OR($F936="",$I936=""),0,IFERROR(INDEX(Nutrition!$J$2:$J$300,MATCH($F936,Nutrition!$A$2:$A$300,0))*$I936/100,0))</f>
        <v>0</v>
      </c>
      <c r="Q936" s="30">
        <f>IF(OR($F936="",$I936=""),0,IFERROR(INDEX(Nutrition!$K$2:$K$300,MATCH($F936,Nutrition!$A$2:$A$300,0))*$I936/100,0))</f>
        <v>0</v>
      </c>
      <c r="R936" s="30">
        <f>IF(OR($F936="",$I936=""),0,IFERROR(INDEX(Nutrition!$L$2:$L$300,MATCH($F936,Nutrition!$A$2:$A$300,0))*$I936/100,0))</f>
        <v>0</v>
      </c>
      <c r="S936" s="30">
        <f>IF(OR($F936="",$I936=""),0,IFERROR(INDEX(Nutrition!$M$2:$M$300,MATCH($F936,Nutrition!$A$2:$A$300,0))*$I936/100,0))</f>
        <v>0</v>
      </c>
    </row>
    <row r="937" spans="1:19" ht="15" customHeight="1" x14ac:dyDescent="0.25">
      <c r="A937" s="22" t="s">
        <v>2122</v>
      </c>
      <c r="B937" s="33" t="str">
        <f>IFERROR(INDEX(Recipes!$B$2:$B$500,MATCH(A937,Recipes!$A$2:$A$500,0)),"")</f>
        <v>Purple Cabbage Lime Slaw</v>
      </c>
      <c r="C937" s="7" t="s">
        <v>544</v>
      </c>
      <c r="D937" s="34">
        <v>4</v>
      </c>
      <c r="E937" s="22" t="s">
        <v>2790</v>
      </c>
      <c r="F937" s="22" t="s">
        <v>543</v>
      </c>
      <c r="G937" s="22" t="s">
        <v>2755</v>
      </c>
      <c r="H937" s="7" t="s">
        <v>2995</v>
      </c>
      <c r="I937" s="35">
        <v>450</v>
      </c>
      <c r="J937" s="30">
        <f>IF(OR($F937="",$I937=""),0,IFERROR(INDEX(Nutrition!$D$2:$D$300,MATCH($F937,Nutrition!$A$2:$A$300,0))*$I937/100,0))</f>
        <v>9.4499999999999993</v>
      </c>
      <c r="K937" s="30">
        <f>IF(OR($F937="",$I937=""),0,IFERROR(INDEX(Nutrition!$E$2:$E$300,MATCH($F937,Nutrition!$A$2:$A$300,0))*$I937/100,0))</f>
        <v>256.5</v>
      </c>
      <c r="L937" s="30">
        <f>IF(OR($F937="",$I937=""),0,IFERROR(INDEX(Nutrition!$F$2:$F$300,MATCH($F937,Nutrition!$A$2:$A$300,0))*$I937/100,0))</f>
        <v>252</v>
      </c>
      <c r="M937" s="30">
        <f>IF(OR($F937="",$I937=""),0,IFERROR(INDEX(Nutrition!$G$2:$G$300,MATCH($F937,Nutrition!$A$2:$A$300,0))*$I937/100,0))</f>
        <v>171.9</v>
      </c>
      <c r="N937" s="30">
        <f>IF(OR($F937="",$I937=""),0,IFERROR(INDEX(Nutrition!$H$2:$H$300,MATCH($F937,Nutrition!$A$2:$A$300,0))*$I937/100,0))</f>
        <v>81</v>
      </c>
      <c r="O937" s="30">
        <f>IF(OR($F937="",$I937=""),0,IFERROR(INDEX(Nutrition!$I$2:$I$300,MATCH($F937,Nutrition!$A$2:$A$300,0))*$I937/100,0))</f>
        <v>1093.5</v>
      </c>
      <c r="P937" s="30">
        <f>IF(OR($F937="",$I937=""),0,IFERROR(INDEX(Nutrition!$J$2:$J$300,MATCH($F937,Nutrition!$A$2:$A$300,0))*$I937/100,0))</f>
        <v>0.495</v>
      </c>
      <c r="Q937" s="30">
        <f>IF(OR($F937="",$I937=""),0,IFERROR(INDEX(Nutrition!$K$2:$K$300,MATCH($F937,Nutrition!$A$2:$A$300,0))*$I937/100,0))</f>
        <v>0.9405</v>
      </c>
      <c r="R937" s="30">
        <f>IF(OR($F937="",$I937=""),0,IFERROR(INDEX(Nutrition!$L$2:$L$300,MATCH($F937,Nutrition!$A$2:$A$300,0))*$I937/100,0))</f>
        <v>72</v>
      </c>
      <c r="S937" s="30">
        <f>IF(OR($F937="",$I937=""),0,IFERROR(INDEX(Nutrition!$M$2:$M$300,MATCH($F937,Nutrition!$A$2:$A$300,0))*$I937/100,0))</f>
        <v>3.6</v>
      </c>
    </row>
    <row r="938" spans="1:19" ht="15" customHeight="1" x14ac:dyDescent="0.25">
      <c r="A938" s="22" t="s">
        <v>2122</v>
      </c>
      <c r="B938" s="33" t="str">
        <f>IFERROR(INDEX(Recipes!$B$2:$B$500,MATCH(A938,Recipes!$A$2:$A$500,0)),"")</f>
        <v>Purple Cabbage Lime Slaw</v>
      </c>
      <c r="C938" s="7" t="s">
        <v>482</v>
      </c>
      <c r="D938" s="34">
        <v>0.5</v>
      </c>
      <c r="E938" s="22" t="s">
        <v>2748</v>
      </c>
      <c r="F938" s="22" t="s">
        <v>481</v>
      </c>
      <c r="G938" s="22" t="s">
        <v>2755</v>
      </c>
      <c r="H938" s="7" t="s">
        <v>2996</v>
      </c>
      <c r="I938" s="35">
        <v>80</v>
      </c>
      <c r="J938" s="30">
        <f>IF(OR($F938="",$I938=""),0,IFERROR(INDEX(Nutrition!$D$2:$D$300,MATCH($F938,Nutrition!$A$2:$A$300,0))*$I938/100,0))</f>
        <v>1.36</v>
      </c>
      <c r="K938" s="30">
        <f>IF(OR($F938="",$I938=""),0,IFERROR(INDEX(Nutrition!$E$2:$E$300,MATCH($F938,Nutrition!$A$2:$A$300,0))*$I938/100,0))</f>
        <v>5.92</v>
      </c>
      <c r="L938" s="30">
        <f>IF(OR($F938="",$I938=""),0,IFERROR(INDEX(Nutrition!$F$2:$F$300,MATCH($F938,Nutrition!$A$2:$A$300,0))*$I938/100,0))</f>
        <v>0</v>
      </c>
      <c r="M938" s="30">
        <f>IF(OR($F938="",$I938=""),0,IFERROR(INDEX(Nutrition!$G$2:$G$300,MATCH($F938,Nutrition!$A$2:$A$300,0))*$I938/100,0))</f>
        <v>0.32</v>
      </c>
      <c r="N938" s="30">
        <f>IF(OR($F938="",$I938=""),0,IFERROR(INDEX(Nutrition!$H$2:$H$300,MATCH($F938,Nutrition!$A$2:$A$300,0))*$I938/100,0))</f>
        <v>15.2</v>
      </c>
      <c r="O938" s="30">
        <f>IF(OR($F938="",$I938=""),0,IFERROR(INDEX(Nutrition!$I$2:$I$300,MATCH($F938,Nutrition!$A$2:$A$300,0))*$I938/100,0))</f>
        <v>116.8</v>
      </c>
      <c r="P938" s="30">
        <f>IF(OR($F938="",$I938=""),0,IFERROR(INDEX(Nutrition!$J$2:$J$300,MATCH($F938,Nutrition!$A$2:$A$300,0))*$I938/100,0))</f>
        <v>1.6E-2</v>
      </c>
      <c r="Q938" s="30">
        <f>IF(OR($F938="",$I938=""),0,IFERROR(INDEX(Nutrition!$K$2:$K$300,MATCH($F938,Nutrition!$A$2:$A$300,0))*$I938/100,0))</f>
        <v>9.6000000000000002E-2</v>
      </c>
      <c r="R938" s="30">
        <f>IF(OR($F938="",$I938=""),0,IFERROR(INDEX(Nutrition!$L$2:$L$300,MATCH($F938,Nutrition!$A$2:$A$300,0))*$I938/100,0))</f>
        <v>8</v>
      </c>
      <c r="S938" s="30">
        <f>IF(OR($F938="",$I938=""),0,IFERROR(INDEX(Nutrition!$M$2:$M$300,MATCH($F938,Nutrition!$A$2:$A$300,0))*$I938/100,0))</f>
        <v>0.16800000000000001</v>
      </c>
    </row>
    <row r="939" spans="1:19" ht="15" customHeight="1" x14ac:dyDescent="0.25">
      <c r="A939" s="22" t="s">
        <v>2122</v>
      </c>
      <c r="B939" s="33" t="str">
        <f>IFERROR(INDEX(Recipes!$B$2:$B$500,MATCH(A939,Recipes!$A$2:$A$500,0)),"")</f>
        <v>Purple Cabbage Lime Slaw</v>
      </c>
      <c r="C939" s="7" t="s">
        <v>668</v>
      </c>
      <c r="D939" s="34">
        <v>1</v>
      </c>
      <c r="E939" s="22" t="s">
        <v>2748</v>
      </c>
      <c r="F939" s="22" t="s">
        <v>667</v>
      </c>
      <c r="G939" s="22" t="s">
        <v>2755</v>
      </c>
      <c r="H939" s="7" t="s">
        <v>2997</v>
      </c>
      <c r="I939" s="35">
        <v>16</v>
      </c>
      <c r="J939" s="30">
        <f>IF(OR($F939="",$I939=""),0,IFERROR(INDEX(Nutrition!$D$2:$D$300,MATCH($F939,Nutrition!$A$2:$A$300,0))*$I939/100,0))</f>
        <v>0.44799999999999995</v>
      </c>
      <c r="K939" s="30">
        <f>IF(OR($F939="",$I939=""),0,IFERROR(INDEX(Nutrition!$E$2:$E$300,MATCH($F939,Nutrition!$A$2:$A$300,0))*$I939/100,0))</f>
        <v>4.32</v>
      </c>
      <c r="L939" s="30">
        <f>IF(OR($F939="",$I939=""),0,IFERROR(INDEX(Nutrition!$F$2:$F$300,MATCH($F939,Nutrition!$A$2:$A$300,0))*$I939/100,0))</f>
        <v>53.92</v>
      </c>
      <c r="M939" s="30">
        <f>IF(OR($F939="",$I939=""),0,IFERROR(INDEX(Nutrition!$G$2:$G$300,MATCH($F939,Nutrition!$A$2:$A$300,0))*$I939/100,0))</f>
        <v>49.6</v>
      </c>
      <c r="N939" s="30">
        <f>IF(OR($F939="",$I939=""),0,IFERROR(INDEX(Nutrition!$H$2:$H$300,MATCH($F939,Nutrition!$A$2:$A$300,0))*$I939/100,0))</f>
        <v>9.92</v>
      </c>
      <c r="O939" s="30">
        <f>IF(OR($F939="",$I939=""),0,IFERROR(INDEX(Nutrition!$I$2:$I$300,MATCH($F939,Nutrition!$A$2:$A$300,0))*$I939/100,0))</f>
        <v>83.36</v>
      </c>
      <c r="P939" s="30">
        <f>IF(OR($F939="",$I939=""),0,IFERROR(INDEX(Nutrition!$J$2:$J$300,MATCH($F939,Nutrition!$A$2:$A$300,0))*$I939/100,0))</f>
        <v>0.4</v>
      </c>
      <c r="Q939" s="30">
        <f>IF(OR($F939="",$I939=""),0,IFERROR(INDEX(Nutrition!$K$2:$K$300,MATCH($F939,Nutrition!$A$2:$A$300,0))*$I939/100,0))</f>
        <v>2.384E-2</v>
      </c>
      <c r="R939" s="30">
        <f>IF(OR($F939="",$I939=""),0,IFERROR(INDEX(Nutrition!$L$2:$L$300,MATCH($F939,Nutrition!$A$2:$A$300,0))*$I939/100,0))</f>
        <v>4.16</v>
      </c>
      <c r="S939" s="30">
        <f>IF(OR($F939="",$I939=""),0,IFERROR(INDEX(Nutrition!$M$2:$M$300,MATCH($F939,Nutrition!$A$2:$A$300,0))*$I939/100,0))</f>
        <v>0.28320000000000001</v>
      </c>
    </row>
    <row r="940" spans="1:19" ht="15" customHeight="1" x14ac:dyDescent="0.25">
      <c r="A940" s="22" t="s">
        <v>2122</v>
      </c>
      <c r="B940" s="33" t="str">
        <f>IFERROR(INDEX(Recipes!$B$2:$B$500,MATCH(A940,Recipes!$A$2:$A$500,0)),"")</f>
        <v>Purple Cabbage Lime Slaw</v>
      </c>
      <c r="C940" s="7" t="s">
        <v>529</v>
      </c>
      <c r="D940" s="34">
        <v>1</v>
      </c>
      <c r="E940" s="22" t="s">
        <v>2754</v>
      </c>
      <c r="F940" s="22" t="s">
        <v>528</v>
      </c>
      <c r="G940" s="22" t="s">
        <v>2755</v>
      </c>
      <c r="H940" s="7" t="s">
        <v>2791</v>
      </c>
      <c r="I940" s="35">
        <v>61</v>
      </c>
      <c r="J940" s="30">
        <f>IF(OR($F940="",$I940=""),0,IFERROR(INDEX(Nutrition!$D$2:$D$300,MATCH($F940,Nutrition!$A$2:$A$300,0))*$I940/100,0))</f>
        <v>1.7079999999999997</v>
      </c>
      <c r="K940" s="30">
        <f>IF(OR($F940="",$I940=""),0,IFERROR(INDEX(Nutrition!$E$2:$E$300,MATCH($F940,Nutrition!$A$2:$A$300,0))*$I940/100,0))</f>
        <v>3.5990000000000002</v>
      </c>
      <c r="L940" s="30">
        <f>IF(OR($F940="",$I940=""),0,IFERROR(INDEX(Nutrition!$F$2:$F$300,MATCH($F940,Nutrition!$A$2:$A$300,0))*$I940/100,0))</f>
        <v>509.35</v>
      </c>
      <c r="M940" s="30">
        <f>IF(OR($F940="",$I940=""),0,IFERROR(INDEX(Nutrition!$G$2:$G$300,MATCH($F940,Nutrition!$A$2:$A$300,0))*$I940/100,0))</f>
        <v>8.0519999999999996</v>
      </c>
      <c r="N940" s="30">
        <f>IF(OR($F940="",$I940=""),0,IFERROR(INDEX(Nutrition!$H$2:$H$300,MATCH($F940,Nutrition!$A$2:$A$300,0))*$I940/100,0))</f>
        <v>11.59</v>
      </c>
      <c r="O940" s="30">
        <f>IF(OR($F940="",$I940=""),0,IFERROR(INDEX(Nutrition!$I$2:$I$300,MATCH($F940,Nutrition!$A$2:$A$300,0))*$I940/100,0))</f>
        <v>195.2</v>
      </c>
      <c r="P940" s="30">
        <f>IF(OR($F940="",$I940=""),0,IFERROR(INDEX(Nutrition!$J$2:$J$300,MATCH($F940,Nutrition!$A$2:$A$300,0))*$I940/100,0))</f>
        <v>0.40260000000000007</v>
      </c>
      <c r="Q940" s="30">
        <f>IF(OR($F940="",$I940=""),0,IFERROR(INDEX(Nutrition!$K$2:$K$300,MATCH($F940,Nutrition!$A$2:$A$300,0))*$I940/100,0))</f>
        <v>8.4180000000000005E-2</v>
      </c>
      <c r="R940" s="30">
        <f>IF(OR($F940="",$I940=""),0,IFERROR(INDEX(Nutrition!$L$2:$L$300,MATCH($F940,Nutrition!$A$2:$A$300,0))*$I940/100,0))</f>
        <v>7.32</v>
      </c>
      <c r="S940" s="30">
        <f>IF(OR($F940="",$I940=""),0,IFERROR(INDEX(Nutrition!$M$2:$M$300,MATCH($F940,Nutrition!$A$2:$A$300,0))*$I940/100,0))</f>
        <v>0.183</v>
      </c>
    </row>
    <row r="941" spans="1:19" ht="15" customHeight="1" x14ac:dyDescent="0.25">
      <c r="A941" s="22" t="s">
        <v>2122</v>
      </c>
      <c r="B941" s="33" t="str">
        <f>IFERROR(INDEX(Recipes!$B$2:$B$500,MATCH(A941,Recipes!$A$2:$A$500,0)),"")</f>
        <v>Purple Cabbage Lime Slaw</v>
      </c>
      <c r="C941" s="7" t="s">
        <v>473</v>
      </c>
      <c r="D941" s="34">
        <v>0.5</v>
      </c>
      <c r="E941" s="22" t="s">
        <v>2754</v>
      </c>
      <c r="F941" s="22" t="s">
        <v>472</v>
      </c>
      <c r="G941" s="22" t="s">
        <v>2755</v>
      </c>
      <c r="H941" s="7" t="s">
        <v>2960</v>
      </c>
      <c r="I941" s="35">
        <v>5</v>
      </c>
      <c r="J941" s="30">
        <f>IF(OR($F941="",$I941=""),0,IFERROR(INDEX(Nutrition!$D$2:$D$300,MATCH($F941,Nutrition!$A$2:$A$300,0))*$I941/100,0))</f>
        <v>7.4999999999999997E-2</v>
      </c>
      <c r="K941" s="30">
        <f>IF(OR($F941="",$I941=""),0,IFERROR(INDEX(Nutrition!$E$2:$E$300,MATCH($F941,Nutrition!$A$2:$A$300,0))*$I941/100,0))</f>
        <v>7.1849999999999996</v>
      </c>
      <c r="L941" s="30">
        <f>IF(OR($F941="",$I941=""),0,IFERROR(INDEX(Nutrition!$F$2:$F$300,MATCH($F941,Nutrition!$A$2:$A$300,0))*$I941/100,0))</f>
        <v>2.4</v>
      </c>
      <c r="M941" s="30">
        <f>IF(OR($F941="",$I941=""),0,IFERROR(INDEX(Nutrition!$G$2:$G$300,MATCH($F941,Nutrition!$A$2:$A$300,0))*$I941/100,0))</f>
        <v>0.7</v>
      </c>
      <c r="N941" s="30">
        <f>IF(OR($F941="",$I941=""),0,IFERROR(INDEX(Nutrition!$H$2:$H$300,MATCH($F941,Nutrition!$A$2:$A$300,0))*$I941/100,0))</f>
        <v>1.1499999999999999</v>
      </c>
      <c r="O941" s="30">
        <f>IF(OR($F941="",$I941=""),0,IFERROR(INDEX(Nutrition!$I$2:$I$300,MATCH($F941,Nutrition!$A$2:$A$300,0))*$I941/100,0))</f>
        <v>16.100000000000001</v>
      </c>
      <c r="P941" s="30">
        <f>IF(OR($F941="",$I941=""),0,IFERROR(INDEX(Nutrition!$J$2:$J$300,MATCH($F941,Nutrition!$A$2:$A$300,0))*$I941/100,0))</f>
        <v>3.4499999999999996E-2</v>
      </c>
      <c r="Q941" s="30">
        <f>IF(OR($F941="",$I941=""),0,IFERROR(INDEX(Nutrition!$K$2:$K$300,MATCH($F941,Nutrition!$A$2:$A$300,0))*$I941/100,0))</f>
        <v>2.5300000000000003E-2</v>
      </c>
      <c r="R941" s="30">
        <f>IF(OR($F941="",$I941=""),0,IFERROR(INDEX(Nutrition!$L$2:$L$300,MATCH($F941,Nutrition!$A$2:$A$300,0))*$I941/100,0))</f>
        <v>1.1499999999999999</v>
      </c>
      <c r="S941" s="30">
        <f>IF(OR($F941="",$I941=""),0,IFERROR(INDEX(Nutrition!$M$2:$M$300,MATCH($F941,Nutrition!$A$2:$A$300,0))*$I941/100,0))</f>
        <v>5.1500000000000004E-2</v>
      </c>
    </row>
    <row r="942" spans="1:19" ht="15" customHeight="1" x14ac:dyDescent="0.25">
      <c r="A942" s="22" t="s">
        <v>2122</v>
      </c>
      <c r="B942" s="33" t="str">
        <f>IFERROR(INDEX(Recipes!$B$2:$B$500,MATCH(A942,Recipes!$A$2:$A$500,0)),"")</f>
        <v>Purple Cabbage Lime Slaw</v>
      </c>
      <c r="C942" s="7" t="s">
        <v>213</v>
      </c>
      <c r="D942" s="34">
        <v>2</v>
      </c>
      <c r="E942" s="22" t="s">
        <v>2754</v>
      </c>
      <c r="F942" s="22" t="s">
        <v>212</v>
      </c>
      <c r="G942" s="22" t="s">
        <v>2755</v>
      </c>
      <c r="H942" s="7" t="s">
        <v>2764</v>
      </c>
      <c r="I942" s="35">
        <v>134</v>
      </c>
      <c r="J942" s="30">
        <f>IF(OR($F942="",$I942=""),0,IFERROR(INDEX(Nutrition!$D$2:$D$300,MATCH($F942,Nutrition!$A$2:$A$300,0))*$I942/100,0))</f>
        <v>3.7519999999999998</v>
      </c>
      <c r="K942" s="30">
        <f>IF(OR($F942="",$I942=""),0,IFERROR(INDEX(Nutrition!$E$2:$E$300,MATCH($F942,Nutrition!$A$2:$A$300,0))*$I942/100,0))</f>
        <v>38.994</v>
      </c>
      <c r="L942" s="30">
        <f>IF(OR($F942="",$I942=""),0,IFERROR(INDEX(Nutrition!$F$2:$F$300,MATCH($F942,Nutrition!$A$2:$A$300,0))*$I942/100,0))</f>
        <v>2.68</v>
      </c>
      <c r="M942" s="30">
        <f>IF(OR($F942="",$I942=""),0,IFERROR(INDEX(Nutrition!$G$2:$G$300,MATCH($F942,Nutrition!$A$2:$A$300,0))*$I942/100,0))</f>
        <v>0.80399999999999994</v>
      </c>
      <c r="N942" s="30">
        <f>IF(OR($F942="",$I942=""),0,IFERROR(INDEX(Nutrition!$H$2:$H$300,MATCH($F942,Nutrition!$A$2:$A$300,0))*$I942/100,0))</f>
        <v>10.72</v>
      </c>
      <c r="O942" s="30">
        <f>IF(OR($F942="",$I942=""),0,IFERROR(INDEX(Nutrition!$I$2:$I$300,MATCH($F942,Nutrition!$A$2:$A$300,0))*$I942/100,0))</f>
        <v>136.68</v>
      </c>
      <c r="P942" s="30">
        <f>IF(OR($F942="",$I942=""),0,IFERROR(INDEX(Nutrition!$J$2:$J$300,MATCH($F942,Nutrition!$A$2:$A$300,0))*$I942/100,0))</f>
        <v>0.29480000000000001</v>
      </c>
      <c r="Q942" s="30">
        <f>IF(OR($F942="",$I942=""),0,IFERROR(INDEX(Nutrition!$K$2:$K$300,MATCH($F942,Nutrition!$A$2:$A$300,0))*$I942/100,0))</f>
        <v>5.7619999999999998E-2</v>
      </c>
      <c r="R942" s="30">
        <f>IF(OR($F942="",$I942=""),0,IFERROR(INDEX(Nutrition!$L$2:$L$300,MATCH($F942,Nutrition!$A$2:$A$300,0))*$I942/100,0))</f>
        <v>8.0399999999999991</v>
      </c>
      <c r="S942" s="30">
        <f>IF(OR($F942="",$I942=""),0,IFERROR(INDEX(Nutrition!$M$2:$M$300,MATCH($F942,Nutrition!$A$2:$A$300,0))*$I942/100,0))</f>
        <v>0.80399999999999994</v>
      </c>
    </row>
    <row r="943" spans="1:19" ht="15" customHeight="1" x14ac:dyDescent="0.25">
      <c r="A943" s="22" t="s">
        <v>2122</v>
      </c>
      <c r="B943" s="33" t="str">
        <f>IFERROR(INDEX(Recipes!$B$2:$B$500,MATCH(A943,Recipes!$A$2:$A$500,0)),"")</f>
        <v>Purple Cabbage Lime Slaw</v>
      </c>
      <c r="C943" s="7" t="s">
        <v>2805</v>
      </c>
      <c r="D943" s="34">
        <v>2</v>
      </c>
      <c r="E943" s="22" t="s">
        <v>2753</v>
      </c>
      <c r="F943" s="22"/>
      <c r="G943" s="22" t="s">
        <v>2773</v>
      </c>
      <c r="H943" s="7"/>
      <c r="I943" s="35"/>
      <c r="J943" s="30">
        <f>IF(OR($F943="",$I943=""),0,IFERROR(INDEX(Nutrition!$D$2:$D$300,MATCH($F943,Nutrition!$A$2:$A$300,0))*$I943/100,0))</f>
        <v>0</v>
      </c>
      <c r="K943" s="30">
        <f>IF(OR($F943="",$I943=""),0,IFERROR(INDEX(Nutrition!$E$2:$E$300,MATCH($F943,Nutrition!$A$2:$A$300,0))*$I943/100,0))</f>
        <v>0</v>
      </c>
      <c r="L943" s="30">
        <f>IF(OR($F943="",$I943=""),0,IFERROR(INDEX(Nutrition!$F$2:$F$300,MATCH($F943,Nutrition!$A$2:$A$300,0))*$I943/100,0))</f>
        <v>0</v>
      </c>
      <c r="M943" s="30">
        <f>IF(OR($F943="",$I943=""),0,IFERROR(INDEX(Nutrition!$G$2:$G$300,MATCH($F943,Nutrition!$A$2:$A$300,0))*$I943/100,0))</f>
        <v>0</v>
      </c>
      <c r="N943" s="30">
        <f>IF(OR($F943="",$I943=""),0,IFERROR(INDEX(Nutrition!$H$2:$H$300,MATCH($F943,Nutrition!$A$2:$A$300,0))*$I943/100,0))</f>
        <v>0</v>
      </c>
      <c r="O943" s="30">
        <f>IF(OR($F943="",$I943=""),0,IFERROR(INDEX(Nutrition!$I$2:$I$300,MATCH($F943,Nutrition!$A$2:$A$300,0))*$I943/100,0))</f>
        <v>0</v>
      </c>
      <c r="P943" s="30">
        <f>IF(OR($F943="",$I943=""),0,IFERROR(INDEX(Nutrition!$J$2:$J$300,MATCH($F943,Nutrition!$A$2:$A$300,0))*$I943/100,0))</f>
        <v>0</v>
      </c>
      <c r="Q943" s="30">
        <f>IF(OR($F943="",$I943=""),0,IFERROR(INDEX(Nutrition!$K$2:$K$300,MATCH($F943,Nutrition!$A$2:$A$300,0))*$I943/100,0))</f>
        <v>0</v>
      </c>
      <c r="R943" s="30">
        <f>IF(OR($F943="",$I943=""),0,IFERROR(INDEX(Nutrition!$L$2:$L$300,MATCH($F943,Nutrition!$A$2:$A$300,0))*$I943/100,0))</f>
        <v>0</v>
      </c>
      <c r="S943" s="30">
        <f>IF(OR($F943="",$I943=""),0,IFERROR(INDEX(Nutrition!$M$2:$M$300,MATCH($F943,Nutrition!$A$2:$A$300,0))*$I943/100,0))</f>
        <v>0</v>
      </c>
    </row>
    <row r="944" spans="1:19" ht="15" customHeight="1" x14ac:dyDescent="0.25">
      <c r="A944" s="22" t="s">
        <v>2122</v>
      </c>
      <c r="B944" s="33" t="str">
        <f>IFERROR(INDEX(Recipes!$B$2:$B$500,MATCH(A944,Recipes!$A$2:$A$500,0)),"")</f>
        <v>Purple Cabbage Lime Slaw</v>
      </c>
      <c r="C944" s="7" t="s">
        <v>2839</v>
      </c>
      <c r="D944" s="34">
        <v>1</v>
      </c>
      <c r="E944" s="22" t="s">
        <v>2759</v>
      </c>
      <c r="F944" s="22"/>
      <c r="G944" s="22" t="s">
        <v>2749</v>
      </c>
      <c r="H944" s="7"/>
      <c r="I944" s="35"/>
      <c r="J944" s="30">
        <f>IF(OR($F944="",$I944=""),0,IFERROR(INDEX(Nutrition!$D$2:$D$300,MATCH($F944,Nutrition!$A$2:$A$300,0))*$I944/100,0))</f>
        <v>0</v>
      </c>
      <c r="K944" s="30">
        <f>IF(OR($F944="",$I944=""),0,IFERROR(INDEX(Nutrition!$E$2:$E$300,MATCH($F944,Nutrition!$A$2:$A$300,0))*$I944/100,0))</f>
        <v>0</v>
      </c>
      <c r="L944" s="30">
        <f>IF(OR($F944="",$I944=""),0,IFERROR(INDEX(Nutrition!$F$2:$F$300,MATCH($F944,Nutrition!$A$2:$A$300,0))*$I944/100,0))</f>
        <v>0</v>
      </c>
      <c r="M944" s="30">
        <f>IF(OR($F944="",$I944=""),0,IFERROR(INDEX(Nutrition!$G$2:$G$300,MATCH($F944,Nutrition!$A$2:$A$300,0))*$I944/100,0))</f>
        <v>0</v>
      </c>
      <c r="N944" s="30">
        <f>IF(OR($F944="",$I944=""),0,IFERROR(INDEX(Nutrition!$H$2:$H$300,MATCH($F944,Nutrition!$A$2:$A$300,0))*$I944/100,0))</f>
        <v>0</v>
      </c>
      <c r="O944" s="30">
        <f>IF(OR($F944="",$I944=""),0,IFERROR(INDEX(Nutrition!$I$2:$I$300,MATCH($F944,Nutrition!$A$2:$A$300,0))*$I944/100,0))</f>
        <v>0</v>
      </c>
      <c r="P944" s="30">
        <f>IF(OR($F944="",$I944=""),0,IFERROR(INDEX(Nutrition!$J$2:$J$300,MATCH($F944,Nutrition!$A$2:$A$300,0))*$I944/100,0))</f>
        <v>0</v>
      </c>
      <c r="Q944" s="30">
        <f>IF(OR($F944="",$I944=""),0,IFERROR(INDEX(Nutrition!$K$2:$K$300,MATCH($F944,Nutrition!$A$2:$A$300,0))*$I944/100,0))</f>
        <v>0</v>
      </c>
      <c r="R944" s="30">
        <f>IF(OR($F944="",$I944=""),0,IFERROR(INDEX(Nutrition!$L$2:$L$300,MATCH($F944,Nutrition!$A$2:$A$300,0))*$I944/100,0))</f>
        <v>0</v>
      </c>
      <c r="S944" s="30">
        <f>IF(OR($F944="",$I944=""),0,IFERROR(INDEX(Nutrition!$M$2:$M$300,MATCH($F944,Nutrition!$A$2:$A$300,0))*$I944/100,0))</f>
        <v>0</v>
      </c>
    </row>
    <row r="945" spans="1:19" ht="15" customHeight="1" x14ac:dyDescent="0.25">
      <c r="A945" s="22" t="s">
        <v>2122</v>
      </c>
      <c r="B945" s="33" t="str">
        <f>IFERROR(INDEX(Recipes!$B$2:$B$500,MATCH(A945,Recipes!$A$2:$A$500,0)),"")</f>
        <v>Purple Cabbage Lime Slaw</v>
      </c>
      <c r="C945" s="7" t="s">
        <v>2781</v>
      </c>
      <c r="D945" s="34">
        <v>0.5</v>
      </c>
      <c r="E945" s="22" t="s">
        <v>2759</v>
      </c>
      <c r="F945" s="22"/>
      <c r="G945" s="22" t="s">
        <v>2773</v>
      </c>
      <c r="H945" s="7"/>
      <c r="I945" s="35"/>
      <c r="J945" s="30">
        <f>IF(OR($F945="",$I945=""),0,IFERROR(INDEX(Nutrition!$D$2:$D$300,MATCH($F945,Nutrition!$A$2:$A$300,0))*$I945/100,0))</f>
        <v>0</v>
      </c>
      <c r="K945" s="30">
        <f>IF(OR($F945="",$I945=""),0,IFERROR(INDEX(Nutrition!$E$2:$E$300,MATCH($F945,Nutrition!$A$2:$A$300,0))*$I945/100,0))</f>
        <v>0</v>
      </c>
      <c r="L945" s="30">
        <f>IF(OR($F945="",$I945=""),0,IFERROR(INDEX(Nutrition!$F$2:$F$300,MATCH($F945,Nutrition!$A$2:$A$300,0))*$I945/100,0))</f>
        <v>0</v>
      </c>
      <c r="M945" s="30">
        <f>IF(OR($F945="",$I945=""),0,IFERROR(INDEX(Nutrition!$G$2:$G$300,MATCH($F945,Nutrition!$A$2:$A$300,0))*$I945/100,0))</f>
        <v>0</v>
      </c>
      <c r="N945" s="30">
        <f>IF(OR($F945="",$I945=""),0,IFERROR(INDEX(Nutrition!$H$2:$H$300,MATCH($F945,Nutrition!$A$2:$A$300,0))*$I945/100,0))</f>
        <v>0</v>
      </c>
      <c r="O945" s="30">
        <f>IF(OR($F945="",$I945=""),0,IFERROR(INDEX(Nutrition!$I$2:$I$300,MATCH($F945,Nutrition!$A$2:$A$300,0))*$I945/100,0))</f>
        <v>0</v>
      </c>
      <c r="P945" s="30">
        <f>IF(OR($F945="",$I945=""),0,IFERROR(INDEX(Nutrition!$J$2:$J$300,MATCH($F945,Nutrition!$A$2:$A$300,0))*$I945/100,0))</f>
        <v>0</v>
      </c>
      <c r="Q945" s="30">
        <f>IF(OR($F945="",$I945=""),0,IFERROR(INDEX(Nutrition!$K$2:$K$300,MATCH($F945,Nutrition!$A$2:$A$300,0))*$I945/100,0))</f>
        <v>0</v>
      </c>
      <c r="R945" s="30">
        <f>IF(OR($F945="",$I945=""),0,IFERROR(INDEX(Nutrition!$L$2:$L$300,MATCH($F945,Nutrition!$A$2:$A$300,0))*$I945/100,0))</f>
        <v>0</v>
      </c>
      <c r="S945" s="30">
        <f>IF(OR($F945="",$I945=""),0,IFERROR(INDEX(Nutrition!$M$2:$M$300,MATCH($F945,Nutrition!$A$2:$A$300,0))*$I945/100,0))</f>
        <v>0</v>
      </c>
    </row>
    <row r="946" spans="1:19" ht="15" customHeight="1" x14ac:dyDescent="0.25">
      <c r="A946" s="22" t="s">
        <v>2134</v>
      </c>
      <c r="B946" s="33" t="str">
        <f>IFERROR(INDEX(Recipes!$B$2:$B$500,MATCH(A946,Recipes!$A$2:$A$500,0)),"")</f>
        <v>Nigerian Party Coleslaw with Sweet Corn</v>
      </c>
      <c r="C946" s="7" t="s">
        <v>537</v>
      </c>
      <c r="D946" s="34">
        <v>1</v>
      </c>
      <c r="E946" s="22" t="s">
        <v>2754</v>
      </c>
      <c r="F946" s="22" t="s">
        <v>536</v>
      </c>
      <c r="G946" s="22" t="s">
        <v>2755</v>
      </c>
      <c r="H946" s="7" t="s">
        <v>2998</v>
      </c>
      <c r="I946" s="35">
        <v>600</v>
      </c>
      <c r="J946" s="30">
        <f>IF(OR($F946="",$I946=""),0,IFERROR(INDEX(Nutrition!$D$2:$D$300,MATCH($F946,Nutrition!$A$2:$A$300,0))*$I946/100,0))</f>
        <v>15</v>
      </c>
      <c r="K946" s="30">
        <f>IF(OR($F946="",$I946=""),0,IFERROR(INDEX(Nutrition!$E$2:$E$300,MATCH($F946,Nutrition!$A$2:$A$300,0))*$I946/100,0))</f>
        <v>219.6</v>
      </c>
      <c r="L946" s="30">
        <f>IF(OR($F946="",$I946=""),0,IFERROR(INDEX(Nutrition!$F$2:$F$300,MATCH($F946,Nutrition!$A$2:$A$300,0))*$I946/100,0))</f>
        <v>30</v>
      </c>
      <c r="M946" s="30">
        <f>IF(OR($F946="",$I946=""),0,IFERROR(INDEX(Nutrition!$G$2:$G$300,MATCH($F946,Nutrition!$A$2:$A$300,0))*$I946/100,0))</f>
        <v>456</v>
      </c>
      <c r="N946" s="30">
        <f>IF(OR($F946="",$I946=""),0,IFERROR(INDEX(Nutrition!$H$2:$H$300,MATCH($F946,Nutrition!$A$2:$A$300,0))*$I946/100,0))</f>
        <v>258</v>
      </c>
      <c r="O946" s="30">
        <f>IF(OR($F946="",$I946=""),0,IFERROR(INDEX(Nutrition!$I$2:$I$300,MATCH($F946,Nutrition!$A$2:$A$300,0))*$I946/100,0))</f>
        <v>1020</v>
      </c>
      <c r="P946" s="30">
        <f>IF(OR($F946="",$I946=""),0,IFERROR(INDEX(Nutrition!$J$2:$J$300,MATCH($F946,Nutrition!$A$2:$A$300,0))*$I946/100,0))</f>
        <v>0.9</v>
      </c>
      <c r="Q946" s="30">
        <f>IF(OR($F946="",$I946=""),0,IFERROR(INDEX(Nutrition!$K$2:$K$300,MATCH($F946,Nutrition!$A$2:$A$300,0))*$I946/100,0))</f>
        <v>0.74400000000000011</v>
      </c>
      <c r="R946" s="30">
        <f>IF(OR($F946="",$I946=""),0,IFERROR(INDEX(Nutrition!$L$2:$L$300,MATCH($F946,Nutrition!$A$2:$A$300,0))*$I946/100,0))</f>
        <v>72</v>
      </c>
      <c r="S946" s="30">
        <f>IF(OR($F946="",$I946=""),0,IFERROR(INDEX(Nutrition!$M$2:$M$300,MATCH($F946,Nutrition!$A$2:$A$300,0))*$I946/100,0))</f>
        <v>2.82</v>
      </c>
    </row>
    <row r="947" spans="1:19" ht="15" customHeight="1" x14ac:dyDescent="0.25">
      <c r="A947" s="22" t="s">
        <v>2134</v>
      </c>
      <c r="B947" s="33" t="str">
        <f>IFERROR(INDEX(Recipes!$B$2:$B$500,MATCH(A947,Recipes!$A$2:$A$500,0)),"")</f>
        <v>Nigerian Party Coleslaw with Sweet Corn</v>
      </c>
      <c r="C947" s="7" t="s">
        <v>529</v>
      </c>
      <c r="D947" s="34">
        <v>2</v>
      </c>
      <c r="E947" s="22" t="s">
        <v>2754</v>
      </c>
      <c r="F947" s="22" t="s">
        <v>528</v>
      </c>
      <c r="G947" s="22" t="s">
        <v>2755</v>
      </c>
      <c r="H947" s="7" t="s">
        <v>2791</v>
      </c>
      <c r="I947" s="35">
        <v>122</v>
      </c>
      <c r="J947" s="30">
        <f>IF(OR($F947="",$I947=""),0,IFERROR(INDEX(Nutrition!$D$2:$D$300,MATCH($F947,Nutrition!$A$2:$A$300,0))*$I947/100,0))</f>
        <v>3.4159999999999995</v>
      </c>
      <c r="K947" s="30">
        <f>IF(OR($F947="",$I947=""),0,IFERROR(INDEX(Nutrition!$E$2:$E$300,MATCH($F947,Nutrition!$A$2:$A$300,0))*$I947/100,0))</f>
        <v>7.1980000000000004</v>
      </c>
      <c r="L947" s="30">
        <f>IF(OR($F947="",$I947=""),0,IFERROR(INDEX(Nutrition!$F$2:$F$300,MATCH($F947,Nutrition!$A$2:$A$300,0))*$I947/100,0))</f>
        <v>1018.7</v>
      </c>
      <c r="M947" s="30">
        <f>IF(OR($F947="",$I947=""),0,IFERROR(INDEX(Nutrition!$G$2:$G$300,MATCH($F947,Nutrition!$A$2:$A$300,0))*$I947/100,0))</f>
        <v>16.103999999999999</v>
      </c>
      <c r="N947" s="30">
        <f>IF(OR($F947="",$I947=""),0,IFERROR(INDEX(Nutrition!$H$2:$H$300,MATCH($F947,Nutrition!$A$2:$A$300,0))*$I947/100,0))</f>
        <v>23.18</v>
      </c>
      <c r="O947" s="30">
        <f>IF(OR($F947="",$I947=""),0,IFERROR(INDEX(Nutrition!$I$2:$I$300,MATCH($F947,Nutrition!$A$2:$A$300,0))*$I947/100,0))</f>
        <v>390.4</v>
      </c>
      <c r="P947" s="30">
        <f>IF(OR($F947="",$I947=""),0,IFERROR(INDEX(Nutrition!$J$2:$J$300,MATCH($F947,Nutrition!$A$2:$A$300,0))*$I947/100,0))</f>
        <v>0.80520000000000014</v>
      </c>
      <c r="Q947" s="30">
        <f>IF(OR($F947="",$I947=""),0,IFERROR(INDEX(Nutrition!$K$2:$K$300,MATCH($F947,Nutrition!$A$2:$A$300,0))*$I947/100,0))</f>
        <v>0.16836000000000001</v>
      </c>
      <c r="R947" s="30">
        <f>IF(OR($F947="",$I947=""),0,IFERROR(INDEX(Nutrition!$L$2:$L$300,MATCH($F947,Nutrition!$A$2:$A$300,0))*$I947/100,0))</f>
        <v>14.64</v>
      </c>
      <c r="S947" s="30">
        <f>IF(OR($F947="",$I947=""),0,IFERROR(INDEX(Nutrition!$M$2:$M$300,MATCH($F947,Nutrition!$A$2:$A$300,0))*$I947/100,0))</f>
        <v>0.36599999999999999</v>
      </c>
    </row>
    <row r="948" spans="1:19" ht="15" customHeight="1" x14ac:dyDescent="0.25">
      <c r="A948" s="22" t="s">
        <v>2134</v>
      </c>
      <c r="B948" s="33" t="str">
        <f>IFERROR(INDEX(Recipes!$B$2:$B$500,MATCH(A948,Recipes!$A$2:$A$500,0)),"")</f>
        <v>Nigerian Party Coleslaw with Sweet Corn</v>
      </c>
      <c r="C948" s="7" t="s">
        <v>468</v>
      </c>
      <c r="D948" s="34">
        <v>1</v>
      </c>
      <c r="E948" s="22" t="s">
        <v>2754</v>
      </c>
      <c r="F948" s="22" t="s">
        <v>467</v>
      </c>
      <c r="G948" s="22" t="s">
        <v>2755</v>
      </c>
      <c r="H948" s="7" t="s">
        <v>2999</v>
      </c>
      <c r="I948" s="35">
        <v>119</v>
      </c>
      <c r="J948" s="30">
        <f>IF(OR($F948="",$I948=""),0,IFERROR(INDEX(Nutrition!$D$2:$D$300,MATCH($F948,Nutrition!$A$2:$A$300,0))*$I948/100,0))</f>
        <v>2.0229999999999997</v>
      </c>
      <c r="K948" s="30">
        <f>IF(OR($F948="",$I948=""),0,IFERROR(INDEX(Nutrition!$E$2:$E$300,MATCH($F948,Nutrition!$A$2:$A$300,0))*$I948/100,0))</f>
        <v>95.676000000000002</v>
      </c>
      <c r="L948" s="30">
        <f>IF(OR($F948="",$I948=""),0,IFERROR(INDEX(Nutrition!$F$2:$F$300,MATCH($F948,Nutrition!$A$2:$A$300,0))*$I948/100,0))</f>
        <v>21.42</v>
      </c>
      <c r="M948" s="30">
        <f>IF(OR($F948="",$I948=""),0,IFERROR(INDEX(Nutrition!$G$2:$G$300,MATCH($F948,Nutrition!$A$2:$A$300,0))*$I948/100,0))</f>
        <v>8.8060000000000009</v>
      </c>
      <c r="N948" s="30">
        <f>IF(OR($F948="",$I948=""),0,IFERROR(INDEX(Nutrition!$H$2:$H$300,MATCH($F948,Nutrition!$A$2:$A$300,0))*$I948/100,0))</f>
        <v>11.9</v>
      </c>
      <c r="O948" s="30">
        <f>IF(OR($F948="",$I948=""),0,IFERROR(INDEX(Nutrition!$I$2:$I$300,MATCH($F948,Nutrition!$A$2:$A$300,0))*$I948/100,0))</f>
        <v>208.25</v>
      </c>
      <c r="P948" s="30">
        <f>IF(OR($F948="",$I948=""),0,IFERROR(INDEX(Nutrition!$J$2:$J$300,MATCH($F948,Nutrition!$A$2:$A$300,0))*$I948/100,0))</f>
        <v>0.44030000000000002</v>
      </c>
      <c r="Q948" s="30">
        <f>IF(OR($F948="",$I948=""),0,IFERROR(INDEX(Nutrition!$K$2:$K$300,MATCH($F948,Nutrition!$A$2:$A$300,0))*$I948/100,0))</f>
        <v>0.26655999999999996</v>
      </c>
      <c r="R948" s="30">
        <f>IF(OR($F948="",$I948=""),0,IFERROR(INDEX(Nutrition!$L$2:$L$300,MATCH($F948,Nutrition!$A$2:$A$300,0))*$I948/100,0))</f>
        <v>11.9</v>
      </c>
      <c r="S948" s="30">
        <f>IF(OR($F948="",$I948=""),0,IFERROR(INDEX(Nutrition!$M$2:$M$300,MATCH($F948,Nutrition!$A$2:$A$300,0))*$I948/100,0))</f>
        <v>0.40460000000000002</v>
      </c>
    </row>
    <row r="949" spans="1:19" ht="15" customHeight="1" x14ac:dyDescent="0.25">
      <c r="A949" s="22" t="s">
        <v>2134</v>
      </c>
      <c r="B949" s="33" t="str">
        <f>IFERROR(INDEX(Recipes!$B$2:$B$500,MATCH(A949,Recipes!$A$2:$A$500,0)),"")</f>
        <v>Nigerian Party Coleslaw with Sweet Corn</v>
      </c>
      <c r="C949" s="7" t="s">
        <v>482</v>
      </c>
      <c r="D949" s="34">
        <v>1</v>
      </c>
      <c r="E949" s="22" t="s">
        <v>2754</v>
      </c>
      <c r="F949" s="22" t="s">
        <v>481</v>
      </c>
      <c r="G949" s="22" t="s">
        <v>2755</v>
      </c>
      <c r="H949" s="7" t="s">
        <v>2903</v>
      </c>
      <c r="I949" s="35">
        <v>110</v>
      </c>
      <c r="J949" s="30">
        <f>IF(OR($F949="",$I949=""),0,IFERROR(INDEX(Nutrition!$D$2:$D$300,MATCH($F949,Nutrition!$A$2:$A$300,0))*$I949/100,0))</f>
        <v>1.87</v>
      </c>
      <c r="K949" s="30">
        <f>IF(OR($F949="",$I949=""),0,IFERROR(INDEX(Nutrition!$E$2:$E$300,MATCH($F949,Nutrition!$A$2:$A$300,0))*$I949/100,0))</f>
        <v>8.14</v>
      </c>
      <c r="L949" s="30">
        <f>IF(OR($F949="",$I949=""),0,IFERROR(INDEX(Nutrition!$F$2:$F$300,MATCH($F949,Nutrition!$A$2:$A$300,0))*$I949/100,0))</f>
        <v>0</v>
      </c>
      <c r="M949" s="30">
        <f>IF(OR($F949="",$I949=""),0,IFERROR(INDEX(Nutrition!$G$2:$G$300,MATCH($F949,Nutrition!$A$2:$A$300,0))*$I949/100,0))</f>
        <v>0.44</v>
      </c>
      <c r="N949" s="30">
        <f>IF(OR($F949="",$I949=""),0,IFERROR(INDEX(Nutrition!$H$2:$H$300,MATCH($F949,Nutrition!$A$2:$A$300,0))*$I949/100,0))</f>
        <v>20.9</v>
      </c>
      <c r="O949" s="30">
        <f>IF(OR($F949="",$I949=""),0,IFERROR(INDEX(Nutrition!$I$2:$I$300,MATCH($F949,Nutrition!$A$2:$A$300,0))*$I949/100,0))</f>
        <v>160.6</v>
      </c>
      <c r="P949" s="30">
        <f>IF(OR($F949="",$I949=""),0,IFERROR(INDEX(Nutrition!$J$2:$J$300,MATCH($F949,Nutrition!$A$2:$A$300,0))*$I949/100,0))</f>
        <v>2.2000000000000002E-2</v>
      </c>
      <c r="Q949" s="30">
        <f>IF(OR($F949="",$I949=""),0,IFERROR(INDEX(Nutrition!$K$2:$K$300,MATCH($F949,Nutrition!$A$2:$A$300,0))*$I949/100,0))</f>
        <v>0.13200000000000001</v>
      </c>
      <c r="R949" s="30">
        <f>IF(OR($F949="",$I949=""),0,IFERROR(INDEX(Nutrition!$L$2:$L$300,MATCH($F949,Nutrition!$A$2:$A$300,0))*$I949/100,0))</f>
        <v>11</v>
      </c>
      <c r="S949" s="30">
        <f>IF(OR($F949="",$I949=""),0,IFERROR(INDEX(Nutrition!$M$2:$M$300,MATCH($F949,Nutrition!$A$2:$A$300,0))*$I949/100,0))</f>
        <v>0.23099999999999998</v>
      </c>
    </row>
    <row r="950" spans="1:19" ht="15" customHeight="1" x14ac:dyDescent="0.25">
      <c r="A950" s="22" t="s">
        <v>2134</v>
      </c>
      <c r="B950" s="33" t="str">
        <f>IFERROR(INDEX(Recipes!$B$2:$B$500,MATCH(A950,Recipes!$A$2:$A$500,0)),"")</f>
        <v>Nigerian Party Coleslaw with Sweet Corn</v>
      </c>
      <c r="C950" s="7" t="s">
        <v>556</v>
      </c>
      <c r="D950" s="34">
        <v>1</v>
      </c>
      <c r="E950" s="22" t="s">
        <v>2834</v>
      </c>
      <c r="F950" s="22" t="s">
        <v>555</v>
      </c>
      <c r="G950" s="22" t="s">
        <v>2755</v>
      </c>
      <c r="H950" s="7" t="s">
        <v>3000</v>
      </c>
      <c r="I950" s="35">
        <v>90</v>
      </c>
      <c r="J950" s="30">
        <f>IF(OR($F950="",$I950=""),0,IFERROR(INDEX(Nutrition!$D$2:$D$300,MATCH($F950,Nutrition!$A$2:$A$300,0))*$I950/100,0))</f>
        <v>2.4300000000000002</v>
      </c>
      <c r="K950" s="30">
        <f>IF(OR($F950="",$I950=""),0,IFERROR(INDEX(Nutrition!$E$2:$E$300,MATCH($F950,Nutrition!$A$2:$A$300,0))*$I950/100,0))</f>
        <v>6.12</v>
      </c>
      <c r="L950" s="30">
        <f>IF(OR($F950="",$I950=""),0,IFERROR(INDEX(Nutrition!$F$2:$F$300,MATCH($F950,Nutrition!$A$2:$A$300,0))*$I950/100,0))</f>
        <v>8.1</v>
      </c>
      <c r="M950" s="30">
        <f>IF(OR($F950="",$I950=""),0,IFERROR(INDEX(Nutrition!$G$2:$G$300,MATCH($F950,Nutrition!$A$2:$A$300,0))*$I950/100,0))</f>
        <v>0.27</v>
      </c>
      <c r="N950" s="30">
        <f>IF(OR($F950="",$I950=""),0,IFERROR(INDEX(Nutrition!$H$2:$H$300,MATCH($F950,Nutrition!$A$2:$A$300,0))*$I950/100,0))</f>
        <v>37.799999999999997</v>
      </c>
      <c r="O950" s="30">
        <f>IF(OR($F950="",$I950=""),0,IFERROR(INDEX(Nutrition!$I$2:$I$300,MATCH($F950,Nutrition!$A$2:$A$300,0))*$I950/100,0))</f>
        <v>243</v>
      </c>
      <c r="P950" s="30">
        <f>IF(OR($F950="",$I950=""),0,IFERROR(INDEX(Nutrition!$J$2:$J$300,MATCH($F950,Nutrition!$A$2:$A$300,0))*$I950/100,0))</f>
        <v>6.3E-2</v>
      </c>
      <c r="Q950" s="30">
        <f>IF(OR($F950="",$I950=""),0,IFERROR(INDEX(Nutrition!$K$2:$K$300,MATCH($F950,Nutrition!$A$2:$A$300,0))*$I950/100,0))</f>
        <v>8.3699999999999997E-2</v>
      </c>
      <c r="R950" s="30">
        <f>IF(OR($F950="",$I950=""),0,IFERROR(INDEX(Nutrition!$L$2:$L$300,MATCH($F950,Nutrition!$A$2:$A$300,0))*$I950/100,0))</f>
        <v>33.299999999999997</v>
      </c>
      <c r="S950" s="30">
        <f>IF(OR($F950="",$I950=""),0,IFERROR(INDEX(Nutrition!$M$2:$M$300,MATCH($F950,Nutrition!$A$2:$A$300,0))*$I950/100,0))</f>
        <v>0.46800000000000003</v>
      </c>
    </row>
    <row r="951" spans="1:19" ht="15" customHeight="1" x14ac:dyDescent="0.25">
      <c r="A951" s="22" t="s">
        <v>2134</v>
      </c>
      <c r="B951" s="33" t="str">
        <f>IFERROR(INDEX(Recipes!$B$2:$B$500,MATCH(A951,Recipes!$A$2:$A$500,0)),"")</f>
        <v>Nigerian Party Coleslaw with Sweet Corn</v>
      </c>
      <c r="C951" s="7" t="s">
        <v>3001</v>
      </c>
      <c r="D951" s="34">
        <v>5</v>
      </c>
      <c r="E951" s="22" t="s">
        <v>2753</v>
      </c>
      <c r="F951" s="22"/>
      <c r="G951" s="22" t="s">
        <v>2749</v>
      </c>
      <c r="H951" s="7"/>
      <c r="I951" s="35"/>
      <c r="J951" s="30">
        <f>IF(OR($F951="",$I951=""),0,IFERROR(INDEX(Nutrition!$D$2:$D$300,MATCH($F951,Nutrition!$A$2:$A$300,0))*$I951/100,0))</f>
        <v>0</v>
      </c>
      <c r="K951" s="30">
        <f>IF(OR($F951="",$I951=""),0,IFERROR(INDEX(Nutrition!$E$2:$E$300,MATCH($F951,Nutrition!$A$2:$A$300,0))*$I951/100,0))</f>
        <v>0</v>
      </c>
      <c r="L951" s="30">
        <f>IF(OR($F951="",$I951=""),0,IFERROR(INDEX(Nutrition!$F$2:$F$300,MATCH($F951,Nutrition!$A$2:$A$300,0))*$I951/100,0))</f>
        <v>0</v>
      </c>
      <c r="M951" s="30">
        <f>IF(OR($F951="",$I951=""),0,IFERROR(INDEX(Nutrition!$G$2:$G$300,MATCH($F951,Nutrition!$A$2:$A$300,0))*$I951/100,0))</f>
        <v>0</v>
      </c>
      <c r="N951" s="30">
        <f>IF(OR($F951="",$I951=""),0,IFERROR(INDEX(Nutrition!$H$2:$H$300,MATCH($F951,Nutrition!$A$2:$A$300,0))*$I951/100,0))</f>
        <v>0</v>
      </c>
      <c r="O951" s="30">
        <f>IF(OR($F951="",$I951=""),0,IFERROR(INDEX(Nutrition!$I$2:$I$300,MATCH($F951,Nutrition!$A$2:$A$300,0))*$I951/100,0))</f>
        <v>0</v>
      </c>
      <c r="P951" s="30">
        <f>IF(OR($F951="",$I951=""),0,IFERROR(INDEX(Nutrition!$J$2:$J$300,MATCH($F951,Nutrition!$A$2:$A$300,0))*$I951/100,0))</f>
        <v>0</v>
      </c>
      <c r="Q951" s="30">
        <f>IF(OR($F951="",$I951=""),0,IFERROR(INDEX(Nutrition!$K$2:$K$300,MATCH($F951,Nutrition!$A$2:$A$300,0))*$I951/100,0))</f>
        <v>0</v>
      </c>
      <c r="R951" s="30">
        <f>IF(OR($F951="",$I951=""),0,IFERROR(INDEX(Nutrition!$L$2:$L$300,MATCH($F951,Nutrition!$A$2:$A$300,0))*$I951/100,0))</f>
        <v>0</v>
      </c>
      <c r="S951" s="30">
        <f>IF(OR($F951="",$I951=""),0,IFERROR(INDEX(Nutrition!$M$2:$M$300,MATCH($F951,Nutrition!$A$2:$A$300,0))*$I951/100,0))</f>
        <v>0</v>
      </c>
    </row>
    <row r="952" spans="1:19" ht="15" customHeight="1" x14ac:dyDescent="0.25">
      <c r="A952" s="22" t="s">
        <v>2134</v>
      </c>
      <c r="B952" s="33" t="str">
        <f>IFERROR(INDEX(Recipes!$B$2:$B$500,MATCH(A952,Recipes!$A$2:$A$500,0)),"")</f>
        <v>Nigerian Party Coleslaw with Sweet Corn</v>
      </c>
      <c r="C952" s="7" t="s">
        <v>2994</v>
      </c>
      <c r="D952" s="34">
        <v>4</v>
      </c>
      <c r="E952" s="22" t="s">
        <v>2753</v>
      </c>
      <c r="F952" s="22"/>
      <c r="G952" s="22" t="s">
        <v>2749</v>
      </c>
      <c r="H952" s="7"/>
      <c r="I952" s="35"/>
      <c r="J952" s="30">
        <f>IF(OR($F952="",$I952=""),0,IFERROR(INDEX(Nutrition!$D$2:$D$300,MATCH($F952,Nutrition!$A$2:$A$300,0))*$I952/100,0))</f>
        <v>0</v>
      </c>
      <c r="K952" s="30">
        <f>IF(OR($F952="",$I952=""),0,IFERROR(INDEX(Nutrition!$E$2:$E$300,MATCH($F952,Nutrition!$A$2:$A$300,0))*$I952/100,0))</f>
        <v>0</v>
      </c>
      <c r="L952" s="30">
        <f>IF(OR($F952="",$I952=""),0,IFERROR(INDEX(Nutrition!$F$2:$F$300,MATCH($F952,Nutrition!$A$2:$A$300,0))*$I952/100,0))</f>
        <v>0</v>
      </c>
      <c r="M952" s="30">
        <f>IF(OR($F952="",$I952=""),0,IFERROR(INDEX(Nutrition!$G$2:$G$300,MATCH($F952,Nutrition!$A$2:$A$300,0))*$I952/100,0))</f>
        <v>0</v>
      </c>
      <c r="N952" s="30">
        <f>IF(OR($F952="",$I952=""),0,IFERROR(INDEX(Nutrition!$H$2:$H$300,MATCH($F952,Nutrition!$A$2:$A$300,0))*$I952/100,0))</f>
        <v>0</v>
      </c>
      <c r="O952" s="30">
        <f>IF(OR($F952="",$I952=""),0,IFERROR(INDEX(Nutrition!$I$2:$I$300,MATCH($F952,Nutrition!$A$2:$A$300,0))*$I952/100,0))</f>
        <v>0</v>
      </c>
      <c r="P952" s="30">
        <f>IF(OR($F952="",$I952=""),0,IFERROR(INDEX(Nutrition!$J$2:$J$300,MATCH($F952,Nutrition!$A$2:$A$300,0))*$I952/100,0))</f>
        <v>0</v>
      </c>
      <c r="Q952" s="30">
        <f>IF(OR($F952="",$I952=""),0,IFERROR(INDEX(Nutrition!$K$2:$K$300,MATCH($F952,Nutrition!$A$2:$A$300,0))*$I952/100,0))</f>
        <v>0</v>
      </c>
      <c r="R952" s="30">
        <f>IF(OR($F952="",$I952=""),0,IFERROR(INDEX(Nutrition!$L$2:$L$300,MATCH($F952,Nutrition!$A$2:$A$300,0))*$I952/100,0))</f>
        <v>0</v>
      </c>
      <c r="S952" s="30">
        <f>IF(OR($F952="",$I952=""),0,IFERROR(INDEX(Nutrition!$M$2:$M$300,MATCH($F952,Nutrition!$A$2:$A$300,0))*$I952/100,0))</f>
        <v>0</v>
      </c>
    </row>
    <row r="953" spans="1:19" ht="15" customHeight="1" x14ac:dyDescent="0.25">
      <c r="A953" s="22" t="s">
        <v>2134</v>
      </c>
      <c r="B953" s="33" t="str">
        <f>IFERROR(INDEX(Recipes!$B$2:$B$500,MATCH(A953,Recipes!$A$2:$A$500,0)),"")</f>
        <v>Nigerian Party Coleslaw with Sweet Corn</v>
      </c>
      <c r="C953" s="7" t="s">
        <v>2917</v>
      </c>
      <c r="D953" s="34">
        <v>0.5</v>
      </c>
      <c r="E953" s="22" t="s">
        <v>2759</v>
      </c>
      <c r="F953" s="22"/>
      <c r="G953" s="22" t="s">
        <v>2749</v>
      </c>
      <c r="H953" s="7"/>
      <c r="I953" s="35"/>
      <c r="J953" s="30">
        <f>IF(OR($F953="",$I953=""),0,IFERROR(INDEX(Nutrition!$D$2:$D$300,MATCH($F953,Nutrition!$A$2:$A$300,0))*$I953/100,0))</f>
        <v>0</v>
      </c>
      <c r="K953" s="30">
        <f>IF(OR($F953="",$I953=""),0,IFERROR(INDEX(Nutrition!$E$2:$E$300,MATCH($F953,Nutrition!$A$2:$A$300,0))*$I953/100,0))</f>
        <v>0</v>
      </c>
      <c r="L953" s="30">
        <f>IF(OR($F953="",$I953=""),0,IFERROR(INDEX(Nutrition!$F$2:$F$300,MATCH($F953,Nutrition!$A$2:$A$300,0))*$I953/100,0))</f>
        <v>0</v>
      </c>
      <c r="M953" s="30">
        <f>IF(OR($F953="",$I953=""),0,IFERROR(INDEX(Nutrition!$G$2:$G$300,MATCH($F953,Nutrition!$A$2:$A$300,0))*$I953/100,0))</f>
        <v>0</v>
      </c>
      <c r="N953" s="30">
        <f>IF(OR($F953="",$I953=""),0,IFERROR(INDEX(Nutrition!$H$2:$H$300,MATCH($F953,Nutrition!$A$2:$A$300,0))*$I953/100,0))</f>
        <v>0</v>
      </c>
      <c r="O953" s="30">
        <f>IF(OR($F953="",$I953=""),0,IFERROR(INDEX(Nutrition!$I$2:$I$300,MATCH($F953,Nutrition!$A$2:$A$300,0))*$I953/100,0))</f>
        <v>0</v>
      </c>
      <c r="P953" s="30">
        <f>IF(OR($F953="",$I953=""),0,IFERROR(INDEX(Nutrition!$J$2:$J$300,MATCH($F953,Nutrition!$A$2:$A$300,0))*$I953/100,0))</f>
        <v>0</v>
      </c>
      <c r="Q953" s="30">
        <f>IF(OR($F953="",$I953=""),0,IFERROR(INDEX(Nutrition!$K$2:$K$300,MATCH($F953,Nutrition!$A$2:$A$300,0))*$I953/100,0))</f>
        <v>0</v>
      </c>
      <c r="R953" s="30">
        <f>IF(OR($F953="",$I953=""),0,IFERROR(INDEX(Nutrition!$L$2:$L$300,MATCH($F953,Nutrition!$A$2:$A$300,0))*$I953/100,0))</f>
        <v>0</v>
      </c>
      <c r="S953" s="30">
        <f>IF(OR($F953="",$I953=""),0,IFERROR(INDEX(Nutrition!$M$2:$M$300,MATCH($F953,Nutrition!$A$2:$A$300,0))*$I953/100,0))</f>
        <v>0</v>
      </c>
    </row>
    <row r="954" spans="1:19" ht="15" customHeight="1" x14ac:dyDescent="0.25">
      <c r="A954" s="22" t="s">
        <v>2134</v>
      </c>
      <c r="B954" s="33" t="str">
        <f>IFERROR(INDEX(Recipes!$B$2:$B$500,MATCH(A954,Recipes!$A$2:$A$500,0)),"")</f>
        <v>Nigerian Party Coleslaw with Sweet Corn</v>
      </c>
      <c r="C954" s="7" t="s">
        <v>2781</v>
      </c>
      <c r="D954" s="34">
        <v>1</v>
      </c>
      <c r="E954" s="22" t="s">
        <v>2782</v>
      </c>
      <c r="F954" s="22"/>
      <c r="G954" s="22" t="s">
        <v>2773</v>
      </c>
      <c r="H954" s="7"/>
      <c r="I954" s="35"/>
      <c r="J954" s="30">
        <f>IF(OR($F954="",$I954=""),0,IFERROR(INDEX(Nutrition!$D$2:$D$300,MATCH($F954,Nutrition!$A$2:$A$300,0))*$I954/100,0))</f>
        <v>0</v>
      </c>
      <c r="K954" s="30">
        <f>IF(OR($F954="",$I954=""),0,IFERROR(INDEX(Nutrition!$E$2:$E$300,MATCH($F954,Nutrition!$A$2:$A$300,0))*$I954/100,0))</f>
        <v>0</v>
      </c>
      <c r="L954" s="30">
        <f>IF(OR($F954="",$I954=""),0,IFERROR(INDEX(Nutrition!$F$2:$F$300,MATCH($F954,Nutrition!$A$2:$A$300,0))*$I954/100,0))</f>
        <v>0</v>
      </c>
      <c r="M954" s="30">
        <f>IF(OR($F954="",$I954=""),0,IFERROR(INDEX(Nutrition!$G$2:$G$300,MATCH($F954,Nutrition!$A$2:$A$300,0))*$I954/100,0))</f>
        <v>0</v>
      </c>
      <c r="N954" s="30">
        <f>IF(OR($F954="",$I954=""),0,IFERROR(INDEX(Nutrition!$H$2:$H$300,MATCH($F954,Nutrition!$A$2:$A$300,0))*$I954/100,0))</f>
        <v>0</v>
      </c>
      <c r="O954" s="30">
        <f>IF(OR($F954="",$I954=""),0,IFERROR(INDEX(Nutrition!$I$2:$I$300,MATCH($F954,Nutrition!$A$2:$A$300,0))*$I954/100,0))</f>
        <v>0</v>
      </c>
      <c r="P954" s="30">
        <f>IF(OR($F954="",$I954=""),0,IFERROR(INDEX(Nutrition!$J$2:$J$300,MATCH($F954,Nutrition!$A$2:$A$300,0))*$I954/100,0))</f>
        <v>0</v>
      </c>
      <c r="Q954" s="30">
        <f>IF(OR($F954="",$I954=""),0,IFERROR(INDEX(Nutrition!$K$2:$K$300,MATCH($F954,Nutrition!$A$2:$A$300,0))*$I954/100,0))</f>
        <v>0</v>
      </c>
      <c r="R954" s="30">
        <f>IF(OR($F954="",$I954=""),0,IFERROR(INDEX(Nutrition!$L$2:$L$300,MATCH($F954,Nutrition!$A$2:$A$300,0))*$I954/100,0))</f>
        <v>0</v>
      </c>
      <c r="S954" s="30">
        <f>IF(OR($F954="",$I954=""),0,IFERROR(INDEX(Nutrition!$M$2:$M$300,MATCH($F954,Nutrition!$A$2:$A$300,0))*$I954/100,0))</f>
        <v>0</v>
      </c>
    </row>
    <row r="955" spans="1:19" ht="15" customHeight="1" x14ac:dyDescent="0.25">
      <c r="A955" s="22" t="s">
        <v>2145</v>
      </c>
      <c r="B955" s="33" t="str">
        <f>IFERROR(INDEX(Recipes!$B$2:$B$500,MATCH(A955,Recipes!$A$2:$A$500,0)),"")</f>
        <v>Tabbouleh (Herb Salad)</v>
      </c>
      <c r="C955" s="7" t="s">
        <v>671</v>
      </c>
      <c r="D955" s="34">
        <v>3</v>
      </c>
      <c r="E955" s="22" t="s">
        <v>635</v>
      </c>
      <c r="F955" s="22" t="s">
        <v>670</v>
      </c>
      <c r="G955" s="22" t="s">
        <v>2755</v>
      </c>
      <c r="H955" s="7" t="s">
        <v>3002</v>
      </c>
      <c r="I955" s="35">
        <v>150</v>
      </c>
      <c r="J955" s="30">
        <f>IF(OR($F955="",$I955=""),0,IFERROR(INDEX(Nutrition!$D$2:$D$300,MATCH($F955,Nutrition!$A$2:$A$300,0))*$I955/100,0))</f>
        <v>4.95</v>
      </c>
      <c r="K955" s="30">
        <f>IF(OR($F955="",$I955=""),0,IFERROR(INDEX(Nutrition!$E$2:$E$300,MATCH($F955,Nutrition!$A$2:$A$300,0))*$I955/100,0))</f>
        <v>199.5</v>
      </c>
      <c r="L955" s="30">
        <f>IF(OR($F955="",$I955=""),0,IFERROR(INDEX(Nutrition!$F$2:$F$300,MATCH($F955,Nutrition!$A$2:$A$300,0))*$I955/100,0))</f>
        <v>631.5</v>
      </c>
      <c r="M955" s="30">
        <f>IF(OR($F955="",$I955=""),0,IFERROR(INDEX(Nutrition!$G$2:$G$300,MATCH($F955,Nutrition!$A$2:$A$300,0))*$I955/100,0))</f>
        <v>2460</v>
      </c>
      <c r="N955" s="30">
        <f>IF(OR($F955="",$I955=""),0,IFERROR(INDEX(Nutrition!$H$2:$H$300,MATCH($F955,Nutrition!$A$2:$A$300,0))*$I955/100,0))</f>
        <v>228</v>
      </c>
      <c r="O955" s="30">
        <f>IF(OR($F955="",$I955=""),0,IFERROR(INDEX(Nutrition!$I$2:$I$300,MATCH($F955,Nutrition!$A$2:$A$300,0))*$I955/100,0))</f>
        <v>831</v>
      </c>
      <c r="P955" s="30">
        <f>IF(OR($F955="",$I955=""),0,IFERROR(INDEX(Nutrition!$J$2:$J$300,MATCH($F955,Nutrition!$A$2:$A$300,0))*$I955/100,0))</f>
        <v>1.125</v>
      </c>
      <c r="Q955" s="30">
        <f>IF(OR($F955="",$I955=""),0,IFERROR(INDEX(Nutrition!$K$2:$K$300,MATCH($F955,Nutrition!$A$2:$A$300,0))*$I955/100,0))</f>
        <v>0.13500000000000001</v>
      </c>
      <c r="R955" s="30">
        <f>IF(OR($F955="",$I955=""),0,IFERROR(INDEX(Nutrition!$L$2:$L$300,MATCH($F955,Nutrition!$A$2:$A$300,0))*$I955/100,0))</f>
        <v>75</v>
      </c>
      <c r="S955" s="30">
        <f>IF(OR($F955="",$I955=""),0,IFERROR(INDEX(Nutrition!$M$2:$M$300,MATCH($F955,Nutrition!$A$2:$A$300,0))*$I955/100,0))</f>
        <v>9.3000000000000007</v>
      </c>
    </row>
    <row r="956" spans="1:19" ht="15" customHeight="1" x14ac:dyDescent="0.25">
      <c r="A956" s="22" t="s">
        <v>2145</v>
      </c>
      <c r="B956" s="33" t="str">
        <f>IFERROR(INDEX(Recipes!$B$2:$B$500,MATCH(A956,Recipes!$A$2:$A$500,0)),"")</f>
        <v>Tabbouleh (Herb Salad)</v>
      </c>
      <c r="C956" s="7" t="s">
        <v>663</v>
      </c>
      <c r="D956" s="34">
        <v>0.33</v>
      </c>
      <c r="E956" s="22" t="s">
        <v>2748</v>
      </c>
      <c r="F956" s="22" t="s">
        <v>662</v>
      </c>
      <c r="G956" s="22" t="s">
        <v>2755</v>
      </c>
      <c r="H956" s="7" t="s">
        <v>2775</v>
      </c>
      <c r="I956" s="35">
        <v>8</v>
      </c>
      <c r="J956" s="30">
        <f>IF(OR($F956="",$I956=""),0,IFERROR(INDEX(Nutrition!$D$2:$D$300,MATCH($F956,Nutrition!$A$2:$A$300,0))*$I956/100,0))</f>
        <v>0.54400000000000004</v>
      </c>
      <c r="K956" s="30">
        <f>IF(OR($F956="",$I956=""),0,IFERROR(INDEX(Nutrition!$E$2:$E$300,MATCH($F956,Nutrition!$A$2:$A$300,0))*$I956/100,0))</f>
        <v>1.0640000000000001</v>
      </c>
      <c r="L956" s="30">
        <f>IF(OR($F956="",$I956=""),0,IFERROR(INDEX(Nutrition!$F$2:$F$300,MATCH($F956,Nutrition!$A$2:$A$300,0))*$I956/100,0))</f>
        <v>16.239999999999998</v>
      </c>
      <c r="M956" s="30">
        <f>IF(OR($F956="",$I956=""),0,IFERROR(INDEX(Nutrition!$G$2:$G$300,MATCH($F956,Nutrition!$A$2:$A$300,0))*$I956/100,0))</f>
        <v>0</v>
      </c>
      <c r="N956" s="30">
        <f>IF(OR($F956="",$I956=""),0,IFERROR(INDEX(Nutrition!$H$2:$H$300,MATCH($F956,Nutrition!$A$2:$A$300,0))*$I956/100,0))</f>
        <v>8.4</v>
      </c>
      <c r="O956" s="30">
        <f>IF(OR($F956="",$I956=""),0,IFERROR(INDEX(Nutrition!$I$2:$I$300,MATCH($F956,Nutrition!$A$2:$A$300,0))*$I956/100,0))</f>
        <v>36.64</v>
      </c>
      <c r="P956" s="30">
        <f>IF(OR($F956="",$I956=""),0,IFERROR(INDEX(Nutrition!$J$2:$J$300,MATCH($F956,Nutrition!$A$2:$A$300,0))*$I956/100,0))</f>
        <v>0</v>
      </c>
      <c r="Q956" s="30">
        <f>IF(OR($F956="",$I956=""),0,IFERROR(INDEX(Nutrition!$K$2:$K$300,MATCH($F956,Nutrition!$A$2:$A$300,0))*$I956/100,0))</f>
        <v>1.264E-2</v>
      </c>
      <c r="R956" s="30">
        <f>IF(OR($F956="",$I956=""),0,IFERROR(INDEX(Nutrition!$L$2:$L$300,MATCH($F956,Nutrition!$A$2:$A$300,0))*$I956/100,0))</f>
        <v>5.04</v>
      </c>
      <c r="S956" s="30">
        <f>IF(OR($F956="",$I956=""),0,IFERROR(INDEX(Nutrition!$M$2:$M$300,MATCH($F956,Nutrition!$A$2:$A$300,0))*$I956/100,0))</f>
        <v>0.94959999999999989</v>
      </c>
    </row>
    <row r="957" spans="1:19" ht="15" customHeight="1" x14ac:dyDescent="0.25">
      <c r="A957" s="22" t="s">
        <v>2145</v>
      </c>
      <c r="B957" s="33" t="str">
        <f>IFERROR(INDEX(Recipes!$B$2:$B$500,MATCH(A957,Recipes!$A$2:$A$500,0)),"")</f>
        <v>Tabbouleh (Herb Salad)</v>
      </c>
      <c r="C957" s="7" t="s">
        <v>490</v>
      </c>
      <c r="D957" s="34">
        <v>0.33</v>
      </c>
      <c r="E957" s="22" t="s">
        <v>2748</v>
      </c>
      <c r="F957" s="22" t="s">
        <v>489</v>
      </c>
      <c r="G957" s="22" t="s">
        <v>2755</v>
      </c>
      <c r="H957" s="7" t="s">
        <v>2902</v>
      </c>
      <c r="I957" s="35">
        <v>33</v>
      </c>
      <c r="J957" s="30">
        <f>IF(OR($F957="",$I957=""),0,IFERROR(INDEX(Nutrition!$D$2:$D$300,MATCH($F957,Nutrition!$A$2:$A$300,0))*$I957/100,0))</f>
        <v>0.85799999999999998</v>
      </c>
      <c r="K957" s="30">
        <f>IF(OR($F957="",$I957=""),0,IFERROR(INDEX(Nutrition!$E$2:$E$300,MATCH($F957,Nutrition!$A$2:$A$300,0))*$I957/100,0))</f>
        <v>6.2039999999999997</v>
      </c>
      <c r="L957" s="30">
        <f>IF(OR($F957="",$I957=""),0,IFERROR(INDEX(Nutrition!$F$2:$F$300,MATCH($F957,Nutrition!$A$2:$A$300,0))*$I957/100,0))</f>
        <v>16.5</v>
      </c>
      <c r="M957" s="30">
        <f>IF(OR($F957="",$I957=""),0,IFERROR(INDEX(Nutrition!$G$2:$G$300,MATCH($F957,Nutrition!$A$2:$A$300,0))*$I957/100,0))</f>
        <v>68.31</v>
      </c>
      <c r="N957" s="30">
        <f>IF(OR($F957="",$I957=""),0,IFERROR(INDEX(Nutrition!$H$2:$H$300,MATCH($F957,Nutrition!$A$2:$A$300,0))*$I957/100,0))</f>
        <v>21.12</v>
      </c>
      <c r="O957" s="30">
        <f>IF(OR($F957="",$I957=""),0,IFERROR(INDEX(Nutrition!$I$2:$I$300,MATCH($F957,Nutrition!$A$2:$A$300,0))*$I957/100,0))</f>
        <v>91.08</v>
      </c>
      <c r="P957" s="30">
        <f>IF(OR($F957="",$I957=""),0,IFERROR(INDEX(Nutrition!$J$2:$J$300,MATCH($F957,Nutrition!$A$2:$A$300,0))*$I957/100,0))</f>
        <v>0.18150000000000002</v>
      </c>
      <c r="Q957" s="30">
        <f>IF(OR($F957="",$I957=""),0,IFERROR(INDEX(Nutrition!$K$2:$K$300,MATCH($F957,Nutrition!$A$2:$A$300,0))*$I957/100,0))</f>
        <v>2.0129999999999999E-2</v>
      </c>
      <c r="R957" s="30">
        <f>IF(OR($F957="",$I957=""),0,IFERROR(INDEX(Nutrition!$L$2:$L$300,MATCH($F957,Nutrition!$A$2:$A$300,0))*$I957/100,0))</f>
        <v>6.6</v>
      </c>
      <c r="S957" s="30">
        <f>IF(OR($F957="",$I957=""),0,IFERROR(INDEX(Nutrition!$M$2:$M$300,MATCH($F957,Nutrition!$A$2:$A$300,0))*$I957/100,0))</f>
        <v>0.48839999999999995</v>
      </c>
    </row>
    <row r="958" spans="1:19" ht="15" customHeight="1" x14ac:dyDescent="0.25">
      <c r="A958" s="22" t="s">
        <v>2145</v>
      </c>
      <c r="B958" s="33" t="str">
        <f>IFERROR(INDEX(Recipes!$B$2:$B$500,MATCH(A958,Recipes!$A$2:$A$500,0)),"")</f>
        <v>Tabbouleh (Herb Salad)</v>
      </c>
      <c r="C958" s="7" t="s">
        <v>523</v>
      </c>
      <c r="D958" s="34">
        <v>1</v>
      </c>
      <c r="E958" s="22" t="s">
        <v>2748</v>
      </c>
      <c r="F958" s="22" t="s">
        <v>522</v>
      </c>
      <c r="G958" s="22" t="s">
        <v>2755</v>
      </c>
      <c r="H958" s="7" t="s">
        <v>3003</v>
      </c>
      <c r="I958" s="35">
        <v>104</v>
      </c>
      <c r="J958" s="30">
        <f>IF(OR($F958="",$I958=""),0,IFERROR(INDEX(Nutrition!$D$2:$D$300,MATCH($F958,Nutrition!$A$2:$A$300,0))*$I958/100,0))</f>
        <v>0.52</v>
      </c>
      <c r="K958" s="30">
        <f>IF(OR($F958="",$I958=""),0,IFERROR(INDEX(Nutrition!$E$2:$E$300,MATCH($F958,Nutrition!$A$2:$A$300,0))*$I958/100,0))</f>
        <v>2.9119999999999999</v>
      </c>
      <c r="L958" s="30">
        <f>IF(OR($F958="",$I958=""),0,IFERROR(INDEX(Nutrition!$F$2:$F$300,MATCH($F958,Nutrition!$A$2:$A$300,0))*$I958/100,0))</f>
        <v>5.2</v>
      </c>
      <c r="M958" s="30">
        <f>IF(OR($F958="",$I958=""),0,IFERROR(INDEX(Nutrition!$G$2:$G$300,MATCH($F958,Nutrition!$A$2:$A$300,0))*$I958/100,0))</f>
        <v>17.055999999999997</v>
      </c>
      <c r="N958" s="30">
        <f>IF(OR($F958="",$I958=""),0,IFERROR(INDEX(Nutrition!$H$2:$H$300,MATCH($F958,Nutrition!$A$2:$A$300,0))*$I958/100,0))</f>
        <v>7.28</v>
      </c>
      <c r="O958" s="30">
        <f>IF(OR($F958="",$I958=""),0,IFERROR(INDEX(Nutrition!$I$2:$I$300,MATCH($F958,Nutrition!$A$2:$A$300,0))*$I958/100,0))</f>
        <v>152.88</v>
      </c>
      <c r="P958" s="30">
        <f>IF(OR($F958="",$I958=""),0,IFERROR(INDEX(Nutrition!$J$2:$J$300,MATCH($F958,Nutrition!$A$2:$A$300,0))*$I958/100,0))</f>
        <v>3.1200000000000002E-2</v>
      </c>
      <c r="Q958" s="30">
        <f>IF(OR($F958="",$I958=""),0,IFERROR(INDEX(Nutrition!$K$2:$K$300,MATCH($F958,Nutrition!$A$2:$A$300,0))*$I958/100,0))</f>
        <v>4.1599999999999998E-2</v>
      </c>
      <c r="R958" s="30">
        <f>IF(OR($F958="",$I958=""),0,IFERROR(INDEX(Nutrition!$L$2:$L$300,MATCH($F958,Nutrition!$A$2:$A$300,0))*$I958/100,0))</f>
        <v>13.52</v>
      </c>
      <c r="S958" s="30">
        <f>IF(OR($F958="",$I958=""),0,IFERROR(INDEX(Nutrition!$M$2:$M$300,MATCH($F958,Nutrition!$A$2:$A$300,0))*$I958/100,0))</f>
        <v>0.29120000000000007</v>
      </c>
    </row>
    <row r="959" spans="1:19" ht="15" customHeight="1" x14ac:dyDescent="0.25">
      <c r="A959" s="22" t="s">
        <v>2145</v>
      </c>
      <c r="B959" s="33" t="str">
        <f>IFERROR(INDEX(Recipes!$B$2:$B$500,MATCH(A959,Recipes!$A$2:$A$500,0)),"")</f>
        <v>Tabbouleh (Herb Salad)</v>
      </c>
      <c r="C959" s="7" t="s">
        <v>446</v>
      </c>
      <c r="D959" s="34">
        <v>1</v>
      </c>
      <c r="E959" s="22" t="s">
        <v>2748</v>
      </c>
      <c r="F959" s="22" t="s">
        <v>445</v>
      </c>
      <c r="G959" s="22" t="s">
        <v>2755</v>
      </c>
      <c r="H959" s="7" t="s">
        <v>3003</v>
      </c>
      <c r="I959" s="35">
        <v>180</v>
      </c>
      <c r="J959" s="30">
        <f>IF(OR($F959="",$I959=""),0,IFERROR(INDEX(Nutrition!$D$2:$D$300,MATCH($F959,Nutrition!$A$2:$A$300,0))*$I959/100,0))</f>
        <v>2.16</v>
      </c>
      <c r="K959" s="30">
        <f>IF(OR($F959="",$I959=""),0,IFERROR(INDEX(Nutrition!$E$2:$E$300,MATCH($F959,Nutrition!$A$2:$A$300,0))*$I959/100,0))</f>
        <v>24.66</v>
      </c>
      <c r="L959" s="30">
        <f>IF(OR($F959="",$I959=""),0,IFERROR(INDEX(Nutrition!$F$2:$F$300,MATCH($F959,Nutrition!$A$2:$A$300,0))*$I959/100,0))</f>
        <v>75.599999999999994</v>
      </c>
      <c r="M959" s="30">
        <f>IF(OR($F959="",$I959=""),0,IFERROR(INDEX(Nutrition!$G$2:$G$300,MATCH($F959,Nutrition!$A$2:$A$300,0))*$I959/100,0))</f>
        <v>14.22</v>
      </c>
      <c r="N959" s="30">
        <f>IF(OR($F959="",$I959=""),0,IFERROR(INDEX(Nutrition!$H$2:$H$300,MATCH($F959,Nutrition!$A$2:$A$300,0))*$I959/100,0))</f>
        <v>27</v>
      </c>
      <c r="O959" s="30">
        <f>IF(OR($F959="",$I959=""),0,IFERROR(INDEX(Nutrition!$I$2:$I$300,MATCH($F959,Nutrition!$A$2:$A$300,0))*$I959/100,0))</f>
        <v>426.6</v>
      </c>
      <c r="P959" s="30">
        <f>IF(OR($F959="",$I959=""),0,IFERROR(INDEX(Nutrition!$J$2:$J$300,MATCH($F959,Nutrition!$A$2:$A$300,0))*$I959/100,0))</f>
        <v>0.97199999999999998</v>
      </c>
      <c r="Q959" s="30">
        <f>IF(OR($F959="",$I959=""),0,IFERROR(INDEX(Nutrition!$K$2:$K$300,MATCH($F959,Nutrition!$A$2:$A$300,0))*$I959/100,0))</f>
        <v>0.14400000000000002</v>
      </c>
      <c r="R959" s="30">
        <f>IF(OR($F959="",$I959=""),0,IFERROR(INDEX(Nutrition!$L$2:$L$300,MATCH($F959,Nutrition!$A$2:$A$300,0))*$I959/100,0))</f>
        <v>19.8</v>
      </c>
      <c r="S959" s="30">
        <f>IF(OR($F959="",$I959=""),0,IFERROR(INDEX(Nutrition!$M$2:$M$300,MATCH($F959,Nutrition!$A$2:$A$300,0))*$I959/100,0))</f>
        <v>0.48599999999999999</v>
      </c>
    </row>
    <row r="960" spans="1:19" ht="15" customHeight="1" x14ac:dyDescent="0.25">
      <c r="A960" s="22" t="s">
        <v>2145</v>
      </c>
      <c r="B960" s="33" t="str">
        <f>IFERROR(INDEX(Recipes!$B$2:$B$500,MATCH(A960,Recipes!$A$2:$A$500,0)),"")</f>
        <v>Tabbouleh (Herb Salad)</v>
      </c>
      <c r="C960" s="7" t="s">
        <v>206</v>
      </c>
      <c r="D960" s="34">
        <v>1</v>
      </c>
      <c r="E960" s="22" t="s">
        <v>2754</v>
      </c>
      <c r="F960" s="22" t="s">
        <v>205</v>
      </c>
      <c r="G960" s="22" t="s">
        <v>2755</v>
      </c>
      <c r="H960" s="7" t="s">
        <v>2912</v>
      </c>
      <c r="I960" s="35">
        <v>58</v>
      </c>
      <c r="J960" s="30">
        <f>IF(OR($F960="",$I960=""),0,IFERROR(INDEX(Nutrition!$D$2:$D$300,MATCH($F960,Nutrition!$A$2:$A$300,0))*$I960/100,0))</f>
        <v>1.6239999999999997</v>
      </c>
      <c r="K960" s="30">
        <f>IF(OR($F960="",$I960=""),0,IFERROR(INDEX(Nutrition!$E$2:$E$300,MATCH($F960,Nutrition!$A$2:$A$300,0))*$I960/100,0))</f>
        <v>30.74</v>
      </c>
      <c r="L960" s="30">
        <f>IF(OR($F960="",$I960=""),0,IFERROR(INDEX(Nutrition!$F$2:$F$300,MATCH($F960,Nutrition!$A$2:$A$300,0))*$I960/100,0))</f>
        <v>0.57999999999999996</v>
      </c>
      <c r="M960" s="30">
        <f>IF(OR($F960="",$I960=""),0,IFERROR(INDEX(Nutrition!$G$2:$G$300,MATCH($F960,Nutrition!$A$2:$A$300,0))*$I960/100,0))</f>
        <v>0</v>
      </c>
      <c r="N960" s="30">
        <f>IF(OR($F960="",$I960=""),0,IFERROR(INDEX(Nutrition!$H$2:$H$300,MATCH($F960,Nutrition!$A$2:$A$300,0))*$I960/100,0))</f>
        <v>6.38</v>
      </c>
      <c r="O960" s="30">
        <f>IF(OR($F960="",$I960=""),0,IFERROR(INDEX(Nutrition!$I$2:$I$300,MATCH($F960,Nutrition!$A$2:$A$300,0))*$I960/100,0))</f>
        <v>80.040000000000006</v>
      </c>
      <c r="P960" s="30">
        <f>IF(OR($F960="",$I960=""),0,IFERROR(INDEX(Nutrition!$J$2:$J$300,MATCH($F960,Nutrition!$A$2:$A$300,0))*$I960/100,0))</f>
        <v>8.6999999999999994E-2</v>
      </c>
      <c r="Q960" s="30">
        <f>IF(OR($F960="",$I960=""),0,IFERROR(INDEX(Nutrition!$K$2:$K$300,MATCH($F960,Nutrition!$A$2:$A$300,0))*$I960/100,0))</f>
        <v>4.6399999999999997E-2</v>
      </c>
      <c r="R960" s="30">
        <f>IF(OR($F960="",$I960=""),0,IFERROR(INDEX(Nutrition!$L$2:$L$300,MATCH($F960,Nutrition!$A$2:$A$300,0))*$I960/100,0))</f>
        <v>4.6399999999999997</v>
      </c>
      <c r="S960" s="30">
        <f>IF(OR($F960="",$I960=""),0,IFERROR(INDEX(Nutrition!$M$2:$M$300,MATCH($F960,Nutrition!$A$2:$A$300,0))*$I960/100,0))</f>
        <v>0.34799999999999998</v>
      </c>
    </row>
    <row r="961" spans="1:19" ht="15" customHeight="1" x14ac:dyDescent="0.25">
      <c r="A961" s="22" t="s">
        <v>2145</v>
      </c>
      <c r="B961" s="33" t="str">
        <f>IFERROR(INDEX(Recipes!$B$2:$B$500,MATCH(A961,Recipes!$A$2:$A$500,0)),"")</f>
        <v>Tabbouleh (Herb Salad)</v>
      </c>
      <c r="C961" s="7" t="s">
        <v>500</v>
      </c>
      <c r="D961" s="34">
        <v>1</v>
      </c>
      <c r="E961" s="22" t="s">
        <v>2816</v>
      </c>
      <c r="F961" s="22" t="s">
        <v>499</v>
      </c>
      <c r="G961" s="22" t="s">
        <v>2755</v>
      </c>
      <c r="H961" s="7" t="s">
        <v>2896</v>
      </c>
      <c r="I961" s="35">
        <v>3</v>
      </c>
      <c r="J961" s="30">
        <f>IF(OR($F961="",$I961=""),0,IFERROR(INDEX(Nutrition!$D$2:$D$300,MATCH($F961,Nutrition!$A$2:$A$300,0))*$I961/100,0))</f>
        <v>6.3E-2</v>
      </c>
      <c r="K961" s="30">
        <f>IF(OR($F961="",$I961=""),0,IFERROR(INDEX(Nutrition!$E$2:$E$300,MATCH($F961,Nutrition!$A$2:$A$300,0))*$I961/100,0))</f>
        <v>0.93599999999999994</v>
      </c>
      <c r="L961" s="30">
        <f>IF(OR($F961="",$I961=""),0,IFERROR(INDEX(Nutrition!$F$2:$F$300,MATCH($F961,Nutrition!$A$2:$A$300,0))*$I961/100,0))</f>
        <v>0</v>
      </c>
      <c r="M961" s="30">
        <f>IF(OR($F961="",$I961=""),0,IFERROR(INDEX(Nutrition!$G$2:$G$300,MATCH($F961,Nutrition!$A$2:$A$300,0))*$I961/100,0))</f>
        <v>5.0999999999999997E-2</v>
      </c>
      <c r="N961" s="30">
        <f>IF(OR($F961="",$I961=""),0,IFERROR(INDEX(Nutrition!$H$2:$H$300,MATCH($F961,Nutrition!$A$2:$A$300,0))*$I961/100,0))</f>
        <v>0.09</v>
      </c>
      <c r="O961" s="30">
        <f>IF(OR($F961="",$I961=""),0,IFERROR(INDEX(Nutrition!$I$2:$I$300,MATCH($F961,Nutrition!$A$2:$A$300,0))*$I961/100,0))</f>
        <v>12.03</v>
      </c>
      <c r="P961" s="30">
        <f>IF(OR($F961="",$I961=""),0,IFERROR(INDEX(Nutrition!$J$2:$J$300,MATCH($F961,Nutrition!$A$2:$A$300,0))*$I961/100,0))</f>
        <v>2.3999999999999998E-3</v>
      </c>
      <c r="Q961" s="30">
        <f>IF(OR($F961="",$I961=""),0,IFERROR(INDEX(Nutrition!$K$2:$K$300,MATCH($F961,Nutrition!$A$2:$A$300,0))*$I961/100,0))</f>
        <v>3.705E-2</v>
      </c>
      <c r="R961" s="30">
        <f>IF(OR($F961="",$I961=""),0,IFERROR(INDEX(Nutrition!$L$2:$L$300,MATCH($F961,Nutrition!$A$2:$A$300,0))*$I961/100,0))</f>
        <v>0.75</v>
      </c>
      <c r="S961" s="30">
        <f>IF(OR($F961="",$I961=""),0,IFERROR(INDEX(Nutrition!$M$2:$M$300,MATCH($F961,Nutrition!$A$2:$A$300,0))*$I961/100,0))</f>
        <v>5.0999999999999997E-2</v>
      </c>
    </row>
    <row r="962" spans="1:19" ht="15" customHeight="1" x14ac:dyDescent="0.25">
      <c r="A962" s="22" t="s">
        <v>2145</v>
      </c>
      <c r="B962" s="33" t="str">
        <f>IFERROR(INDEX(Recipes!$B$2:$B$500,MATCH(A962,Recipes!$A$2:$A$500,0)),"")</f>
        <v>Tabbouleh (Herb Salad)</v>
      </c>
      <c r="C962" s="7" t="s">
        <v>2805</v>
      </c>
      <c r="D962" s="34">
        <v>0.33</v>
      </c>
      <c r="E962" s="22" t="s">
        <v>2748</v>
      </c>
      <c r="F962" s="22"/>
      <c r="G962" s="22" t="s">
        <v>2773</v>
      </c>
      <c r="H962" s="7"/>
      <c r="I962" s="35"/>
      <c r="J962" s="30">
        <f>IF(OR($F962="",$I962=""),0,IFERROR(INDEX(Nutrition!$D$2:$D$300,MATCH($F962,Nutrition!$A$2:$A$300,0))*$I962/100,0))</f>
        <v>0</v>
      </c>
      <c r="K962" s="30">
        <f>IF(OR($F962="",$I962=""),0,IFERROR(INDEX(Nutrition!$E$2:$E$300,MATCH($F962,Nutrition!$A$2:$A$300,0))*$I962/100,0))</f>
        <v>0</v>
      </c>
      <c r="L962" s="30">
        <f>IF(OR($F962="",$I962=""),0,IFERROR(INDEX(Nutrition!$F$2:$F$300,MATCH($F962,Nutrition!$A$2:$A$300,0))*$I962/100,0))</f>
        <v>0</v>
      </c>
      <c r="M962" s="30">
        <f>IF(OR($F962="",$I962=""),0,IFERROR(INDEX(Nutrition!$G$2:$G$300,MATCH($F962,Nutrition!$A$2:$A$300,0))*$I962/100,0))</f>
        <v>0</v>
      </c>
      <c r="N962" s="30">
        <f>IF(OR($F962="",$I962=""),0,IFERROR(INDEX(Nutrition!$H$2:$H$300,MATCH($F962,Nutrition!$A$2:$A$300,0))*$I962/100,0))</f>
        <v>0</v>
      </c>
      <c r="O962" s="30">
        <f>IF(OR($F962="",$I962=""),0,IFERROR(INDEX(Nutrition!$I$2:$I$300,MATCH($F962,Nutrition!$A$2:$A$300,0))*$I962/100,0))</f>
        <v>0</v>
      </c>
      <c r="P962" s="30">
        <f>IF(OR($F962="",$I962=""),0,IFERROR(INDEX(Nutrition!$J$2:$J$300,MATCH($F962,Nutrition!$A$2:$A$300,0))*$I962/100,0))</f>
        <v>0</v>
      </c>
      <c r="Q962" s="30">
        <f>IF(OR($F962="",$I962=""),0,IFERROR(INDEX(Nutrition!$K$2:$K$300,MATCH($F962,Nutrition!$A$2:$A$300,0))*$I962/100,0))</f>
        <v>0</v>
      </c>
      <c r="R962" s="30">
        <f>IF(OR($F962="",$I962=""),0,IFERROR(INDEX(Nutrition!$L$2:$L$300,MATCH($F962,Nutrition!$A$2:$A$300,0))*$I962/100,0))</f>
        <v>0</v>
      </c>
      <c r="S962" s="30">
        <f>IF(OR($F962="",$I962=""),0,IFERROR(INDEX(Nutrition!$M$2:$M$300,MATCH($F962,Nutrition!$A$2:$A$300,0))*$I962/100,0))</f>
        <v>0</v>
      </c>
    </row>
    <row r="963" spans="1:19" ht="15" customHeight="1" x14ac:dyDescent="0.25">
      <c r="A963" s="22" t="s">
        <v>2145</v>
      </c>
      <c r="B963" s="33" t="str">
        <f>IFERROR(INDEX(Recipes!$B$2:$B$500,MATCH(A963,Recipes!$A$2:$A$500,0)),"")</f>
        <v>Tabbouleh (Herb Salad)</v>
      </c>
      <c r="C963" s="7" t="s">
        <v>2781</v>
      </c>
      <c r="D963" s="34">
        <v>1</v>
      </c>
      <c r="E963" s="22" t="s">
        <v>2759</v>
      </c>
      <c r="F963" s="22"/>
      <c r="G963" s="22" t="s">
        <v>2773</v>
      </c>
      <c r="H963" s="7"/>
      <c r="I963" s="35"/>
      <c r="J963" s="30">
        <f>IF(OR($F963="",$I963=""),0,IFERROR(INDEX(Nutrition!$D$2:$D$300,MATCH($F963,Nutrition!$A$2:$A$300,0))*$I963/100,0))</f>
        <v>0</v>
      </c>
      <c r="K963" s="30">
        <f>IF(OR($F963="",$I963=""),0,IFERROR(INDEX(Nutrition!$E$2:$E$300,MATCH($F963,Nutrition!$A$2:$A$300,0))*$I963/100,0))</f>
        <v>0</v>
      </c>
      <c r="L963" s="30">
        <f>IF(OR($F963="",$I963=""),0,IFERROR(INDEX(Nutrition!$F$2:$F$300,MATCH($F963,Nutrition!$A$2:$A$300,0))*$I963/100,0))</f>
        <v>0</v>
      </c>
      <c r="M963" s="30">
        <f>IF(OR($F963="",$I963=""),0,IFERROR(INDEX(Nutrition!$G$2:$G$300,MATCH($F963,Nutrition!$A$2:$A$300,0))*$I963/100,0))</f>
        <v>0</v>
      </c>
      <c r="N963" s="30">
        <f>IF(OR($F963="",$I963=""),0,IFERROR(INDEX(Nutrition!$H$2:$H$300,MATCH($F963,Nutrition!$A$2:$A$300,0))*$I963/100,0))</f>
        <v>0</v>
      </c>
      <c r="O963" s="30">
        <f>IF(OR($F963="",$I963=""),0,IFERROR(INDEX(Nutrition!$I$2:$I$300,MATCH($F963,Nutrition!$A$2:$A$300,0))*$I963/100,0))</f>
        <v>0</v>
      </c>
      <c r="P963" s="30">
        <f>IF(OR($F963="",$I963=""),0,IFERROR(INDEX(Nutrition!$J$2:$J$300,MATCH($F963,Nutrition!$A$2:$A$300,0))*$I963/100,0))</f>
        <v>0</v>
      </c>
      <c r="Q963" s="30">
        <f>IF(OR($F963="",$I963=""),0,IFERROR(INDEX(Nutrition!$K$2:$K$300,MATCH($F963,Nutrition!$A$2:$A$300,0))*$I963/100,0))</f>
        <v>0</v>
      </c>
      <c r="R963" s="30">
        <f>IF(OR($F963="",$I963=""),0,IFERROR(INDEX(Nutrition!$L$2:$L$300,MATCH($F963,Nutrition!$A$2:$A$300,0))*$I963/100,0))</f>
        <v>0</v>
      </c>
      <c r="S963" s="30">
        <f>IF(OR($F963="",$I963=""),0,IFERROR(INDEX(Nutrition!$M$2:$M$300,MATCH($F963,Nutrition!$A$2:$A$300,0))*$I963/100,0))</f>
        <v>0</v>
      </c>
    </row>
    <row r="964" spans="1:19" ht="15" customHeight="1" x14ac:dyDescent="0.25">
      <c r="A964" s="22" t="s">
        <v>2155</v>
      </c>
      <c r="B964" s="33" t="str">
        <f>IFERROR(INDEX(Recipes!$B$2:$B$500,MATCH(A964,Recipes!$A$2:$A$500,0)),"")</f>
        <v>Fattoush with Agege Croutons</v>
      </c>
      <c r="C964" s="7" t="s">
        <v>546</v>
      </c>
      <c r="D964" s="34">
        <v>1</v>
      </c>
      <c r="E964" s="22" t="s">
        <v>2808</v>
      </c>
      <c r="F964" s="22" t="s">
        <v>545</v>
      </c>
      <c r="G964" s="22" t="s">
        <v>2755</v>
      </c>
      <c r="H964" s="7" t="s">
        <v>3004</v>
      </c>
      <c r="I964" s="35">
        <v>280</v>
      </c>
      <c r="J964" s="30">
        <f>IF(OR($F964="",$I964=""),0,IFERROR(INDEX(Nutrition!$D$2:$D$300,MATCH($F964,Nutrition!$A$2:$A$300,0))*$I964/100,0))</f>
        <v>5.88</v>
      </c>
      <c r="K964" s="30">
        <f>IF(OR($F964="",$I964=""),0,IFERROR(INDEX(Nutrition!$E$2:$E$300,MATCH($F964,Nutrition!$A$2:$A$300,0))*$I964/100,0))</f>
        <v>11.2</v>
      </c>
      <c r="L964" s="30">
        <f>IF(OR($F964="",$I964=""),0,IFERROR(INDEX(Nutrition!$F$2:$F$300,MATCH($F964,Nutrition!$A$2:$A$300,0))*$I964/100,0))</f>
        <v>1220.8</v>
      </c>
      <c r="M964" s="30">
        <f>IF(OR($F964="",$I964=""),0,IFERROR(INDEX(Nutrition!$G$2:$G$300,MATCH($F964,Nutrition!$A$2:$A$300,0))*$I964/100,0))</f>
        <v>287</v>
      </c>
      <c r="N964" s="30">
        <f>IF(OR($F964="",$I964=""),0,IFERROR(INDEX(Nutrition!$H$2:$H$300,MATCH($F964,Nutrition!$A$2:$A$300,0))*$I964/100,0))</f>
        <v>380.8</v>
      </c>
      <c r="O964" s="30">
        <f>IF(OR($F964="",$I964=""),0,IFERROR(INDEX(Nutrition!$I$2:$I$300,MATCH($F964,Nutrition!$A$2:$A$300,0))*$I964/100,0))</f>
        <v>691.6</v>
      </c>
      <c r="P964" s="30">
        <f>IF(OR($F964="",$I964=""),0,IFERROR(INDEX(Nutrition!$J$2:$J$300,MATCH($F964,Nutrition!$A$2:$A$300,0))*$I964/100,0))</f>
        <v>0.36399999999999999</v>
      </c>
      <c r="Q964" s="30">
        <f>IF(OR($F964="",$I964=""),0,IFERROR(INDEX(Nutrition!$K$2:$K$300,MATCH($F964,Nutrition!$A$2:$A$300,0))*$I964/100,0))</f>
        <v>0.2072</v>
      </c>
      <c r="R964" s="30">
        <f>IF(OR($F964="",$I964=""),0,IFERROR(INDEX(Nutrition!$L$2:$L$300,MATCH($F964,Nutrition!$A$2:$A$300,0))*$I964/100,0))</f>
        <v>39.200000000000003</v>
      </c>
      <c r="S964" s="30">
        <f>IF(OR($F964="",$I964=""),0,IFERROR(INDEX(Nutrition!$M$2:$M$300,MATCH($F964,Nutrition!$A$2:$A$300,0))*$I964/100,0))</f>
        <v>2.7159999999999997</v>
      </c>
    </row>
    <row r="965" spans="1:19" ht="15" customHeight="1" x14ac:dyDescent="0.25">
      <c r="A965" s="22" t="s">
        <v>2155</v>
      </c>
      <c r="B965" s="33" t="str">
        <f>IFERROR(INDEX(Recipes!$B$2:$B$500,MATCH(A965,Recipes!$A$2:$A$500,0)),"")</f>
        <v>Fattoush with Agege Croutons</v>
      </c>
      <c r="C965" s="7" t="s">
        <v>456</v>
      </c>
      <c r="D965" s="34">
        <v>1</v>
      </c>
      <c r="E965" s="22" t="s">
        <v>2748</v>
      </c>
      <c r="F965" s="22" t="s">
        <v>455</v>
      </c>
      <c r="G965" s="22" t="s">
        <v>2755</v>
      </c>
      <c r="H965" s="7" t="s">
        <v>2911</v>
      </c>
      <c r="I965" s="35">
        <v>149</v>
      </c>
      <c r="J965" s="30">
        <f>IF(OR($F965="",$I965=""),0,IFERROR(INDEX(Nutrition!$D$2:$D$300,MATCH($F965,Nutrition!$A$2:$A$300,0))*$I965/100,0))</f>
        <v>3.1290000000000004</v>
      </c>
      <c r="K965" s="30">
        <f>IF(OR($F965="",$I965=""),0,IFERROR(INDEX(Nutrition!$E$2:$E$300,MATCH($F965,Nutrition!$A$2:$A$300,0))*$I965/100,0))</f>
        <v>40.527999999999999</v>
      </c>
      <c r="L965" s="30">
        <f>IF(OR($F965="",$I965=""),0,IFERROR(INDEX(Nutrition!$F$2:$F$300,MATCH($F965,Nutrition!$A$2:$A$300,0))*$I965/100,0))</f>
        <v>62.58</v>
      </c>
      <c r="M965" s="30">
        <f>IF(OR($F965="",$I965=""),0,IFERROR(INDEX(Nutrition!$G$2:$G$300,MATCH($F965,Nutrition!$A$2:$A$300,0))*$I965/100,0))</f>
        <v>11.771000000000001</v>
      </c>
      <c r="N965" s="30">
        <f>IF(OR($F965="",$I965=""),0,IFERROR(INDEX(Nutrition!$H$2:$H$300,MATCH($F965,Nutrition!$A$2:$A$300,0))*$I965/100,0))</f>
        <v>22.35</v>
      </c>
      <c r="O965" s="30">
        <f>IF(OR($F965="",$I965=""),0,IFERROR(INDEX(Nutrition!$I$2:$I$300,MATCH($F965,Nutrition!$A$2:$A$300,0))*$I965/100,0))</f>
        <v>387.4</v>
      </c>
      <c r="P965" s="30">
        <f>IF(OR($F965="",$I965=""),0,IFERROR(INDEX(Nutrition!$J$2:$J$300,MATCH($F965,Nutrition!$A$2:$A$300,0))*$I965/100,0))</f>
        <v>0.80460000000000009</v>
      </c>
      <c r="Q965" s="30">
        <f>IF(OR($F965="",$I965=""),0,IFERROR(INDEX(Nutrition!$K$2:$K$300,MATCH($F965,Nutrition!$A$2:$A$300,0))*$I965/100,0))</f>
        <v>0.1192</v>
      </c>
      <c r="R965" s="30">
        <f>IF(OR($F965="",$I965=""),0,IFERROR(INDEX(Nutrition!$L$2:$L$300,MATCH($F965,Nutrition!$A$2:$A$300,0))*$I965/100,0))</f>
        <v>14.9</v>
      </c>
      <c r="S965" s="30">
        <f>IF(OR($F965="",$I965=""),0,IFERROR(INDEX(Nutrition!$M$2:$M$300,MATCH($F965,Nutrition!$A$2:$A$300,0))*$I965/100,0))</f>
        <v>0.44699999999999995</v>
      </c>
    </row>
    <row r="966" spans="1:19" ht="15" customHeight="1" x14ac:dyDescent="0.25">
      <c r="A966" s="22" t="s">
        <v>2155</v>
      </c>
      <c r="B966" s="33" t="str">
        <f>IFERROR(INDEX(Recipes!$B$2:$B$500,MATCH(A966,Recipes!$A$2:$A$500,0)),"")</f>
        <v>Fattoush with Agege Croutons</v>
      </c>
      <c r="C966" s="7" t="s">
        <v>523</v>
      </c>
      <c r="D966" s="34">
        <v>1</v>
      </c>
      <c r="E966" s="22" t="s">
        <v>2748</v>
      </c>
      <c r="F966" s="22" t="s">
        <v>522</v>
      </c>
      <c r="G966" s="22" t="s">
        <v>2755</v>
      </c>
      <c r="H966" s="7" t="s">
        <v>2830</v>
      </c>
      <c r="I966" s="35">
        <v>104</v>
      </c>
      <c r="J966" s="30">
        <f>IF(OR($F966="",$I966=""),0,IFERROR(INDEX(Nutrition!$D$2:$D$300,MATCH($F966,Nutrition!$A$2:$A$300,0))*$I966/100,0))</f>
        <v>0.52</v>
      </c>
      <c r="K966" s="30">
        <f>IF(OR($F966="",$I966=""),0,IFERROR(INDEX(Nutrition!$E$2:$E$300,MATCH($F966,Nutrition!$A$2:$A$300,0))*$I966/100,0))</f>
        <v>2.9119999999999999</v>
      </c>
      <c r="L966" s="30">
        <f>IF(OR($F966="",$I966=""),0,IFERROR(INDEX(Nutrition!$F$2:$F$300,MATCH($F966,Nutrition!$A$2:$A$300,0))*$I966/100,0))</f>
        <v>5.2</v>
      </c>
      <c r="M966" s="30">
        <f>IF(OR($F966="",$I966=""),0,IFERROR(INDEX(Nutrition!$G$2:$G$300,MATCH($F966,Nutrition!$A$2:$A$300,0))*$I966/100,0))</f>
        <v>17.055999999999997</v>
      </c>
      <c r="N966" s="30">
        <f>IF(OR($F966="",$I966=""),0,IFERROR(INDEX(Nutrition!$H$2:$H$300,MATCH($F966,Nutrition!$A$2:$A$300,0))*$I966/100,0))</f>
        <v>7.28</v>
      </c>
      <c r="O966" s="30">
        <f>IF(OR($F966="",$I966=""),0,IFERROR(INDEX(Nutrition!$I$2:$I$300,MATCH($F966,Nutrition!$A$2:$A$300,0))*$I966/100,0))</f>
        <v>152.88</v>
      </c>
      <c r="P966" s="30">
        <f>IF(OR($F966="",$I966=""),0,IFERROR(INDEX(Nutrition!$J$2:$J$300,MATCH($F966,Nutrition!$A$2:$A$300,0))*$I966/100,0))</f>
        <v>3.1200000000000002E-2</v>
      </c>
      <c r="Q966" s="30">
        <f>IF(OR($F966="",$I966=""),0,IFERROR(INDEX(Nutrition!$K$2:$K$300,MATCH($F966,Nutrition!$A$2:$A$300,0))*$I966/100,0))</f>
        <v>4.1599999999999998E-2</v>
      </c>
      <c r="R966" s="30">
        <f>IF(OR($F966="",$I966=""),0,IFERROR(INDEX(Nutrition!$L$2:$L$300,MATCH($F966,Nutrition!$A$2:$A$300,0))*$I966/100,0))</f>
        <v>13.52</v>
      </c>
      <c r="S966" s="30">
        <f>IF(OR($F966="",$I966=""),0,IFERROR(INDEX(Nutrition!$M$2:$M$300,MATCH($F966,Nutrition!$A$2:$A$300,0))*$I966/100,0))</f>
        <v>0.29120000000000007</v>
      </c>
    </row>
    <row r="967" spans="1:19" ht="15" customHeight="1" x14ac:dyDescent="0.25">
      <c r="A967" s="22" t="s">
        <v>2155</v>
      </c>
      <c r="B967" s="33" t="str">
        <f>IFERROR(INDEX(Recipes!$B$2:$B$500,MATCH(A967,Recipes!$A$2:$A$500,0)),"")</f>
        <v>Fattoush with Agege Croutons</v>
      </c>
      <c r="C967" s="7" t="s">
        <v>482</v>
      </c>
      <c r="D967" s="34">
        <v>0.5</v>
      </c>
      <c r="E967" s="22" t="s">
        <v>2748</v>
      </c>
      <c r="F967" s="22" t="s">
        <v>481</v>
      </c>
      <c r="G967" s="22" t="s">
        <v>2755</v>
      </c>
      <c r="H967" s="7" t="s">
        <v>3005</v>
      </c>
      <c r="I967" s="35">
        <v>80</v>
      </c>
      <c r="J967" s="30">
        <f>IF(OR($F967="",$I967=""),0,IFERROR(INDEX(Nutrition!$D$2:$D$300,MATCH($F967,Nutrition!$A$2:$A$300,0))*$I967/100,0))</f>
        <v>1.36</v>
      </c>
      <c r="K967" s="30">
        <f>IF(OR($F967="",$I967=""),0,IFERROR(INDEX(Nutrition!$E$2:$E$300,MATCH($F967,Nutrition!$A$2:$A$300,0))*$I967/100,0))</f>
        <v>5.92</v>
      </c>
      <c r="L967" s="30">
        <f>IF(OR($F967="",$I967=""),0,IFERROR(INDEX(Nutrition!$F$2:$F$300,MATCH($F967,Nutrition!$A$2:$A$300,0))*$I967/100,0))</f>
        <v>0</v>
      </c>
      <c r="M967" s="30">
        <f>IF(OR($F967="",$I967=""),0,IFERROR(INDEX(Nutrition!$G$2:$G$300,MATCH($F967,Nutrition!$A$2:$A$300,0))*$I967/100,0))</f>
        <v>0.32</v>
      </c>
      <c r="N967" s="30">
        <f>IF(OR($F967="",$I967=""),0,IFERROR(INDEX(Nutrition!$H$2:$H$300,MATCH($F967,Nutrition!$A$2:$A$300,0))*$I967/100,0))</f>
        <v>15.2</v>
      </c>
      <c r="O967" s="30">
        <f>IF(OR($F967="",$I967=""),0,IFERROR(INDEX(Nutrition!$I$2:$I$300,MATCH($F967,Nutrition!$A$2:$A$300,0))*$I967/100,0))</f>
        <v>116.8</v>
      </c>
      <c r="P967" s="30">
        <f>IF(OR($F967="",$I967=""),0,IFERROR(INDEX(Nutrition!$J$2:$J$300,MATCH($F967,Nutrition!$A$2:$A$300,0))*$I967/100,0))</f>
        <v>1.6E-2</v>
      </c>
      <c r="Q967" s="30">
        <f>IF(OR($F967="",$I967=""),0,IFERROR(INDEX(Nutrition!$K$2:$K$300,MATCH($F967,Nutrition!$A$2:$A$300,0))*$I967/100,0))</f>
        <v>9.6000000000000002E-2</v>
      </c>
      <c r="R967" s="30">
        <f>IF(OR($F967="",$I967=""),0,IFERROR(INDEX(Nutrition!$L$2:$L$300,MATCH($F967,Nutrition!$A$2:$A$300,0))*$I967/100,0))</f>
        <v>8</v>
      </c>
      <c r="S967" s="30">
        <f>IF(OR($F967="",$I967=""),0,IFERROR(INDEX(Nutrition!$M$2:$M$300,MATCH($F967,Nutrition!$A$2:$A$300,0))*$I967/100,0))</f>
        <v>0.16800000000000001</v>
      </c>
    </row>
    <row r="968" spans="1:19" ht="15" customHeight="1" x14ac:dyDescent="0.25">
      <c r="A968" s="22" t="s">
        <v>2155</v>
      </c>
      <c r="B968" s="33" t="str">
        <f>IFERROR(INDEX(Recipes!$B$2:$B$500,MATCH(A968,Recipes!$A$2:$A$500,0)),"")</f>
        <v>Fattoush with Agege Croutons</v>
      </c>
      <c r="C968" s="7" t="s">
        <v>663</v>
      </c>
      <c r="D968" s="34">
        <v>0.5</v>
      </c>
      <c r="E968" s="22" t="s">
        <v>2748</v>
      </c>
      <c r="F968" s="22" t="s">
        <v>662</v>
      </c>
      <c r="G968" s="22" t="s">
        <v>2755</v>
      </c>
      <c r="H968" s="7" t="s">
        <v>2909</v>
      </c>
      <c r="I968" s="35">
        <v>12</v>
      </c>
      <c r="J968" s="30">
        <f>IF(OR($F968="",$I968=""),0,IFERROR(INDEX(Nutrition!$D$2:$D$300,MATCH($F968,Nutrition!$A$2:$A$300,0))*$I968/100,0))</f>
        <v>0.81599999999999995</v>
      </c>
      <c r="K968" s="30">
        <f>IF(OR($F968="",$I968=""),0,IFERROR(INDEX(Nutrition!$E$2:$E$300,MATCH($F968,Nutrition!$A$2:$A$300,0))*$I968/100,0))</f>
        <v>1.5960000000000003</v>
      </c>
      <c r="L968" s="30">
        <f>IF(OR($F968="",$I968=""),0,IFERROR(INDEX(Nutrition!$F$2:$F$300,MATCH($F968,Nutrition!$A$2:$A$300,0))*$I968/100,0))</f>
        <v>24.36</v>
      </c>
      <c r="M968" s="30">
        <f>IF(OR($F968="",$I968=""),0,IFERROR(INDEX(Nutrition!$G$2:$G$300,MATCH($F968,Nutrition!$A$2:$A$300,0))*$I968/100,0))</f>
        <v>0</v>
      </c>
      <c r="N968" s="30">
        <f>IF(OR($F968="",$I968=""),0,IFERROR(INDEX(Nutrition!$H$2:$H$300,MATCH($F968,Nutrition!$A$2:$A$300,0))*$I968/100,0))</f>
        <v>12.6</v>
      </c>
      <c r="O968" s="30">
        <f>IF(OR($F968="",$I968=""),0,IFERROR(INDEX(Nutrition!$I$2:$I$300,MATCH($F968,Nutrition!$A$2:$A$300,0))*$I968/100,0))</f>
        <v>54.96</v>
      </c>
      <c r="P968" s="30">
        <f>IF(OR($F968="",$I968=""),0,IFERROR(INDEX(Nutrition!$J$2:$J$300,MATCH($F968,Nutrition!$A$2:$A$300,0))*$I968/100,0))</f>
        <v>0</v>
      </c>
      <c r="Q968" s="30">
        <f>IF(OR($F968="",$I968=""),0,IFERROR(INDEX(Nutrition!$K$2:$K$300,MATCH($F968,Nutrition!$A$2:$A$300,0))*$I968/100,0))</f>
        <v>1.8959999999999998E-2</v>
      </c>
      <c r="R968" s="30">
        <f>IF(OR($F968="",$I968=""),0,IFERROR(INDEX(Nutrition!$L$2:$L$300,MATCH($F968,Nutrition!$A$2:$A$300,0))*$I968/100,0))</f>
        <v>7.56</v>
      </c>
      <c r="S968" s="30">
        <f>IF(OR($F968="",$I968=""),0,IFERROR(INDEX(Nutrition!$M$2:$M$300,MATCH($F968,Nutrition!$A$2:$A$300,0))*$I968/100,0))</f>
        <v>1.4243999999999999</v>
      </c>
    </row>
    <row r="969" spans="1:19" ht="15" customHeight="1" x14ac:dyDescent="0.25">
      <c r="A969" s="22" t="s">
        <v>2155</v>
      </c>
      <c r="B969" s="33" t="str">
        <f>IFERROR(INDEX(Recipes!$B$2:$B$500,MATCH(A969,Recipes!$A$2:$A$500,0)),"")</f>
        <v>Fattoush with Agege Croutons</v>
      </c>
      <c r="C969" s="7" t="s">
        <v>206</v>
      </c>
      <c r="D969" s="34">
        <v>1</v>
      </c>
      <c r="E969" s="22" t="s">
        <v>2754</v>
      </c>
      <c r="F969" s="22" t="s">
        <v>205</v>
      </c>
      <c r="G969" s="22" t="s">
        <v>2755</v>
      </c>
      <c r="H969" s="7" t="s">
        <v>2764</v>
      </c>
      <c r="I969" s="35">
        <v>58</v>
      </c>
      <c r="J969" s="30">
        <f>IF(OR($F969="",$I969=""),0,IFERROR(INDEX(Nutrition!$D$2:$D$300,MATCH($F969,Nutrition!$A$2:$A$300,0))*$I969/100,0))</f>
        <v>1.6239999999999997</v>
      </c>
      <c r="K969" s="30">
        <f>IF(OR($F969="",$I969=""),0,IFERROR(INDEX(Nutrition!$E$2:$E$300,MATCH($F969,Nutrition!$A$2:$A$300,0))*$I969/100,0))</f>
        <v>30.74</v>
      </c>
      <c r="L969" s="30">
        <f>IF(OR($F969="",$I969=""),0,IFERROR(INDEX(Nutrition!$F$2:$F$300,MATCH($F969,Nutrition!$A$2:$A$300,0))*$I969/100,0))</f>
        <v>0.57999999999999996</v>
      </c>
      <c r="M969" s="30">
        <f>IF(OR($F969="",$I969=""),0,IFERROR(INDEX(Nutrition!$G$2:$G$300,MATCH($F969,Nutrition!$A$2:$A$300,0))*$I969/100,0))</f>
        <v>0</v>
      </c>
      <c r="N969" s="30">
        <f>IF(OR($F969="",$I969=""),0,IFERROR(INDEX(Nutrition!$H$2:$H$300,MATCH($F969,Nutrition!$A$2:$A$300,0))*$I969/100,0))</f>
        <v>6.38</v>
      </c>
      <c r="O969" s="30">
        <f>IF(OR($F969="",$I969=""),0,IFERROR(INDEX(Nutrition!$I$2:$I$300,MATCH($F969,Nutrition!$A$2:$A$300,0))*$I969/100,0))</f>
        <v>80.040000000000006</v>
      </c>
      <c r="P969" s="30">
        <f>IF(OR($F969="",$I969=""),0,IFERROR(INDEX(Nutrition!$J$2:$J$300,MATCH($F969,Nutrition!$A$2:$A$300,0))*$I969/100,0))</f>
        <v>8.6999999999999994E-2</v>
      </c>
      <c r="Q969" s="30">
        <f>IF(OR($F969="",$I969=""),0,IFERROR(INDEX(Nutrition!$K$2:$K$300,MATCH($F969,Nutrition!$A$2:$A$300,0))*$I969/100,0))</f>
        <v>4.6399999999999997E-2</v>
      </c>
      <c r="R969" s="30">
        <f>IF(OR($F969="",$I969=""),0,IFERROR(INDEX(Nutrition!$L$2:$L$300,MATCH($F969,Nutrition!$A$2:$A$300,0))*$I969/100,0))</f>
        <v>4.6399999999999997</v>
      </c>
      <c r="S969" s="30">
        <f>IF(OR($F969="",$I969=""),0,IFERROR(INDEX(Nutrition!$M$2:$M$300,MATCH($F969,Nutrition!$A$2:$A$300,0))*$I969/100,0))</f>
        <v>0.34799999999999998</v>
      </c>
    </row>
    <row r="970" spans="1:19" ht="15" customHeight="1" x14ac:dyDescent="0.25">
      <c r="A970" s="22" t="s">
        <v>2155</v>
      </c>
      <c r="B970" s="33" t="str">
        <f>IFERROR(INDEX(Recipes!$B$2:$B$500,MATCH(A970,Recipes!$A$2:$A$500,0)),"")</f>
        <v>Fattoush with Agege Croutons</v>
      </c>
      <c r="C970" s="7" t="s">
        <v>500</v>
      </c>
      <c r="D970" s="34">
        <v>1</v>
      </c>
      <c r="E970" s="22" t="s">
        <v>2816</v>
      </c>
      <c r="F970" s="22" t="s">
        <v>499</v>
      </c>
      <c r="G970" s="22" t="s">
        <v>2755</v>
      </c>
      <c r="H970" s="7" t="s">
        <v>2896</v>
      </c>
      <c r="I970" s="35">
        <v>3</v>
      </c>
      <c r="J970" s="30">
        <f>IF(OR($F970="",$I970=""),0,IFERROR(INDEX(Nutrition!$D$2:$D$300,MATCH($F970,Nutrition!$A$2:$A$300,0))*$I970/100,0))</f>
        <v>6.3E-2</v>
      </c>
      <c r="K970" s="30">
        <f>IF(OR($F970="",$I970=""),0,IFERROR(INDEX(Nutrition!$E$2:$E$300,MATCH($F970,Nutrition!$A$2:$A$300,0))*$I970/100,0))</f>
        <v>0.93599999999999994</v>
      </c>
      <c r="L970" s="30">
        <f>IF(OR($F970="",$I970=""),0,IFERROR(INDEX(Nutrition!$F$2:$F$300,MATCH($F970,Nutrition!$A$2:$A$300,0))*$I970/100,0))</f>
        <v>0</v>
      </c>
      <c r="M970" s="30">
        <f>IF(OR($F970="",$I970=""),0,IFERROR(INDEX(Nutrition!$G$2:$G$300,MATCH($F970,Nutrition!$A$2:$A$300,0))*$I970/100,0))</f>
        <v>5.0999999999999997E-2</v>
      </c>
      <c r="N970" s="30">
        <f>IF(OR($F970="",$I970=""),0,IFERROR(INDEX(Nutrition!$H$2:$H$300,MATCH($F970,Nutrition!$A$2:$A$300,0))*$I970/100,0))</f>
        <v>0.09</v>
      </c>
      <c r="O970" s="30">
        <f>IF(OR($F970="",$I970=""),0,IFERROR(INDEX(Nutrition!$I$2:$I$300,MATCH($F970,Nutrition!$A$2:$A$300,0))*$I970/100,0))</f>
        <v>12.03</v>
      </c>
      <c r="P970" s="30">
        <f>IF(OR($F970="",$I970=""),0,IFERROR(INDEX(Nutrition!$J$2:$J$300,MATCH($F970,Nutrition!$A$2:$A$300,0))*$I970/100,0))</f>
        <v>2.3999999999999998E-3</v>
      </c>
      <c r="Q970" s="30">
        <f>IF(OR($F970="",$I970=""),0,IFERROR(INDEX(Nutrition!$K$2:$K$300,MATCH($F970,Nutrition!$A$2:$A$300,0))*$I970/100,0))</f>
        <v>3.705E-2</v>
      </c>
      <c r="R970" s="30">
        <f>IF(OR($F970="",$I970=""),0,IFERROR(INDEX(Nutrition!$L$2:$L$300,MATCH($F970,Nutrition!$A$2:$A$300,0))*$I970/100,0))</f>
        <v>0.75</v>
      </c>
      <c r="S970" s="30">
        <f>IF(OR($F970="",$I970=""),0,IFERROR(INDEX(Nutrition!$M$2:$M$300,MATCH($F970,Nutrition!$A$2:$A$300,0))*$I970/100,0))</f>
        <v>5.0999999999999997E-2</v>
      </c>
    </row>
    <row r="971" spans="1:19" ht="15" customHeight="1" x14ac:dyDescent="0.25">
      <c r="A971" s="22" t="s">
        <v>2155</v>
      </c>
      <c r="B971" s="33" t="str">
        <f>IFERROR(INDEX(Recipes!$B$2:$B$500,MATCH(A971,Recipes!$A$2:$A$500,0)),"")</f>
        <v>Fattoush with Agege Croutons</v>
      </c>
      <c r="C971" s="7" t="s">
        <v>2778</v>
      </c>
      <c r="D971" s="34">
        <v>2</v>
      </c>
      <c r="E971" s="22" t="s">
        <v>2779</v>
      </c>
      <c r="F971" s="22"/>
      <c r="G971" s="22" t="s">
        <v>2749</v>
      </c>
      <c r="H971" s="7" t="s">
        <v>3006</v>
      </c>
      <c r="I971" s="35"/>
      <c r="J971" s="30">
        <f>IF(OR($F971="",$I971=""),0,IFERROR(INDEX(Nutrition!$D$2:$D$300,MATCH($F971,Nutrition!$A$2:$A$300,0))*$I971/100,0))</f>
        <v>0</v>
      </c>
      <c r="K971" s="30">
        <f>IF(OR($F971="",$I971=""),0,IFERROR(INDEX(Nutrition!$E$2:$E$300,MATCH($F971,Nutrition!$A$2:$A$300,0))*$I971/100,0))</f>
        <v>0</v>
      </c>
      <c r="L971" s="30">
        <f>IF(OR($F971="",$I971=""),0,IFERROR(INDEX(Nutrition!$F$2:$F$300,MATCH($F971,Nutrition!$A$2:$A$300,0))*$I971/100,0))</f>
        <v>0</v>
      </c>
      <c r="M971" s="30">
        <f>IF(OR($F971="",$I971=""),0,IFERROR(INDEX(Nutrition!$G$2:$G$300,MATCH($F971,Nutrition!$A$2:$A$300,0))*$I971/100,0))</f>
        <v>0</v>
      </c>
      <c r="N971" s="30">
        <f>IF(OR($F971="",$I971=""),0,IFERROR(INDEX(Nutrition!$H$2:$H$300,MATCH($F971,Nutrition!$A$2:$A$300,0))*$I971/100,0))</f>
        <v>0</v>
      </c>
      <c r="O971" s="30">
        <f>IF(OR($F971="",$I971=""),0,IFERROR(INDEX(Nutrition!$I$2:$I$300,MATCH($F971,Nutrition!$A$2:$A$300,0))*$I971/100,0))</f>
        <v>0</v>
      </c>
      <c r="P971" s="30">
        <f>IF(OR($F971="",$I971=""),0,IFERROR(INDEX(Nutrition!$J$2:$J$300,MATCH($F971,Nutrition!$A$2:$A$300,0))*$I971/100,0))</f>
        <v>0</v>
      </c>
      <c r="Q971" s="30">
        <f>IF(OR($F971="",$I971=""),0,IFERROR(INDEX(Nutrition!$K$2:$K$300,MATCH($F971,Nutrition!$A$2:$A$300,0))*$I971/100,0))</f>
        <v>0</v>
      </c>
      <c r="R971" s="30">
        <f>IF(OR($F971="",$I971=""),0,IFERROR(INDEX(Nutrition!$L$2:$L$300,MATCH($F971,Nutrition!$A$2:$A$300,0))*$I971/100,0))</f>
        <v>0</v>
      </c>
      <c r="S971" s="30">
        <f>IF(OR($F971="",$I971=""),0,IFERROR(INDEX(Nutrition!$M$2:$M$300,MATCH($F971,Nutrition!$A$2:$A$300,0))*$I971/100,0))</f>
        <v>0</v>
      </c>
    </row>
    <row r="972" spans="1:19" ht="15" customHeight="1" x14ac:dyDescent="0.25">
      <c r="A972" s="22" t="s">
        <v>2155</v>
      </c>
      <c r="B972" s="33" t="str">
        <f>IFERROR(INDEX(Recipes!$B$2:$B$500,MATCH(A972,Recipes!$A$2:$A$500,0)),"")</f>
        <v>Fattoush with Agege Croutons</v>
      </c>
      <c r="C972" s="7" t="s">
        <v>2805</v>
      </c>
      <c r="D972" s="34">
        <v>4</v>
      </c>
      <c r="E972" s="22" t="s">
        <v>2753</v>
      </c>
      <c r="F972" s="22"/>
      <c r="G972" s="22" t="s">
        <v>2773</v>
      </c>
      <c r="H972" s="7"/>
      <c r="I972" s="35"/>
      <c r="J972" s="30">
        <f>IF(OR($F972="",$I972=""),0,IFERROR(INDEX(Nutrition!$D$2:$D$300,MATCH($F972,Nutrition!$A$2:$A$300,0))*$I972/100,0))</f>
        <v>0</v>
      </c>
      <c r="K972" s="30">
        <f>IF(OR($F972="",$I972=""),0,IFERROR(INDEX(Nutrition!$E$2:$E$300,MATCH($F972,Nutrition!$A$2:$A$300,0))*$I972/100,0))</f>
        <v>0</v>
      </c>
      <c r="L972" s="30">
        <f>IF(OR($F972="",$I972=""),0,IFERROR(INDEX(Nutrition!$F$2:$F$300,MATCH($F972,Nutrition!$A$2:$A$300,0))*$I972/100,0))</f>
        <v>0</v>
      </c>
      <c r="M972" s="30">
        <f>IF(OR($F972="",$I972=""),0,IFERROR(INDEX(Nutrition!$G$2:$G$300,MATCH($F972,Nutrition!$A$2:$A$300,0))*$I972/100,0))</f>
        <v>0</v>
      </c>
      <c r="N972" s="30">
        <f>IF(OR($F972="",$I972=""),0,IFERROR(INDEX(Nutrition!$H$2:$H$300,MATCH($F972,Nutrition!$A$2:$A$300,0))*$I972/100,0))</f>
        <v>0</v>
      </c>
      <c r="O972" s="30">
        <f>IF(OR($F972="",$I972=""),0,IFERROR(INDEX(Nutrition!$I$2:$I$300,MATCH($F972,Nutrition!$A$2:$A$300,0))*$I972/100,0))</f>
        <v>0</v>
      </c>
      <c r="P972" s="30">
        <f>IF(OR($F972="",$I972=""),0,IFERROR(INDEX(Nutrition!$J$2:$J$300,MATCH($F972,Nutrition!$A$2:$A$300,0))*$I972/100,0))</f>
        <v>0</v>
      </c>
      <c r="Q972" s="30">
        <f>IF(OR($F972="",$I972=""),0,IFERROR(INDEX(Nutrition!$K$2:$K$300,MATCH($F972,Nutrition!$A$2:$A$300,0))*$I972/100,0))</f>
        <v>0</v>
      </c>
      <c r="R972" s="30">
        <f>IF(OR($F972="",$I972=""),0,IFERROR(INDEX(Nutrition!$L$2:$L$300,MATCH($F972,Nutrition!$A$2:$A$300,0))*$I972/100,0))</f>
        <v>0</v>
      </c>
      <c r="S972" s="30">
        <f>IF(OR($F972="",$I972=""),0,IFERROR(INDEX(Nutrition!$M$2:$M$300,MATCH($F972,Nutrition!$A$2:$A$300,0))*$I972/100,0))</f>
        <v>0</v>
      </c>
    </row>
    <row r="973" spans="1:19" ht="15" customHeight="1" x14ac:dyDescent="0.25">
      <c r="A973" s="22" t="s">
        <v>2155</v>
      </c>
      <c r="B973" s="33" t="str">
        <f>IFERROR(INDEX(Recipes!$B$2:$B$500,MATCH(A973,Recipes!$A$2:$A$500,0)),"")</f>
        <v>Fattoush with Agege Croutons</v>
      </c>
      <c r="C973" s="7" t="s">
        <v>2758</v>
      </c>
      <c r="D973" s="34">
        <v>1</v>
      </c>
      <c r="E973" s="22" t="s">
        <v>2759</v>
      </c>
      <c r="F973" s="22"/>
      <c r="G973" s="22" t="s">
        <v>2749</v>
      </c>
      <c r="H973" s="7"/>
      <c r="I973" s="35"/>
      <c r="J973" s="30">
        <f>IF(OR($F973="",$I973=""),0,IFERROR(INDEX(Nutrition!$D$2:$D$300,MATCH($F973,Nutrition!$A$2:$A$300,0))*$I973/100,0))</f>
        <v>0</v>
      </c>
      <c r="K973" s="30">
        <f>IF(OR($F973="",$I973=""),0,IFERROR(INDEX(Nutrition!$E$2:$E$300,MATCH($F973,Nutrition!$A$2:$A$300,0))*$I973/100,0))</f>
        <v>0</v>
      </c>
      <c r="L973" s="30">
        <f>IF(OR($F973="",$I973=""),0,IFERROR(INDEX(Nutrition!$F$2:$F$300,MATCH($F973,Nutrition!$A$2:$A$300,0))*$I973/100,0))</f>
        <v>0</v>
      </c>
      <c r="M973" s="30">
        <f>IF(OR($F973="",$I973=""),0,IFERROR(INDEX(Nutrition!$G$2:$G$300,MATCH($F973,Nutrition!$A$2:$A$300,0))*$I973/100,0))</f>
        <v>0</v>
      </c>
      <c r="N973" s="30">
        <f>IF(OR($F973="",$I973=""),0,IFERROR(INDEX(Nutrition!$H$2:$H$300,MATCH($F973,Nutrition!$A$2:$A$300,0))*$I973/100,0))</f>
        <v>0</v>
      </c>
      <c r="O973" s="30">
        <f>IF(OR($F973="",$I973=""),0,IFERROR(INDEX(Nutrition!$I$2:$I$300,MATCH($F973,Nutrition!$A$2:$A$300,0))*$I973/100,0))</f>
        <v>0</v>
      </c>
      <c r="P973" s="30">
        <f>IF(OR($F973="",$I973=""),0,IFERROR(INDEX(Nutrition!$J$2:$J$300,MATCH($F973,Nutrition!$A$2:$A$300,0))*$I973/100,0))</f>
        <v>0</v>
      </c>
      <c r="Q973" s="30">
        <f>IF(OR($F973="",$I973=""),0,IFERROR(INDEX(Nutrition!$K$2:$K$300,MATCH($F973,Nutrition!$A$2:$A$300,0))*$I973/100,0))</f>
        <v>0</v>
      </c>
      <c r="R973" s="30">
        <f>IF(OR($F973="",$I973=""),0,IFERROR(INDEX(Nutrition!$L$2:$L$300,MATCH($F973,Nutrition!$A$2:$A$300,0))*$I973/100,0))</f>
        <v>0</v>
      </c>
      <c r="S973" s="30">
        <f>IF(OR($F973="",$I973=""),0,IFERROR(INDEX(Nutrition!$M$2:$M$300,MATCH($F973,Nutrition!$A$2:$A$300,0))*$I973/100,0))</f>
        <v>0</v>
      </c>
    </row>
    <row r="974" spans="1:19" ht="15" customHeight="1" x14ac:dyDescent="0.25">
      <c r="A974" s="22" t="s">
        <v>2155</v>
      </c>
      <c r="B974" s="33" t="str">
        <f>IFERROR(INDEX(Recipes!$B$2:$B$500,MATCH(A974,Recipes!$A$2:$A$500,0)),"")</f>
        <v>Fattoush with Agege Croutons</v>
      </c>
      <c r="C974" s="7" t="s">
        <v>2781</v>
      </c>
      <c r="D974" s="34">
        <v>1</v>
      </c>
      <c r="E974" s="22" t="s">
        <v>2782</v>
      </c>
      <c r="F974" s="22"/>
      <c r="G974" s="22" t="s">
        <v>2773</v>
      </c>
      <c r="H974" s="7"/>
      <c r="I974" s="35"/>
      <c r="J974" s="30">
        <f>IF(OR($F974="",$I974=""),0,IFERROR(INDEX(Nutrition!$D$2:$D$300,MATCH($F974,Nutrition!$A$2:$A$300,0))*$I974/100,0))</f>
        <v>0</v>
      </c>
      <c r="K974" s="30">
        <f>IF(OR($F974="",$I974=""),0,IFERROR(INDEX(Nutrition!$E$2:$E$300,MATCH($F974,Nutrition!$A$2:$A$300,0))*$I974/100,0))</f>
        <v>0</v>
      </c>
      <c r="L974" s="30">
        <f>IF(OR($F974="",$I974=""),0,IFERROR(INDEX(Nutrition!$F$2:$F$300,MATCH($F974,Nutrition!$A$2:$A$300,0))*$I974/100,0))</f>
        <v>0</v>
      </c>
      <c r="M974" s="30">
        <f>IF(OR($F974="",$I974=""),0,IFERROR(INDEX(Nutrition!$G$2:$G$300,MATCH($F974,Nutrition!$A$2:$A$300,0))*$I974/100,0))</f>
        <v>0</v>
      </c>
      <c r="N974" s="30">
        <f>IF(OR($F974="",$I974=""),0,IFERROR(INDEX(Nutrition!$H$2:$H$300,MATCH($F974,Nutrition!$A$2:$A$300,0))*$I974/100,0))</f>
        <v>0</v>
      </c>
      <c r="O974" s="30">
        <f>IF(OR($F974="",$I974=""),0,IFERROR(INDEX(Nutrition!$I$2:$I$300,MATCH($F974,Nutrition!$A$2:$A$300,0))*$I974/100,0))</f>
        <v>0</v>
      </c>
      <c r="P974" s="30">
        <f>IF(OR($F974="",$I974=""),0,IFERROR(INDEX(Nutrition!$J$2:$J$300,MATCH($F974,Nutrition!$A$2:$A$300,0))*$I974/100,0))</f>
        <v>0</v>
      </c>
      <c r="Q974" s="30">
        <f>IF(OR($F974="",$I974=""),0,IFERROR(INDEX(Nutrition!$K$2:$K$300,MATCH($F974,Nutrition!$A$2:$A$300,0))*$I974/100,0))</f>
        <v>0</v>
      </c>
      <c r="R974" s="30">
        <f>IF(OR($F974="",$I974=""),0,IFERROR(INDEX(Nutrition!$L$2:$L$300,MATCH($F974,Nutrition!$A$2:$A$300,0))*$I974/100,0))</f>
        <v>0</v>
      </c>
      <c r="S974" s="30">
        <f>IF(OR($F974="",$I974=""),0,IFERROR(INDEX(Nutrition!$M$2:$M$300,MATCH($F974,Nutrition!$A$2:$A$300,0))*$I974/100,0))</f>
        <v>0</v>
      </c>
    </row>
    <row r="975" spans="1:19" ht="15" customHeight="1" x14ac:dyDescent="0.25">
      <c r="A975" s="22" t="s">
        <v>2165</v>
      </c>
      <c r="B975" s="33" t="str">
        <f>IFERROR(INDEX(Recipes!$B$2:$B$500,MATCH(A975,Recipes!$A$2:$A$500,0)),"")</f>
        <v>Panzanella</v>
      </c>
      <c r="C975" s="7" t="s">
        <v>446</v>
      </c>
      <c r="D975" s="34">
        <v>7</v>
      </c>
      <c r="E975" s="22" t="s">
        <v>2754</v>
      </c>
      <c r="F975" s="22" t="s">
        <v>445</v>
      </c>
      <c r="G975" s="22" t="s">
        <v>2755</v>
      </c>
      <c r="H975" s="7" t="s">
        <v>3007</v>
      </c>
      <c r="I975" s="35">
        <v>700</v>
      </c>
      <c r="J975" s="30">
        <f>IF(OR($F975="",$I975=""),0,IFERROR(INDEX(Nutrition!$D$2:$D$300,MATCH($F975,Nutrition!$A$2:$A$300,0))*$I975/100,0))</f>
        <v>8.4</v>
      </c>
      <c r="K975" s="30">
        <f>IF(OR($F975="",$I975=""),0,IFERROR(INDEX(Nutrition!$E$2:$E$300,MATCH($F975,Nutrition!$A$2:$A$300,0))*$I975/100,0))</f>
        <v>95.9</v>
      </c>
      <c r="L975" s="30">
        <f>IF(OR($F975="",$I975=""),0,IFERROR(INDEX(Nutrition!$F$2:$F$300,MATCH($F975,Nutrition!$A$2:$A$300,0))*$I975/100,0))</f>
        <v>294</v>
      </c>
      <c r="M975" s="30">
        <f>IF(OR($F975="",$I975=""),0,IFERROR(INDEX(Nutrition!$G$2:$G$300,MATCH($F975,Nutrition!$A$2:$A$300,0))*$I975/100,0))</f>
        <v>55.3</v>
      </c>
      <c r="N975" s="30">
        <f>IF(OR($F975="",$I975=""),0,IFERROR(INDEX(Nutrition!$H$2:$H$300,MATCH($F975,Nutrition!$A$2:$A$300,0))*$I975/100,0))</f>
        <v>105</v>
      </c>
      <c r="O975" s="30">
        <f>IF(OR($F975="",$I975=""),0,IFERROR(INDEX(Nutrition!$I$2:$I$300,MATCH($F975,Nutrition!$A$2:$A$300,0))*$I975/100,0))</f>
        <v>1659</v>
      </c>
      <c r="P975" s="30">
        <f>IF(OR($F975="",$I975=""),0,IFERROR(INDEX(Nutrition!$J$2:$J$300,MATCH($F975,Nutrition!$A$2:$A$300,0))*$I975/100,0))</f>
        <v>3.78</v>
      </c>
      <c r="Q975" s="30">
        <f>IF(OR($F975="",$I975=""),0,IFERROR(INDEX(Nutrition!$K$2:$K$300,MATCH($F975,Nutrition!$A$2:$A$300,0))*$I975/100,0))</f>
        <v>0.56000000000000005</v>
      </c>
      <c r="R975" s="30">
        <f>IF(OR($F975="",$I975=""),0,IFERROR(INDEX(Nutrition!$L$2:$L$300,MATCH($F975,Nutrition!$A$2:$A$300,0))*$I975/100,0))</f>
        <v>77</v>
      </c>
      <c r="S975" s="30">
        <f>IF(OR($F975="",$I975=""),0,IFERROR(INDEX(Nutrition!$M$2:$M$300,MATCH($F975,Nutrition!$A$2:$A$300,0))*$I975/100,0))</f>
        <v>1.89</v>
      </c>
    </row>
    <row r="976" spans="1:19" ht="15" customHeight="1" x14ac:dyDescent="0.25">
      <c r="A976" s="22" t="s">
        <v>2165</v>
      </c>
      <c r="B976" s="33" t="str">
        <f>IFERROR(INDEX(Recipes!$B$2:$B$500,MATCH(A976,Recipes!$A$2:$A$500,0)),"")</f>
        <v>Panzanella</v>
      </c>
      <c r="C976" s="7" t="s">
        <v>523</v>
      </c>
      <c r="D976" s="34">
        <v>0.5</v>
      </c>
      <c r="E976" s="22" t="s">
        <v>2754</v>
      </c>
      <c r="F976" s="22" t="s">
        <v>522</v>
      </c>
      <c r="G976" s="22" t="s">
        <v>2755</v>
      </c>
      <c r="H976" s="7" t="s">
        <v>3008</v>
      </c>
      <c r="I976" s="35">
        <v>150</v>
      </c>
      <c r="J976" s="30">
        <f>IF(OR($F976="",$I976=""),0,IFERROR(INDEX(Nutrition!$D$2:$D$300,MATCH($F976,Nutrition!$A$2:$A$300,0))*$I976/100,0))</f>
        <v>0.75</v>
      </c>
      <c r="K976" s="30">
        <f>IF(OR($F976="",$I976=""),0,IFERROR(INDEX(Nutrition!$E$2:$E$300,MATCH($F976,Nutrition!$A$2:$A$300,0))*$I976/100,0))</f>
        <v>4.2</v>
      </c>
      <c r="L976" s="30">
        <f>IF(OR($F976="",$I976=""),0,IFERROR(INDEX(Nutrition!$F$2:$F$300,MATCH($F976,Nutrition!$A$2:$A$300,0))*$I976/100,0))</f>
        <v>7.5</v>
      </c>
      <c r="M976" s="30">
        <f>IF(OR($F976="",$I976=""),0,IFERROR(INDEX(Nutrition!$G$2:$G$300,MATCH($F976,Nutrition!$A$2:$A$300,0))*$I976/100,0))</f>
        <v>24.6</v>
      </c>
      <c r="N976" s="30">
        <f>IF(OR($F976="",$I976=""),0,IFERROR(INDEX(Nutrition!$H$2:$H$300,MATCH($F976,Nutrition!$A$2:$A$300,0))*$I976/100,0))</f>
        <v>10.5</v>
      </c>
      <c r="O976" s="30">
        <f>IF(OR($F976="",$I976=""),0,IFERROR(INDEX(Nutrition!$I$2:$I$300,MATCH($F976,Nutrition!$A$2:$A$300,0))*$I976/100,0))</f>
        <v>220.5</v>
      </c>
      <c r="P976" s="30">
        <f>IF(OR($F976="",$I976=""),0,IFERROR(INDEX(Nutrition!$J$2:$J$300,MATCH($F976,Nutrition!$A$2:$A$300,0))*$I976/100,0))</f>
        <v>4.4999999999999998E-2</v>
      </c>
      <c r="Q976" s="30">
        <f>IF(OR($F976="",$I976=""),0,IFERROR(INDEX(Nutrition!$K$2:$K$300,MATCH($F976,Nutrition!$A$2:$A$300,0))*$I976/100,0))</f>
        <v>0.06</v>
      </c>
      <c r="R976" s="30">
        <f>IF(OR($F976="",$I976=""),0,IFERROR(INDEX(Nutrition!$L$2:$L$300,MATCH($F976,Nutrition!$A$2:$A$300,0))*$I976/100,0))</f>
        <v>19.5</v>
      </c>
      <c r="S976" s="30">
        <f>IF(OR($F976="",$I976=""),0,IFERROR(INDEX(Nutrition!$M$2:$M$300,MATCH($F976,Nutrition!$A$2:$A$300,0))*$I976/100,0))</f>
        <v>0.4200000000000001</v>
      </c>
    </row>
    <row r="977" spans="1:19" ht="15" customHeight="1" x14ac:dyDescent="0.25">
      <c r="A977" s="22" t="s">
        <v>2165</v>
      </c>
      <c r="B977" s="33" t="str">
        <f>IFERROR(INDEX(Recipes!$B$2:$B$500,MATCH(A977,Recipes!$A$2:$A$500,0)),"")</f>
        <v>Panzanella</v>
      </c>
      <c r="C977" s="7" t="s">
        <v>482</v>
      </c>
      <c r="D977" s="34">
        <v>0.5</v>
      </c>
      <c r="E977" s="22" t="s">
        <v>2748</v>
      </c>
      <c r="F977" s="22" t="s">
        <v>481</v>
      </c>
      <c r="G977" s="22" t="s">
        <v>2755</v>
      </c>
      <c r="H977" s="7" t="s">
        <v>2955</v>
      </c>
      <c r="I977" s="35">
        <v>80</v>
      </c>
      <c r="J977" s="30">
        <f>IF(OR($F977="",$I977=""),0,IFERROR(INDEX(Nutrition!$D$2:$D$300,MATCH($F977,Nutrition!$A$2:$A$300,0))*$I977/100,0))</f>
        <v>1.36</v>
      </c>
      <c r="K977" s="30">
        <f>IF(OR($F977="",$I977=""),0,IFERROR(INDEX(Nutrition!$E$2:$E$300,MATCH($F977,Nutrition!$A$2:$A$300,0))*$I977/100,0))</f>
        <v>5.92</v>
      </c>
      <c r="L977" s="30">
        <f>IF(OR($F977="",$I977=""),0,IFERROR(INDEX(Nutrition!$F$2:$F$300,MATCH($F977,Nutrition!$A$2:$A$300,0))*$I977/100,0))</f>
        <v>0</v>
      </c>
      <c r="M977" s="30">
        <f>IF(OR($F977="",$I977=""),0,IFERROR(INDEX(Nutrition!$G$2:$G$300,MATCH($F977,Nutrition!$A$2:$A$300,0))*$I977/100,0))</f>
        <v>0.32</v>
      </c>
      <c r="N977" s="30">
        <f>IF(OR($F977="",$I977=""),0,IFERROR(INDEX(Nutrition!$H$2:$H$300,MATCH($F977,Nutrition!$A$2:$A$300,0))*$I977/100,0))</f>
        <v>15.2</v>
      </c>
      <c r="O977" s="30">
        <f>IF(OR($F977="",$I977=""),0,IFERROR(INDEX(Nutrition!$I$2:$I$300,MATCH($F977,Nutrition!$A$2:$A$300,0))*$I977/100,0))</f>
        <v>116.8</v>
      </c>
      <c r="P977" s="30">
        <f>IF(OR($F977="",$I977=""),0,IFERROR(INDEX(Nutrition!$J$2:$J$300,MATCH($F977,Nutrition!$A$2:$A$300,0))*$I977/100,0))</f>
        <v>1.6E-2</v>
      </c>
      <c r="Q977" s="30">
        <f>IF(OR($F977="",$I977=""),0,IFERROR(INDEX(Nutrition!$K$2:$K$300,MATCH($F977,Nutrition!$A$2:$A$300,0))*$I977/100,0))</f>
        <v>9.6000000000000002E-2</v>
      </c>
      <c r="R977" s="30">
        <f>IF(OR($F977="",$I977=""),0,IFERROR(INDEX(Nutrition!$L$2:$L$300,MATCH($F977,Nutrition!$A$2:$A$300,0))*$I977/100,0))</f>
        <v>8</v>
      </c>
      <c r="S977" s="30">
        <f>IF(OR($F977="",$I977=""),0,IFERROR(INDEX(Nutrition!$M$2:$M$300,MATCH($F977,Nutrition!$A$2:$A$300,0))*$I977/100,0))</f>
        <v>0.16800000000000001</v>
      </c>
    </row>
    <row r="978" spans="1:19" ht="15" customHeight="1" x14ac:dyDescent="0.25">
      <c r="A978" s="22" t="s">
        <v>2165</v>
      </c>
      <c r="B978" s="33" t="str">
        <f>IFERROR(INDEX(Recipes!$B$2:$B$500,MATCH(A978,Recipes!$A$2:$A$500,0)),"")</f>
        <v>Panzanella</v>
      </c>
      <c r="C978" s="7" t="s">
        <v>674</v>
      </c>
      <c r="D978" s="34">
        <v>1</v>
      </c>
      <c r="E978" s="22" t="s">
        <v>2748</v>
      </c>
      <c r="F978" s="22" t="s">
        <v>673</v>
      </c>
      <c r="G978" s="22" t="s">
        <v>2755</v>
      </c>
      <c r="H978" s="7" t="s">
        <v>2909</v>
      </c>
      <c r="I978" s="35">
        <v>24</v>
      </c>
      <c r="J978" s="30">
        <f>IF(OR($F978="",$I978=""),0,IFERROR(INDEX(Nutrition!$D$2:$D$300,MATCH($F978,Nutrition!$A$2:$A$300,0))*$I978/100,0))</f>
        <v>0.38400000000000006</v>
      </c>
      <c r="K978" s="30">
        <f>IF(OR($F978="",$I978=""),0,IFERROR(INDEX(Nutrition!$E$2:$E$300,MATCH($F978,Nutrition!$A$2:$A$300,0))*$I978/100,0))</f>
        <v>4.32</v>
      </c>
      <c r="L978" s="30">
        <f>IF(OR($F978="",$I978=""),0,IFERROR(INDEX(Nutrition!$F$2:$F$300,MATCH($F978,Nutrition!$A$2:$A$300,0))*$I978/100,0))</f>
        <v>63.36</v>
      </c>
      <c r="M978" s="30">
        <f>IF(OR($F978="",$I978=""),0,IFERROR(INDEX(Nutrition!$G$2:$G$300,MATCH($F978,Nutrition!$A$2:$A$300,0))*$I978/100,0))</f>
        <v>99.552000000000007</v>
      </c>
      <c r="N978" s="30">
        <f>IF(OR($F978="",$I978=""),0,IFERROR(INDEX(Nutrition!$H$2:$H$300,MATCH($F978,Nutrition!$A$2:$A$300,0))*$I978/100,0))</f>
        <v>16.32</v>
      </c>
      <c r="O978" s="30">
        <f>IF(OR($F978="",$I978=""),0,IFERROR(INDEX(Nutrition!$I$2:$I$300,MATCH($F978,Nutrition!$A$2:$A$300,0))*$I978/100,0))</f>
        <v>70.8</v>
      </c>
      <c r="P978" s="30">
        <f>IF(OR($F978="",$I978=""),0,IFERROR(INDEX(Nutrition!$J$2:$J$300,MATCH($F978,Nutrition!$A$2:$A$300,0))*$I978/100,0))</f>
        <v>0.19200000000000003</v>
      </c>
      <c r="Q978" s="30">
        <f>IF(OR($F978="",$I978=""),0,IFERROR(INDEX(Nutrition!$K$2:$K$300,MATCH($F978,Nutrition!$A$2:$A$300,0))*$I978/100,0))</f>
        <v>3.7199999999999997E-2</v>
      </c>
      <c r="R978" s="30">
        <f>IF(OR($F978="",$I978=""),0,IFERROR(INDEX(Nutrition!$L$2:$L$300,MATCH($F978,Nutrition!$A$2:$A$300,0))*$I978/100,0))</f>
        <v>15.36</v>
      </c>
      <c r="S978" s="30">
        <f>IF(OR($F978="",$I978=""),0,IFERROR(INDEX(Nutrition!$M$2:$M$300,MATCH($F978,Nutrition!$A$2:$A$300,0))*$I978/100,0))</f>
        <v>0.76080000000000003</v>
      </c>
    </row>
    <row r="979" spans="1:19" ht="15" customHeight="1" x14ac:dyDescent="0.25">
      <c r="A979" s="22" t="s">
        <v>2165</v>
      </c>
      <c r="B979" s="33" t="str">
        <f>IFERROR(INDEX(Recipes!$B$2:$B$500,MATCH(A979,Recipes!$A$2:$A$500,0)),"")</f>
        <v>Panzanella</v>
      </c>
      <c r="C979" s="7" t="s">
        <v>500</v>
      </c>
      <c r="D979" s="34">
        <v>3</v>
      </c>
      <c r="E979" s="22" t="s">
        <v>2776</v>
      </c>
      <c r="F979" s="22" t="s">
        <v>499</v>
      </c>
      <c r="G979" s="22" t="s">
        <v>2755</v>
      </c>
      <c r="H979" s="7" t="s">
        <v>2791</v>
      </c>
      <c r="I979" s="35">
        <v>9</v>
      </c>
      <c r="J979" s="30">
        <f>IF(OR($F979="",$I979=""),0,IFERROR(INDEX(Nutrition!$D$2:$D$300,MATCH($F979,Nutrition!$A$2:$A$300,0))*$I979/100,0))</f>
        <v>0.18900000000000003</v>
      </c>
      <c r="K979" s="30">
        <f>IF(OR($F979="",$I979=""),0,IFERROR(INDEX(Nutrition!$E$2:$E$300,MATCH($F979,Nutrition!$A$2:$A$300,0))*$I979/100,0))</f>
        <v>2.8080000000000003</v>
      </c>
      <c r="L979" s="30">
        <f>IF(OR($F979="",$I979=""),0,IFERROR(INDEX(Nutrition!$F$2:$F$300,MATCH($F979,Nutrition!$A$2:$A$300,0))*$I979/100,0))</f>
        <v>0</v>
      </c>
      <c r="M979" s="30">
        <f>IF(OR($F979="",$I979=""),0,IFERROR(INDEX(Nutrition!$G$2:$G$300,MATCH($F979,Nutrition!$A$2:$A$300,0))*$I979/100,0))</f>
        <v>0.153</v>
      </c>
      <c r="N979" s="30">
        <f>IF(OR($F979="",$I979=""),0,IFERROR(INDEX(Nutrition!$H$2:$H$300,MATCH($F979,Nutrition!$A$2:$A$300,0))*$I979/100,0))</f>
        <v>0.27</v>
      </c>
      <c r="O979" s="30">
        <f>IF(OR($F979="",$I979=""),0,IFERROR(INDEX(Nutrition!$I$2:$I$300,MATCH($F979,Nutrition!$A$2:$A$300,0))*$I979/100,0))</f>
        <v>36.090000000000003</v>
      </c>
      <c r="P979" s="30">
        <f>IF(OR($F979="",$I979=""),0,IFERROR(INDEX(Nutrition!$J$2:$J$300,MATCH($F979,Nutrition!$A$2:$A$300,0))*$I979/100,0))</f>
        <v>7.1999999999999998E-3</v>
      </c>
      <c r="Q979" s="30">
        <f>IF(OR($F979="",$I979=""),0,IFERROR(INDEX(Nutrition!$K$2:$K$300,MATCH($F979,Nutrition!$A$2:$A$300,0))*$I979/100,0))</f>
        <v>0.11115</v>
      </c>
      <c r="R979" s="30">
        <f>IF(OR($F979="",$I979=""),0,IFERROR(INDEX(Nutrition!$L$2:$L$300,MATCH($F979,Nutrition!$A$2:$A$300,0))*$I979/100,0))</f>
        <v>2.25</v>
      </c>
      <c r="S979" s="30">
        <f>IF(OR($F979="",$I979=""),0,IFERROR(INDEX(Nutrition!$M$2:$M$300,MATCH($F979,Nutrition!$A$2:$A$300,0))*$I979/100,0))</f>
        <v>0.153</v>
      </c>
    </row>
    <row r="980" spans="1:19" ht="15" customHeight="1" x14ac:dyDescent="0.25">
      <c r="A980" s="22" t="s">
        <v>2165</v>
      </c>
      <c r="B980" s="33" t="str">
        <f>IFERROR(INDEX(Recipes!$B$2:$B$500,MATCH(A980,Recipes!$A$2:$A$500,0)),"")</f>
        <v>Panzanella</v>
      </c>
      <c r="C980" s="7" t="s">
        <v>2778</v>
      </c>
      <c r="D980" s="34">
        <v>225</v>
      </c>
      <c r="E980" s="22" t="s">
        <v>2813</v>
      </c>
      <c r="F980" s="22"/>
      <c r="G980" s="22" t="s">
        <v>2749</v>
      </c>
      <c r="H980" s="7" t="s">
        <v>3009</v>
      </c>
      <c r="I980" s="35"/>
      <c r="J980" s="30">
        <f>IF(OR($F980="",$I980=""),0,IFERROR(INDEX(Nutrition!$D$2:$D$300,MATCH($F980,Nutrition!$A$2:$A$300,0))*$I980/100,0))</f>
        <v>0</v>
      </c>
      <c r="K980" s="30">
        <f>IF(OR($F980="",$I980=""),0,IFERROR(INDEX(Nutrition!$E$2:$E$300,MATCH($F980,Nutrition!$A$2:$A$300,0))*$I980/100,0))</f>
        <v>0</v>
      </c>
      <c r="L980" s="30">
        <f>IF(OR($F980="",$I980=""),0,IFERROR(INDEX(Nutrition!$F$2:$F$300,MATCH($F980,Nutrition!$A$2:$A$300,0))*$I980/100,0))</f>
        <v>0</v>
      </c>
      <c r="M980" s="30">
        <f>IF(OR($F980="",$I980=""),0,IFERROR(INDEX(Nutrition!$G$2:$G$300,MATCH($F980,Nutrition!$A$2:$A$300,0))*$I980/100,0))</f>
        <v>0</v>
      </c>
      <c r="N980" s="30">
        <f>IF(OR($F980="",$I980=""),0,IFERROR(INDEX(Nutrition!$H$2:$H$300,MATCH($F980,Nutrition!$A$2:$A$300,0))*$I980/100,0))</f>
        <v>0</v>
      </c>
      <c r="O980" s="30">
        <f>IF(OR($F980="",$I980=""),0,IFERROR(INDEX(Nutrition!$I$2:$I$300,MATCH($F980,Nutrition!$A$2:$A$300,0))*$I980/100,0))</f>
        <v>0</v>
      </c>
      <c r="P980" s="30">
        <f>IF(OR($F980="",$I980=""),0,IFERROR(INDEX(Nutrition!$J$2:$J$300,MATCH($F980,Nutrition!$A$2:$A$300,0))*$I980/100,0))</f>
        <v>0</v>
      </c>
      <c r="Q980" s="30">
        <f>IF(OR($F980="",$I980=""),0,IFERROR(INDEX(Nutrition!$K$2:$K$300,MATCH($F980,Nutrition!$A$2:$A$300,0))*$I980/100,0))</f>
        <v>0</v>
      </c>
      <c r="R980" s="30">
        <f>IF(OR($F980="",$I980=""),0,IFERROR(INDEX(Nutrition!$L$2:$L$300,MATCH($F980,Nutrition!$A$2:$A$300,0))*$I980/100,0))</f>
        <v>0</v>
      </c>
      <c r="S980" s="30">
        <f>IF(OR($F980="",$I980=""),0,IFERROR(INDEX(Nutrition!$M$2:$M$300,MATCH($F980,Nutrition!$A$2:$A$300,0))*$I980/100,0))</f>
        <v>0</v>
      </c>
    </row>
    <row r="981" spans="1:19" ht="15" customHeight="1" x14ac:dyDescent="0.25">
      <c r="A981" s="22" t="s">
        <v>2165</v>
      </c>
      <c r="B981" s="33" t="str">
        <f>IFERROR(INDEX(Recipes!$B$2:$B$500,MATCH(A981,Recipes!$A$2:$A$500,0)),"")</f>
        <v>Panzanella</v>
      </c>
      <c r="C981" s="7" t="s">
        <v>2805</v>
      </c>
      <c r="D981" s="34">
        <v>5</v>
      </c>
      <c r="E981" s="22" t="s">
        <v>2753</v>
      </c>
      <c r="F981" s="22"/>
      <c r="G981" s="22" t="s">
        <v>2773</v>
      </c>
      <c r="H981" s="7"/>
      <c r="I981" s="35"/>
      <c r="J981" s="30">
        <f>IF(OR($F981="",$I981=""),0,IFERROR(INDEX(Nutrition!$D$2:$D$300,MATCH($F981,Nutrition!$A$2:$A$300,0))*$I981/100,0))</f>
        <v>0</v>
      </c>
      <c r="K981" s="30">
        <f>IF(OR($F981="",$I981=""),0,IFERROR(INDEX(Nutrition!$E$2:$E$300,MATCH($F981,Nutrition!$A$2:$A$300,0))*$I981/100,0))</f>
        <v>0</v>
      </c>
      <c r="L981" s="30">
        <f>IF(OR($F981="",$I981=""),0,IFERROR(INDEX(Nutrition!$F$2:$F$300,MATCH($F981,Nutrition!$A$2:$A$300,0))*$I981/100,0))</f>
        <v>0</v>
      </c>
      <c r="M981" s="30">
        <f>IF(OR($F981="",$I981=""),0,IFERROR(INDEX(Nutrition!$G$2:$G$300,MATCH($F981,Nutrition!$A$2:$A$300,0))*$I981/100,0))</f>
        <v>0</v>
      </c>
      <c r="N981" s="30">
        <f>IF(OR($F981="",$I981=""),0,IFERROR(INDEX(Nutrition!$H$2:$H$300,MATCH($F981,Nutrition!$A$2:$A$300,0))*$I981/100,0))</f>
        <v>0</v>
      </c>
      <c r="O981" s="30">
        <f>IF(OR($F981="",$I981=""),0,IFERROR(INDEX(Nutrition!$I$2:$I$300,MATCH($F981,Nutrition!$A$2:$A$300,0))*$I981/100,0))</f>
        <v>0</v>
      </c>
      <c r="P981" s="30">
        <f>IF(OR($F981="",$I981=""),0,IFERROR(INDEX(Nutrition!$J$2:$J$300,MATCH($F981,Nutrition!$A$2:$A$300,0))*$I981/100,0))</f>
        <v>0</v>
      </c>
      <c r="Q981" s="30">
        <f>IF(OR($F981="",$I981=""),0,IFERROR(INDEX(Nutrition!$K$2:$K$300,MATCH($F981,Nutrition!$A$2:$A$300,0))*$I981/100,0))</f>
        <v>0</v>
      </c>
      <c r="R981" s="30">
        <f>IF(OR($F981="",$I981=""),0,IFERROR(INDEX(Nutrition!$L$2:$L$300,MATCH($F981,Nutrition!$A$2:$A$300,0))*$I981/100,0))</f>
        <v>0</v>
      </c>
      <c r="S981" s="30">
        <f>IF(OR($F981="",$I981=""),0,IFERROR(INDEX(Nutrition!$M$2:$M$300,MATCH($F981,Nutrition!$A$2:$A$300,0))*$I981/100,0))</f>
        <v>0</v>
      </c>
    </row>
    <row r="982" spans="1:19" ht="15" customHeight="1" x14ac:dyDescent="0.25">
      <c r="A982" s="22" t="s">
        <v>2165</v>
      </c>
      <c r="B982" s="33" t="str">
        <f>IFERROR(INDEX(Recipes!$B$2:$B$500,MATCH(A982,Recipes!$A$2:$A$500,0)),"")</f>
        <v>Panzanella</v>
      </c>
      <c r="C982" s="7" t="s">
        <v>2892</v>
      </c>
      <c r="D982" s="34">
        <v>3</v>
      </c>
      <c r="E982" s="22" t="s">
        <v>2753</v>
      </c>
      <c r="F982" s="22"/>
      <c r="G982" s="22" t="s">
        <v>2749</v>
      </c>
      <c r="H982" s="7" t="s">
        <v>3010</v>
      </c>
      <c r="I982" s="35"/>
      <c r="J982" s="30">
        <f>IF(OR($F982="",$I982=""),0,IFERROR(INDEX(Nutrition!$D$2:$D$300,MATCH($F982,Nutrition!$A$2:$A$300,0))*$I982/100,0))</f>
        <v>0</v>
      </c>
      <c r="K982" s="30">
        <f>IF(OR($F982="",$I982=""),0,IFERROR(INDEX(Nutrition!$E$2:$E$300,MATCH($F982,Nutrition!$A$2:$A$300,0))*$I982/100,0))</f>
        <v>0</v>
      </c>
      <c r="L982" s="30">
        <f>IF(OR($F982="",$I982=""),0,IFERROR(INDEX(Nutrition!$F$2:$F$300,MATCH($F982,Nutrition!$A$2:$A$300,0))*$I982/100,0))</f>
        <v>0</v>
      </c>
      <c r="M982" s="30">
        <f>IF(OR($F982="",$I982=""),0,IFERROR(INDEX(Nutrition!$G$2:$G$300,MATCH($F982,Nutrition!$A$2:$A$300,0))*$I982/100,0))</f>
        <v>0</v>
      </c>
      <c r="N982" s="30">
        <f>IF(OR($F982="",$I982=""),0,IFERROR(INDEX(Nutrition!$H$2:$H$300,MATCH($F982,Nutrition!$A$2:$A$300,0))*$I982/100,0))</f>
        <v>0</v>
      </c>
      <c r="O982" s="30">
        <f>IF(OR($F982="",$I982=""),0,IFERROR(INDEX(Nutrition!$I$2:$I$300,MATCH($F982,Nutrition!$A$2:$A$300,0))*$I982/100,0))</f>
        <v>0</v>
      </c>
      <c r="P982" s="30">
        <f>IF(OR($F982="",$I982=""),0,IFERROR(INDEX(Nutrition!$J$2:$J$300,MATCH($F982,Nutrition!$A$2:$A$300,0))*$I982/100,0))</f>
        <v>0</v>
      </c>
      <c r="Q982" s="30">
        <f>IF(OR($F982="",$I982=""),0,IFERROR(INDEX(Nutrition!$K$2:$K$300,MATCH($F982,Nutrition!$A$2:$A$300,0))*$I982/100,0))</f>
        <v>0</v>
      </c>
      <c r="R982" s="30">
        <f>IF(OR($F982="",$I982=""),0,IFERROR(INDEX(Nutrition!$L$2:$L$300,MATCH($F982,Nutrition!$A$2:$A$300,0))*$I982/100,0))</f>
        <v>0</v>
      </c>
      <c r="S982" s="30">
        <f>IF(OR($F982="",$I982=""),0,IFERROR(INDEX(Nutrition!$M$2:$M$300,MATCH($F982,Nutrition!$A$2:$A$300,0))*$I982/100,0))</f>
        <v>0</v>
      </c>
    </row>
    <row r="983" spans="1:19" ht="15" customHeight="1" x14ac:dyDescent="0.25">
      <c r="A983" s="22" t="s">
        <v>2165</v>
      </c>
      <c r="B983" s="33" t="str">
        <f>IFERROR(INDEX(Recipes!$B$2:$B$500,MATCH(A983,Recipes!$A$2:$A$500,0)),"")</f>
        <v>Panzanella</v>
      </c>
      <c r="C983" s="7" t="s">
        <v>2818</v>
      </c>
      <c r="D983" s="34">
        <v>0.5</v>
      </c>
      <c r="E983" s="22" t="s">
        <v>2759</v>
      </c>
      <c r="F983" s="22"/>
      <c r="G983" s="22" t="s">
        <v>2749</v>
      </c>
      <c r="H983" s="7"/>
      <c r="I983" s="35"/>
      <c r="J983" s="30">
        <f>IF(OR($F983="",$I983=""),0,IFERROR(INDEX(Nutrition!$D$2:$D$300,MATCH($F983,Nutrition!$A$2:$A$300,0))*$I983/100,0))</f>
        <v>0</v>
      </c>
      <c r="K983" s="30">
        <f>IF(OR($F983="",$I983=""),0,IFERROR(INDEX(Nutrition!$E$2:$E$300,MATCH($F983,Nutrition!$A$2:$A$300,0))*$I983/100,0))</f>
        <v>0</v>
      </c>
      <c r="L983" s="30">
        <f>IF(OR($F983="",$I983=""),0,IFERROR(INDEX(Nutrition!$F$2:$F$300,MATCH($F983,Nutrition!$A$2:$A$300,0))*$I983/100,0))</f>
        <v>0</v>
      </c>
      <c r="M983" s="30">
        <f>IF(OR($F983="",$I983=""),0,IFERROR(INDEX(Nutrition!$G$2:$G$300,MATCH($F983,Nutrition!$A$2:$A$300,0))*$I983/100,0))</f>
        <v>0</v>
      </c>
      <c r="N983" s="30">
        <f>IF(OR($F983="",$I983=""),0,IFERROR(INDEX(Nutrition!$H$2:$H$300,MATCH($F983,Nutrition!$A$2:$A$300,0))*$I983/100,0))</f>
        <v>0</v>
      </c>
      <c r="O983" s="30">
        <f>IF(OR($F983="",$I983=""),0,IFERROR(INDEX(Nutrition!$I$2:$I$300,MATCH($F983,Nutrition!$A$2:$A$300,0))*$I983/100,0))</f>
        <v>0</v>
      </c>
      <c r="P983" s="30">
        <f>IF(OR($F983="",$I983=""),0,IFERROR(INDEX(Nutrition!$J$2:$J$300,MATCH($F983,Nutrition!$A$2:$A$300,0))*$I983/100,0))</f>
        <v>0</v>
      </c>
      <c r="Q983" s="30">
        <f>IF(OR($F983="",$I983=""),0,IFERROR(INDEX(Nutrition!$K$2:$K$300,MATCH($F983,Nutrition!$A$2:$A$300,0))*$I983/100,0))</f>
        <v>0</v>
      </c>
      <c r="R983" s="30">
        <f>IF(OR($F983="",$I983=""),0,IFERROR(INDEX(Nutrition!$L$2:$L$300,MATCH($F983,Nutrition!$A$2:$A$300,0))*$I983/100,0))</f>
        <v>0</v>
      </c>
      <c r="S983" s="30">
        <f>IF(OR($F983="",$I983=""),0,IFERROR(INDEX(Nutrition!$M$2:$M$300,MATCH($F983,Nutrition!$A$2:$A$300,0))*$I983/100,0))</f>
        <v>0</v>
      </c>
    </row>
    <row r="984" spans="1:19" ht="15" customHeight="1" x14ac:dyDescent="0.25">
      <c r="A984" s="22" t="s">
        <v>2165</v>
      </c>
      <c r="B984" s="33" t="str">
        <f>IFERROR(INDEX(Recipes!$B$2:$B$500,MATCH(A984,Recipes!$A$2:$A$500,0)),"")</f>
        <v>Panzanella</v>
      </c>
      <c r="C984" s="7" t="s">
        <v>2906</v>
      </c>
      <c r="D984" s="34">
        <v>0.5</v>
      </c>
      <c r="E984" s="22" t="s">
        <v>2759</v>
      </c>
      <c r="F984" s="22"/>
      <c r="G984" s="22" t="s">
        <v>2773</v>
      </c>
      <c r="H984" s="7"/>
      <c r="I984" s="35"/>
      <c r="J984" s="30">
        <f>IF(OR($F984="",$I984=""),0,IFERROR(INDEX(Nutrition!$D$2:$D$300,MATCH($F984,Nutrition!$A$2:$A$300,0))*$I984/100,0))</f>
        <v>0</v>
      </c>
      <c r="K984" s="30">
        <f>IF(OR($F984="",$I984=""),0,IFERROR(INDEX(Nutrition!$E$2:$E$300,MATCH($F984,Nutrition!$A$2:$A$300,0))*$I984/100,0))</f>
        <v>0</v>
      </c>
      <c r="L984" s="30">
        <f>IF(OR($F984="",$I984=""),0,IFERROR(INDEX(Nutrition!$F$2:$F$300,MATCH($F984,Nutrition!$A$2:$A$300,0))*$I984/100,0))</f>
        <v>0</v>
      </c>
      <c r="M984" s="30">
        <f>IF(OR($F984="",$I984=""),0,IFERROR(INDEX(Nutrition!$G$2:$G$300,MATCH($F984,Nutrition!$A$2:$A$300,0))*$I984/100,0))</f>
        <v>0</v>
      </c>
      <c r="N984" s="30">
        <f>IF(OR($F984="",$I984=""),0,IFERROR(INDEX(Nutrition!$H$2:$H$300,MATCH($F984,Nutrition!$A$2:$A$300,0))*$I984/100,0))</f>
        <v>0</v>
      </c>
      <c r="O984" s="30">
        <f>IF(OR($F984="",$I984=""),0,IFERROR(INDEX(Nutrition!$I$2:$I$300,MATCH($F984,Nutrition!$A$2:$A$300,0))*$I984/100,0))</f>
        <v>0</v>
      </c>
      <c r="P984" s="30">
        <f>IF(OR($F984="",$I984=""),0,IFERROR(INDEX(Nutrition!$J$2:$J$300,MATCH($F984,Nutrition!$A$2:$A$300,0))*$I984/100,0))</f>
        <v>0</v>
      </c>
      <c r="Q984" s="30">
        <f>IF(OR($F984="",$I984=""),0,IFERROR(INDEX(Nutrition!$K$2:$K$300,MATCH($F984,Nutrition!$A$2:$A$300,0))*$I984/100,0))</f>
        <v>0</v>
      </c>
      <c r="R984" s="30">
        <f>IF(OR($F984="",$I984=""),0,IFERROR(INDEX(Nutrition!$L$2:$L$300,MATCH($F984,Nutrition!$A$2:$A$300,0))*$I984/100,0))</f>
        <v>0</v>
      </c>
      <c r="S984" s="30">
        <f>IF(OR($F984="",$I984=""),0,IFERROR(INDEX(Nutrition!$M$2:$M$300,MATCH($F984,Nutrition!$A$2:$A$300,0))*$I984/100,0))</f>
        <v>0</v>
      </c>
    </row>
    <row r="985" spans="1:19" ht="15" customHeight="1" x14ac:dyDescent="0.25">
      <c r="A985" s="22" t="s">
        <v>2176</v>
      </c>
      <c r="B985" s="33" t="str">
        <f>IFERROR(INDEX(Recipes!$B$2:$B$500,MATCH(A985,Recipes!$A$2:$A$500,0)),"")</f>
        <v>Caprese Salad</v>
      </c>
      <c r="C985" s="7" t="s">
        <v>446</v>
      </c>
      <c r="D985" s="34">
        <v>4</v>
      </c>
      <c r="E985" s="22" t="s">
        <v>2754</v>
      </c>
      <c r="F985" s="22" t="s">
        <v>445</v>
      </c>
      <c r="G985" s="22" t="s">
        <v>2755</v>
      </c>
      <c r="H985" s="7" t="s">
        <v>3011</v>
      </c>
      <c r="I985" s="35">
        <v>248</v>
      </c>
      <c r="J985" s="30">
        <f>IF(OR($F985="",$I985=""),0,IFERROR(INDEX(Nutrition!$D$2:$D$300,MATCH($F985,Nutrition!$A$2:$A$300,0))*$I985/100,0))</f>
        <v>2.9759999999999995</v>
      </c>
      <c r="K985" s="30">
        <f>IF(OR($F985="",$I985=""),0,IFERROR(INDEX(Nutrition!$E$2:$E$300,MATCH($F985,Nutrition!$A$2:$A$300,0))*$I985/100,0))</f>
        <v>33.975999999999999</v>
      </c>
      <c r="L985" s="30">
        <f>IF(OR($F985="",$I985=""),0,IFERROR(INDEX(Nutrition!$F$2:$F$300,MATCH($F985,Nutrition!$A$2:$A$300,0))*$I985/100,0))</f>
        <v>104.16</v>
      </c>
      <c r="M985" s="30">
        <f>IF(OR($F985="",$I985=""),0,IFERROR(INDEX(Nutrition!$G$2:$G$300,MATCH($F985,Nutrition!$A$2:$A$300,0))*$I985/100,0))</f>
        <v>19.591999999999999</v>
      </c>
      <c r="N985" s="30">
        <f>IF(OR($F985="",$I985=""),0,IFERROR(INDEX(Nutrition!$H$2:$H$300,MATCH($F985,Nutrition!$A$2:$A$300,0))*$I985/100,0))</f>
        <v>37.200000000000003</v>
      </c>
      <c r="O985" s="30">
        <f>IF(OR($F985="",$I985=""),0,IFERROR(INDEX(Nutrition!$I$2:$I$300,MATCH($F985,Nutrition!$A$2:$A$300,0))*$I985/100,0))</f>
        <v>587.76</v>
      </c>
      <c r="P985" s="30">
        <f>IF(OR($F985="",$I985=""),0,IFERROR(INDEX(Nutrition!$J$2:$J$300,MATCH($F985,Nutrition!$A$2:$A$300,0))*$I985/100,0))</f>
        <v>1.3392000000000002</v>
      </c>
      <c r="Q985" s="30">
        <f>IF(OR($F985="",$I985=""),0,IFERROR(INDEX(Nutrition!$K$2:$K$300,MATCH($F985,Nutrition!$A$2:$A$300,0))*$I985/100,0))</f>
        <v>0.19839999999999999</v>
      </c>
      <c r="R985" s="30">
        <f>IF(OR($F985="",$I985=""),0,IFERROR(INDEX(Nutrition!$L$2:$L$300,MATCH($F985,Nutrition!$A$2:$A$300,0))*$I985/100,0))</f>
        <v>27.28</v>
      </c>
      <c r="S985" s="30">
        <f>IF(OR($F985="",$I985=""),0,IFERROR(INDEX(Nutrition!$M$2:$M$300,MATCH($F985,Nutrition!$A$2:$A$300,0))*$I985/100,0))</f>
        <v>0.66960000000000008</v>
      </c>
    </row>
    <row r="986" spans="1:19" ht="15" customHeight="1" x14ac:dyDescent="0.25">
      <c r="A986" s="22" t="s">
        <v>2176</v>
      </c>
      <c r="B986" s="33" t="str">
        <f>IFERROR(INDEX(Recipes!$B$2:$B$500,MATCH(A986,Recipes!$A$2:$A$500,0)),"")</f>
        <v>Caprese Salad</v>
      </c>
      <c r="C986" s="7" t="s">
        <v>674</v>
      </c>
      <c r="D986" s="34">
        <v>1</v>
      </c>
      <c r="E986" s="22" t="s">
        <v>2809</v>
      </c>
      <c r="F986" s="22" t="s">
        <v>673</v>
      </c>
      <c r="G986" s="22" t="s">
        <v>2755</v>
      </c>
      <c r="H986" s="7" t="s">
        <v>2840</v>
      </c>
      <c r="I986" s="35">
        <v>30</v>
      </c>
      <c r="J986" s="30">
        <f>IF(OR($F986="",$I986=""),0,IFERROR(INDEX(Nutrition!$D$2:$D$300,MATCH($F986,Nutrition!$A$2:$A$300,0))*$I986/100,0))</f>
        <v>0.48</v>
      </c>
      <c r="K986" s="30">
        <f>IF(OR($F986="",$I986=""),0,IFERROR(INDEX(Nutrition!$E$2:$E$300,MATCH($F986,Nutrition!$A$2:$A$300,0))*$I986/100,0))</f>
        <v>5.4</v>
      </c>
      <c r="L986" s="30">
        <f>IF(OR($F986="",$I986=""),0,IFERROR(INDEX(Nutrition!$F$2:$F$300,MATCH($F986,Nutrition!$A$2:$A$300,0))*$I986/100,0))</f>
        <v>79.2</v>
      </c>
      <c r="M986" s="30">
        <f>IF(OR($F986="",$I986=""),0,IFERROR(INDEX(Nutrition!$G$2:$G$300,MATCH($F986,Nutrition!$A$2:$A$300,0))*$I986/100,0))</f>
        <v>124.44</v>
      </c>
      <c r="N986" s="30">
        <f>IF(OR($F986="",$I986=""),0,IFERROR(INDEX(Nutrition!$H$2:$H$300,MATCH($F986,Nutrition!$A$2:$A$300,0))*$I986/100,0))</f>
        <v>20.399999999999999</v>
      </c>
      <c r="O986" s="30">
        <f>IF(OR($F986="",$I986=""),0,IFERROR(INDEX(Nutrition!$I$2:$I$300,MATCH($F986,Nutrition!$A$2:$A$300,0))*$I986/100,0))</f>
        <v>88.5</v>
      </c>
      <c r="P986" s="30">
        <f>IF(OR($F986="",$I986=""),0,IFERROR(INDEX(Nutrition!$J$2:$J$300,MATCH($F986,Nutrition!$A$2:$A$300,0))*$I986/100,0))</f>
        <v>0.24</v>
      </c>
      <c r="Q986" s="30">
        <f>IF(OR($F986="",$I986=""),0,IFERROR(INDEX(Nutrition!$K$2:$K$300,MATCH($F986,Nutrition!$A$2:$A$300,0))*$I986/100,0))</f>
        <v>4.6500000000000007E-2</v>
      </c>
      <c r="R986" s="30">
        <f>IF(OR($F986="",$I986=""),0,IFERROR(INDEX(Nutrition!$L$2:$L$300,MATCH($F986,Nutrition!$A$2:$A$300,0))*$I986/100,0))</f>
        <v>19.2</v>
      </c>
      <c r="S986" s="30">
        <f>IF(OR($F986="",$I986=""),0,IFERROR(INDEX(Nutrition!$M$2:$M$300,MATCH($F986,Nutrition!$A$2:$A$300,0))*$I986/100,0))</f>
        <v>0.95099999999999996</v>
      </c>
    </row>
    <row r="987" spans="1:19" ht="15" customHeight="1" x14ac:dyDescent="0.25">
      <c r="A987" s="22" t="s">
        <v>2176</v>
      </c>
      <c r="B987" s="33" t="str">
        <f>IFERROR(INDEX(Recipes!$B$2:$B$500,MATCH(A987,Recipes!$A$2:$A$500,0)),"")</f>
        <v>Caprese Salad</v>
      </c>
      <c r="C987" s="7" t="s">
        <v>3012</v>
      </c>
      <c r="D987" s="34">
        <v>225</v>
      </c>
      <c r="E987" s="22" t="s">
        <v>2813</v>
      </c>
      <c r="F987" s="22"/>
      <c r="G987" s="22" t="s">
        <v>2749</v>
      </c>
      <c r="H987" s="7" t="s">
        <v>3013</v>
      </c>
      <c r="I987" s="35"/>
      <c r="J987" s="30">
        <f>IF(OR($F987="",$I987=""),0,IFERROR(INDEX(Nutrition!$D$2:$D$300,MATCH($F987,Nutrition!$A$2:$A$300,0))*$I987/100,0))</f>
        <v>0</v>
      </c>
      <c r="K987" s="30">
        <f>IF(OR($F987="",$I987=""),0,IFERROR(INDEX(Nutrition!$E$2:$E$300,MATCH($F987,Nutrition!$A$2:$A$300,0))*$I987/100,0))</f>
        <v>0</v>
      </c>
      <c r="L987" s="30">
        <f>IF(OR($F987="",$I987=""),0,IFERROR(INDEX(Nutrition!$F$2:$F$300,MATCH($F987,Nutrition!$A$2:$A$300,0))*$I987/100,0))</f>
        <v>0</v>
      </c>
      <c r="M987" s="30">
        <f>IF(OR($F987="",$I987=""),0,IFERROR(INDEX(Nutrition!$G$2:$G$300,MATCH($F987,Nutrition!$A$2:$A$300,0))*$I987/100,0))</f>
        <v>0</v>
      </c>
      <c r="N987" s="30">
        <f>IF(OR($F987="",$I987=""),0,IFERROR(INDEX(Nutrition!$H$2:$H$300,MATCH($F987,Nutrition!$A$2:$A$300,0))*$I987/100,0))</f>
        <v>0</v>
      </c>
      <c r="O987" s="30">
        <f>IF(OR($F987="",$I987=""),0,IFERROR(INDEX(Nutrition!$I$2:$I$300,MATCH($F987,Nutrition!$A$2:$A$300,0))*$I987/100,0))</f>
        <v>0</v>
      </c>
      <c r="P987" s="30">
        <f>IF(OR($F987="",$I987=""),0,IFERROR(INDEX(Nutrition!$J$2:$J$300,MATCH($F987,Nutrition!$A$2:$A$300,0))*$I987/100,0))</f>
        <v>0</v>
      </c>
      <c r="Q987" s="30">
        <f>IF(OR($F987="",$I987=""),0,IFERROR(INDEX(Nutrition!$K$2:$K$300,MATCH($F987,Nutrition!$A$2:$A$300,0))*$I987/100,0))</f>
        <v>0</v>
      </c>
      <c r="R987" s="30">
        <f>IF(OR($F987="",$I987=""),0,IFERROR(INDEX(Nutrition!$L$2:$L$300,MATCH($F987,Nutrition!$A$2:$A$300,0))*$I987/100,0))</f>
        <v>0</v>
      </c>
      <c r="S987" s="30">
        <f>IF(OR($F987="",$I987=""),0,IFERROR(INDEX(Nutrition!$M$2:$M$300,MATCH($F987,Nutrition!$A$2:$A$300,0))*$I987/100,0))</f>
        <v>0</v>
      </c>
    </row>
    <row r="988" spans="1:19" ht="15" customHeight="1" x14ac:dyDescent="0.25">
      <c r="A988" s="22" t="s">
        <v>2176</v>
      </c>
      <c r="B988" s="33" t="str">
        <f>IFERROR(INDEX(Recipes!$B$2:$B$500,MATCH(A988,Recipes!$A$2:$A$500,0)),"")</f>
        <v>Caprese Salad</v>
      </c>
      <c r="C988" s="7" t="s">
        <v>2805</v>
      </c>
      <c r="D988" s="34">
        <v>2</v>
      </c>
      <c r="E988" s="22" t="s">
        <v>2753</v>
      </c>
      <c r="F988" s="22"/>
      <c r="G988" s="22" t="s">
        <v>2773</v>
      </c>
      <c r="H988" s="7"/>
      <c r="I988" s="35"/>
      <c r="J988" s="30">
        <f>IF(OR($F988="",$I988=""),0,IFERROR(INDEX(Nutrition!$D$2:$D$300,MATCH($F988,Nutrition!$A$2:$A$300,0))*$I988/100,0))</f>
        <v>0</v>
      </c>
      <c r="K988" s="30">
        <f>IF(OR($F988="",$I988=""),0,IFERROR(INDEX(Nutrition!$E$2:$E$300,MATCH($F988,Nutrition!$A$2:$A$300,0))*$I988/100,0))</f>
        <v>0</v>
      </c>
      <c r="L988" s="30">
        <f>IF(OR($F988="",$I988=""),0,IFERROR(INDEX(Nutrition!$F$2:$F$300,MATCH($F988,Nutrition!$A$2:$A$300,0))*$I988/100,0))</f>
        <v>0</v>
      </c>
      <c r="M988" s="30">
        <f>IF(OR($F988="",$I988=""),0,IFERROR(INDEX(Nutrition!$G$2:$G$300,MATCH($F988,Nutrition!$A$2:$A$300,0))*$I988/100,0))</f>
        <v>0</v>
      </c>
      <c r="N988" s="30">
        <f>IF(OR($F988="",$I988=""),0,IFERROR(INDEX(Nutrition!$H$2:$H$300,MATCH($F988,Nutrition!$A$2:$A$300,0))*$I988/100,0))</f>
        <v>0</v>
      </c>
      <c r="O988" s="30">
        <f>IF(OR($F988="",$I988=""),0,IFERROR(INDEX(Nutrition!$I$2:$I$300,MATCH($F988,Nutrition!$A$2:$A$300,0))*$I988/100,0))</f>
        <v>0</v>
      </c>
      <c r="P988" s="30">
        <f>IF(OR($F988="",$I988=""),0,IFERROR(INDEX(Nutrition!$J$2:$J$300,MATCH($F988,Nutrition!$A$2:$A$300,0))*$I988/100,0))</f>
        <v>0</v>
      </c>
      <c r="Q988" s="30">
        <f>IF(OR($F988="",$I988=""),0,IFERROR(INDEX(Nutrition!$K$2:$K$300,MATCH($F988,Nutrition!$A$2:$A$300,0))*$I988/100,0))</f>
        <v>0</v>
      </c>
      <c r="R988" s="30">
        <f>IF(OR($F988="",$I988=""),0,IFERROR(INDEX(Nutrition!$L$2:$L$300,MATCH($F988,Nutrition!$A$2:$A$300,0))*$I988/100,0))</f>
        <v>0</v>
      </c>
      <c r="S988" s="30">
        <f>IF(OR($F988="",$I988=""),0,IFERROR(INDEX(Nutrition!$M$2:$M$300,MATCH($F988,Nutrition!$A$2:$A$300,0))*$I988/100,0))</f>
        <v>0</v>
      </c>
    </row>
    <row r="989" spans="1:19" ht="15" customHeight="1" x14ac:dyDescent="0.25">
      <c r="A989" s="22" t="s">
        <v>2176</v>
      </c>
      <c r="B989" s="33" t="str">
        <f>IFERROR(INDEX(Recipes!$B$2:$B$500,MATCH(A989,Recipes!$A$2:$A$500,0)),"")</f>
        <v>Caprese Salad</v>
      </c>
      <c r="C989" s="7" t="s">
        <v>2906</v>
      </c>
      <c r="D989" s="34">
        <v>1</v>
      </c>
      <c r="E989" s="22" t="s">
        <v>2782</v>
      </c>
      <c r="F989" s="22"/>
      <c r="G989" s="22" t="s">
        <v>2773</v>
      </c>
      <c r="H989" s="7"/>
      <c r="I989" s="35"/>
      <c r="J989" s="30">
        <f>IF(OR($F989="",$I989=""),0,IFERROR(INDEX(Nutrition!$D$2:$D$300,MATCH($F989,Nutrition!$A$2:$A$300,0))*$I989/100,0))</f>
        <v>0</v>
      </c>
      <c r="K989" s="30">
        <f>IF(OR($F989="",$I989=""),0,IFERROR(INDEX(Nutrition!$E$2:$E$300,MATCH($F989,Nutrition!$A$2:$A$300,0))*$I989/100,0))</f>
        <v>0</v>
      </c>
      <c r="L989" s="30">
        <f>IF(OR($F989="",$I989=""),0,IFERROR(INDEX(Nutrition!$F$2:$F$300,MATCH($F989,Nutrition!$A$2:$A$300,0))*$I989/100,0))</f>
        <v>0</v>
      </c>
      <c r="M989" s="30">
        <f>IF(OR($F989="",$I989=""),0,IFERROR(INDEX(Nutrition!$G$2:$G$300,MATCH($F989,Nutrition!$A$2:$A$300,0))*$I989/100,0))</f>
        <v>0</v>
      </c>
      <c r="N989" s="30">
        <f>IF(OR($F989="",$I989=""),0,IFERROR(INDEX(Nutrition!$H$2:$H$300,MATCH($F989,Nutrition!$A$2:$A$300,0))*$I989/100,0))</f>
        <v>0</v>
      </c>
      <c r="O989" s="30">
        <f>IF(OR($F989="",$I989=""),0,IFERROR(INDEX(Nutrition!$I$2:$I$300,MATCH($F989,Nutrition!$A$2:$A$300,0))*$I989/100,0))</f>
        <v>0</v>
      </c>
      <c r="P989" s="30">
        <f>IF(OR($F989="",$I989=""),0,IFERROR(INDEX(Nutrition!$J$2:$J$300,MATCH($F989,Nutrition!$A$2:$A$300,0))*$I989/100,0))</f>
        <v>0</v>
      </c>
      <c r="Q989" s="30">
        <f>IF(OR($F989="",$I989=""),0,IFERROR(INDEX(Nutrition!$K$2:$K$300,MATCH($F989,Nutrition!$A$2:$A$300,0))*$I989/100,0))</f>
        <v>0</v>
      </c>
      <c r="R989" s="30">
        <f>IF(OR($F989="",$I989=""),0,IFERROR(INDEX(Nutrition!$L$2:$L$300,MATCH($F989,Nutrition!$A$2:$A$300,0))*$I989/100,0))</f>
        <v>0</v>
      </c>
      <c r="S989" s="30">
        <f>IF(OR($F989="",$I989=""),0,IFERROR(INDEX(Nutrition!$M$2:$M$300,MATCH($F989,Nutrition!$A$2:$A$300,0))*$I989/100,0))</f>
        <v>0</v>
      </c>
    </row>
    <row r="990" spans="1:19" ht="15" customHeight="1" x14ac:dyDescent="0.25">
      <c r="A990" s="22" t="s">
        <v>2188</v>
      </c>
      <c r="B990" s="33" t="str">
        <f>IFERROR(INDEX(Recipes!$B$2:$B$500,MATCH(A990,Recipes!$A$2:$A$500,0)),"")</f>
        <v>Smashed Cucumber Salad</v>
      </c>
      <c r="C990" s="7" t="s">
        <v>523</v>
      </c>
      <c r="D990" s="34">
        <v>4</v>
      </c>
      <c r="E990" s="22" t="s">
        <v>2754</v>
      </c>
      <c r="F990" s="22" t="s">
        <v>522</v>
      </c>
      <c r="G990" s="22" t="s">
        <v>2755</v>
      </c>
      <c r="H990" s="7" t="s">
        <v>3014</v>
      </c>
      <c r="I990" s="35">
        <v>500</v>
      </c>
      <c r="J990" s="30">
        <f>IF(OR($F990="",$I990=""),0,IFERROR(INDEX(Nutrition!$D$2:$D$300,MATCH($F990,Nutrition!$A$2:$A$300,0))*$I990/100,0))</f>
        <v>2.5</v>
      </c>
      <c r="K990" s="30">
        <f>IF(OR($F990="",$I990=""),0,IFERROR(INDEX(Nutrition!$E$2:$E$300,MATCH($F990,Nutrition!$A$2:$A$300,0))*$I990/100,0))</f>
        <v>14</v>
      </c>
      <c r="L990" s="30">
        <f>IF(OR($F990="",$I990=""),0,IFERROR(INDEX(Nutrition!$F$2:$F$300,MATCH($F990,Nutrition!$A$2:$A$300,0))*$I990/100,0))</f>
        <v>25</v>
      </c>
      <c r="M990" s="30">
        <f>IF(OR($F990="",$I990=""),0,IFERROR(INDEX(Nutrition!$G$2:$G$300,MATCH($F990,Nutrition!$A$2:$A$300,0))*$I990/100,0))</f>
        <v>82</v>
      </c>
      <c r="N990" s="30">
        <f>IF(OR($F990="",$I990=""),0,IFERROR(INDEX(Nutrition!$H$2:$H$300,MATCH($F990,Nutrition!$A$2:$A$300,0))*$I990/100,0))</f>
        <v>35</v>
      </c>
      <c r="O990" s="30">
        <f>IF(OR($F990="",$I990=""),0,IFERROR(INDEX(Nutrition!$I$2:$I$300,MATCH($F990,Nutrition!$A$2:$A$300,0))*$I990/100,0))</f>
        <v>735</v>
      </c>
      <c r="P990" s="30">
        <f>IF(OR($F990="",$I990=""),0,IFERROR(INDEX(Nutrition!$J$2:$J$300,MATCH($F990,Nutrition!$A$2:$A$300,0))*$I990/100,0))</f>
        <v>0.15</v>
      </c>
      <c r="Q990" s="30">
        <f>IF(OR($F990="",$I990=""),0,IFERROR(INDEX(Nutrition!$K$2:$K$300,MATCH($F990,Nutrition!$A$2:$A$300,0))*$I990/100,0))</f>
        <v>0.2</v>
      </c>
      <c r="R990" s="30">
        <f>IF(OR($F990="",$I990=""),0,IFERROR(INDEX(Nutrition!$L$2:$L$300,MATCH($F990,Nutrition!$A$2:$A$300,0))*$I990/100,0))</f>
        <v>65</v>
      </c>
      <c r="S990" s="30">
        <f>IF(OR($F990="",$I990=""),0,IFERROR(INDEX(Nutrition!$M$2:$M$300,MATCH($F990,Nutrition!$A$2:$A$300,0))*$I990/100,0))</f>
        <v>1.4</v>
      </c>
    </row>
    <row r="991" spans="1:19" ht="15" customHeight="1" x14ac:dyDescent="0.25">
      <c r="A991" s="22" t="s">
        <v>2188</v>
      </c>
      <c r="B991" s="33" t="str">
        <f>IFERROR(INDEX(Recipes!$B$2:$B$500,MATCH(A991,Recipes!$A$2:$A$500,0)),"")</f>
        <v>Smashed Cucumber Salad</v>
      </c>
      <c r="C991" s="7" t="s">
        <v>668</v>
      </c>
      <c r="D991" s="34">
        <v>2</v>
      </c>
      <c r="E991" s="22" t="s">
        <v>2753</v>
      </c>
      <c r="F991" s="22" t="s">
        <v>667</v>
      </c>
      <c r="G991" s="22" t="s">
        <v>2755</v>
      </c>
      <c r="H991" s="7" t="s">
        <v>2775</v>
      </c>
      <c r="I991" s="35">
        <v>8</v>
      </c>
      <c r="J991" s="30">
        <f>IF(OR($F991="",$I991=""),0,IFERROR(INDEX(Nutrition!$D$2:$D$300,MATCH($F991,Nutrition!$A$2:$A$300,0))*$I991/100,0))</f>
        <v>0.22399999999999998</v>
      </c>
      <c r="K991" s="30">
        <f>IF(OR($F991="",$I991=""),0,IFERROR(INDEX(Nutrition!$E$2:$E$300,MATCH($F991,Nutrition!$A$2:$A$300,0))*$I991/100,0))</f>
        <v>2.16</v>
      </c>
      <c r="L991" s="30">
        <f>IF(OR($F991="",$I991=""),0,IFERROR(INDEX(Nutrition!$F$2:$F$300,MATCH($F991,Nutrition!$A$2:$A$300,0))*$I991/100,0))</f>
        <v>26.96</v>
      </c>
      <c r="M991" s="30">
        <f>IF(OR($F991="",$I991=""),0,IFERROR(INDEX(Nutrition!$G$2:$G$300,MATCH($F991,Nutrition!$A$2:$A$300,0))*$I991/100,0))</f>
        <v>24.8</v>
      </c>
      <c r="N991" s="30">
        <f>IF(OR($F991="",$I991=""),0,IFERROR(INDEX(Nutrition!$H$2:$H$300,MATCH($F991,Nutrition!$A$2:$A$300,0))*$I991/100,0))</f>
        <v>4.96</v>
      </c>
      <c r="O991" s="30">
        <f>IF(OR($F991="",$I991=""),0,IFERROR(INDEX(Nutrition!$I$2:$I$300,MATCH($F991,Nutrition!$A$2:$A$300,0))*$I991/100,0))</f>
        <v>41.68</v>
      </c>
      <c r="P991" s="30">
        <f>IF(OR($F991="",$I991=""),0,IFERROR(INDEX(Nutrition!$J$2:$J$300,MATCH($F991,Nutrition!$A$2:$A$300,0))*$I991/100,0))</f>
        <v>0.2</v>
      </c>
      <c r="Q991" s="30">
        <f>IF(OR($F991="",$I991=""),0,IFERROR(INDEX(Nutrition!$K$2:$K$300,MATCH($F991,Nutrition!$A$2:$A$300,0))*$I991/100,0))</f>
        <v>1.192E-2</v>
      </c>
      <c r="R991" s="30">
        <f>IF(OR($F991="",$I991=""),0,IFERROR(INDEX(Nutrition!$L$2:$L$300,MATCH($F991,Nutrition!$A$2:$A$300,0))*$I991/100,0))</f>
        <v>2.08</v>
      </c>
      <c r="S991" s="30">
        <f>IF(OR($F991="",$I991=""),0,IFERROR(INDEX(Nutrition!$M$2:$M$300,MATCH($F991,Nutrition!$A$2:$A$300,0))*$I991/100,0))</f>
        <v>0.1416</v>
      </c>
    </row>
    <row r="992" spans="1:19" ht="15" customHeight="1" x14ac:dyDescent="0.25">
      <c r="A992" s="22" t="s">
        <v>2188</v>
      </c>
      <c r="B992" s="33" t="str">
        <f>IFERROR(INDEX(Recipes!$B$2:$B$500,MATCH(A992,Recipes!$A$2:$A$500,0)),"")</f>
        <v>Smashed Cucumber Salad</v>
      </c>
      <c r="C992" s="7" t="s">
        <v>490</v>
      </c>
      <c r="D992" s="34">
        <v>0.25</v>
      </c>
      <c r="E992" s="22" t="s">
        <v>2748</v>
      </c>
      <c r="F992" s="22" t="s">
        <v>489</v>
      </c>
      <c r="G992" s="22" t="s">
        <v>2755</v>
      </c>
      <c r="H992" s="7" t="s">
        <v>2830</v>
      </c>
      <c r="I992" s="35">
        <v>25</v>
      </c>
      <c r="J992" s="30">
        <f>IF(OR($F992="",$I992=""),0,IFERROR(INDEX(Nutrition!$D$2:$D$300,MATCH($F992,Nutrition!$A$2:$A$300,0))*$I992/100,0))</f>
        <v>0.65</v>
      </c>
      <c r="K992" s="30">
        <f>IF(OR($F992="",$I992=""),0,IFERROR(INDEX(Nutrition!$E$2:$E$300,MATCH($F992,Nutrition!$A$2:$A$300,0))*$I992/100,0))</f>
        <v>4.7</v>
      </c>
      <c r="L992" s="30">
        <f>IF(OR($F992="",$I992=""),0,IFERROR(INDEX(Nutrition!$F$2:$F$300,MATCH($F992,Nutrition!$A$2:$A$300,0))*$I992/100,0))</f>
        <v>12.5</v>
      </c>
      <c r="M992" s="30">
        <f>IF(OR($F992="",$I992=""),0,IFERROR(INDEX(Nutrition!$G$2:$G$300,MATCH($F992,Nutrition!$A$2:$A$300,0))*$I992/100,0))</f>
        <v>51.75</v>
      </c>
      <c r="N992" s="30">
        <f>IF(OR($F992="",$I992=""),0,IFERROR(INDEX(Nutrition!$H$2:$H$300,MATCH($F992,Nutrition!$A$2:$A$300,0))*$I992/100,0))</f>
        <v>16</v>
      </c>
      <c r="O992" s="30">
        <f>IF(OR($F992="",$I992=""),0,IFERROR(INDEX(Nutrition!$I$2:$I$300,MATCH($F992,Nutrition!$A$2:$A$300,0))*$I992/100,0))</f>
        <v>69</v>
      </c>
      <c r="P992" s="30">
        <f>IF(OR($F992="",$I992=""),0,IFERROR(INDEX(Nutrition!$J$2:$J$300,MATCH($F992,Nutrition!$A$2:$A$300,0))*$I992/100,0))</f>
        <v>0.13750000000000001</v>
      </c>
      <c r="Q992" s="30">
        <f>IF(OR($F992="",$I992=""),0,IFERROR(INDEX(Nutrition!$K$2:$K$300,MATCH($F992,Nutrition!$A$2:$A$300,0))*$I992/100,0))</f>
        <v>1.525E-2</v>
      </c>
      <c r="R992" s="30">
        <f>IF(OR($F992="",$I992=""),0,IFERROR(INDEX(Nutrition!$L$2:$L$300,MATCH($F992,Nutrition!$A$2:$A$300,0))*$I992/100,0))</f>
        <v>5</v>
      </c>
      <c r="S992" s="30">
        <f>IF(OR($F992="",$I992=""),0,IFERROR(INDEX(Nutrition!$M$2:$M$300,MATCH($F992,Nutrition!$A$2:$A$300,0))*$I992/100,0))</f>
        <v>0.37</v>
      </c>
    </row>
    <row r="993" spans="1:19" ht="15" customHeight="1" x14ac:dyDescent="0.25">
      <c r="A993" s="22" t="s">
        <v>2188</v>
      </c>
      <c r="B993" s="33" t="str">
        <f>IFERROR(INDEX(Recipes!$B$2:$B$500,MATCH(A993,Recipes!$A$2:$A$500,0)),"")</f>
        <v>Smashed Cucumber Salad</v>
      </c>
      <c r="C993" s="7" t="s">
        <v>508</v>
      </c>
      <c r="D993" s="34">
        <v>1</v>
      </c>
      <c r="E993" s="22" t="s">
        <v>2821</v>
      </c>
      <c r="F993" s="22" t="s">
        <v>507</v>
      </c>
      <c r="G993" s="22" t="s">
        <v>2755</v>
      </c>
      <c r="H993" s="7" t="s">
        <v>2791</v>
      </c>
      <c r="I993" s="35">
        <v>15</v>
      </c>
      <c r="J993" s="30">
        <f>IF(OR($F993="",$I993=""),0,IFERROR(INDEX(Nutrition!$D$2:$D$300,MATCH($F993,Nutrition!$A$2:$A$300,0))*$I993/100,0))</f>
        <v>0.3</v>
      </c>
      <c r="K993" s="30">
        <f>IF(OR($F993="",$I993=""),0,IFERROR(INDEX(Nutrition!$E$2:$E$300,MATCH($F993,Nutrition!$A$2:$A$300,0))*$I993/100,0))</f>
        <v>0.75</v>
      </c>
      <c r="L993" s="30">
        <f>IF(OR($F993="",$I993=""),0,IFERROR(INDEX(Nutrition!$F$2:$F$300,MATCH($F993,Nutrition!$A$2:$A$300,0))*$I993/100,0))</f>
        <v>0</v>
      </c>
      <c r="M993" s="30">
        <f>IF(OR($F993="",$I993=""),0,IFERROR(INDEX(Nutrition!$G$2:$G$300,MATCH($F993,Nutrition!$A$2:$A$300,0))*$I993/100,0))</f>
        <v>1.4999999999999999E-2</v>
      </c>
      <c r="N993" s="30">
        <f>IF(OR($F993="",$I993=""),0,IFERROR(INDEX(Nutrition!$H$2:$H$300,MATCH($F993,Nutrition!$A$2:$A$300,0))*$I993/100,0))</f>
        <v>1.65</v>
      </c>
      <c r="O993" s="30">
        <f>IF(OR($F993="",$I993=""),0,IFERROR(INDEX(Nutrition!$I$2:$I$300,MATCH($F993,Nutrition!$A$2:$A$300,0))*$I993/100,0))</f>
        <v>62.25</v>
      </c>
      <c r="P993" s="30">
        <f>IF(OR($F993="",$I993=""),0,IFERROR(INDEX(Nutrition!$J$2:$J$300,MATCH($F993,Nutrition!$A$2:$A$300,0))*$I993/100,0))</f>
        <v>3.9000000000000007E-2</v>
      </c>
      <c r="Q993" s="30">
        <f>IF(OR($F993="",$I993=""),0,IFERROR(INDEX(Nutrition!$K$2:$K$300,MATCH($F993,Nutrition!$A$2:$A$300,0))*$I993/100,0))</f>
        <v>2.4E-2</v>
      </c>
      <c r="R993" s="30">
        <f>IF(OR($F993="",$I993=""),0,IFERROR(INDEX(Nutrition!$L$2:$L$300,MATCH($F993,Nutrition!$A$2:$A$300,0))*$I993/100,0))</f>
        <v>6.45</v>
      </c>
      <c r="S993" s="30">
        <f>IF(OR($F993="",$I993=""),0,IFERROR(INDEX(Nutrition!$M$2:$M$300,MATCH($F993,Nutrition!$A$2:$A$300,0))*$I993/100,0))</f>
        <v>0.09</v>
      </c>
    </row>
    <row r="994" spans="1:19" ht="15" customHeight="1" x14ac:dyDescent="0.25">
      <c r="A994" s="22" t="s">
        <v>2188</v>
      </c>
      <c r="B994" s="33" t="str">
        <f>IFERROR(INDEX(Recipes!$B$2:$B$500,MATCH(A994,Recipes!$A$2:$A$500,0)),"")</f>
        <v>Smashed Cucumber Salad</v>
      </c>
      <c r="C994" s="7" t="s">
        <v>478</v>
      </c>
      <c r="D994" s="34">
        <v>1</v>
      </c>
      <c r="E994" s="22" t="s">
        <v>2754</v>
      </c>
      <c r="F994" s="22" t="s">
        <v>477</v>
      </c>
      <c r="G994" s="22" t="s">
        <v>2755</v>
      </c>
      <c r="H994" s="7" t="s">
        <v>2830</v>
      </c>
      <c r="I994" s="35">
        <v>20</v>
      </c>
      <c r="J994" s="30">
        <f>IF(OR($F994="",$I994=""),0,IFERROR(INDEX(Nutrition!$D$2:$D$300,MATCH($F994,Nutrition!$A$2:$A$300,0))*$I994/100,0))</f>
        <v>0.3</v>
      </c>
      <c r="K994" s="30">
        <f>IF(OR($F994="",$I994=""),0,IFERROR(INDEX(Nutrition!$E$2:$E$300,MATCH($F994,Nutrition!$A$2:$A$300,0))*$I994/100,0))</f>
        <v>28.74</v>
      </c>
      <c r="L994" s="30">
        <f>IF(OR($F994="",$I994=""),0,IFERROR(INDEX(Nutrition!$F$2:$F$300,MATCH($F994,Nutrition!$A$2:$A$300,0))*$I994/100,0))</f>
        <v>9.6</v>
      </c>
      <c r="M994" s="30">
        <f>IF(OR($F994="",$I994=""),0,IFERROR(INDEX(Nutrition!$G$2:$G$300,MATCH($F994,Nutrition!$A$2:$A$300,0))*$I994/100,0))</f>
        <v>2.8</v>
      </c>
      <c r="N994" s="30">
        <f>IF(OR($F994="",$I994=""),0,IFERROR(INDEX(Nutrition!$H$2:$H$300,MATCH($F994,Nutrition!$A$2:$A$300,0))*$I994/100,0))</f>
        <v>4.5999999999999996</v>
      </c>
      <c r="O994" s="30">
        <f>IF(OR($F994="",$I994=""),0,IFERROR(INDEX(Nutrition!$I$2:$I$300,MATCH($F994,Nutrition!$A$2:$A$300,0))*$I994/100,0))</f>
        <v>64.400000000000006</v>
      </c>
      <c r="P994" s="30">
        <f>IF(OR($F994="",$I994=""),0,IFERROR(INDEX(Nutrition!$J$2:$J$300,MATCH($F994,Nutrition!$A$2:$A$300,0))*$I994/100,0))</f>
        <v>0.13799999999999998</v>
      </c>
      <c r="Q994" s="30">
        <f>IF(OR($F994="",$I994=""),0,IFERROR(INDEX(Nutrition!$K$2:$K$300,MATCH($F994,Nutrition!$A$2:$A$300,0))*$I994/100,0))</f>
        <v>0.10120000000000001</v>
      </c>
      <c r="R994" s="30">
        <f>IF(OR($F994="",$I994=""),0,IFERROR(INDEX(Nutrition!$L$2:$L$300,MATCH($F994,Nutrition!$A$2:$A$300,0))*$I994/100,0))</f>
        <v>4.5999999999999996</v>
      </c>
      <c r="S994" s="30">
        <f>IF(OR($F994="",$I994=""),0,IFERROR(INDEX(Nutrition!$M$2:$M$300,MATCH($F994,Nutrition!$A$2:$A$300,0))*$I994/100,0))</f>
        <v>0.20600000000000002</v>
      </c>
    </row>
    <row r="995" spans="1:19" ht="15" customHeight="1" x14ac:dyDescent="0.25">
      <c r="A995" s="22" t="s">
        <v>2188</v>
      </c>
      <c r="B995" s="33" t="str">
        <f>IFERROR(INDEX(Recipes!$B$2:$B$500,MATCH(A995,Recipes!$A$2:$A$500,0)),"")</f>
        <v>Smashed Cucumber Salad</v>
      </c>
      <c r="C995" s="7" t="s">
        <v>213</v>
      </c>
      <c r="D995" s="34">
        <v>0.5</v>
      </c>
      <c r="E995" s="22" t="s">
        <v>2754</v>
      </c>
      <c r="F995" s="22" t="s">
        <v>212</v>
      </c>
      <c r="G995" s="22" t="s">
        <v>2755</v>
      </c>
      <c r="H995" s="7" t="s">
        <v>2912</v>
      </c>
      <c r="I995" s="35">
        <v>34</v>
      </c>
      <c r="J995" s="30">
        <f>IF(OR($F995="",$I995=""),0,IFERROR(INDEX(Nutrition!$D$2:$D$300,MATCH($F995,Nutrition!$A$2:$A$300,0))*$I995/100,0))</f>
        <v>0.95199999999999985</v>
      </c>
      <c r="K995" s="30">
        <f>IF(OR($F995="",$I995=""),0,IFERROR(INDEX(Nutrition!$E$2:$E$300,MATCH($F995,Nutrition!$A$2:$A$300,0))*$I995/100,0))</f>
        <v>9.8940000000000001</v>
      </c>
      <c r="L995" s="30">
        <f>IF(OR($F995="",$I995=""),0,IFERROR(INDEX(Nutrition!$F$2:$F$300,MATCH($F995,Nutrition!$A$2:$A$300,0))*$I995/100,0))</f>
        <v>0.68</v>
      </c>
      <c r="M995" s="30">
        <f>IF(OR($F995="",$I995=""),0,IFERROR(INDEX(Nutrition!$G$2:$G$300,MATCH($F995,Nutrition!$A$2:$A$300,0))*$I995/100,0))</f>
        <v>0.20399999999999999</v>
      </c>
      <c r="N995" s="30">
        <f>IF(OR($F995="",$I995=""),0,IFERROR(INDEX(Nutrition!$H$2:$H$300,MATCH($F995,Nutrition!$A$2:$A$300,0))*$I995/100,0))</f>
        <v>2.72</v>
      </c>
      <c r="O995" s="30">
        <f>IF(OR($F995="",$I995=""),0,IFERROR(INDEX(Nutrition!$I$2:$I$300,MATCH($F995,Nutrition!$A$2:$A$300,0))*$I995/100,0))</f>
        <v>34.68</v>
      </c>
      <c r="P995" s="30">
        <f>IF(OR($F995="",$I995=""),0,IFERROR(INDEX(Nutrition!$J$2:$J$300,MATCH($F995,Nutrition!$A$2:$A$300,0))*$I995/100,0))</f>
        <v>7.4800000000000005E-2</v>
      </c>
      <c r="Q995" s="30">
        <f>IF(OR($F995="",$I995=""),0,IFERROR(INDEX(Nutrition!$K$2:$K$300,MATCH($F995,Nutrition!$A$2:$A$300,0))*$I995/100,0))</f>
        <v>1.4619999999999999E-2</v>
      </c>
      <c r="R995" s="30">
        <f>IF(OR($F995="",$I995=""),0,IFERROR(INDEX(Nutrition!$L$2:$L$300,MATCH($F995,Nutrition!$A$2:$A$300,0))*$I995/100,0))</f>
        <v>2.04</v>
      </c>
      <c r="S995" s="30">
        <f>IF(OR($F995="",$I995=""),0,IFERROR(INDEX(Nutrition!$M$2:$M$300,MATCH($F995,Nutrition!$A$2:$A$300,0))*$I995/100,0))</f>
        <v>0.20399999999999999</v>
      </c>
    </row>
    <row r="996" spans="1:19" ht="15" customHeight="1" x14ac:dyDescent="0.25">
      <c r="A996" s="22" t="s">
        <v>2188</v>
      </c>
      <c r="B996" s="33" t="str">
        <f>IFERROR(INDEX(Recipes!$B$2:$B$500,MATCH(A996,Recipes!$A$2:$A$500,0)),"")</f>
        <v>Smashed Cucumber Salad</v>
      </c>
      <c r="C996" s="7" t="s">
        <v>2823</v>
      </c>
      <c r="D996" s="34">
        <v>2</v>
      </c>
      <c r="E996" s="22" t="s">
        <v>2759</v>
      </c>
      <c r="F996" s="22"/>
      <c r="G996" s="22" t="s">
        <v>2749</v>
      </c>
      <c r="H996" s="7"/>
      <c r="I996" s="35"/>
      <c r="J996" s="30">
        <f>IF(OR($F996="",$I996=""),0,IFERROR(INDEX(Nutrition!$D$2:$D$300,MATCH($F996,Nutrition!$A$2:$A$300,0))*$I996/100,0))</f>
        <v>0</v>
      </c>
      <c r="K996" s="30">
        <f>IF(OR($F996="",$I996=""),0,IFERROR(INDEX(Nutrition!$E$2:$E$300,MATCH($F996,Nutrition!$A$2:$A$300,0))*$I996/100,0))</f>
        <v>0</v>
      </c>
      <c r="L996" s="30">
        <f>IF(OR($F996="",$I996=""),0,IFERROR(INDEX(Nutrition!$F$2:$F$300,MATCH($F996,Nutrition!$A$2:$A$300,0))*$I996/100,0))</f>
        <v>0</v>
      </c>
      <c r="M996" s="30">
        <f>IF(OR($F996="",$I996=""),0,IFERROR(INDEX(Nutrition!$G$2:$G$300,MATCH($F996,Nutrition!$A$2:$A$300,0))*$I996/100,0))</f>
        <v>0</v>
      </c>
      <c r="N996" s="30">
        <f>IF(OR($F996="",$I996=""),0,IFERROR(INDEX(Nutrition!$H$2:$H$300,MATCH($F996,Nutrition!$A$2:$A$300,0))*$I996/100,0))</f>
        <v>0</v>
      </c>
      <c r="O996" s="30">
        <f>IF(OR($F996="",$I996=""),0,IFERROR(INDEX(Nutrition!$I$2:$I$300,MATCH($F996,Nutrition!$A$2:$A$300,0))*$I996/100,0))</f>
        <v>0</v>
      </c>
      <c r="P996" s="30">
        <f>IF(OR($F996="",$I996=""),0,IFERROR(INDEX(Nutrition!$J$2:$J$300,MATCH($F996,Nutrition!$A$2:$A$300,0))*$I996/100,0))</f>
        <v>0</v>
      </c>
      <c r="Q996" s="30">
        <f>IF(OR($F996="",$I996=""),0,IFERROR(INDEX(Nutrition!$K$2:$K$300,MATCH($F996,Nutrition!$A$2:$A$300,0))*$I996/100,0))</f>
        <v>0</v>
      </c>
      <c r="R996" s="30">
        <f>IF(OR($F996="",$I996=""),0,IFERROR(INDEX(Nutrition!$L$2:$L$300,MATCH($F996,Nutrition!$A$2:$A$300,0))*$I996/100,0))</f>
        <v>0</v>
      </c>
      <c r="S996" s="30">
        <f>IF(OR($F996="",$I996=""),0,IFERROR(INDEX(Nutrition!$M$2:$M$300,MATCH($F996,Nutrition!$A$2:$A$300,0))*$I996/100,0))</f>
        <v>0</v>
      </c>
    </row>
    <row r="997" spans="1:19" ht="15" customHeight="1" x14ac:dyDescent="0.25">
      <c r="A997" s="22" t="s">
        <v>2188</v>
      </c>
      <c r="B997" s="33" t="str">
        <f>IFERROR(INDEX(Recipes!$B$2:$B$500,MATCH(A997,Recipes!$A$2:$A$500,0)),"")</f>
        <v>Smashed Cucumber Salad</v>
      </c>
      <c r="C997" s="7" t="s">
        <v>2848</v>
      </c>
      <c r="D997" s="34">
        <v>2</v>
      </c>
      <c r="E997" s="22" t="s">
        <v>2759</v>
      </c>
      <c r="F997" s="22"/>
      <c r="G997" s="22" t="s">
        <v>2749</v>
      </c>
      <c r="H997" s="7" t="s">
        <v>2760</v>
      </c>
      <c r="I997" s="35"/>
      <c r="J997" s="30">
        <f>IF(OR($F997="",$I997=""),0,IFERROR(INDEX(Nutrition!$D$2:$D$300,MATCH($F997,Nutrition!$A$2:$A$300,0))*$I997/100,0))</f>
        <v>0</v>
      </c>
      <c r="K997" s="30">
        <f>IF(OR($F997="",$I997=""),0,IFERROR(INDEX(Nutrition!$E$2:$E$300,MATCH($F997,Nutrition!$A$2:$A$300,0))*$I997/100,0))</f>
        <v>0</v>
      </c>
      <c r="L997" s="30">
        <f>IF(OR($F997="",$I997=""),0,IFERROR(INDEX(Nutrition!$F$2:$F$300,MATCH($F997,Nutrition!$A$2:$A$300,0))*$I997/100,0))</f>
        <v>0</v>
      </c>
      <c r="M997" s="30">
        <f>IF(OR($F997="",$I997=""),0,IFERROR(INDEX(Nutrition!$G$2:$G$300,MATCH($F997,Nutrition!$A$2:$A$300,0))*$I997/100,0))</f>
        <v>0</v>
      </c>
      <c r="N997" s="30">
        <f>IF(OR($F997="",$I997=""),0,IFERROR(INDEX(Nutrition!$H$2:$H$300,MATCH($F997,Nutrition!$A$2:$A$300,0))*$I997/100,0))</f>
        <v>0</v>
      </c>
      <c r="O997" s="30">
        <f>IF(OR($F997="",$I997=""),0,IFERROR(INDEX(Nutrition!$I$2:$I$300,MATCH($F997,Nutrition!$A$2:$A$300,0))*$I997/100,0))</f>
        <v>0</v>
      </c>
      <c r="P997" s="30">
        <f>IF(OR($F997="",$I997=""),0,IFERROR(INDEX(Nutrition!$J$2:$J$300,MATCH($F997,Nutrition!$A$2:$A$300,0))*$I997/100,0))</f>
        <v>0</v>
      </c>
      <c r="Q997" s="30">
        <f>IF(OR($F997="",$I997=""),0,IFERROR(INDEX(Nutrition!$K$2:$K$300,MATCH($F997,Nutrition!$A$2:$A$300,0))*$I997/100,0))</f>
        <v>0</v>
      </c>
      <c r="R997" s="30">
        <f>IF(OR($F997="",$I997=""),0,IFERROR(INDEX(Nutrition!$L$2:$L$300,MATCH($F997,Nutrition!$A$2:$A$300,0))*$I997/100,0))</f>
        <v>0</v>
      </c>
      <c r="S997" s="30">
        <f>IF(OR($F997="",$I997=""),0,IFERROR(INDEX(Nutrition!$M$2:$M$300,MATCH($F997,Nutrition!$A$2:$A$300,0))*$I997/100,0))</f>
        <v>0</v>
      </c>
    </row>
    <row r="998" spans="1:19" ht="15" customHeight="1" x14ac:dyDescent="0.25">
      <c r="A998" s="22" t="s">
        <v>2188</v>
      </c>
      <c r="B998" s="33" t="str">
        <f>IFERROR(INDEX(Recipes!$B$2:$B$500,MATCH(A998,Recipes!$A$2:$A$500,0)),"")</f>
        <v>Smashed Cucumber Salad</v>
      </c>
      <c r="C998" s="7" t="s">
        <v>2917</v>
      </c>
      <c r="D998" s="34">
        <v>0.5</v>
      </c>
      <c r="E998" s="22" t="s">
        <v>2759</v>
      </c>
      <c r="F998" s="22"/>
      <c r="G998" s="22" t="s">
        <v>2749</v>
      </c>
      <c r="H998" s="7"/>
      <c r="I998" s="35"/>
      <c r="J998" s="30">
        <f>IF(OR($F998="",$I998=""),0,IFERROR(INDEX(Nutrition!$D$2:$D$300,MATCH($F998,Nutrition!$A$2:$A$300,0))*$I998/100,0))</f>
        <v>0</v>
      </c>
      <c r="K998" s="30">
        <f>IF(OR($F998="",$I998=""),0,IFERROR(INDEX(Nutrition!$E$2:$E$300,MATCH($F998,Nutrition!$A$2:$A$300,0))*$I998/100,0))</f>
        <v>0</v>
      </c>
      <c r="L998" s="30">
        <f>IF(OR($F998="",$I998=""),0,IFERROR(INDEX(Nutrition!$F$2:$F$300,MATCH($F998,Nutrition!$A$2:$A$300,0))*$I998/100,0))</f>
        <v>0</v>
      </c>
      <c r="M998" s="30">
        <f>IF(OR($F998="",$I998=""),0,IFERROR(INDEX(Nutrition!$G$2:$G$300,MATCH($F998,Nutrition!$A$2:$A$300,0))*$I998/100,0))</f>
        <v>0</v>
      </c>
      <c r="N998" s="30">
        <f>IF(OR($F998="",$I998=""),0,IFERROR(INDEX(Nutrition!$H$2:$H$300,MATCH($F998,Nutrition!$A$2:$A$300,0))*$I998/100,0))</f>
        <v>0</v>
      </c>
      <c r="O998" s="30">
        <f>IF(OR($F998="",$I998=""),0,IFERROR(INDEX(Nutrition!$I$2:$I$300,MATCH($F998,Nutrition!$A$2:$A$300,0))*$I998/100,0))</f>
        <v>0</v>
      </c>
      <c r="P998" s="30">
        <f>IF(OR($F998="",$I998=""),0,IFERROR(INDEX(Nutrition!$J$2:$J$300,MATCH($F998,Nutrition!$A$2:$A$300,0))*$I998/100,0))</f>
        <v>0</v>
      </c>
      <c r="Q998" s="30">
        <f>IF(OR($F998="",$I998=""),0,IFERROR(INDEX(Nutrition!$K$2:$K$300,MATCH($F998,Nutrition!$A$2:$A$300,0))*$I998/100,0))</f>
        <v>0</v>
      </c>
      <c r="R998" s="30">
        <f>IF(OR($F998="",$I998=""),0,IFERROR(INDEX(Nutrition!$L$2:$L$300,MATCH($F998,Nutrition!$A$2:$A$300,0))*$I998/100,0))</f>
        <v>0</v>
      </c>
      <c r="S998" s="30">
        <f>IF(OR($F998="",$I998=""),0,IFERROR(INDEX(Nutrition!$M$2:$M$300,MATCH($F998,Nutrition!$A$2:$A$300,0))*$I998/100,0))</f>
        <v>0</v>
      </c>
    </row>
    <row r="999" spans="1:19" ht="15" customHeight="1" x14ac:dyDescent="0.25">
      <c r="A999" s="22" t="s">
        <v>2188</v>
      </c>
      <c r="B999" s="33" t="str">
        <f>IFERROR(INDEX(Recipes!$B$2:$B$500,MATCH(A999,Recipes!$A$2:$A$500,0)),"")</f>
        <v>Smashed Cucumber Salad</v>
      </c>
      <c r="C999" s="7" t="s">
        <v>2781</v>
      </c>
      <c r="D999" s="34">
        <v>0.75</v>
      </c>
      <c r="E999" s="22" t="s">
        <v>2759</v>
      </c>
      <c r="F999" s="22"/>
      <c r="G999" s="22" t="s">
        <v>2773</v>
      </c>
      <c r="H999" s="7"/>
      <c r="I999" s="35"/>
      <c r="J999" s="30">
        <f>IF(OR($F999="",$I999=""),0,IFERROR(INDEX(Nutrition!$D$2:$D$300,MATCH($F999,Nutrition!$A$2:$A$300,0))*$I999/100,0))</f>
        <v>0</v>
      </c>
      <c r="K999" s="30">
        <f>IF(OR($F999="",$I999=""),0,IFERROR(INDEX(Nutrition!$E$2:$E$300,MATCH($F999,Nutrition!$A$2:$A$300,0))*$I999/100,0))</f>
        <v>0</v>
      </c>
      <c r="L999" s="30">
        <f>IF(OR($F999="",$I999=""),0,IFERROR(INDEX(Nutrition!$F$2:$F$300,MATCH($F999,Nutrition!$A$2:$A$300,0))*$I999/100,0))</f>
        <v>0</v>
      </c>
      <c r="M999" s="30">
        <f>IF(OR($F999="",$I999=""),0,IFERROR(INDEX(Nutrition!$G$2:$G$300,MATCH($F999,Nutrition!$A$2:$A$300,0))*$I999/100,0))</f>
        <v>0</v>
      </c>
      <c r="N999" s="30">
        <f>IF(OR($F999="",$I999=""),0,IFERROR(INDEX(Nutrition!$H$2:$H$300,MATCH($F999,Nutrition!$A$2:$A$300,0))*$I999/100,0))</f>
        <v>0</v>
      </c>
      <c r="O999" s="30">
        <f>IF(OR($F999="",$I999=""),0,IFERROR(INDEX(Nutrition!$I$2:$I$300,MATCH($F999,Nutrition!$A$2:$A$300,0))*$I999/100,0))</f>
        <v>0</v>
      </c>
      <c r="P999" s="30">
        <f>IF(OR($F999="",$I999=""),0,IFERROR(INDEX(Nutrition!$J$2:$J$300,MATCH($F999,Nutrition!$A$2:$A$300,0))*$I999/100,0))</f>
        <v>0</v>
      </c>
      <c r="Q999" s="30">
        <f>IF(OR($F999="",$I999=""),0,IFERROR(INDEX(Nutrition!$K$2:$K$300,MATCH($F999,Nutrition!$A$2:$A$300,0))*$I999/100,0))</f>
        <v>0</v>
      </c>
      <c r="R999" s="30">
        <f>IF(OR($F999="",$I999=""),0,IFERROR(INDEX(Nutrition!$L$2:$L$300,MATCH($F999,Nutrition!$A$2:$A$300,0))*$I999/100,0))</f>
        <v>0</v>
      </c>
      <c r="S999" s="30">
        <f>IF(OR($F999="",$I999=""),0,IFERROR(INDEX(Nutrition!$M$2:$M$300,MATCH($F999,Nutrition!$A$2:$A$300,0))*$I999/100,0))</f>
        <v>0</v>
      </c>
    </row>
    <row r="1000" spans="1:19" ht="15" customHeight="1" x14ac:dyDescent="0.25">
      <c r="A1000" s="22" t="s">
        <v>2200</v>
      </c>
      <c r="B1000" s="33" t="str">
        <f>IFERROR(INDEX(Recipes!$B$2:$B$500,MATCH(A1000,Recipes!$A$2:$A$500,0)),"")</f>
        <v>Sunomono (Japanese Cucumber Salad)</v>
      </c>
      <c r="C1000" s="7" t="s">
        <v>523</v>
      </c>
      <c r="D1000" s="34">
        <v>3</v>
      </c>
      <c r="E1000" s="22" t="s">
        <v>2754</v>
      </c>
      <c r="F1000" s="22" t="s">
        <v>522</v>
      </c>
      <c r="G1000" s="22" t="s">
        <v>2755</v>
      </c>
      <c r="H1000" s="7" t="s">
        <v>3015</v>
      </c>
      <c r="I1000" s="35">
        <v>300</v>
      </c>
      <c r="J1000" s="30">
        <f>IF(OR($F1000="",$I1000=""),0,IFERROR(INDEX(Nutrition!$D$2:$D$300,MATCH($F1000,Nutrition!$A$2:$A$300,0))*$I1000/100,0))</f>
        <v>1.5</v>
      </c>
      <c r="K1000" s="30">
        <f>IF(OR($F1000="",$I1000=""),0,IFERROR(INDEX(Nutrition!$E$2:$E$300,MATCH($F1000,Nutrition!$A$2:$A$300,0))*$I1000/100,0))</f>
        <v>8.4</v>
      </c>
      <c r="L1000" s="30">
        <f>IF(OR($F1000="",$I1000=""),0,IFERROR(INDEX(Nutrition!$F$2:$F$300,MATCH($F1000,Nutrition!$A$2:$A$300,0))*$I1000/100,0))</f>
        <v>15</v>
      </c>
      <c r="M1000" s="30">
        <f>IF(OR($F1000="",$I1000=""),0,IFERROR(INDEX(Nutrition!$G$2:$G$300,MATCH($F1000,Nutrition!$A$2:$A$300,0))*$I1000/100,0))</f>
        <v>49.2</v>
      </c>
      <c r="N1000" s="30">
        <f>IF(OR($F1000="",$I1000=""),0,IFERROR(INDEX(Nutrition!$H$2:$H$300,MATCH($F1000,Nutrition!$A$2:$A$300,0))*$I1000/100,0))</f>
        <v>21</v>
      </c>
      <c r="O1000" s="30">
        <f>IF(OR($F1000="",$I1000=""),0,IFERROR(INDEX(Nutrition!$I$2:$I$300,MATCH($F1000,Nutrition!$A$2:$A$300,0))*$I1000/100,0))</f>
        <v>441</v>
      </c>
      <c r="P1000" s="30">
        <f>IF(OR($F1000="",$I1000=""),0,IFERROR(INDEX(Nutrition!$J$2:$J$300,MATCH($F1000,Nutrition!$A$2:$A$300,0))*$I1000/100,0))</f>
        <v>0.09</v>
      </c>
      <c r="Q1000" s="30">
        <f>IF(OR($F1000="",$I1000=""),0,IFERROR(INDEX(Nutrition!$K$2:$K$300,MATCH($F1000,Nutrition!$A$2:$A$300,0))*$I1000/100,0))</f>
        <v>0.12</v>
      </c>
      <c r="R1000" s="30">
        <f>IF(OR($F1000="",$I1000=""),0,IFERROR(INDEX(Nutrition!$L$2:$L$300,MATCH($F1000,Nutrition!$A$2:$A$300,0))*$I1000/100,0))</f>
        <v>39</v>
      </c>
      <c r="S1000" s="30">
        <f>IF(OR($F1000="",$I1000=""),0,IFERROR(INDEX(Nutrition!$M$2:$M$300,MATCH($F1000,Nutrition!$A$2:$A$300,0))*$I1000/100,0))</f>
        <v>0.84000000000000019</v>
      </c>
    </row>
    <row r="1001" spans="1:19" ht="15" customHeight="1" x14ac:dyDescent="0.25">
      <c r="A1001" s="22" t="s">
        <v>2200</v>
      </c>
      <c r="B1001" s="33" t="str">
        <f>IFERROR(INDEX(Recipes!$B$2:$B$500,MATCH(A1001,Recipes!$A$2:$A$500,0)),"")</f>
        <v>Sunomono (Japanese Cucumber Salad)</v>
      </c>
      <c r="C1001" s="7" t="s">
        <v>462</v>
      </c>
      <c r="D1001" s="34">
        <v>0.25</v>
      </c>
      <c r="E1001" s="22" t="s">
        <v>2754</v>
      </c>
      <c r="F1001" s="22" t="s">
        <v>461</v>
      </c>
      <c r="G1001" s="22" t="s">
        <v>2755</v>
      </c>
      <c r="H1001" s="7" t="s">
        <v>2953</v>
      </c>
      <c r="I1001" s="35">
        <v>30</v>
      </c>
      <c r="J1001" s="30">
        <f>IF(OR($F1001="",$I1001=""),0,IFERROR(INDEX(Nutrition!$D$2:$D$300,MATCH($F1001,Nutrition!$A$2:$A$300,0))*$I1001/100,0))</f>
        <v>0.63</v>
      </c>
      <c r="K1001" s="30">
        <f>IF(OR($F1001="",$I1001=""),0,IFERROR(INDEX(Nutrition!$E$2:$E$300,MATCH($F1001,Nutrition!$A$2:$A$300,0))*$I1001/100,0))</f>
        <v>38.31</v>
      </c>
      <c r="L1001" s="30">
        <f>IF(OR($F1001="",$I1001=""),0,IFERROR(INDEX(Nutrition!$F$2:$F$300,MATCH($F1001,Nutrition!$A$2:$A$300,0))*$I1001/100,0))</f>
        <v>47.1</v>
      </c>
      <c r="M1001" s="30">
        <f>IF(OR($F1001="",$I1001=""),0,IFERROR(INDEX(Nutrition!$G$2:$G$300,MATCH($F1001,Nutrition!$A$2:$A$300,0))*$I1001/100,0))</f>
        <v>1.47</v>
      </c>
      <c r="N1001" s="30">
        <f>IF(OR($F1001="",$I1001=""),0,IFERROR(INDEX(Nutrition!$H$2:$H$300,MATCH($F1001,Nutrition!$A$2:$A$300,0))*$I1001/100,0))</f>
        <v>13.8</v>
      </c>
      <c r="O1001" s="30">
        <f>IF(OR($F1001="",$I1001=""),0,IFERROR(INDEX(Nutrition!$I$2:$I$300,MATCH($F1001,Nutrition!$A$2:$A$300,0))*$I1001/100,0))</f>
        <v>63.3</v>
      </c>
      <c r="P1001" s="30">
        <f>IF(OR($F1001="",$I1001=""),0,IFERROR(INDEX(Nutrition!$J$2:$J$300,MATCH($F1001,Nutrition!$A$2:$A$300,0))*$I1001/100,0))</f>
        <v>0.47400000000000003</v>
      </c>
      <c r="Q1001" s="30">
        <f>IF(OR($F1001="",$I1001=""),0,IFERROR(INDEX(Nutrition!$K$2:$K$300,MATCH($F1001,Nutrition!$A$2:$A$300,0))*$I1001/100,0))</f>
        <v>8.7299999999999989E-2</v>
      </c>
      <c r="R1001" s="30">
        <f>IF(OR($F1001="",$I1001=""),0,IFERROR(INDEX(Nutrition!$L$2:$L$300,MATCH($F1001,Nutrition!$A$2:$A$300,0))*$I1001/100,0))</f>
        <v>3.6</v>
      </c>
      <c r="S1001" s="30">
        <f>IF(OR($F1001="",$I1001=""),0,IFERROR(INDEX(Nutrition!$M$2:$M$300,MATCH($F1001,Nutrition!$A$2:$A$300,0))*$I1001/100,0))</f>
        <v>0.129</v>
      </c>
    </row>
    <row r="1002" spans="1:19" ht="15" customHeight="1" x14ac:dyDescent="0.25">
      <c r="A1002" s="22" t="s">
        <v>2200</v>
      </c>
      <c r="B1002" s="33" t="str">
        <f>IFERROR(INDEX(Recipes!$B$2:$B$500,MATCH(A1002,Recipes!$A$2:$A$500,0)),"")</f>
        <v>Sunomono (Japanese Cucumber Salad)</v>
      </c>
      <c r="C1002" s="7" t="s">
        <v>3016</v>
      </c>
      <c r="D1002" s="34">
        <v>4</v>
      </c>
      <c r="E1002" s="22" t="s">
        <v>2753</v>
      </c>
      <c r="F1002" s="22"/>
      <c r="G1002" s="22" t="s">
        <v>2749</v>
      </c>
      <c r="H1002" s="7" t="s">
        <v>3010</v>
      </c>
      <c r="I1002" s="35"/>
      <c r="J1002" s="30">
        <f>IF(OR($F1002="",$I1002=""),0,IFERROR(INDEX(Nutrition!$D$2:$D$300,MATCH($F1002,Nutrition!$A$2:$A$300,0))*$I1002/100,0))</f>
        <v>0</v>
      </c>
      <c r="K1002" s="30">
        <f>IF(OR($F1002="",$I1002=""),0,IFERROR(INDEX(Nutrition!$E$2:$E$300,MATCH($F1002,Nutrition!$A$2:$A$300,0))*$I1002/100,0))</f>
        <v>0</v>
      </c>
      <c r="L1002" s="30">
        <f>IF(OR($F1002="",$I1002=""),0,IFERROR(INDEX(Nutrition!$F$2:$F$300,MATCH($F1002,Nutrition!$A$2:$A$300,0))*$I1002/100,0))</f>
        <v>0</v>
      </c>
      <c r="M1002" s="30">
        <f>IF(OR($F1002="",$I1002=""),0,IFERROR(INDEX(Nutrition!$G$2:$G$300,MATCH($F1002,Nutrition!$A$2:$A$300,0))*$I1002/100,0))</f>
        <v>0</v>
      </c>
      <c r="N1002" s="30">
        <f>IF(OR($F1002="",$I1002=""),0,IFERROR(INDEX(Nutrition!$H$2:$H$300,MATCH($F1002,Nutrition!$A$2:$A$300,0))*$I1002/100,0))</f>
        <v>0</v>
      </c>
      <c r="O1002" s="30">
        <f>IF(OR($F1002="",$I1002=""),0,IFERROR(INDEX(Nutrition!$I$2:$I$300,MATCH($F1002,Nutrition!$A$2:$A$300,0))*$I1002/100,0))</f>
        <v>0</v>
      </c>
      <c r="P1002" s="30">
        <f>IF(OR($F1002="",$I1002=""),0,IFERROR(INDEX(Nutrition!$J$2:$J$300,MATCH($F1002,Nutrition!$A$2:$A$300,0))*$I1002/100,0))</f>
        <v>0</v>
      </c>
      <c r="Q1002" s="30">
        <f>IF(OR($F1002="",$I1002=""),0,IFERROR(INDEX(Nutrition!$K$2:$K$300,MATCH($F1002,Nutrition!$A$2:$A$300,0))*$I1002/100,0))</f>
        <v>0</v>
      </c>
      <c r="R1002" s="30">
        <f>IF(OR($F1002="",$I1002=""),0,IFERROR(INDEX(Nutrition!$L$2:$L$300,MATCH($F1002,Nutrition!$A$2:$A$300,0))*$I1002/100,0))</f>
        <v>0</v>
      </c>
      <c r="S1002" s="30">
        <f>IF(OR($F1002="",$I1002=""),0,IFERROR(INDEX(Nutrition!$M$2:$M$300,MATCH($F1002,Nutrition!$A$2:$A$300,0))*$I1002/100,0))</f>
        <v>0</v>
      </c>
    </row>
    <row r="1003" spans="1:19" ht="15" customHeight="1" x14ac:dyDescent="0.25">
      <c r="A1003" s="22" t="s">
        <v>2200</v>
      </c>
      <c r="B1003" s="33" t="str">
        <f>IFERROR(INDEX(Recipes!$B$2:$B$500,MATCH(A1003,Recipes!$A$2:$A$500,0)),"")</f>
        <v>Sunomono (Japanese Cucumber Salad)</v>
      </c>
      <c r="C1003" s="7" t="s">
        <v>2917</v>
      </c>
      <c r="D1003" s="34">
        <v>2</v>
      </c>
      <c r="E1003" s="22" t="s">
        <v>2753</v>
      </c>
      <c r="F1003" s="22"/>
      <c r="G1003" s="22" t="s">
        <v>2749</v>
      </c>
      <c r="H1003" s="7"/>
      <c r="I1003" s="35"/>
      <c r="J1003" s="30">
        <f>IF(OR($F1003="",$I1003=""),0,IFERROR(INDEX(Nutrition!$D$2:$D$300,MATCH($F1003,Nutrition!$A$2:$A$300,0))*$I1003/100,0))</f>
        <v>0</v>
      </c>
      <c r="K1003" s="30">
        <f>IF(OR($F1003="",$I1003=""),0,IFERROR(INDEX(Nutrition!$E$2:$E$300,MATCH($F1003,Nutrition!$A$2:$A$300,0))*$I1003/100,0))</f>
        <v>0</v>
      </c>
      <c r="L1003" s="30">
        <f>IF(OR($F1003="",$I1003=""),0,IFERROR(INDEX(Nutrition!$F$2:$F$300,MATCH($F1003,Nutrition!$A$2:$A$300,0))*$I1003/100,0))</f>
        <v>0</v>
      </c>
      <c r="M1003" s="30">
        <f>IF(OR($F1003="",$I1003=""),0,IFERROR(INDEX(Nutrition!$G$2:$G$300,MATCH($F1003,Nutrition!$A$2:$A$300,0))*$I1003/100,0))</f>
        <v>0</v>
      </c>
      <c r="N1003" s="30">
        <f>IF(OR($F1003="",$I1003=""),0,IFERROR(INDEX(Nutrition!$H$2:$H$300,MATCH($F1003,Nutrition!$A$2:$A$300,0))*$I1003/100,0))</f>
        <v>0</v>
      </c>
      <c r="O1003" s="30">
        <f>IF(OR($F1003="",$I1003=""),0,IFERROR(INDEX(Nutrition!$I$2:$I$300,MATCH($F1003,Nutrition!$A$2:$A$300,0))*$I1003/100,0))</f>
        <v>0</v>
      </c>
      <c r="P1003" s="30">
        <f>IF(OR($F1003="",$I1003=""),0,IFERROR(INDEX(Nutrition!$J$2:$J$300,MATCH($F1003,Nutrition!$A$2:$A$300,0))*$I1003/100,0))</f>
        <v>0</v>
      </c>
      <c r="Q1003" s="30">
        <f>IF(OR($F1003="",$I1003=""),0,IFERROR(INDEX(Nutrition!$K$2:$K$300,MATCH($F1003,Nutrition!$A$2:$A$300,0))*$I1003/100,0))</f>
        <v>0</v>
      </c>
      <c r="R1003" s="30">
        <f>IF(OR($F1003="",$I1003=""),0,IFERROR(INDEX(Nutrition!$L$2:$L$300,MATCH($F1003,Nutrition!$A$2:$A$300,0))*$I1003/100,0))</f>
        <v>0</v>
      </c>
      <c r="S1003" s="30">
        <f>IF(OR($F1003="",$I1003=""),0,IFERROR(INDEX(Nutrition!$M$2:$M$300,MATCH($F1003,Nutrition!$A$2:$A$300,0))*$I1003/100,0))</f>
        <v>0</v>
      </c>
    </row>
    <row r="1004" spans="1:19" ht="15" customHeight="1" x14ac:dyDescent="0.25">
      <c r="A1004" s="22" t="s">
        <v>2200</v>
      </c>
      <c r="B1004" s="33" t="str">
        <f>IFERROR(INDEX(Recipes!$B$2:$B$500,MATCH(A1004,Recipes!$A$2:$A$500,0)),"")</f>
        <v>Sunomono (Japanese Cucumber Salad)</v>
      </c>
      <c r="C1004" s="7" t="s">
        <v>2823</v>
      </c>
      <c r="D1004" s="34">
        <v>0.5</v>
      </c>
      <c r="E1004" s="22" t="s">
        <v>2759</v>
      </c>
      <c r="F1004" s="22"/>
      <c r="G1004" s="22" t="s">
        <v>2749</v>
      </c>
      <c r="H1004" s="7"/>
      <c r="I1004" s="35"/>
      <c r="J1004" s="30">
        <f>IF(OR($F1004="",$I1004=""),0,IFERROR(INDEX(Nutrition!$D$2:$D$300,MATCH($F1004,Nutrition!$A$2:$A$300,0))*$I1004/100,0))</f>
        <v>0</v>
      </c>
      <c r="K1004" s="30">
        <f>IF(OR($F1004="",$I1004=""),0,IFERROR(INDEX(Nutrition!$E$2:$E$300,MATCH($F1004,Nutrition!$A$2:$A$300,0))*$I1004/100,0))</f>
        <v>0</v>
      </c>
      <c r="L1004" s="30">
        <f>IF(OR($F1004="",$I1004=""),0,IFERROR(INDEX(Nutrition!$F$2:$F$300,MATCH($F1004,Nutrition!$A$2:$A$300,0))*$I1004/100,0))</f>
        <v>0</v>
      </c>
      <c r="M1004" s="30">
        <f>IF(OR($F1004="",$I1004=""),0,IFERROR(INDEX(Nutrition!$G$2:$G$300,MATCH($F1004,Nutrition!$A$2:$A$300,0))*$I1004/100,0))</f>
        <v>0</v>
      </c>
      <c r="N1004" s="30">
        <f>IF(OR($F1004="",$I1004=""),0,IFERROR(INDEX(Nutrition!$H$2:$H$300,MATCH($F1004,Nutrition!$A$2:$A$300,0))*$I1004/100,0))</f>
        <v>0</v>
      </c>
      <c r="O1004" s="30">
        <f>IF(OR($F1004="",$I1004=""),0,IFERROR(INDEX(Nutrition!$I$2:$I$300,MATCH($F1004,Nutrition!$A$2:$A$300,0))*$I1004/100,0))</f>
        <v>0</v>
      </c>
      <c r="P1004" s="30">
        <f>IF(OR($F1004="",$I1004=""),0,IFERROR(INDEX(Nutrition!$J$2:$J$300,MATCH($F1004,Nutrition!$A$2:$A$300,0))*$I1004/100,0))</f>
        <v>0</v>
      </c>
      <c r="Q1004" s="30">
        <f>IF(OR($F1004="",$I1004=""),0,IFERROR(INDEX(Nutrition!$K$2:$K$300,MATCH($F1004,Nutrition!$A$2:$A$300,0))*$I1004/100,0))</f>
        <v>0</v>
      </c>
      <c r="R1004" s="30">
        <f>IF(OR($F1004="",$I1004=""),0,IFERROR(INDEX(Nutrition!$L$2:$L$300,MATCH($F1004,Nutrition!$A$2:$A$300,0))*$I1004/100,0))</f>
        <v>0</v>
      </c>
      <c r="S1004" s="30">
        <f>IF(OR($F1004="",$I1004=""),0,IFERROR(INDEX(Nutrition!$M$2:$M$300,MATCH($F1004,Nutrition!$A$2:$A$300,0))*$I1004/100,0))</f>
        <v>0</v>
      </c>
    </row>
    <row r="1005" spans="1:19" ht="15" customHeight="1" x14ac:dyDescent="0.25">
      <c r="A1005" s="22" t="s">
        <v>2200</v>
      </c>
      <c r="B1005" s="33" t="str">
        <f>IFERROR(INDEX(Recipes!$B$2:$B$500,MATCH(A1005,Recipes!$A$2:$A$500,0)),"")</f>
        <v>Sunomono (Japanese Cucumber Salad)</v>
      </c>
      <c r="C1005" s="7" t="s">
        <v>2781</v>
      </c>
      <c r="D1005" s="34">
        <v>1.5</v>
      </c>
      <c r="E1005" s="22" t="s">
        <v>2759</v>
      </c>
      <c r="F1005" s="22"/>
      <c r="G1005" s="22" t="s">
        <v>2773</v>
      </c>
      <c r="H1005" s="7"/>
      <c r="I1005" s="35"/>
      <c r="J1005" s="30">
        <f>IF(OR($F1005="",$I1005=""),0,IFERROR(INDEX(Nutrition!$D$2:$D$300,MATCH($F1005,Nutrition!$A$2:$A$300,0))*$I1005/100,0))</f>
        <v>0</v>
      </c>
      <c r="K1005" s="30">
        <f>IF(OR($F1005="",$I1005=""),0,IFERROR(INDEX(Nutrition!$E$2:$E$300,MATCH($F1005,Nutrition!$A$2:$A$300,0))*$I1005/100,0))</f>
        <v>0</v>
      </c>
      <c r="L1005" s="30">
        <f>IF(OR($F1005="",$I1005=""),0,IFERROR(INDEX(Nutrition!$F$2:$F$300,MATCH($F1005,Nutrition!$A$2:$A$300,0))*$I1005/100,0))</f>
        <v>0</v>
      </c>
      <c r="M1005" s="30">
        <f>IF(OR($F1005="",$I1005=""),0,IFERROR(INDEX(Nutrition!$G$2:$G$300,MATCH($F1005,Nutrition!$A$2:$A$300,0))*$I1005/100,0))</f>
        <v>0</v>
      </c>
      <c r="N1005" s="30">
        <f>IF(OR($F1005="",$I1005=""),0,IFERROR(INDEX(Nutrition!$H$2:$H$300,MATCH($F1005,Nutrition!$A$2:$A$300,0))*$I1005/100,0))</f>
        <v>0</v>
      </c>
      <c r="O1005" s="30">
        <f>IF(OR($F1005="",$I1005=""),0,IFERROR(INDEX(Nutrition!$I$2:$I$300,MATCH($F1005,Nutrition!$A$2:$A$300,0))*$I1005/100,0))</f>
        <v>0</v>
      </c>
      <c r="P1005" s="30">
        <f>IF(OR($F1005="",$I1005=""),0,IFERROR(INDEX(Nutrition!$J$2:$J$300,MATCH($F1005,Nutrition!$A$2:$A$300,0))*$I1005/100,0))</f>
        <v>0</v>
      </c>
      <c r="Q1005" s="30">
        <f>IF(OR($F1005="",$I1005=""),0,IFERROR(INDEX(Nutrition!$K$2:$K$300,MATCH($F1005,Nutrition!$A$2:$A$300,0))*$I1005/100,0))</f>
        <v>0</v>
      </c>
      <c r="R1005" s="30">
        <f>IF(OR($F1005="",$I1005=""),0,IFERROR(INDEX(Nutrition!$L$2:$L$300,MATCH($F1005,Nutrition!$A$2:$A$300,0))*$I1005/100,0))</f>
        <v>0</v>
      </c>
      <c r="S1005" s="30">
        <f>IF(OR($F1005="",$I1005=""),0,IFERROR(INDEX(Nutrition!$M$2:$M$300,MATCH($F1005,Nutrition!$A$2:$A$300,0))*$I1005/100,0))</f>
        <v>0</v>
      </c>
    </row>
    <row r="1006" spans="1:19" ht="15" customHeight="1" x14ac:dyDescent="0.25">
      <c r="A1006" s="22" t="s">
        <v>2211</v>
      </c>
      <c r="B1006" s="33" t="str">
        <f>IFERROR(INDEX(Recipes!$B$2:$B$500,MATCH(A1006,Recipes!$A$2:$A$500,0)),"")</f>
        <v>Kachumber (Indian Chopped Salad)</v>
      </c>
      <c r="C1006" s="7" t="s">
        <v>523</v>
      </c>
      <c r="D1006" s="34">
        <v>0.5</v>
      </c>
      <c r="E1006" s="22" t="s">
        <v>2748</v>
      </c>
      <c r="F1006" s="22" t="s">
        <v>522</v>
      </c>
      <c r="G1006" s="22" t="s">
        <v>2755</v>
      </c>
      <c r="H1006" s="7" t="s">
        <v>2903</v>
      </c>
      <c r="I1006" s="35">
        <v>52</v>
      </c>
      <c r="J1006" s="30">
        <f>IF(OR($F1006="",$I1006=""),0,IFERROR(INDEX(Nutrition!$D$2:$D$300,MATCH($F1006,Nutrition!$A$2:$A$300,0))*$I1006/100,0))</f>
        <v>0.26</v>
      </c>
      <c r="K1006" s="30">
        <f>IF(OR($F1006="",$I1006=""),0,IFERROR(INDEX(Nutrition!$E$2:$E$300,MATCH($F1006,Nutrition!$A$2:$A$300,0))*$I1006/100,0))</f>
        <v>1.456</v>
      </c>
      <c r="L1006" s="30">
        <f>IF(OR($F1006="",$I1006=""),0,IFERROR(INDEX(Nutrition!$F$2:$F$300,MATCH($F1006,Nutrition!$A$2:$A$300,0))*$I1006/100,0))</f>
        <v>2.6</v>
      </c>
      <c r="M1006" s="30">
        <f>IF(OR($F1006="",$I1006=""),0,IFERROR(INDEX(Nutrition!$G$2:$G$300,MATCH($F1006,Nutrition!$A$2:$A$300,0))*$I1006/100,0))</f>
        <v>8.5279999999999987</v>
      </c>
      <c r="N1006" s="30">
        <f>IF(OR($F1006="",$I1006=""),0,IFERROR(INDEX(Nutrition!$H$2:$H$300,MATCH($F1006,Nutrition!$A$2:$A$300,0))*$I1006/100,0))</f>
        <v>3.64</v>
      </c>
      <c r="O1006" s="30">
        <f>IF(OR($F1006="",$I1006=""),0,IFERROR(INDEX(Nutrition!$I$2:$I$300,MATCH($F1006,Nutrition!$A$2:$A$300,0))*$I1006/100,0))</f>
        <v>76.44</v>
      </c>
      <c r="P1006" s="30">
        <f>IF(OR($F1006="",$I1006=""),0,IFERROR(INDEX(Nutrition!$J$2:$J$300,MATCH($F1006,Nutrition!$A$2:$A$300,0))*$I1006/100,0))</f>
        <v>1.5600000000000001E-2</v>
      </c>
      <c r="Q1006" s="30">
        <f>IF(OR($F1006="",$I1006=""),0,IFERROR(INDEX(Nutrition!$K$2:$K$300,MATCH($F1006,Nutrition!$A$2:$A$300,0))*$I1006/100,0))</f>
        <v>2.0799999999999999E-2</v>
      </c>
      <c r="R1006" s="30">
        <f>IF(OR($F1006="",$I1006=""),0,IFERROR(INDEX(Nutrition!$L$2:$L$300,MATCH($F1006,Nutrition!$A$2:$A$300,0))*$I1006/100,0))</f>
        <v>6.76</v>
      </c>
      <c r="S1006" s="30">
        <f>IF(OR($F1006="",$I1006=""),0,IFERROR(INDEX(Nutrition!$M$2:$M$300,MATCH($F1006,Nutrition!$A$2:$A$300,0))*$I1006/100,0))</f>
        <v>0.14560000000000003</v>
      </c>
    </row>
    <row r="1007" spans="1:19" ht="15" customHeight="1" x14ac:dyDescent="0.25">
      <c r="A1007" s="22" t="s">
        <v>2211</v>
      </c>
      <c r="B1007" s="33" t="str">
        <f>IFERROR(INDEX(Recipes!$B$2:$B$500,MATCH(A1007,Recipes!$A$2:$A$500,0)),"")</f>
        <v>Kachumber (Indian Chopped Salad)</v>
      </c>
      <c r="C1007" s="7" t="s">
        <v>446</v>
      </c>
      <c r="D1007" s="34">
        <v>1</v>
      </c>
      <c r="E1007" s="22" t="s">
        <v>2754</v>
      </c>
      <c r="F1007" s="22" t="s">
        <v>445</v>
      </c>
      <c r="G1007" s="22" t="s">
        <v>2755</v>
      </c>
      <c r="H1007" s="7" t="s">
        <v>2903</v>
      </c>
      <c r="I1007" s="35">
        <v>62</v>
      </c>
      <c r="J1007" s="30">
        <f>IF(OR($F1007="",$I1007=""),0,IFERROR(INDEX(Nutrition!$D$2:$D$300,MATCH($F1007,Nutrition!$A$2:$A$300,0))*$I1007/100,0))</f>
        <v>0.74399999999999988</v>
      </c>
      <c r="K1007" s="30">
        <f>IF(OR($F1007="",$I1007=""),0,IFERROR(INDEX(Nutrition!$E$2:$E$300,MATCH($F1007,Nutrition!$A$2:$A$300,0))*$I1007/100,0))</f>
        <v>8.4939999999999998</v>
      </c>
      <c r="L1007" s="30">
        <f>IF(OR($F1007="",$I1007=""),0,IFERROR(INDEX(Nutrition!$F$2:$F$300,MATCH($F1007,Nutrition!$A$2:$A$300,0))*$I1007/100,0))</f>
        <v>26.04</v>
      </c>
      <c r="M1007" s="30">
        <f>IF(OR($F1007="",$I1007=""),0,IFERROR(INDEX(Nutrition!$G$2:$G$300,MATCH($F1007,Nutrition!$A$2:$A$300,0))*$I1007/100,0))</f>
        <v>4.8979999999999997</v>
      </c>
      <c r="N1007" s="30">
        <f>IF(OR($F1007="",$I1007=""),0,IFERROR(INDEX(Nutrition!$H$2:$H$300,MATCH($F1007,Nutrition!$A$2:$A$300,0))*$I1007/100,0))</f>
        <v>9.3000000000000007</v>
      </c>
      <c r="O1007" s="30">
        <f>IF(OR($F1007="",$I1007=""),0,IFERROR(INDEX(Nutrition!$I$2:$I$300,MATCH($F1007,Nutrition!$A$2:$A$300,0))*$I1007/100,0))</f>
        <v>146.94</v>
      </c>
      <c r="P1007" s="30">
        <f>IF(OR($F1007="",$I1007=""),0,IFERROR(INDEX(Nutrition!$J$2:$J$300,MATCH($F1007,Nutrition!$A$2:$A$300,0))*$I1007/100,0))</f>
        <v>0.33480000000000004</v>
      </c>
      <c r="Q1007" s="30">
        <f>IF(OR($F1007="",$I1007=""),0,IFERROR(INDEX(Nutrition!$K$2:$K$300,MATCH($F1007,Nutrition!$A$2:$A$300,0))*$I1007/100,0))</f>
        <v>4.9599999999999998E-2</v>
      </c>
      <c r="R1007" s="30">
        <f>IF(OR($F1007="",$I1007=""),0,IFERROR(INDEX(Nutrition!$L$2:$L$300,MATCH($F1007,Nutrition!$A$2:$A$300,0))*$I1007/100,0))</f>
        <v>6.82</v>
      </c>
      <c r="S1007" s="30">
        <f>IF(OR($F1007="",$I1007=""),0,IFERROR(INDEX(Nutrition!$M$2:$M$300,MATCH($F1007,Nutrition!$A$2:$A$300,0))*$I1007/100,0))</f>
        <v>0.16740000000000002</v>
      </c>
    </row>
    <row r="1008" spans="1:19" ht="15" customHeight="1" x14ac:dyDescent="0.25">
      <c r="A1008" s="22" t="s">
        <v>2211</v>
      </c>
      <c r="B1008" s="33" t="str">
        <f>IFERROR(INDEX(Recipes!$B$2:$B$500,MATCH(A1008,Recipes!$A$2:$A$500,0)),"")</f>
        <v>Kachumber (Indian Chopped Salad)</v>
      </c>
      <c r="C1008" s="7" t="s">
        <v>529</v>
      </c>
      <c r="D1008" s="34">
        <v>0.25</v>
      </c>
      <c r="E1008" s="22" t="s">
        <v>2754</v>
      </c>
      <c r="F1008" s="22" t="s">
        <v>528</v>
      </c>
      <c r="G1008" s="22" t="s">
        <v>2755</v>
      </c>
      <c r="H1008" s="7" t="s">
        <v>2903</v>
      </c>
      <c r="I1008" s="35">
        <v>15</v>
      </c>
      <c r="J1008" s="30">
        <f>IF(OR($F1008="",$I1008=""),0,IFERROR(INDEX(Nutrition!$D$2:$D$300,MATCH($F1008,Nutrition!$A$2:$A$300,0))*$I1008/100,0))</f>
        <v>0.42</v>
      </c>
      <c r="K1008" s="30">
        <f>IF(OR($F1008="",$I1008=""),0,IFERROR(INDEX(Nutrition!$E$2:$E$300,MATCH($F1008,Nutrition!$A$2:$A$300,0))*$I1008/100,0))</f>
        <v>0.88500000000000001</v>
      </c>
      <c r="L1008" s="30">
        <f>IF(OR($F1008="",$I1008=""),0,IFERROR(INDEX(Nutrition!$F$2:$F$300,MATCH($F1008,Nutrition!$A$2:$A$300,0))*$I1008/100,0))</f>
        <v>125.25</v>
      </c>
      <c r="M1008" s="30">
        <f>IF(OR($F1008="",$I1008=""),0,IFERROR(INDEX(Nutrition!$G$2:$G$300,MATCH($F1008,Nutrition!$A$2:$A$300,0))*$I1008/100,0))</f>
        <v>1.98</v>
      </c>
      <c r="N1008" s="30">
        <f>IF(OR($F1008="",$I1008=""),0,IFERROR(INDEX(Nutrition!$H$2:$H$300,MATCH($F1008,Nutrition!$A$2:$A$300,0))*$I1008/100,0))</f>
        <v>2.85</v>
      </c>
      <c r="O1008" s="30">
        <f>IF(OR($F1008="",$I1008=""),0,IFERROR(INDEX(Nutrition!$I$2:$I$300,MATCH($F1008,Nutrition!$A$2:$A$300,0))*$I1008/100,0))</f>
        <v>48</v>
      </c>
      <c r="P1008" s="30">
        <f>IF(OR($F1008="",$I1008=""),0,IFERROR(INDEX(Nutrition!$J$2:$J$300,MATCH($F1008,Nutrition!$A$2:$A$300,0))*$I1008/100,0))</f>
        <v>9.9000000000000005E-2</v>
      </c>
      <c r="Q1008" s="30">
        <f>IF(OR($F1008="",$I1008=""),0,IFERROR(INDEX(Nutrition!$K$2:$K$300,MATCH($F1008,Nutrition!$A$2:$A$300,0))*$I1008/100,0))</f>
        <v>2.0700000000000003E-2</v>
      </c>
      <c r="R1008" s="30">
        <f>IF(OR($F1008="",$I1008=""),0,IFERROR(INDEX(Nutrition!$L$2:$L$300,MATCH($F1008,Nutrition!$A$2:$A$300,0))*$I1008/100,0))</f>
        <v>1.8</v>
      </c>
      <c r="S1008" s="30">
        <f>IF(OR($F1008="",$I1008=""),0,IFERROR(INDEX(Nutrition!$M$2:$M$300,MATCH($F1008,Nutrition!$A$2:$A$300,0))*$I1008/100,0))</f>
        <v>4.4999999999999998E-2</v>
      </c>
    </row>
    <row r="1009" spans="1:19" ht="15" customHeight="1" x14ac:dyDescent="0.25">
      <c r="A1009" s="22" t="s">
        <v>2211</v>
      </c>
      <c r="B1009" s="33" t="str">
        <f>IFERROR(INDEX(Recipes!$B$2:$B$500,MATCH(A1009,Recipes!$A$2:$A$500,0)),"")</f>
        <v>Kachumber (Indian Chopped Salad)</v>
      </c>
      <c r="C1009" s="7" t="s">
        <v>482</v>
      </c>
      <c r="D1009" s="34">
        <v>2</v>
      </c>
      <c r="E1009" s="22" t="s">
        <v>2753</v>
      </c>
      <c r="F1009" s="22" t="s">
        <v>481</v>
      </c>
      <c r="G1009" s="22" t="s">
        <v>2755</v>
      </c>
      <c r="H1009" s="7" t="s">
        <v>2903</v>
      </c>
      <c r="I1009" s="35">
        <v>30</v>
      </c>
      <c r="J1009" s="30">
        <f>IF(OR($F1009="",$I1009=""),0,IFERROR(INDEX(Nutrition!$D$2:$D$300,MATCH($F1009,Nutrition!$A$2:$A$300,0))*$I1009/100,0))</f>
        <v>0.51</v>
      </c>
      <c r="K1009" s="30">
        <f>IF(OR($F1009="",$I1009=""),0,IFERROR(INDEX(Nutrition!$E$2:$E$300,MATCH($F1009,Nutrition!$A$2:$A$300,0))*$I1009/100,0))</f>
        <v>2.2200000000000002</v>
      </c>
      <c r="L1009" s="30">
        <f>IF(OR($F1009="",$I1009=""),0,IFERROR(INDEX(Nutrition!$F$2:$F$300,MATCH($F1009,Nutrition!$A$2:$A$300,0))*$I1009/100,0))</f>
        <v>0</v>
      </c>
      <c r="M1009" s="30">
        <f>IF(OR($F1009="",$I1009=""),0,IFERROR(INDEX(Nutrition!$G$2:$G$300,MATCH($F1009,Nutrition!$A$2:$A$300,0))*$I1009/100,0))</f>
        <v>0.12</v>
      </c>
      <c r="N1009" s="30">
        <f>IF(OR($F1009="",$I1009=""),0,IFERROR(INDEX(Nutrition!$H$2:$H$300,MATCH($F1009,Nutrition!$A$2:$A$300,0))*$I1009/100,0))</f>
        <v>5.7</v>
      </c>
      <c r="O1009" s="30">
        <f>IF(OR($F1009="",$I1009=""),0,IFERROR(INDEX(Nutrition!$I$2:$I$300,MATCH($F1009,Nutrition!$A$2:$A$300,0))*$I1009/100,0))</f>
        <v>43.8</v>
      </c>
      <c r="P1009" s="30">
        <f>IF(OR($F1009="",$I1009=""),0,IFERROR(INDEX(Nutrition!$J$2:$J$300,MATCH($F1009,Nutrition!$A$2:$A$300,0))*$I1009/100,0))</f>
        <v>6.0000000000000001E-3</v>
      </c>
      <c r="Q1009" s="30">
        <f>IF(OR($F1009="",$I1009=""),0,IFERROR(INDEX(Nutrition!$K$2:$K$300,MATCH($F1009,Nutrition!$A$2:$A$300,0))*$I1009/100,0))</f>
        <v>3.5999999999999997E-2</v>
      </c>
      <c r="R1009" s="30">
        <f>IF(OR($F1009="",$I1009=""),0,IFERROR(INDEX(Nutrition!$L$2:$L$300,MATCH($F1009,Nutrition!$A$2:$A$300,0))*$I1009/100,0))</f>
        <v>3</v>
      </c>
      <c r="S1009" s="30">
        <f>IF(OR($F1009="",$I1009=""),0,IFERROR(INDEX(Nutrition!$M$2:$M$300,MATCH($F1009,Nutrition!$A$2:$A$300,0))*$I1009/100,0))</f>
        <v>6.3E-2</v>
      </c>
    </row>
    <row r="1010" spans="1:19" ht="15" customHeight="1" x14ac:dyDescent="0.25">
      <c r="A1010" s="22" t="s">
        <v>2211</v>
      </c>
      <c r="B1010" s="33" t="str">
        <f>IFERROR(INDEX(Recipes!$B$2:$B$500,MATCH(A1010,Recipes!$A$2:$A$500,0)),"")</f>
        <v>Kachumber (Indian Chopped Salad)</v>
      </c>
      <c r="C1010" s="7" t="s">
        <v>537</v>
      </c>
      <c r="D1010" s="34">
        <v>2</v>
      </c>
      <c r="E1010" s="22" t="s">
        <v>2753</v>
      </c>
      <c r="F1010" s="22" t="s">
        <v>536</v>
      </c>
      <c r="G1010" s="22" t="s">
        <v>2755</v>
      </c>
      <c r="H1010" s="7" t="s">
        <v>2903</v>
      </c>
      <c r="I1010" s="35">
        <v>30</v>
      </c>
      <c r="J1010" s="30">
        <f>IF(OR($F1010="",$I1010=""),0,IFERROR(INDEX(Nutrition!$D$2:$D$300,MATCH($F1010,Nutrition!$A$2:$A$300,0))*$I1010/100,0))</f>
        <v>0.75</v>
      </c>
      <c r="K1010" s="30">
        <f>IF(OR($F1010="",$I1010=""),0,IFERROR(INDEX(Nutrition!$E$2:$E$300,MATCH($F1010,Nutrition!$A$2:$A$300,0))*$I1010/100,0))</f>
        <v>10.98</v>
      </c>
      <c r="L1010" s="30">
        <f>IF(OR($F1010="",$I1010=""),0,IFERROR(INDEX(Nutrition!$F$2:$F$300,MATCH($F1010,Nutrition!$A$2:$A$300,0))*$I1010/100,0))</f>
        <v>1.5</v>
      </c>
      <c r="M1010" s="30">
        <f>IF(OR($F1010="",$I1010=""),0,IFERROR(INDEX(Nutrition!$G$2:$G$300,MATCH($F1010,Nutrition!$A$2:$A$300,0))*$I1010/100,0))</f>
        <v>22.8</v>
      </c>
      <c r="N1010" s="30">
        <f>IF(OR($F1010="",$I1010=""),0,IFERROR(INDEX(Nutrition!$H$2:$H$300,MATCH($F1010,Nutrition!$A$2:$A$300,0))*$I1010/100,0))</f>
        <v>12.9</v>
      </c>
      <c r="O1010" s="30">
        <f>IF(OR($F1010="",$I1010=""),0,IFERROR(INDEX(Nutrition!$I$2:$I$300,MATCH($F1010,Nutrition!$A$2:$A$300,0))*$I1010/100,0))</f>
        <v>51</v>
      </c>
      <c r="P1010" s="30">
        <f>IF(OR($F1010="",$I1010=""),0,IFERROR(INDEX(Nutrition!$J$2:$J$300,MATCH($F1010,Nutrition!$A$2:$A$300,0))*$I1010/100,0))</f>
        <v>4.4999999999999998E-2</v>
      </c>
      <c r="Q1010" s="30">
        <f>IF(OR($F1010="",$I1010=""),0,IFERROR(INDEX(Nutrition!$K$2:$K$300,MATCH($F1010,Nutrition!$A$2:$A$300,0))*$I1010/100,0))</f>
        <v>3.7199999999999997E-2</v>
      </c>
      <c r="R1010" s="30">
        <f>IF(OR($F1010="",$I1010=""),0,IFERROR(INDEX(Nutrition!$L$2:$L$300,MATCH($F1010,Nutrition!$A$2:$A$300,0))*$I1010/100,0))</f>
        <v>3.6</v>
      </c>
      <c r="S1010" s="30">
        <f>IF(OR($F1010="",$I1010=""),0,IFERROR(INDEX(Nutrition!$M$2:$M$300,MATCH($F1010,Nutrition!$A$2:$A$300,0))*$I1010/100,0))</f>
        <v>0.14099999999999999</v>
      </c>
    </row>
    <row r="1011" spans="1:19" ht="15" customHeight="1" x14ac:dyDescent="0.25">
      <c r="A1011" s="22" t="s">
        <v>2211</v>
      </c>
      <c r="B1011" s="33" t="str">
        <f>IFERROR(INDEX(Recipes!$B$2:$B$500,MATCH(A1011,Recipes!$A$2:$A$500,0)),"")</f>
        <v>Kachumber (Indian Chopped Salad)</v>
      </c>
      <c r="C1011" s="7" t="s">
        <v>668</v>
      </c>
      <c r="D1011" s="34">
        <v>1</v>
      </c>
      <c r="E1011" s="22" t="s">
        <v>2753</v>
      </c>
      <c r="F1011" s="22" t="s">
        <v>667</v>
      </c>
      <c r="G1011" s="22" t="s">
        <v>2755</v>
      </c>
      <c r="H1011" s="7" t="s">
        <v>2775</v>
      </c>
      <c r="I1011" s="35">
        <v>4</v>
      </c>
      <c r="J1011" s="30">
        <f>IF(OR($F1011="",$I1011=""),0,IFERROR(INDEX(Nutrition!$D$2:$D$300,MATCH($F1011,Nutrition!$A$2:$A$300,0))*$I1011/100,0))</f>
        <v>0.11199999999999999</v>
      </c>
      <c r="K1011" s="30">
        <f>IF(OR($F1011="",$I1011=""),0,IFERROR(INDEX(Nutrition!$E$2:$E$300,MATCH($F1011,Nutrition!$A$2:$A$300,0))*$I1011/100,0))</f>
        <v>1.08</v>
      </c>
      <c r="L1011" s="30">
        <f>IF(OR($F1011="",$I1011=""),0,IFERROR(INDEX(Nutrition!$F$2:$F$300,MATCH($F1011,Nutrition!$A$2:$A$300,0))*$I1011/100,0))</f>
        <v>13.48</v>
      </c>
      <c r="M1011" s="30">
        <f>IF(OR($F1011="",$I1011=""),0,IFERROR(INDEX(Nutrition!$G$2:$G$300,MATCH($F1011,Nutrition!$A$2:$A$300,0))*$I1011/100,0))</f>
        <v>12.4</v>
      </c>
      <c r="N1011" s="30">
        <f>IF(OR($F1011="",$I1011=""),0,IFERROR(INDEX(Nutrition!$H$2:$H$300,MATCH($F1011,Nutrition!$A$2:$A$300,0))*$I1011/100,0))</f>
        <v>2.48</v>
      </c>
      <c r="O1011" s="30">
        <f>IF(OR($F1011="",$I1011=""),0,IFERROR(INDEX(Nutrition!$I$2:$I$300,MATCH($F1011,Nutrition!$A$2:$A$300,0))*$I1011/100,0))</f>
        <v>20.84</v>
      </c>
      <c r="P1011" s="30">
        <f>IF(OR($F1011="",$I1011=""),0,IFERROR(INDEX(Nutrition!$J$2:$J$300,MATCH($F1011,Nutrition!$A$2:$A$300,0))*$I1011/100,0))</f>
        <v>0.1</v>
      </c>
      <c r="Q1011" s="30">
        <f>IF(OR($F1011="",$I1011=""),0,IFERROR(INDEX(Nutrition!$K$2:$K$300,MATCH($F1011,Nutrition!$A$2:$A$300,0))*$I1011/100,0))</f>
        <v>5.96E-3</v>
      </c>
      <c r="R1011" s="30">
        <f>IF(OR($F1011="",$I1011=""),0,IFERROR(INDEX(Nutrition!$L$2:$L$300,MATCH($F1011,Nutrition!$A$2:$A$300,0))*$I1011/100,0))</f>
        <v>1.04</v>
      </c>
      <c r="S1011" s="30">
        <f>IF(OR($F1011="",$I1011=""),0,IFERROR(INDEX(Nutrition!$M$2:$M$300,MATCH($F1011,Nutrition!$A$2:$A$300,0))*$I1011/100,0))</f>
        <v>7.0800000000000002E-2</v>
      </c>
    </row>
    <row r="1012" spans="1:19" ht="15" customHeight="1" x14ac:dyDescent="0.25">
      <c r="A1012" s="22" t="s">
        <v>2211</v>
      </c>
      <c r="B1012" s="33" t="str">
        <f>IFERROR(INDEX(Recipes!$B$2:$B$500,MATCH(A1012,Recipes!$A$2:$A$500,0)),"")</f>
        <v>Kachumber (Indian Chopped Salad)</v>
      </c>
      <c r="C1012" s="7" t="s">
        <v>478</v>
      </c>
      <c r="D1012" s="34">
        <v>1</v>
      </c>
      <c r="E1012" s="22" t="s">
        <v>2754</v>
      </c>
      <c r="F1012" s="22" t="s">
        <v>477</v>
      </c>
      <c r="G1012" s="22" t="s">
        <v>2755</v>
      </c>
      <c r="H1012" s="7" t="s">
        <v>2903</v>
      </c>
      <c r="I1012" s="35">
        <v>20</v>
      </c>
      <c r="J1012" s="30">
        <f>IF(OR($F1012="",$I1012=""),0,IFERROR(INDEX(Nutrition!$D$2:$D$300,MATCH($F1012,Nutrition!$A$2:$A$300,0))*$I1012/100,0))</f>
        <v>0.3</v>
      </c>
      <c r="K1012" s="30">
        <f>IF(OR($F1012="",$I1012=""),0,IFERROR(INDEX(Nutrition!$E$2:$E$300,MATCH($F1012,Nutrition!$A$2:$A$300,0))*$I1012/100,0))</f>
        <v>28.74</v>
      </c>
      <c r="L1012" s="30">
        <f>IF(OR($F1012="",$I1012=""),0,IFERROR(INDEX(Nutrition!$F$2:$F$300,MATCH($F1012,Nutrition!$A$2:$A$300,0))*$I1012/100,0))</f>
        <v>9.6</v>
      </c>
      <c r="M1012" s="30">
        <f>IF(OR($F1012="",$I1012=""),0,IFERROR(INDEX(Nutrition!$G$2:$G$300,MATCH($F1012,Nutrition!$A$2:$A$300,0))*$I1012/100,0))</f>
        <v>2.8</v>
      </c>
      <c r="N1012" s="30">
        <f>IF(OR($F1012="",$I1012=""),0,IFERROR(INDEX(Nutrition!$H$2:$H$300,MATCH($F1012,Nutrition!$A$2:$A$300,0))*$I1012/100,0))</f>
        <v>4.5999999999999996</v>
      </c>
      <c r="O1012" s="30">
        <f>IF(OR($F1012="",$I1012=""),0,IFERROR(INDEX(Nutrition!$I$2:$I$300,MATCH($F1012,Nutrition!$A$2:$A$300,0))*$I1012/100,0))</f>
        <v>64.400000000000006</v>
      </c>
      <c r="P1012" s="30">
        <f>IF(OR($F1012="",$I1012=""),0,IFERROR(INDEX(Nutrition!$J$2:$J$300,MATCH($F1012,Nutrition!$A$2:$A$300,0))*$I1012/100,0))</f>
        <v>0.13799999999999998</v>
      </c>
      <c r="Q1012" s="30">
        <f>IF(OR($F1012="",$I1012=""),0,IFERROR(INDEX(Nutrition!$K$2:$K$300,MATCH($F1012,Nutrition!$A$2:$A$300,0))*$I1012/100,0))</f>
        <v>0.10120000000000001</v>
      </c>
      <c r="R1012" s="30">
        <f>IF(OR($F1012="",$I1012=""),0,IFERROR(INDEX(Nutrition!$L$2:$L$300,MATCH($F1012,Nutrition!$A$2:$A$300,0))*$I1012/100,0))</f>
        <v>4.5999999999999996</v>
      </c>
      <c r="S1012" s="30">
        <f>IF(OR($F1012="",$I1012=""),0,IFERROR(INDEX(Nutrition!$M$2:$M$300,MATCH($F1012,Nutrition!$A$2:$A$300,0))*$I1012/100,0))</f>
        <v>0.20600000000000002</v>
      </c>
    </row>
    <row r="1013" spans="1:19" ht="15" customHeight="1" x14ac:dyDescent="0.25">
      <c r="A1013" s="22" t="s">
        <v>2211</v>
      </c>
      <c r="B1013" s="33" t="str">
        <f>IFERROR(INDEX(Recipes!$B$2:$B$500,MATCH(A1013,Recipes!$A$2:$A$500,0)),"")</f>
        <v>Kachumber (Indian Chopped Salad)</v>
      </c>
      <c r="C1013" s="7" t="s">
        <v>663</v>
      </c>
      <c r="D1013" s="34">
        <v>4</v>
      </c>
      <c r="E1013" s="22" t="s">
        <v>2840</v>
      </c>
      <c r="F1013" s="22" t="s">
        <v>662</v>
      </c>
      <c r="G1013" s="22" t="s">
        <v>2755</v>
      </c>
      <c r="H1013" s="7"/>
      <c r="I1013" s="35">
        <v>4</v>
      </c>
      <c r="J1013" s="30">
        <f>IF(OR($F1013="",$I1013=""),0,IFERROR(INDEX(Nutrition!$D$2:$D$300,MATCH($F1013,Nutrition!$A$2:$A$300,0))*$I1013/100,0))</f>
        <v>0.27200000000000002</v>
      </c>
      <c r="K1013" s="30">
        <f>IF(OR($F1013="",$I1013=""),0,IFERROR(INDEX(Nutrition!$E$2:$E$300,MATCH($F1013,Nutrition!$A$2:$A$300,0))*$I1013/100,0))</f>
        <v>0.53200000000000003</v>
      </c>
      <c r="L1013" s="30">
        <f>IF(OR($F1013="",$I1013=""),0,IFERROR(INDEX(Nutrition!$F$2:$F$300,MATCH($F1013,Nutrition!$A$2:$A$300,0))*$I1013/100,0))</f>
        <v>8.1199999999999992</v>
      </c>
      <c r="M1013" s="30">
        <f>IF(OR($F1013="",$I1013=""),0,IFERROR(INDEX(Nutrition!$G$2:$G$300,MATCH($F1013,Nutrition!$A$2:$A$300,0))*$I1013/100,0))</f>
        <v>0</v>
      </c>
      <c r="N1013" s="30">
        <f>IF(OR($F1013="",$I1013=""),0,IFERROR(INDEX(Nutrition!$H$2:$H$300,MATCH($F1013,Nutrition!$A$2:$A$300,0))*$I1013/100,0))</f>
        <v>4.2</v>
      </c>
      <c r="O1013" s="30">
        <f>IF(OR($F1013="",$I1013=""),0,IFERROR(INDEX(Nutrition!$I$2:$I$300,MATCH($F1013,Nutrition!$A$2:$A$300,0))*$I1013/100,0))</f>
        <v>18.32</v>
      </c>
      <c r="P1013" s="30">
        <f>IF(OR($F1013="",$I1013=""),0,IFERROR(INDEX(Nutrition!$J$2:$J$300,MATCH($F1013,Nutrition!$A$2:$A$300,0))*$I1013/100,0))</f>
        <v>0</v>
      </c>
      <c r="Q1013" s="30">
        <f>IF(OR($F1013="",$I1013=""),0,IFERROR(INDEX(Nutrition!$K$2:$K$300,MATCH($F1013,Nutrition!$A$2:$A$300,0))*$I1013/100,0))</f>
        <v>6.3200000000000001E-3</v>
      </c>
      <c r="R1013" s="30">
        <f>IF(OR($F1013="",$I1013=""),0,IFERROR(INDEX(Nutrition!$L$2:$L$300,MATCH($F1013,Nutrition!$A$2:$A$300,0))*$I1013/100,0))</f>
        <v>2.52</v>
      </c>
      <c r="S1013" s="30">
        <f>IF(OR($F1013="",$I1013=""),0,IFERROR(INDEX(Nutrition!$M$2:$M$300,MATCH($F1013,Nutrition!$A$2:$A$300,0))*$I1013/100,0))</f>
        <v>0.47479999999999994</v>
      </c>
    </row>
    <row r="1014" spans="1:19" ht="15" customHeight="1" x14ac:dyDescent="0.25">
      <c r="A1014" s="22" t="s">
        <v>2211</v>
      </c>
      <c r="B1014" s="33" t="str">
        <f>IFERROR(INDEX(Recipes!$B$2:$B$500,MATCH(A1014,Recipes!$A$2:$A$500,0)),"")</f>
        <v>Kachumber (Indian Chopped Salad)</v>
      </c>
      <c r="C1014" s="7" t="s">
        <v>206</v>
      </c>
      <c r="D1014" s="34">
        <v>1</v>
      </c>
      <c r="E1014" s="22" t="s">
        <v>2753</v>
      </c>
      <c r="F1014" s="22" t="s">
        <v>205</v>
      </c>
      <c r="G1014" s="22" t="s">
        <v>2755</v>
      </c>
      <c r="H1014" s="7" t="s">
        <v>2912</v>
      </c>
      <c r="I1014" s="35">
        <v>15</v>
      </c>
      <c r="J1014" s="30">
        <f>IF(OR($F1014="",$I1014=""),0,IFERROR(INDEX(Nutrition!$D$2:$D$300,MATCH($F1014,Nutrition!$A$2:$A$300,0))*$I1014/100,0))</f>
        <v>0.42</v>
      </c>
      <c r="K1014" s="30">
        <f>IF(OR($F1014="",$I1014=""),0,IFERROR(INDEX(Nutrition!$E$2:$E$300,MATCH($F1014,Nutrition!$A$2:$A$300,0))*$I1014/100,0))</f>
        <v>7.95</v>
      </c>
      <c r="L1014" s="30">
        <f>IF(OR($F1014="",$I1014=""),0,IFERROR(INDEX(Nutrition!$F$2:$F$300,MATCH($F1014,Nutrition!$A$2:$A$300,0))*$I1014/100,0))</f>
        <v>0.15</v>
      </c>
      <c r="M1014" s="30">
        <f>IF(OR($F1014="",$I1014=""),0,IFERROR(INDEX(Nutrition!$G$2:$G$300,MATCH($F1014,Nutrition!$A$2:$A$300,0))*$I1014/100,0))</f>
        <v>0</v>
      </c>
      <c r="N1014" s="30">
        <f>IF(OR($F1014="",$I1014=""),0,IFERROR(INDEX(Nutrition!$H$2:$H$300,MATCH($F1014,Nutrition!$A$2:$A$300,0))*$I1014/100,0))</f>
        <v>1.65</v>
      </c>
      <c r="O1014" s="30">
        <f>IF(OR($F1014="",$I1014=""),0,IFERROR(INDEX(Nutrition!$I$2:$I$300,MATCH($F1014,Nutrition!$A$2:$A$300,0))*$I1014/100,0))</f>
        <v>20.7</v>
      </c>
      <c r="P1014" s="30">
        <f>IF(OR($F1014="",$I1014=""),0,IFERROR(INDEX(Nutrition!$J$2:$J$300,MATCH($F1014,Nutrition!$A$2:$A$300,0))*$I1014/100,0))</f>
        <v>2.2499999999999999E-2</v>
      </c>
      <c r="Q1014" s="30">
        <f>IF(OR($F1014="",$I1014=""),0,IFERROR(INDEX(Nutrition!$K$2:$K$300,MATCH($F1014,Nutrition!$A$2:$A$300,0))*$I1014/100,0))</f>
        <v>1.2E-2</v>
      </c>
      <c r="R1014" s="30">
        <f>IF(OR($F1014="",$I1014=""),0,IFERROR(INDEX(Nutrition!$L$2:$L$300,MATCH($F1014,Nutrition!$A$2:$A$300,0))*$I1014/100,0))</f>
        <v>1.2</v>
      </c>
      <c r="S1014" s="30">
        <f>IF(OR($F1014="",$I1014=""),0,IFERROR(INDEX(Nutrition!$M$2:$M$300,MATCH($F1014,Nutrition!$A$2:$A$300,0))*$I1014/100,0))</f>
        <v>0.09</v>
      </c>
    </row>
    <row r="1015" spans="1:19" ht="15" customHeight="1" x14ac:dyDescent="0.25">
      <c r="A1015" s="22" t="s">
        <v>2211</v>
      </c>
      <c r="B1015" s="33" t="str">
        <f>IFERROR(INDEX(Recipes!$B$2:$B$500,MATCH(A1015,Recipes!$A$2:$A$500,0)),"")</f>
        <v>Kachumber (Indian Chopped Salad)</v>
      </c>
      <c r="C1015" s="7" t="s">
        <v>2839</v>
      </c>
      <c r="D1015" s="34">
        <v>0.25</v>
      </c>
      <c r="E1015" s="22" t="s">
        <v>2759</v>
      </c>
      <c r="F1015" s="22"/>
      <c r="G1015" s="22" t="s">
        <v>2749</v>
      </c>
      <c r="H1015" s="7"/>
      <c r="I1015" s="35"/>
      <c r="J1015" s="30">
        <f>IF(OR($F1015="",$I1015=""),0,IFERROR(INDEX(Nutrition!$D$2:$D$300,MATCH($F1015,Nutrition!$A$2:$A$300,0))*$I1015/100,0))</f>
        <v>0</v>
      </c>
      <c r="K1015" s="30">
        <f>IF(OR($F1015="",$I1015=""),0,IFERROR(INDEX(Nutrition!$E$2:$E$300,MATCH($F1015,Nutrition!$A$2:$A$300,0))*$I1015/100,0))</f>
        <v>0</v>
      </c>
      <c r="L1015" s="30">
        <f>IF(OR($F1015="",$I1015=""),0,IFERROR(INDEX(Nutrition!$F$2:$F$300,MATCH($F1015,Nutrition!$A$2:$A$300,0))*$I1015/100,0))</f>
        <v>0</v>
      </c>
      <c r="M1015" s="30">
        <f>IF(OR($F1015="",$I1015=""),0,IFERROR(INDEX(Nutrition!$G$2:$G$300,MATCH($F1015,Nutrition!$A$2:$A$300,0))*$I1015/100,0))</f>
        <v>0</v>
      </c>
      <c r="N1015" s="30">
        <f>IF(OR($F1015="",$I1015=""),0,IFERROR(INDEX(Nutrition!$H$2:$H$300,MATCH($F1015,Nutrition!$A$2:$A$300,0))*$I1015/100,0))</f>
        <v>0</v>
      </c>
      <c r="O1015" s="30">
        <f>IF(OR($F1015="",$I1015=""),0,IFERROR(INDEX(Nutrition!$I$2:$I$300,MATCH($F1015,Nutrition!$A$2:$A$300,0))*$I1015/100,0))</f>
        <v>0</v>
      </c>
      <c r="P1015" s="30">
        <f>IF(OR($F1015="",$I1015=""),0,IFERROR(INDEX(Nutrition!$J$2:$J$300,MATCH($F1015,Nutrition!$A$2:$A$300,0))*$I1015/100,0))</f>
        <v>0</v>
      </c>
      <c r="Q1015" s="30">
        <f>IF(OR($F1015="",$I1015=""),0,IFERROR(INDEX(Nutrition!$K$2:$K$300,MATCH($F1015,Nutrition!$A$2:$A$300,0))*$I1015/100,0))</f>
        <v>0</v>
      </c>
      <c r="R1015" s="30">
        <f>IF(OR($F1015="",$I1015=""),0,IFERROR(INDEX(Nutrition!$L$2:$L$300,MATCH($F1015,Nutrition!$A$2:$A$300,0))*$I1015/100,0))</f>
        <v>0</v>
      </c>
      <c r="S1015" s="30">
        <f>IF(OR($F1015="",$I1015=""),0,IFERROR(INDEX(Nutrition!$M$2:$M$300,MATCH($F1015,Nutrition!$A$2:$A$300,0))*$I1015/100,0))</f>
        <v>0</v>
      </c>
    </row>
    <row r="1016" spans="1:19" ht="15" customHeight="1" x14ac:dyDescent="0.25">
      <c r="A1016" s="22" t="s">
        <v>2211</v>
      </c>
      <c r="B1016" s="33" t="str">
        <f>IFERROR(INDEX(Recipes!$B$2:$B$500,MATCH(A1016,Recipes!$A$2:$A$500,0)),"")</f>
        <v>Kachumber (Indian Chopped Salad)</v>
      </c>
      <c r="C1016" s="7" t="s">
        <v>2906</v>
      </c>
      <c r="D1016" s="34">
        <v>0.25</v>
      </c>
      <c r="E1016" s="22" t="s">
        <v>2759</v>
      </c>
      <c r="F1016" s="22"/>
      <c r="G1016" s="22" t="s">
        <v>2773</v>
      </c>
      <c r="H1016" s="7"/>
      <c r="I1016" s="35"/>
      <c r="J1016" s="30">
        <f>IF(OR($F1016="",$I1016=""),0,IFERROR(INDEX(Nutrition!$D$2:$D$300,MATCH($F1016,Nutrition!$A$2:$A$300,0))*$I1016/100,0))</f>
        <v>0</v>
      </c>
      <c r="K1016" s="30">
        <f>IF(OR($F1016="",$I1016=""),0,IFERROR(INDEX(Nutrition!$E$2:$E$300,MATCH($F1016,Nutrition!$A$2:$A$300,0))*$I1016/100,0))</f>
        <v>0</v>
      </c>
      <c r="L1016" s="30">
        <f>IF(OR($F1016="",$I1016=""),0,IFERROR(INDEX(Nutrition!$F$2:$F$300,MATCH($F1016,Nutrition!$A$2:$A$300,0))*$I1016/100,0))</f>
        <v>0</v>
      </c>
      <c r="M1016" s="30">
        <f>IF(OR($F1016="",$I1016=""),0,IFERROR(INDEX(Nutrition!$G$2:$G$300,MATCH($F1016,Nutrition!$A$2:$A$300,0))*$I1016/100,0))</f>
        <v>0</v>
      </c>
      <c r="N1016" s="30">
        <f>IF(OR($F1016="",$I1016=""),0,IFERROR(INDEX(Nutrition!$H$2:$H$300,MATCH($F1016,Nutrition!$A$2:$A$300,0))*$I1016/100,0))</f>
        <v>0</v>
      </c>
      <c r="O1016" s="30">
        <f>IF(OR($F1016="",$I1016=""),0,IFERROR(INDEX(Nutrition!$I$2:$I$300,MATCH($F1016,Nutrition!$A$2:$A$300,0))*$I1016/100,0))</f>
        <v>0</v>
      </c>
      <c r="P1016" s="30">
        <f>IF(OR($F1016="",$I1016=""),0,IFERROR(INDEX(Nutrition!$J$2:$J$300,MATCH($F1016,Nutrition!$A$2:$A$300,0))*$I1016/100,0))</f>
        <v>0</v>
      </c>
      <c r="Q1016" s="30">
        <f>IF(OR($F1016="",$I1016=""),0,IFERROR(INDEX(Nutrition!$K$2:$K$300,MATCH($F1016,Nutrition!$A$2:$A$300,0))*$I1016/100,0))</f>
        <v>0</v>
      </c>
      <c r="R1016" s="30">
        <f>IF(OR($F1016="",$I1016=""),0,IFERROR(INDEX(Nutrition!$L$2:$L$300,MATCH($F1016,Nutrition!$A$2:$A$300,0))*$I1016/100,0))</f>
        <v>0</v>
      </c>
      <c r="S1016" s="30">
        <f>IF(OR($F1016="",$I1016=""),0,IFERROR(INDEX(Nutrition!$M$2:$M$300,MATCH($F1016,Nutrition!$A$2:$A$300,0))*$I1016/100,0))</f>
        <v>0</v>
      </c>
    </row>
    <row r="1017" spans="1:19" ht="15" customHeight="1" x14ac:dyDescent="0.25">
      <c r="A1017" s="22" t="s">
        <v>2222</v>
      </c>
      <c r="B1017" s="33" t="str">
        <f>IFERROR(INDEX(Recipes!$B$2:$B$500,MATCH(A1017,Recipes!$A$2:$A$500,0)),"")</f>
        <v>Shepherd's Salad (Çoban Salatası)</v>
      </c>
      <c r="C1017" s="7" t="s">
        <v>446</v>
      </c>
      <c r="D1017" s="34">
        <v>3</v>
      </c>
      <c r="E1017" s="22" t="s">
        <v>2754</v>
      </c>
      <c r="F1017" s="22" t="s">
        <v>445</v>
      </c>
      <c r="G1017" s="22" t="s">
        <v>2755</v>
      </c>
      <c r="H1017" s="7" t="s">
        <v>3017</v>
      </c>
      <c r="I1017" s="35">
        <v>186</v>
      </c>
      <c r="J1017" s="30">
        <f>IF(OR($F1017="",$I1017=""),0,IFERROR(INDEX(Nutrition!$D$2:$D$300,MATCH($F1017,Nutrition!$A$2:$A$300,0))*$I1017/100,0))</f>
        <v>2.2319999999999998</v>
      </c>
      <c r="K1017" s="30">
        <f>IF(OR($F1017="",$I1017=""),0,IFERROR(INDEX(Nutrition!$E$2:$E$300,MATCH($F1017,Nutrition!$A$2:$A$300,0))*$I1017/100,0))</f>
        <v>25.481999999999999</v>
      </c>
      <c r="L1017" s="30">
        <f>IF(OR($F1017="",$I1017=""),0,IFERROR(INDEX(Nutrition!$F$2:$F$300,MATCH($F1017,Nutrition!$A$2:$A$300,0))*$I1017/100,0))</f>
        <v>78.12</v>
      </c>
      <c r="M1017" s="30">
        <f>IF(OR($F1017="",$I1017=""),0,IFERROR(INDEX(Nutrition!$G$2:$G$300,MATCH($F1017,Nutrition!$A$2:$A$300,0))*$I1017/100,0))</f>
        <v>14.694000000000001</v>
      </c>
      <c r="N1017" s="30">
        <f>IF(OR($F1017="",$I1017=""),0,IFERROR(INDEX(Nutrition!$H$2:$H$300,MATCH($F1017,Nutrition!$A$2:$A$300,0))*$I1017/100,0))</f>
        <v>27.9</v>
      </c>
      <c r="O1017" s="30">
        <f>IF(OR($F1017="",$I1017=""),0,IFERROR(INDEX(Nutrition!$I$2:$I$300,MATCH($F1017,Nutrition!$A$2:$A$300,0))*$I1017/100,0))</f>
        <v>440.82</v>
      </c>
      <c r="P1017" s="30">
        <f>IF(OR($F1017="",$I1017=""),0,IFERROR(INDEX(Nutrition!$J$2:$J$300,MATCH($F1017,Nutrition!$A$2:$A$300,0))*$I1017/100,0))</f>
        <v>1.0044000000000002</v>
      </c>
      <c r="Q1017" s="30">
        <f>IF(OR($F1017="",$I1017=""),0,IFERROR(INDEX(Nutrition!$K$2:$K$300,MATCH($F1017,Nutrition!$A$2:$A$300,0))*$I1017/100,0))</f>
        <v>0.14880000000000002</v>
      </c>
      <c r="R1017" s="30">
        <f>IF(OR($F1017="",$I1017=""),0,IFERROR(INDEX(Nutrition!$L$2:$L$300,MATCH($F1017,Nutrition!$A$2:$A$300,0))*$I1017/100,0))</f>
        <v>20.46</v>
      </c>
      <c r="S1017" s="30">
        <f>IF(OR($F1017="",$I1017=""),0,IFERROR(INDEX(Nutrition!$M$2:$M$300,MATCH($F1017,Nutrition!$A$2:$A$300,0))*$I1017/100,0))</f>
        <v>0.50220000000000009</v>
      </c>
    </row>
    <row r="1018" spans="1:19" ht="15" customHeight="1" x14ac:dyDescent="0.25">
      <c r="A1018" s="22" t="s">
        <v>2222</v>
      </c>
      <c r="B1018" s="33" t="str">
        <f>IFERROR(INDEX(Recipes!$B$2:$B$500,MATCH(A1018,Recipes!$A$2:$A$500,0)),"")</f>
        <v>Shepherd's Salad (Çoban Salatası)</v>
      </c>
      <c r="C1018" s="7" t="s">
        <v>523</v>
      </c>
      <c r="D1018" s="34">
        <v>0.5</v>
      </c>
      <c r="E1018" s="22" t="s">
        <v>2754</v>
      </c>
      <c r="F1018" s="22" t="s">
        <v>522</v>
      </c>
      <c r="G1018" s="22" t="s">
        <v>2755</v>
      </c>
      <c r="H1018" s="7" t="s">
        <v>3018</v>
      </c>
      <c r="I1018" s="35">
        <v>150</v>
      </c>
      <c r="J1018" s="30">
        <f>IF(OR($F1018="",$I1018=""),0,IFERROR(INDEX(Nutrition!$D$2:$D$300,MATCH($F1018,Nutrition!$A$2:$A$300,0))*$I1018/100,0))</f>
        <v>0.75</v>
      </c>
      <c r="K1018" s="30">
        <f>IF(OR($F1018="",$I1018=""),0,IFERROR(INDEX(Nutrition!$E$2:$E$300,MATCH($F1018,Nutrition!$A$2:$A$300,0))*$I1018/100,0))</f>
        <v>4.2</v>
      </c>
      <c r="L1018" s="30">
        <f>IF(OR($F1018="",$I1018=""),0,IFERROR(INDEX(Nutrition!$F$2:$F$300,MATCH($F1018,Nutrition!$A$2:$A$300,0))*$I1018/100,0))</f>
        <v>7.5</v>
      </c>
      <c r="M1018" s="30">
        <f>IF(OR($F1018="",$I1018=""),0,IFERROR(INDEX(Nutrition!$G$2:$G$300,MATCH($F1018,Nutrition!$A$2:$A$300,0))*$I1018/100,0))</f>
        <v>24.6</v>
      </c>
      <c r="N1018" s="30">
        <f>IF(OR($F1018="",$I1018=""),0,IFERROR(INDEX(Nutrition!$H$2:$H$300,MATCH($F1018,Nutrition!$A$2:$A$300,0))*$I1018/100,0))</f>
        <v>10.5</v>
      </c>
      <c r="O1018" s="30">
        <f>IF(OR($F1018="",$I1018=""),0,IFERROR(INDEX(Nutrition!$I$2:$I$300,MATCH($F1018,Nutrition!$A$2:$A$300,0))*$I1018/100,0))</f>
        <v>220.5</v>
      </c>
      <c r="P1018" s="30">
        <f>IF(OR($F1018="",$I1018=""),0,IFERROR(INDEX(Nutrition!$J$2:$J$300,MATCH($F1018,Nutrition!$A$2:$A$300,0))*$I1018/100,0))</f>
        <v>4.4999999999999998E-2</v>
      </c>
      <c r="Q1018" s="30">
        <f>IF(OR($F1018="",$I1018=""),0,IFERROR(INDEX(Nutrition!$K$2:$K$300,MATCH($F1018,Nutrition!$A$2:$A$300,0))*$I1018/100,0))</f>
        <v>0.06</v>
      </c>
      <c r="R1018" s="30">
        <f>IF(OR($F1018="",$I1018=""),0,IFERROR(INDEX(Nutrition!$L$2:$L$300,MATCH($F1018,Nutrition!$A$2:$A$300,0))*$I1018/100,0))</f>
        <v>19.5</v>
      </c>
      <c r="S1018" s="30">
        <f>IF(OR($F1018="",$I1018=""),0,IFERROR(INDEX(Nutrition!$M$2:$M$300,MATCH($F1018,Nutrition!$A$2:$A$300,0))*$I1018/100,0))</f>
        <v>0.4200000000000001</v>
      </c>
    </row>
    <row r="1019" spans="1:19" ht="15" customHeight="1" x14ac:dyDescent="0.25">
      <c r="A1019" s="22" t="s">
        <v>2222</v>
      </c>
      <c r="B1019" s="33" t="str">
        <f>IFERROR(INDEX(Recipes!$B$2:$B$500,MATCH(A1019,Recipes!$A$2:$A$500,0)),"")</f>
        <v>Shepherd's Salad (Çoban Salatası)</v>
      </c>
      <c r="C1019" s="7" t="s">
        <v>490</v>
      </c>
      <c r="D1019" s="34">
        <v>3</v>
      </c>
      <c r="E1019" s="22" t="s">
        <v>2820</v>
      </c>
      <c r="F1019" s="22" t="s">
        <v>489</v>
      </c>
      <c r="G1019" s="22" t="s">
        <v>2755</v>
      </c>
      <c r="H1019" s="7" t="s">
        <v>2903</v>
      </c>
      <c r="I1019" s="35">
        <v>45</v>
      </c>
      <c r="J1019" s="30">
        <f>IF(OR($F1019="",$I1019=""),0,IFERROR(INDEX(Nutrition!$D$2:$D$300,MATCH($F1019,Nutrition!$A$2:$A$300,0))*$I1019/100,0))</f>
        <v>1.17</v>
      </c>
      <c r="K1019" s="30">
        <f>IF(OR($F1019="",$I1019=""),0,IFERROR(INDEX(Nutrition!$E$2:$E$300,MATCH($F1019,Nutrition!$A$2:$A$300,0))*$I1019/100,0))</f>
        <v>8.4600000000000009</v>
      </c>
      <c r="L1019" s="30">
        <f>IF(OR($F1019="",$I1019=""),0,IFERROR(INDEX(Nutrition!$F$2:$F$300,MATCH($F1019,Nutrition!$A$2:$A$300,0))*$I1019/100,0))</f>
        <v>22.5</v>
      </c>
      <c r="M1019" s="30">
        <f>IF(OR($F1019="",$I1019=""),0,IFERROR(INDEX(Nutrition!$G$2:$G$300,MATCH($F1019,Nutrition!$A$2:$A$300,0))*$I1019/100,0))</f>
        <v>93.15</v>
      </c>
      <c r="N1019" s="30">
        <f>IF(OR($F1019="",$I1019=""),0,IFERROR(INDEX(Nutrition!$H$2:$H$300,MATCH($F1019,Nutrition!$A$2:$A$300,0))*$I1019/100,0))</f>
        <v>28.8</v>
      </c>
      <c r="O1019" s="30">
        <f>IF(OR($F1019="",$I1019=""),0,IFERROR(INDEX(Nutrition!$I$2:$I$300,MATCH($F1019,Nutrition!$A$2:$A$300,0))*$I1019/100,0))</f>
        <v>124.2</v>
      </c>
      <c r="P1019" s="30">
        <f>IF(OR($F1019="",$I1019=""),0,IFERROR(INDEX(Nutrition!$J$2:$J$300,MATCH($F1019,Nutrition!$A$2:$A$300,0))*$I1019/100,0))</f>
        <v>0.24750000000000003</v>
      </c>
      <c r="Q1019" s="30">
        <f>IF(OR($F1019="",$I1019=""),0,IFERROR(INDEX(Nutrition!$K$2:$K$300,MATCH($F1019,Nutrition!$A$2:$A$300,0))*$I1019/100,0))</f>
        <v>2.7450000000000002E-2</v>
      </c>
      <c r="R1019" s="30">
        <f>IF(OR($F1019="",$I1019=""),0,IFERROR(INDEX(Nutrition!$L$2:$L$300,MATCH($F1019,Nutrition!$A$2:$A$300,0))*$I1019/100,0))</f>
        <v>9</v>
      </c>
      <c r="S1019" s="30">
        <f>IF(OR($F1019="",$I1019=""),0,IFERROR(INDEX(Nutrition!$M$2:$M$300,MATCH($F1019,Nutrition!$A$2:$A$300,0))*$I1019/100,0))</f>
        <v>0.66599999999999993</v>
      </c>
    </row>
    <row r="1020" spans="1:19" ht="15" customHeight="1" x14ac:dyDescent="0.25">
      <c r="A1020" s="22" t="s">
        <v>2222</v>
      </c>
      <c r="B1020" s="33" t="str">
        <f>IFERROR(INDEX(Recipes!$B$2:$B$500,MATCH(A1020,Recipes!$A$2:$A$500,0)),"")</f>
        <v>Shepherd's Salad (Çoban Salatası)</v>
      </c>
      <c r="C1020" s="7" t="s">
        <v>671</v>
      </c>
      <c r="D1020" s="34">
        <v>1</v>
      </c>
      <c r="E1020" s="22" t="s">
        <v>2809</v>
      </c>
      <c r="F1020" s="22" t="s">
        <v>670</v>
      </c>
      <c r="G1020" s="22" t="s">
        <v>2755</v>
      </c>
      <c r="H1020" s="7" t="s">
        <v>3019</v>
      </c>
      <c r="I1020" s="35">
        <v>30</v>
      </c>
      <c r="J1020" s="30">
        <f>IF(OR($F1020="",$I1020=""),0,IFERROR(INDEX(Nutrition!$D$2:$D$300,MATCH($F1020,Nutrition!$A$2:$A$300,0))*$I1020/100,0))</f>
        <v>0.99</v>
      </c>
      <c r="K1020" s="30">
        <f>IF(OR($F1020="",$I1020=""),0,IFERROR(INDEX(Nutrition!$E$2:$E$300,MATCH($F1020,Nutrition!$A$2:$A$300,0))*$I1020/100,0))</f>
        <v>39.9</v>
      </c>
      <c r="L1020" s="30">
        <f>IF(OR($F1020="",$I1020=""),0,IFERROR(INDEX(Nutrition!$F$2:$F$300,MATCH($F1020,Nutrition!$A$2:$A$300,0))*$I1020/100,0))</f>
        <v>126.3</v>
      </c>
      <c r="M1020" s="30">
        <f>IF(OR($F1020="",$I1020=""),0,IFERROR(INDEX(Nutrition!$G$2:$G$300,MATCH($F1020,Nutrition!$A$2:$A$300,0))*$I1020/100,0))</f>
        <v>492</v>
      </c>
      <c r="N1020" s="30">
        <f>IF(OR($F1020="",$I1020=""),0,IFERROR(INDEX(Nutrition!$H$2:$H$300,MATCH($F1020,Nutrition!$A$2:$A$300,0))*$I1020/100,0))</f>
        <v>45.6</v>
      </c>
      <c r="O1020" s="30">
        <f>IF(OR($F1020="",$I1020=""),0,IFERROR(INDEX(Nutrition!$I$2:$I$300,MATCH($F1020,Nutrition!$A$2:$A$300,0))*$I1020/100,0))</f>
        <v>166.2</v>
      </c>
      <c r="P1020" s="30">
        <f>IF(OR($F1020="",$I1020=""),0,IFERROR(INDEX(Nutrition!$J$2:$J$300,MATCH($F1020,Nutrition!$A$2:$A$300,0))*$I1020/100,0))</f>
        <v>0.22500000000000001</v>
      </c>
      <c r="Q1020" s="30">
        <f>IF(OR($F1020="",$I1020=""),0,IFERROR(INDEX(Nutrition!$K$2:$K$300,MATCH($F1020,Nutrition!$A$2:$A$300,0))*$I1020/100,0))</f>
        <v>2.6999999999999996E-2</v>
      </c>
      <c r="R1020" s="30">
        <f>IF(OR($F1020="",$I1020=""),0,IFERROR(INDEX(Nutrition!$L$2:$L$300,MATCH($F1020,Nutrition!$A$2:$A$300,0))*$I1020/100,0))</f>
        <v>15</v>
      </c>
      <c r="S1020" s="30">
        <f>IF(OR($F1020="",$I1020=""),0,IFERROR(INDEX(Nutrition!$M$2:$M$300,MATCH($F1020,Nutrition!$A$2:$A$300,0))*$I1020/100,0))</f>
        <v>1.86</v>
      </c>
    </row>
    <row r="1021" spans="1:19" ht="15" customHeight="1" x14ac:dyDescent="0.25">
      <c r="A1021" s="22" t="s">
        <v>2222</v>
      </c>
      <c r="B1021" s="33" t="str">
        <f>IFERROR(INDEX(Recipes!$B$2:$B$500,MATCH(A1021,Recipes!$A$2:$A$500,0)),"")</f>
        <v>Shepherd's Salad (Çoban Salatası)</v>
      </c>
      <c r="C1021" s="7" t="s">
        <v>468</v>
      </c>
      <c r="D1021" s="34">
        <v>0.5</v>
      </c>
      <c r="E1021" s="22" t="s">
        <v>2754</v>
      </c>
      <c r="F1021" s="22" t="s">
        <v>467</v>
      </c>
      <c r="G1021" s="22" t="s">
        <v>2755</v>
      </c>
      <c r="H1021" s="7" t="s">
        <v>2756</v>
      </c>
      <c r="I1021" s="35">
        <v>60</v>
      </c>
      <c r="J1021" s="30">
        <f>IF(OR($F1021="",$I1021=""),0,IFERROR(INDEX(Nutrition!$D$2:$D$300,MATCH($F1021,Nutrition!$A$2:$A$300,0))*$I1021/100,0))</f>
        <v>1.02</v>
      </c>
      <c r="K1021" s="30">
        <f>IF(OR($F1021="",$I1021=""),0,IFERROR(INDEX(Nutrition!$E$2:$E$300,MATCH($F1021,Nutrition!$A$2:$A$300,0))*$I1021/100,0))</f>
        <v>48.24</v>
      </c>
      <c r="L1021" s="30">
        <f>IF(OR($F1021="",$I1021=""),0,IFERROR(INDEX(Nutrition!$F$2:$F$300,MATCH($F1021,Nutrition!$A$2:$A$300,0))*$I1021/100,0))</f>
        <v>10.8</v>
      </c>
      <c r="M1021" s="30">
        <f>IF(OR($F1021="",$I1021=""),0,IFERROR(INDEX(Nutrition!$G$2:$G$300,MATCH($F1021,Nutrition!$A$2:$A$300,0))*$I1021/100,0))</f>
        <v>4.4400000000000004</v>
      </c>
      <c r="N1021" s="30">
        <f>IF(OR($F1021="",$I1021=""),0,IFERROR(INDEX(Nutrition!$H$2:$H$300,MATCH($F1021,Nutrition!$A$2:$A$300,0))*$I1021/100,0))</f>
        <v>6</v>
      </c>
      <c r="O1021" s="30">
        <f>IF(OR($F1021="",$I1021=""),0,IFERROR(INDEX(Nutrition!$I$2:$I$300,MATCH($F1021,Nutrition!$A$2:$A$300,0))*$I1021/100,0))</f>
        <v>105</v>
      </c>
      <c r="P1021" s="30">
        <f>IF(OR($F1021="",$I1021=""),0,IFERROR(INDEX(Nutrition!$J$2:$J$300,MATCH($F1021,Nutrition!$A$2:$A$300,0))*$I1021/100,0))</f>
        <v>0.222</v>
      </c>
      <c r="Q1021" s="30">
        <f>IF(OR($F1021="",$I1021=""),0,IFERROR(INDEX(Nutrition!$K$2:$K$300,MATCH($F1021,Nutrition!$A$2:$A$300,0))*$I1021/100,0))</f>
        <v>0.13439999999999999</v>
      </c>
      <c r="R1021" s="30">
        <f>IF(OR($F1021="",$I1021=""),0,IFERROR(INDEX(Nutrition!$L$2:$L$300,MATCH($F1021,Nutrition!$A$2:$A$300,0))*$I1021/100,0))</f>
        <v>6</v>
      </c>
      <c r="S1021" s="30">
        <f>IF(OR($F1021="",$I1021=""),0,IFERROR(INDEX(Nutrition!$M$2:$M$300,MATCH($F1021,Nutrition!$A$2:$A$300,0))*$I1021/100,0))</f>
        <v>0.20400000000000001</v>
      </c>
    </row>
    <row r="1022" spans="1:19" ht="15" customHeight="1" x14ac:dyDescent="0.25">
      <c r="A1022" s="22" t="s">
        <v>2222</v>
      </c>
      <c r="B1022" s="33" t="str">
        <f>IFERROR(INDEX(Recipes!$B$2:$B$500,MATCH(A1022,Recipes!$A$2:$A$500,0)),"")</f>
        <v>Shepherd's Salad (Çoban Salatası)</v>
      </c>
      <c r="C1022" s="7" t="s">
        <v>663</v>
      </c>
      <c r="D1022" s="34">
        <v>6</v>
      </c>
      <c r="E1022" s="22" t="s">
        <v>2840</v>
      </c>
      <c r="F1022" s="22" t="s">
        <v>662</v>
      </c>
      <c r="G1022" s="22" t="s">
        <v>2755</v>
      </c>
      <c r="H1022" s="7" t="s">
        <v>2909</v>
      </c>
      <c r="I1022" s="35">
        <v>6</v>
      </c>
      <c r="J1022" s="30">
        <f>IF(OR($F1022="",$I1022=""),0,IFERROR(INDEX(Nutrition!$D$2:$D$300,MATCH($F1022,Nutrition!$A$2:$A$300,0))*$I1022/100,0))</f>
        <v>0.40799999999999997</v>
      </c>
      <c r="K1022" s="30">
        <f>IF(OR($F1022="",$I1022=""),0,IFERROR(INDEX(Nutrition!$E$2:$E$300,MATCH($F1022,Nutrition!$A$2:$A$300,0))*$I1022/100,0))</f>
        <v>0.79800000000000015</v>
      </c>
      <c r="L1022" s="30">
        <f>IF(OR($F1022="",$I1022=""),0,IFERROR(INDEX(Nutrition!$F$2:$F$300,MATCH($F1022,Nutrition!$A$2:$A$300,0))*$I1022/100,0))</f>
        <v>12.18</v>
      </c>
      <c r="M1022" s="30">
        <f>IF(OR($F1022="",$I1022=""),0,IFERROR(INDEX(Nutrition!$G$2:$G$300,MATCH($F1022,Nutrition!$A$2:$A$300,0))*$I1022/100,0))</f>
        <v>0</v>
      </c>
      <c r="N1022" s="30">
        <f>IF(OR($F1022="",$I1022=""),0,IFERROR(INDEX(Nutrition!$H$2:$H$300,MATCH($F1022,Nutrition!$A$2:$A$300,0))*$I1022/100,0))</f>
        <v>6.3</v>
      </c>
      <c r="O1022" s="30">
        <f>IF(OR($F1022="",$I1022=""),0,IFERROR(INDEX(Nutrition!$I$2:$I$300,MATCH($F1022,Nutrition!$A$2:$A$300,0))*$I1022/100,0))</f>
        <v>27.48</v>
      </c>
      <c r="P1022" s="30">
        <f>IF(OR($F1022="",$I1022=""),0,IFERROR(INDEX(Nutrition!$J$2:$J$300,MATCH($F1022,Nutrition!$A$2:$A$300,0))*$I1022/100,0))</f>
        <v>0</v>
      </c>
      <c r="Q1022" s="30">
        <f>IF(OR($F1022="",$I1022=""),0,IFERROR(INDEX(Nutrition!$K$2:$K$300,MATCH($F1022,Nutrition!$A$2:$A$300,0))*$I1022/100,0))</f>
        <v>9.4799999999999988E-3</v>
      </c>
      <c r="R1022" s="30">
        <f>IF(OR($F1022="",$I1022=""),0,IFERROR(INDEX(Nutrition!$L$2:$L$300,MATCH($F1022,Nutrition!$A$2:$A$300,0))*$I1022/100,0))</f>
        <v>3.78</v>
      </c>
      <c r="S1022" s="30">
        <f>IF(OR($F1022="",$I1022=""),0,IFERROR(INDEX(Nutrition!$M$2:$M$300,MATCH($F1022,Nutrition!$A$2:$A$300,0))*$I1022/100,0))</f>
        <v>0.71219999999999994</v>
      </c>
    </row>
    <row r="1023" spans="1:19" ht="15" customHeight="1" x14ac:dyDescent="0.25">
      <c r="A1023" s="22" t="s">
        <v>2222</v>
      </c>
      <c r="B1023" s="33" t="str">
        <f>IFERROR(INDEX(Recipes!$B$2:$B$500,MATCH(A1023,Recipes!$A$2:$A$500,0)),"")</f>
        <v>Shepherd's Salad (Çoban Salatası)</v>
      </c>
      <c r="C1023" s="7" t="s">
        <v>206</v>
      </c>
      <c r="D1023" s="34">
        <v>0.5</v>
      </c>
      <c r="E1023" s="22" t="s">
        <v>2754</v>
      </c>
      <c r="F1023" s="22" t="s">
        <v>205</v>
      </c>
      <c r="G1023" s="22" t="s">
        <v>2755</v>
      </c>
      <c r="H1023" s="7" t="s">
        <v>2764</v>
      </c>
      <c r="I1023" s="35">
        <v>29</v>
      </c>
      <c r="J1023" s="30">
        <f>IF(OR($F1023="",$I1023=""),0,IFERROR(INDEX(Nutrition!$D$2:$D$300,MATCH($F1023,Nutrition!$A$2:$A$300,0))*$I1023/100,0))</f>
        <v>0.81199999999999983</v>
      </c>
      <c r="K1023" s="30">
        <f>IF(OR($F1023="",$I1023=""),0,IFERROR(INDEX(Nutrition!$E$2:$E$300,MATCH($F1023,Nutrition!$A$2:$A$300,0))*$I1023/100,0))</f>
        <v>15.37</v>
      </c>
      <c r="L1023" s="30">
        <f>IF(OR($F1023="",$I1023=""),0,IFERROR(INDEX(Nutrition!$F$2:$F$300,MATCH($F1023,Nutrition!$A$2:$A$300,0))*$I1023/100,0))</f>
        <v>0.28999999999999998</v>
      </c>
      <c r="M1023" s="30">
        <f>IF(OR($F1023="",$I1023=""),0,IFERROR(INDEX(Nutrition!$G$2:$G$300,MATCH($F1023,Nutrition!$A$2:$A$300,0))*$I1023/100,0))</f>
        <v>0</v>
      </c>
      <c r="N1023" s="30">
        <f>IF(OR($F1023="",$I1023=""),0,IFERROR(INDEX(Nutrition!$H$2:$H$300,MATCH($F1023,Nutrition!$A$2:$A$300,0))*$I1023/100,0))</f>
        <v>3.19</v>
      </c>
      <c r="O1023" s="30">
        <f>IF(OR($F1023="",$I1023=""),0,IFERROR(INDEX(Nutrition!$I$2:$I$300,MATCH($F1023,Nutrition!$A$2:$A$300,0))*$I1023/100,0))</f>
        <v>40.020000000000003</v>
      </c>
      <c r="P1023" s="30">
        <f>IF(OR($F1023="",$I1023=""),0,IFERROR(INDEX(Nutrition!$J$2:$J$300,MATCH($F1023,Nutrition!$A$2:$A$300,0))*$I1023/100,0))</f>
        <v>4.3499999999999997E-2</v>
      </c>
      <c r="Q1023" s="30">
        <f>IF(OR($F1023="",$I1023=""),0,IFERROR(INDEX(Nutrition!$K$2:$K$300,MATCH($F1023,Nutrition!$A$2:$A$300,0))*$I1023/100,0))</f>
        <v>2.3199999999999998E-2</v>
      </c>
      <c r="R1023" s="30">
        <f>IF(OR($F1023="",$I1023=""),0,IFERROR(INDEX(Nutrition!$L$2:$L$300,MATCH($F1023,Nutrition!$A$2:$A$300,0))*$I1023/100,0))</f>
        <v>2.3199999999999998</v>
      </c>
      <c r="S1023" s="30">
        <f>IF(OR($F1023="",$I1023=""),0,IFERROR(INDEX(Nutrition!$M$2:$M$300,MATCH($F1023,Nutrition!$A$2:$A$300,0))*$I1023/100,0))</f>
        <v>0.17399999999999999</v>
      </c>
    </row>
    <row r="1024" spans="1:19" ht="15" customHeight="1" x14ac:dyDescent="0.25">
      <c r="A1024" s="22" t="s">
        <v>2222</v>
      </c>
      <c r="B1024" s="33" t="str">
        <f>IFERROR(INDEX(Recipes!$B$2:$B$500,MATCH(A1024,Recipes!$A$2:$A$500,0)),"")</f>
        <v>Shepherd's Salad (Çoban Salatası)</v>
      </c>
      <c r="C1024" s="7" t="s">
        <v>2805</v>
      </c>
      <c r="D1024" s="34">
        <v>2</v>
      </c>
      <c r="E1024" s="22" t="s">
        <v>2753</v>
      </c>
      <c r="F1024" s="22"/>
      <c r="G1024" s="22" t="s">
        <v>2773</v>
      </c>
      <c r="H1024" s="7"/>
      <c r="I1024" s="35"/>
      <c r="J1024" s="30">
        <f>IF(OR($F1024="",$I1024=""),0,IFERROR(INDEX(Nutrition!$D$2:$D$300,MATCH($F1024,Nutrition!$A$2:$A$300,0))*$I1024/100,0))</f>
        <v>0</v>
      </c>
      <c r="K1024" s="30">
        <f>IF(OR($F1024="",$I1024=""),0,IFERROR(INDEX(Nutrition!$E$2:$E$300,MATCH($F1024,Nutrition!$A$2:$A$300,0))*$I1024/100,0))</f>
        <v>0</v>
      </c>
      <c r="L1024" s="30">
        <f>IF(OR($F1024="",$I1024=""),0,IFERROR(INDEX(Nutrition!$F$2:$F$300,MATCH($F1024,Nutrition!$A$2:$A$300,0))*$I1024/100,0))</f>
        <v>0</v>
      </c>
      <c r="M1024" s="30">
        <f>IF(OR($F1024="",$I1024=""),0,IFERROR(INDEX(Nutrition!$G$2:$G$300,MATCH($F1024,Nutrition!$A$2:$A$300,0))*$I1024/100,0))</f>
        <v>0</v>
      </c>
      <c r="N1024" s="30">
        <f>IF(OR($F1024="",$I1024=""),0,IFERROR(INDEX(Nutrition!$H$2:$H$300,MATCH($F1024,Nutrition!$A$2:$A$300,0))*$I1024/100,0))</f>
        <v>0</v>
      </c>
      <c r="O1024" s="30">
        <f>IF(OR($F1024="",$I1024=""),0,IFERROR(INDEX(Nutrition!$I$2:$I$300,MATCH($F1024,Nutrition!$A$2:$A$300,0))*$I1024/100,0))</f>
        <v>0</v>
      </c>
      <c r="P1024" s="30">
        <f>IF(OR($F1024="",$I1024=""),0,IFERROR(INDEX(Nutrition!$J$2:$J$300,MATCH($F1024,Nutrition!$A$2:$A$300,0))*$I1024/100,0))</f>
        <v>0</v>
      </c>
      <c r="Q1024" s="30">
        <f>IF(OR($F1024="",$I1024=""),0,IFERROR(INDEX(Nutrition!$K$2:$K$300,MATCH($F1024,Nutrition!$A$2:$A$300,0))*$I1024/100,0))</f>
        <v>0</v>
      </c>
      <c r="R1024" s="30">
        <f>IF(OR($F1024="",$I1024=""),0,IFERROR(INDEX(Nutrition!$L$2:$L$300,MATCH($F1024,Nutrition!$A$2:$A$300,0))*$I1024/100,0))</f>
        <v>0</v>
      </c>
      <c r="S1024" s="30">
        <f>IF(OR($F1024="",$I1024=""),0,IFERROR(INDEX(Nutrition!$M$2:$M$300,MATCH($F1024,Nutrition!$A$2:$A$300,0))*$I1024/100,0))</f>
        <v>0</v>
      </c>
    </row>
    <row r="1025" spans="1:19" ht="15" customHeight="1" x14ac:dyDescent="0.25">
      <c r="A1025" s="22" t="s">
        <v>2222</v>
      </c>
      <c r="B1025" s="33" t="str">
        <f>IFERROR(INDEX(Recipes!$B$2:$B$500,MATCH(A1025,Recipes!$A$2:$A$500,0)),"")</f>
        <v>Shepherd's Salad (Çoban Salatası)</v>
      </c>
      <c r="C1025" s="7" t="s">
        <v>2906</v>
      </c>
      <c r="D1025" s="34">
        <v>1</v>
      </c>
      <c r="E1025" s="22" t="s">
        <v>2782</v>
      </c>
      <c r="F1025" s="22"/>
      <c r="G1025" s="22" t="s">
        <v>2773</v>
      </c>
      <c r="H1025" s="7"/>
      <c r="I1025" s="35"/>
      <c r="J1025" s="30">
        <f>IF(OR($F1025="",$I1025=""),0,IFERROR(INDEX(Nutrition!$D$2:$D$300,MATCH($F1025,Nutrition!$A$2:$A$300,0))*$I1025/100,0))</f>
        <v>0</v>
      </c>
      <c r="K1025" s="30">
        <f>IF(OR($F1025="",$I1025=""),0,IFERROR(INDEX(Nutrition!$E$2:$E$300,MATCH($F1025,Nutrition!$A$2:$A$300,0))*$I1025/100,0))</f>
        <v>0</v>
      </c>
      <c r="L1025" s="30">
        <f>IF(OR($F1025="",$I1025=""),0,IFERROR(INDEX(Nutrition!$F$2:$F$300,MATCH($F1025,Nutrition!$A$2:$A$300,0))*$I1025/100,0))</f>
        <v>0</v>
      </c>
      <c r="M1025" s="30">
        <f>IF(OR($F1025="",$I1025=""),0,IFERROR(INDEX(Nutrition!$G$2:$G$300,MATCH($F1025,Nutrition!$A$2:$A$300,0))*$I1025/100,0))</f>
        <v>0</v>
      </c>
      <c r="N1025" s="30">
        <f>IF(OR($F1025="",$I1025=""),0,IFERROR(INDEX(Nutrition!$H$2:$H$300,MATCH($F1025,Nutrition!$A$2:$A$300,0))*$I1025/100,0))</f>
        <v>0</v>
      </c>
      <c r="O1025" s="30">
        <f>IF(OR($F1025="",$I1025=""),0,IFERROR(INDEX(Nutrition!$I$2:$I$300,MATCH($F1025,Nutrition!$A$2:$A$300,0))*$I1025/100,0))</f>
        <v>0</v>
      </c>
      <c r="P1025" s="30">
        <f>IF(OR($F1025="",$I1025=""),0,IFERROR(INDEX(Nutrition!$J$2:$J$300,MATCH($F1025,Nutrition!$A$2:$A$300,0))*$I1025/100,0))</f>
        <v>0</v>
      </c>
      <c r="Q1025" s="30">
        <f>IF(OR($F1025="",$I1025=""),0,IFERROR(INDEX(Nutrition!$K$2:$K$300,MATCH($F1025,Nutrition!$A$2:$A$300,0))*$I1025/100,0))</f>
        <v>0</v>
      </c>
      <c r="R1025" s="30">
        <f>IF(OR($F1025="",$I1025=""),0,IFERROR(INDEX(Nutrition!$L$2:$L$300,MATCH($F1025,Nutrition!$A$2:$A$300,0))*$I1025/100,0))</f>
        <v>0</v>
      </c>
      <c r="S1025" s="30">
        <f>IF(OR($F1025="",$I1025=""),0,IFERROR(INDEX(Nutrition!$M$2:$M$300,MATCH($F1025,Nutrition!$A$2:$A$300,0))*$I1025/100,0))</f>
        <v>0</v>
      </c>
    </row>
    <row r="1026" spans="1:19" ht="15" customHeight="1" x14ac:dyDescent="0.25">
      <c r="A1026" s="22" t="s">
        <v>2232</v>
      </c>
      <c r="B1026" s="33" t="str">
        <f>IFERROR(INDEX(Recipes!$B$2:$B$500,MATCH(A1026,Recipes!$A$2:$A$500,0)),"")</f>
        <v>Melon, Cucumber &amp; Mint Salad</v>
      </c>
      <c r="C1026" s="7" t="s">
        <v>362</v>
      </c>
      <c r="D1026" s="34">
        <v>4</v>
      </c>
      <c r="E1026" s="22" t="s">
        <v>2790</v>
      </c>
      <c r="F1026" s="22" t="s">
        <v>361</v>
      </c>
      <c r="G1026" s="22" t="s">
        <v>2755</v>
      </c>
      <c r="H1026" s="7" t="s">
        <v>2810</v>
      </c>
      <c r="I1026" s="35">
        <v>640</v>
      </c>
      <c r="J1026" s="30">
        <f>IF(OR($F1026="",$I1026=""),0,IFERROR(INDEX(Nutrition!$D$2:$D$300,MATCH($F1026,Nutrition!$A$2:$A$300,0))*$I1026/100,0))</f>
        <v>5.76</v>
      </c>
      <c r="K1026" s="30">
        <f>IF(OR($F1026="",$I1026=""),0,IFERROR(INDEX(Nutrition!$E$2:$E$300,MATCH($F1026,Nutrition!$A$2:$A$300,0))*$I1026/100,0))</f>
        <v>234.88</v>
      </c>
      <c r="L1026" s="30">
        <f>IF(OR($F1026="",$I1026=""),0,IFERROR(INDEX(Nutrition!$F$2:$F$300,MATCH($F1026,Nutrition!$A$2:$A$300,0))*$I1026/100,0))</f>
        <v>1081.5999999999999</v>
      </c>
      <c r="M1026" s="30">
        <f>IF(OR($F1026="",$I1026=""),0,IFERROR(INDEX(Nutrition!$G$2:$G$300,MATCH($F1026,Nutrition!$A$2:$A$300,0))*$I1026/100,0))</f>
        <v>16</v>
      </c>
      <c r="N1026" s="30">
        <f>IF(OR($F1026="",$I1026=""),0,IFERROR(INDEX(Nutrition!$H$2:$H$300,MATCH($F1026,Nutrition!$A$2:$A$300,0))*$I1026/100,0))</f>
        <v>134.4</v>
      </c>
      <c r="O1026" s="30">
        <f>IF(OR($F1026="",$I1026=""),0,IFERROR(INDEX(Nutrition!$I$2:$I$300,MATCH($F1026,Nutrition!$A$2:$A$300,0))*$I1026/100,0))</f>
        <v>1708.8</v>
      </c>
      <c r="P1026" s="30">
        <f>IF(OR($F1026="",$I1026=""),0,IFERROR(INDEX(Nutrition!$J$2:$J$300,MATCH($F1026,Nutrition!$A$2:$A$300,0))*$I1026/100,0))</f>
        <v>0.32</v>
      </c>
      <c r="Q1026" s="30">
        <f>IF(OR($F1026="",$I1026=""),0,IFERROR(INDEX(Nutrition!$K$2:$K$300,MATCH($F1026,Nutrition!$A$2:$A$300,0))*$I1026/100,0))</f>
        <v>0.46079999999999999</v>
      </c>
      <c r="R1026" s="30">
        <f>IF(OR($F1026="",$I1026=""),0,IFERROR(INDEX(Nutrition!$L$2:$L$300,MATCH($F1026,Nutrition!$A$2:$A$300,0))*$I1026/100,0))</f>
        <v>76.8</v>
      </c>
      <c r="S1026" s="30">
        <f>IF(OR($F1026="",$I1026=""),0,IFERROR(INDEX(Nutrition!$M$2:$M$300,MATCH($F1026,Nutrition!$A$2:$A$300,0))*$I1026/100,0))</f>
        <v>1.3440000000000001</v>
      </c>
    </row>
    <row r="1027" spans="1:19" ht="15" customHeight="1" x14ac:dyDescent="0.25">
      <c r="A1027" s="22" t="s">
        <v>2232</v>
      </c>
      <c r="B1027" s="33" t="str">
        <f>IFERROR(INDEX(Recipes!$B$2:$B$500,MATCH(A1027,Recipes!$A$2:$A$500,0)),"")</f>
        <v>Melon, Cucumber &amp; Mint Salad</v>
      </c>
      <c r="C1027" s="7" t="s">
        <v>523</v>
      </c>
      <c r="D1027" s="34">
        <v>1</v>
      </c>
      <c r="E1027" s="22" t="s">
        <v>2748</v>
      </c>
      <c r="F1027" s="22" t="s">
        <v>522</v>
      </c>
      <c r="G1027" s="22" t="s">
        <v>2755</v>
      </c>
      <c r="H1027" s="7" t="s">
        <v>2756</v>
      </c>
      <c r="I1027" s="35">
        <v>104</v>
      </c>
      <c r="J1027" s="30">
        <f>IF(OR($F1027="",$I1027=""),0,IFERROR(INDEX(Nutrition!$D$2:$D$300,MATCH($F1027,Nutrition!$A$2:$A$300,0))*$I1027/100,0))</f>
        <v>0.52</v>
      </c>
      <c r="K1027" s="30">
        <f>IF(OR($F1027="",$I1027=""),0,IFERROR(INDEX(Nutrition!$E$2:$E$300,MATCH($F1027,Nutrition!$A$2:$A$300,0))*$I1027/100,0))</f>
        <v>2.9119999999999999</v>
      </c>
      <c r="L1027" s="30">
        <f>IF(OR($F1027="",$I1027=""),0,IFERROR(INDEX(Nutrition!$F$2:$F$300,MATCH($F1027,Nutrition!$A$2:$A$300,0))*$I1027/100,0))</f>
        <v>5.2</v>
      </c>
      <c r="M1027" s="30">
        <f>IF(OR($F1027="",$I1027=""),0,IFERROR(INDEX(Nutrition!$G$2:$G$300,MATCH($F1027,Nutrition!$A$2:$A$300,0))*$I1027/100,0))</f>
        <v>17.055999999999997</v>
      </c>
      <c r="N1027" s="30">
        <f>IF(OR($F1027="",$I1027=""),0,IFERROR(INDEX(Nutrition!$H$2:$H$300,MATCH($F1027,Nutrition!$A$2:$A$300,0))*$I1027/100,0))</f>
        <v>7.28</v>
      </c>
      <c r="O1027" s="30">
        <f>IF(OR($F1027="",$I1027=""),0,IFERROR(INDEX(Nutrition!$I$2:$I$300,MATCH($F1027,Nutrition!$A$2:$A$300,0))*$I1027/100,0))</f>
        <v>152.88</v>
      </c>
      <c r="P1027" s="30">
        <f>IF(OR($F1027="",$I1027=""),0,IFERROR(INDEX(Nutrition!$J$2:$J$300,MATCH($F1027,Nutrition!$A$2:$A$300,0))*$I1027/100,0))</f>
        <v>3.1200000000000002E-2</v>
      </c>
      <c r="Q1027" s="30">
        <f>IF(OR($F1027="",$I1027=""),0,IFERROR(INDEX(Nutrition!$K$2:$K$300,MATCH($F1027,Nutrition!$A$2:$A$300,0))*$I1027/100,0))</f>
        <v>4.1599999999999998E-2</v>
      </c>
      <c r="R1027" s="30">
        <f>IF(OR($F1027="",$I1027=""),0,IFERROR(INDEX(Nutrition!$L$2:$L$300,MATCH($F1027,Nutrition!$A$2:$A$300,0))*$I1027/100,0))</f>
        <v>13.52</v>
      </c>
      <c r="S1027" s="30">
        <f>IF(OR($F1027="",$I1027=""),0,IFERROR(INDEX(Nutrition!$M$2:$M$300,MATCH($F1027,Nutrition!$A$2:$A$300,0))*$I1027/100,0))</f>
        <v>0.29120000000000007</v>
      </c>
    </row>
    <row r="1028" spans="1:19" ht="15" customHeight="1" x14ac:dyDescent="0.25">
      <c r="A1028" s="22" t="s">
        <v>2232</v>
      </c>
      <c r="B1028" s="33" t="str">
        <f>IFERROR(INDEX(Recipes!$B$2:$B$500,MATCH(A1028,Recipes!$A$2:$A$500,0)),"")</f>
        <v>Melon, Cucumber &amp; Mint Salad</v>
      </c>
      <c r="C1028" s="7" t="s">
        <v>482</v>
      </c>
      <c r="D1028" s="34">
        <v>0.25</v>
      </c>
      <c r="E1028" s="22" t="s">
        <v>2748</v>
      </c>
      <c r="F1028" s="22" t="s">
        <v>481</v>
      </c>
      <c r="G1028" s="22" t="s">
        <v>2755</v>
      </c>
      <c r="H1028" s="7" t="s">
        <v>2955</v>
      </c>
      <c r="I1028" s="35">
        <v>40</v>
      </c>
      <c r="J1028" s="30">
        <f>IF(OR($F1028="",$I1028=""),0,IFERROR(INDEX(Nutrition!$D$2:$D$300,MATCH($F1028,Nutrition!$A$2:$A$300,0))*$I1028/100,0))</f>
        <v>0.68</v>
      </c>
      <c r="K1028" s="30">
        <f>IF(OR($F1028="",$I1028=""),0,IFERROR(INDEX(Nutrition!$E$2:$E$300,MATCH($F1028,Nutrition!$A$2:$A$300,0))*$I1028/100,0))</f>
        <v>2.96</v>
      </c>
      <c r="L1028" s="30">
        <f>IF(OR($F1028="",$I1028=""),0,IFERROR(INDEX(Nutrition!$F$2:$F$300,MATCH($F1028,Nutrition!$A$2:$A$300,0))*$I1028/100,0))</f>
        <v>0</v>
      </c>
      <c r="M1028" s="30">
        <f>IF(OR($F1028="",$I1028=""),0,IFERROR(INDEX(Nutrition!$G$2:$G$300,MATCH($F1028,Nutrition!$A$2:$A$300,0))*$I1028/100,0))</f>
        <v>0.16</v>
      </c>
      <c r="N1028" s="30">
        <f>IF(OR($F1028="",$I1028=""),0,IFERROR(INDEX(Nutrition!$H$2:$H$300,MATCH($F1028,Nutrition!$A$2:$A$300,0))*$I1028/100,0))</f>
        <v>7.6</v>
      </c>
      <c r="O1028" s="30">
        <f>IF(OR($F1028="",$I1028=""),0,IFERROR(INDEX(Nutrition!$I$2:$I$300,MATCH($F1028,Nutrition!$A$2:$A$300,0))*$I1028/100,0))</f>
        <v>58.4</v>
      </c>
      <c r="P1028" s="30">
        <f>IF(OR($F1028="",$I1028=""),0,IFERROR(INDEX(Nutrition!$J$2:$J$300,MATCH($F1028,Nutrition!$A$2:$A$300,0))*$I1028/100,0))</f>
        <v>8.0000000000000002E-3</v>
      </c>
      <c r="Q1028" s="30">
        <f>IF(OR($F1028="",$I1028=""),0,IFERROR(INDEX(Nutrition!$K$2:$K$300,MATCH($F1028,Nutrition!$A$2:$A$300,0))*$I1028/100,0))</f>
        <v>4.8000000000000001E-2</v>
      </c>
      <c r="R1028" s="30">
        <f>IF(OR($F1028="",$I1028=""),0,IFERROR(INDEX(Nutrition!$L$2:$L$300,MATCH($F1028,Nutrition!$A$2:$A$300,0))*$I1028/100,0))</f>
        <v>4</v>
      </c>
      <c r="S1028" s="30">
        <f>IF(OR($F1028="",$I1028=""),0,IFERROR(INDEX(Nutrition!$M$2:$M$300,MATCH($F1028,Nutrition!$A$2:$A$300,0))*$I1028/100,0))</f>
        <v>8.4000000000000005E-2</v>
      </c>
    </row>
    <row r="1029" spans="1:19" ht="15" customHeight="1" x14ac:dyDescent="0.25">
      <c r="A1029" s="22" t="s">
        <v>2232</v>
      </c>
      <c r="B1029" s="33" t="str">
        <f>IFERROR(INDEX(Recipes!$B$2:$B$500,MATCH(A1029,Recipes!$A$2:$A$500,0)),"")</f>
        <v>Melon, Cucumber &amp; Mint Salad</v>
      </c>
      <c r="C1029" s="7" t="s">
        <v>663</v>
      </c>
      <c r="D1029" s="34">
        <v>0.33</v>
      </c>
      <c r="E1029" s="22" t="s">
        <v>2748</v>
      </c>
      <c r="F1029" s="22" t="s">
        <v>662</v>
      </c>
      <c r="G1029" s="22" t="s">
        <v>2755</v>
      </c>
      <c r="H1029" s="7" t="s">
        <v>2909</v>
      </c>
      <c r="I1029" s="35">
        <v>8</v>
      </c>
      <c r="J1029" s="30">
        <f>IF(OR($F1029="",$I1029=""),0,IFERROR(INDEX(Nutrition!$D$2:$D$300,MATCH($F1029,Nutrition!$A$2:$A$300,0))*$I1029/100,0))</f>
        <v>0.54400000000000004</v>
      </c>
      <c r="K1029" s="30">
        <f>IF(OR($F1029="",$I1029=""),0,IFERROR(INDEX(Nutrition!$E$2:$E$300,MATCH($F1029,Nutrition!$A$2:$A$300,0))*$I1029/100,0))</f>
        <v>1.0640000000000001</v>
      </c>
      <c r="L1029" s="30">
        <f>IF(OR($F1029="",$I1029=""),0,IFERROR(INDEX(Nutrition!$F$2:$F$300,MATCH($F1029,Nutrition!$A$2:$A$300,0))*$I1029/100,0))</f>
        <v>16.239999999999998</v>
      </c>
      <c r="M1029" s="30">
        <f>IF(OR($F1029="",$I1029=""),0,IFERROR(INDEX(Nutrition!$G$2:$G$300,MATCH($F1029,Nutrition!$A$2:$A$300,0))*$I1029/100,0))</f>
        <v>0</v>
      </c>
      <c r="N1029" s="30">
        <f>IF(OR($F1029="",$I1029=""),0,IFERROR(INDEX(Nutrition!$H$2:$H$300,MATCH($F1029,Nutrition!$A$2:$A$300,0))*$I1029/100,0))</f>
        <v>8.4</v>
      </c>
      <c r="O1029" s="30">
        <f>IF(OR($F1029="",$I1029=""),0,IFERROR(INDEX(Nutrition!$I$2:$I$300,MATCH($F1029,Nutrition!$A$2:$A$300,0))*$I1029/100,0))</f>
        <v>36.64</v>
      </c>
      <c r="P1029" s="30">
        <f>IF(OR($F1029="",$I1029=""),0,IFERROR(INDEX(Nutrition!$J$2:$J$300,MATCH($F1029,Nutrition!$A$2:$A$300,0))*$I1029/100,0))</f>
        <v>0</v>
      </c>
      <c r="Q1029" s="30">
        <f>IF(OR($F1029="",$I1029=""),0,IFERROR(INDEX(Nutrition!$K$2:$K$300,MATCH($F1029,Nutrition!$A$2:$A$300,0))*$I1029/100,0))</f>
        <v>1.264E-2</v>
      </c>
      <c r="R1029" s="30">
        <f>IF(OR($F1029="",$I1029=""),0,IFERROR(INDEX(Nutrition!$L$2:$L$300,MATCH($F1029,Nutrition!$A$2:$A$300,0))*$I1029/100,0))</f>
        <v>5.04</v>
      </c>
      <c r="S1029" s="30">
        <f>IF(OR($F1029="",$I1029=""),0,IFERROR(INDEX(Nutrition!$M$2:$M$300,MATCH($F1029,Nutrition!$A$2:$A$300,0))*$I1029/100,0))</f>
        <v>0.94959999999999989</v>
      </c>
    </row>
    <row r="1030" spans="1:19" ht="15" customHeight="1" x14ac:dyDescent="0.25">
      <c r="A1030" s="22" t="s">
        <v>2232</v>
      </c>
      <c r="B1030" s="33" t="str">
        <f>IFERROR(INDEX(Recipes!$B$2:$B$500,MATCH(A1030,Recipes!$A$2:$A$500,0)),"")</f>
        <v>Melon, Cucumber &amp; Mint Salad</v>
      </c>
      <c r="C1030" s="7" t="s">
        <v>213</v>
      </c>
      <c r="D1030" s="34">
        <v>2</v>
      </c>
      <c r="E1030" s="22" t="s">
        <v>2754</v>
      </c>
      <c r="F1030" s="22" t="s">
        <v>212</v>
      </c>
      <c r="G1030" s="22" t="s">
        <v>2755</v>
      </c>
      <c r="H1030" s="7" t="s">
        <v>2912</v>
      </c>
      <c r="I1030" s="35">
        <v>134</v>
      </c>
      <c r="J1030" s="30">
        <f>IF(OR($F1030="",$I1030=""),0,IFERROR(INDEX(Nutrition!$D$2:$D$300,MATCH($F1030,Nutrition!$A$2:$A$300,0))*$I1030/100,0))</f>
        <v>3.7519999999999998</v>
      </c>
      <c r="K1030" s="30">
        <f>IF(OR($F1030="",$I1030=""),0,IFERROR(INDEX(Nutrition!$E$2:$E$300,MATCH($F1030,Nutrition!$A$2:$A$300,0))*$I1030/100,0))</f>
        <v>38.994</v>
      </c>
      <c r="L1030" s="30">
        <f>IF(OR($F1030="",$I1030=""),0,IFERROR(INDEX(Nutrition!$F$2:$F$300,MATCH($F1030,Nutrition!$A$2:$A$300,0))*$I1030/100,0))</f>
        <v>2.68</v>
      </c>
      <c r="M1030" s="30">
        <f>IF(OR($F1030="",$I1030=""),0,IFERROR(INDEX(Nutrition!$G$2:$G$300,MATCH($F1030,Nutrition!$A$2:$A$300,0))*$I1030/100,0))</f>
        <v>0.80399999999999994</v>
      </c>
      <c r="N1030" s="30">
        <f>IF(OR($F1030="",$I1030=""),0,IFERROR(INDEX(Nutrition!$H$2:$H$300,MATCH($F1030,Nutrition!$A$2:$A$300,0))*$I1030/100,0))</f>
        <v>10.72</v>
      </c>
      <c r="O1030" s="30">
        <f>IF(OR($F1030="",$I1030=""),0,IFERROR(INDEX(Nutrition!$I$2:$I$300,MATCH($F1030,Nutrition!$A$2:$A$300,0))*$I1030/100,0))</f>
        <v>136.68</v>
      </c>
      <c r="P1030" s="30">
        <f>IF(OR($F1030="",$I1030=""),0,IFERROR(INDEX(Nutrition!$J$2:$J$300,MATCH($F1030,Nutrition!$A$2:$A$300,0))*$I1030/100,0))</f>
        <v>0.29480000000000001</v>
      </c>
      <c r="Q1030" s="30">
        <f>IF(OR($F1030="",$I1030=""),0,IFERROR(INDEX(Nutrition!$K$2:$K$300,MATCH($F1030,Nutrition!$A$2:$A$300,0))*$I1030/100,0))</f>
        <v>5.7619999999999998E-2</v>
      </c>
      <c r="R1030" s="30">
        <f>IF(OR($F1030="",$I1030=""),0,IFERROR(INDEX(Nutrition!$L$2:$L$300,MATCH($F1030,Nutrition!$A$2:$A$300,0))*$I1030/100,0))</f>
        <v>8.0399999999999991</v>
      </c>
      <c r="S1030" s="30">
        <f>IF(OR($F1030="",$I1030=""),0,IFERROR(INDEX(Nutrition!$M$2:$M$300,MATCH($F1030,Nutrition!$A$2:$A$300,0))*$I1030/100,0))</f>
        <v>0.80399999999999994</v>
      </c>
    </row>
    <row r="1031" spans="1:19" ht="15" customHeight="1" x14ac:dyDescent="0.25">
      <c r="A1031" s="22" t="s">
        <v>2232</v>
      </c>
      <c r="B1031" s="33" t="str">
        <f>IFERROR(INDEX(Recipes!$B$2:$B$500,MATCH(A1031,Recipes!$A$2:$A$500,0)),"")</f>
        <v>Melon, Cucumber &amp; Mint Salad</v>
      </c>
      <c r="C1031" s="7" t="s">
        <v>478</v>
      </c>
      <c r="D1031" s="34">
        <v>0.5</v>
      </c>
      <c r="E1031" s="22" t="s">
        <v>2754</v>
      </c>
      <c r="F1031" s="22" t="s">
        <v>477</v>
      </c>
      <c r="G1031" s="22" t="s">
        <v>2755</v>
      </c>
      <c r="H1031" s="7" t="s">
        <v>3020</v>
      </c>
      <c r="I1031" s="35">
        <v>10</v>
      </c>
      <c r="J1031" s="30">
        <f>IF(OR($F1031="",$I1031=""),0,IFERROR(INDEX(Nutrition!$D$2:$D$300,MATCH($F1031,Nutrition!$A$2:$A$300,0))*$I1031/100,0))</f>
        <v>0.15</v>
      </c>
      <c r="K1031" s="30">
        <f>IF(OR($F1031="",$I1031=""),0,IFERROR(INDEX(Nutrition!$E$2:$E$300,MATCH($F1031,Nutrition!$A$2:$A$300,0))*$I1031/100,0))</f>
        <v>14.37</v>
      </c>
      <c r="L1031" s="30">
        <f>IF(OR($F1031="",$I1031=""),0,IFERROR(INDEX(Nutrition!$F$2:$F$300,MATCH($F1031,Nutrition!$A$2:$A$300,0))*$I1031/100,0))</f>
        <v>4.8</v>
      </c>
      <c r="M1031" s="30">
        <f>IF(OR($F1031="",$I1031=""),0,IFERROR(INDEX(Nutrition!$G$2:$G$300,MATCH($F1031,Nutrition!$A$2:$A$300,0))*$I1031/100,0))</f>
        <v>1.4</v>
      </c>
      <c r="N1031" s="30">
        <f>IF(OR($F1031="",$I1031=""),0,IFERROR(INDEX(Nutrition!$H$2:$H$300,MATCH($F1031,Nutrition!$A$2:$A$300,0))*$I1031/100,0))</f>
        <v>2.2999999999999998</v>
      </c>
      <c r="O1031" s="30">
        <f>IF(OR($F1031="",$I1031=""),0,IFERROR(INDEX(Nutrition!$I$2:$I$300,MATCH($F1031,Nutrition!$A$2:$A$300,0))*$I1031/100,0))</f>
        <v>32.200000000000003</v>
      </c>
      <c r="P1031" s="30">
        <f>IF(OR($F1031="",$I1031=""),0,IFERROR(INDEX(Nutrition!$J$2:$J$300,MATCH($F1031,Nutrition!$A$2:$A$300,0))*$I1031/100,0))</f>
        <v>6.8999999999999992E-2</v>
      </c>
      <c r="Q1031" s="30">
        <f>IF(OR($F1031="",$I1031=""),0,IFERROR(INDEX(Nutrition!$K$2:$K$300,MATCH($F1031,Nutrition!$A$2:$A$300,0))*$I1031/100,0))</f>
        <v>5.0600000000000006E-2</v>
      </c>
      <c r="R1031" s="30">
        <f>IF(OR($F1031="",$I1031=""),0,IFERROR(INDEX(Nutrition!$L$2:$L$300,MATCH($F1031,Nutrition!$A$2:$A$300,0))*$I1031/100,0))</f>
        <v>2.2999999999999998</v>
      </c>
      <c r="S1031" s="30">
        <f>IF(OR($F1031="",$I1031=""),0,IFERROR(INDEX(Nutrition!$M$2:$M$300,MATCH($F1031,Nutrition!$A$2:$A$300,0))*$I1031/100,0))</f>
        <v>0.10300000000000001</v>
      </c>
    </row>
    <row r="1032" spans="1:19" ht="15" customHeight="1" x14ac:dyDescent="0.25">
      <c r="A1032" s="22" t="s">
        <v>2232</v>
      </c>
      <c r="B1032" s="33" t="str">
        <f>IFERROR(INDEX(Recipes!$B$2:$B$500,MATCH(A1032,Recipes!$A$2:$A$500,0)),"")</f>
        <v>Melon, Cucumber &amp; Mint Salad</v>
      </c>
      <c r="C1032" s="7" t="s">
        <v>2805</v>
      </c>
      <c r="D1032" s="34">
        <v>2</v>
      </c>
      <c r="E1032" s="22" t="s">
        <v>2753</v>
      </c>
      <c r="F1032" s="22"/>
      <c r="G1032" s="22" t="s">
        <v>2773</v>
      </c>
      <c r="H1032" s="7"/>
      <c r="I1032" s="35"/>
      <c r="J1032" s="30">
        <f>IF(OR($F1032="",$I1032=""),0,IFERROR(INDEX(Nutrition!$D$2:$D$300,MATCH($F1032,Nutrition!$A$2:$A$300,0))*$I1032/100,0))</f>
        <v>0</v>
      </c>
      <c r="K1032" s="30">
        <f>IF(OR($F1032="",$I1032=""),0,IFERROR(INDEX(Nutrition!$E$2:$E$300,MATCH($F1032,Nutrition!$A$2:$A$300,0))*$I1032/100,0))</f>
        <v>0</v>
      </c>
      <c r="L1032" s="30">
        <f>IF(OR($F1032="",$I1032=""),0,IFERROR(INDEX(Nutrition!$F$2:$F$300,MATCH($F1032,Nutrition!$A$2:$A$300,0))*$I1032/100,0))</f>
        <v>0</v>
      </c>
      <c r="M1032" s="30">
        <f>IF(OR($F1032="",$I1032=""),0,IFERROR(INDEX(Nutrition!$G$2:$G$300,MATCH($F1032,Nutrition!$A$2:$A$300,0))*$I1032/100,0))</f>
        <v>0</v>
      </c>
      <c r="N1032" s="30">
        <f>IF(OR($F1032="",$I1032=""),0,IFERROR(INDEX(Nutrition!$H$2:$H$300,MATCH($F1032,Nutrition!$A$2:$A$300,0))*$I1032/100,0))</f>
        <v>0</v>
      </c>
      <c r="O1032" s="30">
        <f>IF(OR($F1032="",$I1032=""),0,IFERROR(INDEX(Nutrition!$I$2:$I$300,MATCH($F1032,Nutrition!$A$2:$A$300,0))*$I1032/100,0))</f>
        <v>0</v>
      </c>
      <c r="P1032" s="30">
        <f>IF(OR($F1032="",$I1032=""),0,IFERROR(INDEX(Nutrition!$J$2:$J$300,MATCH($F1032,Nutrition!$A$2:$A$300,0))*$I1032/100,0))</f>
        <v>0</v>
      </c>
      <c r="Q1032" s="30">
        <f>IF(OR($F1032="",$I1032=""),0,IFERROR(INDEX(Nutrition!$K$2:$K$300,MATCH($F1032,Nutrition!$A$2:$A$300,0))*$I1032/100,0))</f>
        <v>0</v>
      </c>
      <c r="R1032" s="30">
        <f>IF(OR($F1032="",$I1032=""),0,IFERROR(INDEX(Nutrition!$L$2:$L$300,MATCH($F1032,Nutrition!$A$2:$A$300,0))*$I1032/100,0))</f>
        <v>0</v>
      </c>
      <c r="S1032" s="30">
        <f>IF(OR($F1032="",$I1032=""),0,IFERROR(INDEX(Nutrition!$M$2:$M$300,MATCH($F1032,Nutrition!$A$2:$A$300,0))*$I1032/100,0))</f>
        <v>0</v>
      </c>
    </row>
    <row r="1033" spans="1:19" ht="15" customHeight="1" x14ac:dyDescent="0.25">
      <c r="A1033" s="22" t="s">
        <v>2232</v>
      </c>
      <c r="B1033" s="33" t="str">
        <f>IFERROR(INDEX(Recipes!$B$2:$B$500,MATCH(A1033,Recipes!$A$2:$A$500,0)),"")</f>
        <v>Melon, Cucumber &amp; Mint Salad</v>
      </c>
      <c r="C1033" s="7" t="s">
        <v>2781</v>
      </c>
      <c r="D1033" s="34">
        <v>0.25</v>
      </c>
      <c r="E1033" s="22" t="s">
        <v>2759</v>
      </c>
      <c r="F1033" s="22"/>
      <c r="G1033" s="22" t="s">
        <v>2773</v>
      </c>
      <c r="H1033" s="7"/>
      <c r="I1033" s="35"/>
      <c r="J1033" s="30">
        <f>IF(OR($F1033="",$I1033=""),0,IFERROR(INDEX(Nutrition!$D$2:$D$300,MATCH($F1033,Nutrition!$A$2:$A$300,0))*$I1033/100,0))</f>
        <v>0</v>
      </c>
      <c r="K1033" s="30">
        <f>IF(OR($F1033="",$I1033=""),0,IFERROR(INDEX(Nutrition!$E$2:$E$300,MATCH($F1033,Nutrition!$A$2:$A$300,0))*$I1033/100,0))</f>
        <v>0</v>
      </c>
      <c r="L1033" s="30">
        <f>IF(OR($F1033="",$I1033=""),0,IFERROR(INDEX(Nutrition!$F$2:$F$300,MATCH($F1033,Nutrition!$A$2:$A$300,0))*$I1033/100,0))</f>
        <v>0</v>
      </c>
      <c r="M1033" s="30">
        <f>IF(OR($F1033="",$I1033=""),0,IFERROR(INDEX(Nutrition!$G$2:$G$300,MATCH($F1033,Nutrition!$A$2:$A$300,0))*$I1033/100,0))</f>
        <v>0</v>
      </c>
      <c r="N1033" s="30">
        <f>IF(OR($F1033="",$I1033=""),0,IFERROR(INDEX(Nutrition!$H$2:$H$300,MATCH($F1033,Nutrition!$A$2:$A$300,0))*$I1033/100,0))</f>
        <v>0</v>
      </c>
      <c r="O1033" s="30">
        <f>IF(OR($F1033="",$I1033=""),0,IFERROR(INDEX(Nutrition!$I$2:$I$300,MATCH($F1033,Nutrition!$A$2:$A$300,0))*$I1033/100,0))</f>
        <v>0</v>
      </c>
      <c r="P1033" s="30">
        <f>IF(OR($F1033="",$I1033=""),0,IFERROR(INDEX(Nutrition!$J$2:$J$300,MATCH($F1033,Nutrition!$A$2:$A$300,0))*$I1033/100,0))</f>
        <v>0</v>
      </c>
      <c r="Q1033" s="30">
        <f>IF(OR($F1033="",$I1033=""),0,IFERROR(INDEX(Nutrition!$K$2:$K$300,MATCH($F1033,Nutrition!$A$2:$A$300,0))*$I1033/100,0))</f>
        <v>0</v>
      </c>
      <c r="R1033" s="30">
        <f>IF(OR($F1033="",$I1033=""),0,IFERROR(INDEX(Nutrition!$L$2:$L$300,MATCH($F1033,Nutrition!$A$2:$A$300,0))*$I1033/100,0))</f>
        <v>0</v>
      </c>
      <c r="S1033" s="30">
        <f>IF(OR($F1033="",$I1033=""),0,IFERROR(INDEX(Nutrition!$M$2:$M$300,MATCH($F1033,Nutrition!$A$2:$A$300,0))*$I1033/100,0))</f>
        <v>0</v>
      </c>
    </row>
    <row r="1034" spans="1:19" ht="15" customHeight="1" x14ac:dyDescent="0.25">
      <c r="A1034" s="22" t="s">
        <v>2243</v>
      </c>
      <c r="B1034" s="33" t="str">
        <f>IFERROR(INDEX(Recipes!$B$2:$B$500,MATCH(A1034,Recipes!$A$2:$A$500,0)),"")</f>
        <v>Garlic Sautéed Greens (Spinach or Ugu)</v>
      </c>
      <c r="C1034" s="7" t="s">
        <v>643</v>
      </c>
      <c r="D1034" s="34">
        <v>300</v>
      </c>
      <c r="E1034" s="22" t="s">
        <v>2813</v>
      </c>
      <c r="F1034" s="22" t="s">
        <v>642</v>
      </c>
      <c r="G1034" s="22" t="s">
        <v>2755</v>
      </c>
      <c r="H1034" s="7" t="s">
        <v>3021</v>
      </c>
      <c r="I1034" s="35">
        <v>300</v>
      </c>
      <c r="J1034" s="30">
        <f>IF(OR($F1034="",$I1034=""),0,IFERROR(INDEX(Nutrition!$D$2:$D$300,MATCH($F1034,Nutrition!$A$2:$A$300,0))*$I1034/100,0))</f>
        <v>6.6</v>
      </c>
      <c r="K1034" s="30">
        <f>IF(OR($F1034="",$I1034=""),0,IFERROR(INDEX(Nutrition!$E$2:$E$300,MATCH($F1034,Nutrition!$A$2:$A$300,0))*$I1034/100,0))</f>
        <v>84.3</v>
      </c>
      <c r="L1034" s="30">
        <f>IF(OR($F1034="",$I1034=""),0,IFERROR(INDEX(Nutrition!$F$2:$F$300,MATCH($F1034,Nutrition!$A$2:$A$300,0))*$I1034/100,0))</f>
        <v>1407</v>
      </c>
      <c r="M1034" s="30">
        <f>IF(OR($F1034="",$I1034=""),0,IFERROR(INDEX(Nutrition!$G$2:$G$300,MATCH($F1034,Nutrition!$A$2:$A$300,0))*$I1034/100,0))</f>
        <v>1448.7</v>
      </c>
      <c r="N1034" s="30">
        <f>IF(OR($F1034="",$I1034=""),0,IFERROR(INDEX(Nutrition!$H$2:$H$300,MATCH($F1034,Nutrition!$A$2:$A$300,0))*$I1034/100,0))</f>
        <v>582</v>
      </c>
      <c r="O1034" s="30">
        <f>IF(OR($F1034="",$I1034=""),0,IFERROR(INDEX(Nutrition!$I$2:$I$300,MATCH($F1034,Nutrition!$A$2:$A$300,0))*$I1034/100,0))</f>
        <v>1674</v>
      </c>
      <c r="P1034" s="30">
        <f>IF(OR($F1034="",$I1034=""),0,IFERROR(INDEX(Nutrition!$J$2:$J$300,MATCH($F1034,Nutrition!$A$2:$A$300,0))*$I1034/100,0))</f>
        <v>6.089999999999999</v>
      </c>
      <c r="Q1034" s="30">
        <f>IF(OR($F1034="",$I1034=""),0,IFERROR(INDEX(Nutrition!$K$2:$K$300,MATCH($F1034,Nutrition!$A$2:$A$300,0))*$I1034/100,0))</f>
        <v>0.58499999999999996</v>
      </c>
      <c r="R1034" s="30">
        <f>IF(OR($F1034="",$I1034=""),0,IFERROR(INDEX(Nutrition!$L$2:$L$300,MATCH($F1034,Nutrition!$A$2:$A$300,0))*$I1034/100,0))</f>
        <v>237</v>
      </c>
      <c r="S1034" s="30">
        <f>IF(OR($F1034="",$I1034=""),0,IFERROR(INDEX(Nutrition!$M$2:$M$300,MATCH($F1034,Nutrition!$A$2:$A$300,0))*$I1034/100,0))</f>
        <v>8.1300000000000008</v>
      </c>
    </row>
    <row r="1035" spans="1:19" ht="15" customHeight="1" x14ac:dyDescent="0.25">
      <c r="A1035" s="22" t="s">
        <v>2243</v>
      </c>
      <c r="B1035" s="33" t="str">
        <f>IFERROR(INDEX(Recipes!$B$2:$B$500,MATCH(A1035,Recipes!$A$2:$A$500,0)),"")</f>
        <v>Garlic Sautéed Greens (Spinach or Ugu)</v>
      </c>
      <c r="C1035" s="7" t="s">
        <v>500</v>
      </c>
      <c r="D1035" s="34">
        <v>2</v>
      </c>
      <c r="E1035" s="22" t="s">
        <v>2776</v>
      </c>
      <c r="F1035" s="22" t="s">
        <v>499</v>
      </c>
      <c r="G1035" s="22" t="s">
        <v>2755</v>
      </c>
      <c r="H1035" s="7" t="s">
        <v>2775</v>
      </c>
      <c r="I1035" s="35">
        <v>6</v>
      </c>
      <c r="J1035" s="30">
        <f>IF(OR($F1035="",$I1035=""),0,IFERROR(INDEX(Nutrition!$D$2:$D$300,MATCH($F1035,Nutrition!$A$2:$A$300,0))*$I1035/100,0))</f>
        <v>0.126</v>
      </c>
      <c r="K1035" s="30">
        <f>IF(OR($F1035="",$I1035=""),0,IFERROR(INDEX(Nutrition!$E$2:$E$300,MATCH($F1035,Nutrition!$A$2:$A$300,0))*$I1035/100,0))</f>
        <v>1.8719999999999999</v>
      </c>
      <c r="L1035" s="30">
        <f>IF(OR($F1035="",$I1035=""),0,IFERROR(INDEX(Nutrition!$F$2:$F$300,MATCH($F1035,Nutrition!$A$2:$A$300,0))*$I1035/100,0))</f>
        <v>0</v>
      </c>
      <c r="M1035" s="30">
        <f>IF(OR($F1035="",$I1035=""),0,IFERROR(INDEX(Nutrition!$G$2:$G$300,MATCH($F1035,Nutrition!$A$2:$A$300,0))*$I1035/100,0))</f>
        <v>0.10199999999999999</v>
      </c>
      <c r="N1035" s="30">
        <f>IF(OR($F1035="",$I1035=""),0,IFERROR(INDEX(Nutrition!$H$2:$H$300,MATCH($F1035,Nutrition!$A$2:$A$300,0))*$I1035/100,0))</f>
        <v>0.18</v>
      </c>
      <c r="O1035" s="30">
        <f>IF(OR($F1035="",$I1035=""),0,IFERROR(INDEX(Nutrition!$I$2:$I$300,MATCH($F1035,Nutrition!$A$2:$A$300,0))*$I1035/100,0))</f>
        <v>24.06</v>
      </c>
      <c r="P1035" s="30">
        <f>IF(OR($F1035="",$I1035=""),0,IFERROR(INDEX(Nutrition!$J$2:$J$300,MATCH($F1035,Nutrition!$A$2:$A$300,0))*$I1035/100,0))</f>
        <v>4.7999999999999996E-3</v>
      </c>
      <c r="Q1035" s="30">
        <f>IF(OR($F1035="",$I1035=""),0,IFERROR(INDEX(Nutrition!$K$2:$K$300,MATCH($F1035,Nutrition!$A$2:$A$300,0))*$I1035/100,0))</f>
        <v>7.4099999999999999E-2</v>
      </c>
      <c r="R1035" s="30">
        <f>IF(OR($F1035="",$I1035=""),0,IFERROR(INDEX(Nutrition!$L$2:$L$300,MATCH($F1035,Nutrition!$A$2:$A$300,0))*$I1035/100,0))</f>
        <v>1.5</v>
      </c>
      <c r="S1035" s="30">
        <f>IF(OR($F1035="",$I1035=""),0,IFERROR(INDEX(Nutrition!$M$2:$M$300,MATCH($F1035,Nutrition!$A$2:$A$300,0))*$I1035/100,0))</f>
        <v>0.10199999999999999</v>
      </c>
    </row>
    <row r="1036" spans="1:19" ht="15" customHeight="1" x14ac:dyDescent="0.25">
      <c r="A1036" s="22" t="s">
        <v>2243</v>
      </c>
      <c r="B1036" s="33" t="str">
        <f>IFERROR(INDEX(Recipes!$B$2:$B$500,MATCH(A1036,Recipes!$A$2:$A$500,0)),"")</f>
        <v>Garlic Sautéed Greens (Spinach or Ugu)</v>
      </c>
      <c r="C1036" s="7" t="s">
        <v>213</v>
      </c>
      <c r="D1036" s="34">
        <v>0.5</v>
      </c>
      <c r="E1036" s="22" t="s">
        <v>2754</v>
      </c>
      <c r="F1036" s="22" t="s">
        <v>212</v>
      </c>
      <c r="G1036" s="22" t="s">
        <v>2755</v>
      </c>
      <c r="H1036" s="7" t="s">
        <v>2912</v>
      </c>
      <c r="I1036" s="35">
        <v>34</v>
      </c>
      <c r="J1036" s="30">
        <f>IF(OR($F1036="",$I1036=""),0,IFERROR(INDEX(Nutrition!$D$2:$D$300,MATCH($F1036,Nutrition!$A$2:$A$300,0))*$I1036/100,0))</f>
        <v>0.95199999999999985</v>
      </c>
      <c r="K1036" s="30">
        <f>IF(OR($F1036="",$I1036=""),0,IFERROR(INDEX(Nutrition!$E$2:$E$300,MATCH($F1036,Nutrition!$A$2:$A$300,0))*$I1036/100,0))</f>
        <v>9.8940000000000001</v>
      </c>
      <c r="L1036" s="30">
        <f>IF(OR($F1036="",$I1036=""),0,IFERROR(INDEX(Nutrition!$F$2:$F$300,MATCH($F1036,Nutrition!$A$2:$A$300,0))*$I1036/100,0))</f>
        <v>0.68</v>
      </c>
      <c r="M1036" s="30">
        <f>IF(OR($F1036="",$I1036=""),0,IFERROR(INDEX(Nutrition!$G$2:$G$300,MATCH($F1036,Nutrition!$A$2:$A$300,0))*$I1036/100,0))</f>
        <v>0.20399999999999999</v>
      </c>
      <c r="N1036" s="30">
        <f>IF(OR($F1036="",$I1036=""),0,IFERROR(INDEX(Nutrition!$H$2:$H$300,MATCH($F1036,Nutrition!$A$2:$A$300,0))*$I1036/100,0))</f>
        <v>2.72</v>
      </c>
      <c r="O1036" s="30">
        <f>IF(OR($F1036="",$I1036=""),0,IFERROR(INDEX(Nutrition!$I$2:$I$300,MATCH($F1036,Nutrition!$A$2:$A$300,0))*$I1036/100,0))</f>
        <v>34.68</v>
      </c>
      <c r="P1036" s="30">
        <f>IF(OR($F1036="",$I1036=""),0,IFERROR(INDEX(Nutrition!$J$2:$J$300,MATCH($F1036,Nutrition!$A$2:$A$300,0))*$I1036/100,0))</f>
        <v>7.4800000000000005E-2</v>
      </c>
      <c r="Q1036" s="30">
        <f>IF(OR($F1036="",$I1036=""),0,IFERROR(INDEX(Nutrition!$K$2:$K$300,MATCH($F1036,Nutrition!$A$2:$A$300,0))*$I1036/100,0))</f>
        <v>1.4619999999999999E-2</v>
      </c>
      <c r="R1036" s="30">
        <f>IF(OR($F1036="",$I1036=""),0,IFERROR(INDEX(Nutrition!$L$2:$L$300,MATCH($F1036,Nutrition!$A$2:$A$300,0))*$I1036/100,0))</f>
        <v>2.04</v>
      </c>
      <c r="S1036" s="30">
        <f>IF(OR($F1036="",$I1036=""),0,IFERROR(INDEX(Nutrition!$M$2:$M$300,MATCH($F1036,Nutrition!$A$2:$A$300,0))*$I1036/100,0))</f>
        <v>0.20399999999999999</v>
      </c>
    </row>
    <row r="1037" spans="1:19" ht="15" customHeight="1" x14ac:dyDescent="0.25">
      <c r="A1037" s="22" t="s">
        <v>2243</v>
      </c>
      <c r="B1037" s="33" t="str">
        <f>IFERROR(INDEX(Recipes!$B$2:$B$500,MATCH(A1037,Recipes!$A$2:$A$500,0)),"")</f>
        <v>Garlic Sautéed Greens (Spinach or Ugu)</v>
      </c>
      <c r="C1037" s="7" t="s">
        <v>2805</v>
      </c>
      <c r="D1037" s="34">
        <v>2</v>
      </c>
      <c r="E1037" s="22" t="s">
        <v>2759</v>
      </c>
      <c r="F1037" s="22"/>
      <c r="G1037" s="22" t="s">
        <v>2773</v>
      </c>
      <c r="H1037" s="7"/>
      <c r="I1037" s="35"/>
      <c r="J1037" s="30">
        <f>IF(OR($F1037="",$I1037=""),0,IFERROR(INDEX(Nutrition!$D$2:$D$300,MATCH($F1037,Nutrition!$A$2:$A$300,0))*$I1037/100,0))</f>
        <v>0</v>
      </c>
      <c r="K1037" s="30">
        <f>IF(OR($F1037="",$I1037=""),0,IFERROR(INDEX(Nutrition!$E$2:$E$300,MATCH($F1037,Nutrition!$A$2:$A$300,0))*$I1037/100,0))</f>
        <v>0</v>
      </c>
      <c r="L1037" s="30">
        <f>IF(OR($F1037="",$I1037=""),0,IFERROR(INDEX(Nutrition!$F$2:$F$300,MATCH($F1037,Nutrition!$A$2:$A$300,0))*$I1037/100,0))</f>
        <v>0</v>
      </c>
      <c r="M1037" s="30">
        <f>IF(OR($F1037="",$I1037=""),0,IFERROR(INDEX(Nutrition!$G$2:$G$300,MATCH($F1037,Nutrition!$A$2:$A$300,0))*$I1037/100,0))</f>
        <v>0</v>
      </c>
      <c r="N1037" s="30">
        <f>IF(OR($F1037="",$I1037=""),0,IFERROR(INDEX(Nutrition!$H$2:$H$300,MATCH($F1037,Nutrition!$A$2:$A$300,0))*$I1037/100,0))</f>
        <v>0</v>
      </c>
      <c r="O1037" s="30">
        <f>IF(OR($F1037="",$I1037=""),0,IFERROR(INDEX(Nutrition!$I$2:$I$300,MATCH($F1037,Nutrition!$A$2:$A$300,0))*$I1037/100,0))</f>
        <v>0</v>
      </c>
      <c r="P1037" s="30">
        <f>IF(OR($F1037="",$I1037=""),0,IFERROR(INDEX(Nutrition!$J$2:$J$300,MATCH($F1037,Nutrition!$A$2:$A$300,0))*$I1037/100,0))</f>
        <v>0</v>
      </c>
      <c r="Q1037" s="30">
        <f>IF(OR($F1037="",$I1037=""),0,IFERROR(INDEX(Nutrition!$K$2:$K$300,MATCH($F1037,Nutrition!$A$2:$A$300,0))*$I1037/100,0))</f>
        <v>0</v>
      </c>
      <c r="R1037" s="30">
        <f>IF(OR($F1037="",$I1037=""),0,IFERROR(INDEX(Nutrition!$L$2:$L$300,MATCH($F1037,Nutrition!$A$2:$A$300,0))*$I1037/100,0))</f>
        <v>0</v>
      </c>
      <c r="S1037" s="30">
        <f>IF(OR($F1037="",$I1037=""),0,IFERROR(INDEX(Nutrition!$M$2:$M$300,MATCH($F1037,Nutrition!$A$2:$A$300,0))*$I1037/100,0))</f>
        <v>0</v>
      </c>
    </row>
    <row r="1038" spans="1:19" ht="15" customHeight="1" x14ac:dyDescent="0.25">
      <c r="A1038" s="22" t="s">
        <v>2243</v>
      </c>
      <c r="B1038" s="33" t="str">
        <f>IFERROR(INDEX(Recipes!$B$2:$B$500,MATCH(A1038,Recipes!$A$2:$A$500,0)),"")</f>
        <v>Garlic Sautéed Greens (Spinach or Ugu)</v>
      </c>
      <c r="C1038" s="7" t="s">
        <v>2906</v>
      </c>
      <c r="D1038" s="34">
        <v>0.25</v>
      </c>
      <c r="E1038" s="22" t="s">
        <v>2759</v>
      </c>
      <c r="F1038" s="22"/>
      <c r="G1038" s="22" t="s">
        <v>2773</v>
      </c>
      <c r="H1038" s="7"/>
      <c r="I1038" s="35"/>
      <c r="J1038" s="30">
        <f>IF(OR($F1038="",$I1038=""),0,IFERROR(INDEX(Nutrition!$D$2:$D$300,MATCH($F1038,Nutrition!$A$2:$A$300,0))*$I1038/100,0))</f>
        <v>0</v>
      </c>
      <c r="K1038" s="30">
        <f>IF(OR($F1038="",$I1038=""),0,IFERROR(INDEX(Nutrition!$E$2:$E$300,MATCH($F1038,Nutrition!$A$2:$A$300,0))*$I1038/100,0))</f>
        <v>0</v>
      </c>
      <c r="L1038" s="30">
        <f>IF(OR($F1038="",$I1038=""),0,IFERROR(INDEX(Nutrition!$F$2:$F$300,MATCH($F1038,Nutrition!$A$2:$A$300,0))*$I1038/100,0))</f>
        <v>0</v>
      </c>
      <c r="M1038" s="30">
        <f>IF(OR($F1038="",$I1038=""),0,IFERROR(INDEX(Nutrition!$G$2:$G$300,MATCH($F1038,Nutrition!$A$2:$A$300,0))*$I1038/100,0))</f>
        <v>0</v>
      </c>
      <c r="N1038" s="30">
        <f>IF(OR($F1038="",$I1038=""),0,IFERROR(INDEX(Nutrition!$H$2:$H$300,MATCH($F1038,Nutrition!$A$2:$A$300,0))*$I1038/100,0))</f>
        <v>0</v>
      </c>
      <c r="O1038" s="30">
        <f>IF(OR($F1038="",$I1038=""),0,IFERROR(INDEX(Nutrition!$I$2:$I$300,MATCH($F1038,Nutrition!$A$2:$A$300,0))*$I1038/100,0))</f>
        <v>0</v>
      </c>
      <c r="P1038" s="30">
        <f>IF(OR($F1038="",$I1038=""),0,IFERROR(INDEX(Nutrition!$J$2:$J$300,MATCH($F1038,Nutrition!$A$2:$A$300,0))*$I1038/100,0))</f>
        <v>0</v>
      </c>
      <c r="Q1038" s="30">
        <f>IF(OR($F1038="",$I1038=""),0,IFERROR(INDEX(Nutrition!$K$2:$K$300,MATCH($F1038,Nutrition!$A$2:$A$300,0))*$I1038/100,0))</f>
        <v>0</v>
      </c>
      <c r="R1038" s="30">
        <f>IF(OR($F1038="",$I1038=""),0,IFERROR(INDEX(Nutrition!$L$2:$L$300,MATCH($F1038,Nutrition!$A$2:$A$300,0))*$I1038/100,0))</f>
        <v>0</v>
      </c>
      <c r="S1038" s="30">
        <f>IF(OR($F1038="",$I1038=""),0,IFERROR(INDEX(Nutrition!$M$2:$M$300,MATCH($F1038,Nutrition!$A$2:$A$300,0))*$I1038/100,0))</f>
        <v>0</v>
      </c>
    </row>
    <row r="1039" spans="1:19" ht="15" customHeight="1" x14ac:dyDescent="0.25">
      <c r="A1039" s="22" t="s">
        <v>2254</v>
      </c>
      <c r="B1039" s="33" t="str">
        <f>IFERROR(INDEX(Recipes!$B$2:$B$500,MATCH(A1039,Recipes!$A$2:$A$500,0)),"")</f>
        <v>Charred Broccoli with Lemon &amp; Garlic</v>
      </c>
      <c r="C1039" s="7" t="s">
        <v>576</v>
      </c>
      <c r="D1039" s="34">
        <v>350</v>
      </c>
      <c r="E1039" s="22" t="s">
        <v>2813</v>
      </c>
      <c r="F1039" s="22" t="s">
        <v>575</v>
      </c>
      <c r="G1039" s="22" t="s">
        <v>2755</v>
      </c>
      <c r="H1039" s="7" t="s">
        <v>3022</v>
      </c>
      <c r="I1039" s="35">
        <v>350</v>
      </c>
      <c r="J1039" s="30">
        <f>IF(OR($F1039="",$I1039=""),0,IFERROR(INDEX(Nutrition!$D$2:$D$300,MATCH($F1039,Nutrition!$A$2:$A$300,0))*$I1039/100,0))</f>
        <v>9.1</v>
      </c>
      <c r="K1039" s="30">
        <f>IF(OR($F1039="",$I1039=""),0,IFERROR(INDEX(Nutrition!$E$2:$E$300,MATCH($F1039,Nutrition!$A$2:$A$300,0))*$I1039/100,0))</f>
        <v>312.2</v>
      </c>
      <c r="L1039" s="30">
        <f>IF(OR($F1039="",$I1039=""),0,IFERROR(INDEX(Nutrition!$F$2:$F$300,MATCH($F1039,Nutrition!$A$2:$A$300,0))*$I1039/100,0))</f>
        <v>108.5</v>
      </c>
      <c r="M1039" s="30">
        <f>IF(OR($F1039="",$I1039=""),0,IFERROR(INDEX(Nutrition!$G$2:$G$300,MATCH($F1039,Nutrition!$A$2:$A$300,0))*$I1039/100,0))</f>
        <v>355.6</v>
      </c>
      <c r="N1039" s="30">
        <f>IF(OR($F1039="",$I1039=""),0,IFERROR(INDEX(Nutrition!$H$2:$H$300,MATCH($F1039,Nutrition!$A$2:$A$300,0))*$I1039/100,0))</f>
        <v>220.5</v>
      </c>
      <c r="O1039" s="30">
        <f>IF(OR($F1039="",$I1039=""),0,IFERROR(INDEX(Nutrition!$I$2:$I$300,MATCH($F1039,Nutrition!$A$2:$A$300,0))*$I1039/100,0))</f>
        <v>1106</v>
      </c>
      <c r="P1039" s="30">
        <f>IF(OR($F1039="",$I1039=""),0,IFERROR(INDEX(Nutrition!$J$2:$J$300,MATCH($F1039,Nutrition!$A$2:$A$300,0))*$I1039/100,0))</f>
        <v>2.73</v>
      </c>
      <c r="Q1039" s="30">
        <f>IF(OR($F1039="",$I1039=""),0,IFERROR(INDEX(Nutrition!$K$2:$K$300,MATCH($F1039,Nutrition!$A$2:$A$300,0))*$I1039/100,0))</f>
        <v>0.61249999999999993</v>
      </c>
      <c r="R1039" s="30">
        <f>IF(OR($F1039="",$I1039=""),0,IFERROR(INDEX(Nutrition!$L$2:$L$300,MATCH($F1039,Nutrition!$A$2:$A$300,0))*$I1039/100,0))</f>
        <v>73.5</v>
      </c>
      <c r="S1039" s="30">
        <f>IF(OR($F1039="",$I1039=""),0,IFERROR(INDEX(Nutrition!$M$2:$M$300,MATCH($F1039,Nutrition!$A$2:$A$300,0))*$I1039/100,0))</f>
        <v>2.5550000000000002</v>
      </c>
    </row>
    <row r="1040" spans="1:19" ht="15" customHeight="1" x14ac:dyDescent="0.25">
      <c r="A1040" s="22" t="s">
        <v>2254</v>
      </c>
      <c r="B1040" s="33" t="str">
        <f>IFERROR(INDEX(Recipes!$B$2:$B$500,MATCH(A1040,Recipes!$A$2:$A$500,0)),"")</f>
        <v>Charred Broccoli with Lemon &amp; Garlic</v>
      </c>
      <c r="C1040" s="7" t="s">
        <v>500</v>
      </c>
      <c r="D1040" s="34">
        <v>2</v>
      </c>
      <c r="E1040" s="22" t="s">
        <v>2776</v>
      </c>
      <c r="F1040" s="22" t="s">
        <v>499</v>
      </c>
      <c r="G1040" s="22" t="s">
        <v>2755</v>
      </c>
      <c r="H1040" s="7" t="s">
        <v>2902</v>
      </c>
      <c r="I1040" s="35">
        <v>6</v>
      </c>
      <c r="J1040" s="30">
        <f>IF(OR($F1040="",$I1040=""),0,IFERROR(INDEX(Nutrition!$D$2:$D$300,MATCH($F1040,Nutrition!$A$2:$A$300,0))*$I1040/100,0))</f>
        <v>0.126</v>
      </c>
      <c r="K1040" s="30">
        <f>IF(OR($F1040="",$I1040=""),0,IFERROR(INDEX(Nutrition!$E$2:$E$300,MATCH($F1040,Nutrition!$A$2:$A$300,0))*$I1040/100,0))</f>
        <v>1.8719999999999999</v>
      </c>
      <c r="L1040" s="30">
        <f>IF(OR($F1040="",$I1040=""),0,IFERROR(INDEX(Nutrition!$F$2:$F$300,MATCH($F1040,Nutrition!$A$2:$A$300,0))*$I1040/100,0))</f>
        <v>0</v>
      </c>
      <c r="M1040" s="30">
        <f>IF(OR($F1040="",$I1040=""),0,IFERROR(INDEX(Nutrition!$G$2:$G$300,MATCH($F1040,Nutrition!$A$2:$A$300,0))*$I1040/100,0))</f>
        <v>0.10199999999999999</v>
      </c>
      <c r="N1040" s="30">
        <f>IF(OR($F1040="",$I1040=""),0,IFERROR(INDEX(Nutrition!$H$2:$H$300,MATCH($F1040,Nutrition!$A$2:$A$300,0))*$I1040/100,0))</f>
        <v>0.18</v>
      </c>
      <c r="O1040" s="30">
        <f>IF(OR($F1040="",$I1040=""),0,IFERROR(INDEX(Nutrition!$I$2:$I$300,MATCH($F1040,Nutrition!$A$2:$A$300,0))*$I1040/100,0))</f>
        <v>24.06</v>
      </c>
      <c r="P1040" s="30">
        <f>IF(OR($F1040="",$I1040=""),0,IFERROR(INDEX(Nutrition!$J$2:$J$300,MATCH($F1040,Nutrition!$A$2:$A$300,0))*$I1040/100,0))</f>
        <v>4.7999999999999996E-3</v>
      </c>
      <c r="Q1040" s="30">
        <f>IF(OR($F1040="",$I1040=""),0,IFERROR(INDEX(Nutrition!$K$2:$K$300,MATCH($F1040,Nutrition!$A$2:$A$300,0))*$I1040/100,0))</f>
        <v>7.4099999999999999E-2</v>
      </c>
      <c r="R1040" s="30">
        <f>IF(OR($F1040="",$I1040=""),0,IFERROR(INDEX(Nutrition!$L$2:$L$300,MATCH($F1040,Nutrition!$A$2:$A$300,0))*$I1040/100,0))</f>
        <v>1.5</v>
      </c>
      <c r="S1040" s="30">
        <f>IF(OR($F1040="",$I1040=""),0,IFERROR(INDEX(Nutrition!$M$2:$M$300,MATCH($F1040,Nutrition!$A$2:$A$300,0))*$I1040/100,0))</f>
        <v>0.10199999999999999</v>
      </c>
    </row>
    <row r="1041" spans="1:19" ht="15" customHeight="1" x14ac:dyDescent="0.25">
      <c r="A1041" s="22" t="s">
        <v>2254</v>
      </c>
      <c r="B1041" s="33" t="str">
        <f>IFERROR(INDEX(Recipes!$B$2:$B$500,MATCH(A1041,Recipes!$A$2:$A$500,0)),"")</f>
        <v>Charred Broccoli with Lemon &amp; Garlic</v>
      </c>
      <c r="C1041" s="7" t="s">
        <v>206</v>
      </c>
      <c r="D1041" s="34">
        <v>0.5</v>
      </c>
      <c r="E1041" s="22" t="s">
        <v>2754</v>
      </c>
      <c r="F1041" s="22" t="s">
        <v>205</v>
      </c>
      <c r="G1041" s="22" t="s">
        <v>2755</v>
      </c>
      <c r="H1041" s="7" t="s">
        <v>3023</v>
      </c>
      <c r="I1041" s="35">
        <v>29</v>
      </c>
      <c r="J1041" s="30">
        <f>IF(OR($F1041="",$I1041=""),0,IFERROR(INDEX(Nutrition!$D$2:$D$300,MATCH($F1041,Nutrition!$A$2:$A$300,0))*$I1041/100,0))</f>
        <v>0.81199999999999983</v>
      </c>
      <c r="K1041" s="30">
        <f>IF(OR($F1041="",$I1041=""),0,IFERROR(INDEX(Nutrition!$E$2:$E$300,MATCH($F1041,Nutrition!$A$2:$A$300,0))*$I1041/100,0))</f>
        <v>15.37</v>
      </c>
      <c r="L1041" s="30">
        <f>IF(OR($F1041="",$I1041=""),0,IFERROR(INDEX(Nutrition!$F$2:$F$300,MATCH($F1041,Nutrition!$A$2:$A$300,0))*$I1041/100,0))</f>
        <v>0.28999999999999998</v>
      </c>
      <c r="M1041" s="30">
        <f>IF(OR($F1041="",$I1041=""),0,IFERROR(INDEX(Nutrition!$G$2:$G$300,MATCH($F1041,Nutrition!$A$2:$A$300,0))*$I1041/100,0))</f>
        <v>0</v>
      </c>
      <c r="N1041" s="30">
        <f>IF(OR($F1041="",$I1041=""),0,IFERROR(INDEX(Nutrition!$H$2:$H$300,MATCH($F1041,Nutrition!$A$2:$A$300,0))*$I1041/100,0))</f>
        <v>3.19</v>
      </c>
      <c r="O1041" s="30">
        <f>IF(OR($F1041="",$I1041=""),0,IFERROR(INDEX(Nutrition!$I$2:$I$300,MATCH($F1041,Nutrition!$A$2:$A$300,0))*$I1041/100,0))</f>
        <v>40.020000000000003</v>
      </c>
      <c r="P1041" s="30">
        <f>IF(OR($F1041="",$I1041=""),0,IFERROR(INDEX(Nutrition!$J$2:$J$300,MATCH($F1041,Nutrition!$A$2:$A$300,0))*$I1041/100,0))</f>
        <v>4.3499999999999997E-2</v>
      </c>
      <c r="Q1041" s="30">
        <f>IF(OR($F1041="",$I1041=""),0,IFERROR(INDEX(Nutrition!$K$2:$K$300,MATCH($F1041,Nutrition!$A$2:$A$300,0))*$I1041/100,0))</f>
        <v>2.3199999999999998E-2</v>
      </c>
      <c r="R1041" s="30">
        <f>IF(OR($F1041="",$I1041=""),0,IFERROR(INDEX(Nutrition!$L$2:$L$300,MATCH($F1041,Nutrition!$A$2:$A$300,0))*$I1041/100,0))</f>
        <v>2.3199999999999998</v>
      </c>
      <c r="S1041" s="30">
        <f>IF(OR($F1041="",$I1041=""),0,IFERROR(INDEX(Nutrition!$M$2:$M$300,MATCH($F1041,Nutrition!$A$2:$A$300,0))*$I1041/100,0))</f>
        <v>0.17399999999999999</v>
      </c>
    </row>
    <row r="1042" spans="1:19" ht="15" customHeight="1" x14ac:dyDescent="0.25">
      <c r="A1042" s="22" t="s">
        <v>2254</v>
      </c>
      <c r="B1042" s="33" t="str">
        <f>IFERROR(INDEX(Recipes!$B$2:$B$500,MATCH(A1042,Recipes!$A$2:$A$500,0)),"")</f>
        <v>Charred Broccoli with Lemon &amp; Garlic</v>
      </c>
      <c r="C1042" s="7" t="s">
        <v>428</v>
      </c>
      <c r="D1042" s="34">
        <v>2</v>
      </c>
      <c r="E1042" s="22" t="s">
        <v>2753</v>
      </c>
      <c r="F1042" s="22" t="s">
        <v>427</v>
      </c>
      <c r="G1042" s="22" t="s">
        <v>2755</v>
      </c>
      <c r="H1042" s="7" t="s">
        <v>2765</v>
      </c>
      <c r="I1042" s="35">
        <v>30</v>
      </c>
      <c r="J1042" s="30">
        <f>IF(OR($F1042="",$I1042=""),0,IFERROR(INDEX(Nutrition!$D$2:$D$300,MATCH($F1042,Nutrition!$A$2:$A$300,0))*$I1042/100,0))</f>
        <v>2.5499999999999998</v>
      </c>
      <c r="K1042" s="30">
        <f>IF(OR($F1042="",$I1042=""),0,IFERROR(INDEX(Nutrition!$E$2:$E$300,MATCH($F1042,Nutrition!$A$2:$A$300,0))*$I1042/100,0))</f>
        <v>0</v>
      </c>
      <c r="L1042" s="30">
        <f>IF(OR($F1042="",$I1042=""),0,IFERROR(INDEX(Nutrition!$F$2:$F$300,MATCH($F1042,Nutrition!$A$2:$A$300,0))*$I1042/100,0))</f>
        <v>0</v>
      </c>
      <c r="M1042" s="30">
        <f>IF(OR($F1042="",$I1042=""),0,IFERROR(INDEX(Nutrition!$G$2:$G$300,MATCH($F1042,Nutrition!$A$2:$A$300,0))*$I1042/100,0))</f>
        <v>0</v>
      </c>
      <c r="N1042" s="30">
        <f>IF(OR($F1042="",$I1042=""),0,IFERROR(INDEX(Nutrition!$H$2:$H$300,MATCH($F1042,Nutrition!$A$2:$A$300,0))*$I1042/100,0))</f>
        <v>72</v>
      </c>
      <c r="O1042" s="30">
        <f>IF(OR($F1042="",$I1042=""),0,IFERROR(INDEX(Nutrition!$I$2:$I$300,MATCH($F1042,Nutrition!$A$2:$A$300,0))*$I1042/100,0))</f>
        <v>211.5</v>
      </c>
      <c r="P1042" s="30">
        <f>IF(OR($F1042="",$I1042=""),0,IFERROR(INDEX(Nutrition!$J$2:$J$300,MATCH($F1042,Nutrition!$A$2:$A$300,0))*$I1042/100,0))</f>
        <v>2.4990000000000001</v>
      </c>
      <c r="Q1042" s="30">
        <f>IF(OR($F1042="",$I1042=""),0,IFERROR(INDEX(Nutrition!$K$2:$K$300,MATCH($F1042,Nutrition!$A$2:$A$300,0))*$I1042/100,0))</f>
        <v>0.10439999999999999</v>
      </c>
      <c r="R1042" s="30">
        <f>IF(OR($F1042="",$I1042=""),0,IFERROR(INDEX(Nutrition!$L$2:$L$300,MATCH($F1042,Nutrition!$A$2:$A$300,0))*$I1042/100,0))</f>
        <v>50.4</v>
      </c>
      <c r="S1042" s="30">
        <f>IF(OR($F1042="",$I1042=""),0,IFERROR(INDEX(Nutrition!$M$2:$M$300,MATCH($F1042,Nutrition!$A$2:$A$300,0))*$I1042/100,0))</f>
        <v>1.3740000000000001</v>
      </c>
    </row>
    <row r="1043" spans="1:19" ht="15" customHeight="1" x14ac:dyDescent="0.25">
      <c r="A1043" s="22" t="s">
        <v>2254</v>
      </c>
      <c r="B1043" s="33" t="str">
        <f>IFERROR(INDEX(Recipes!$B$2:$B$500,MATCH(A1043,Recipes!$A$2:$A$500,0)),"")</f>
        <v>Charred Broccoli with Lemon &amp; Garlic</v>
      </c>
      <c r="C1043" s="7" t="s">
        <v>478</v>
      </c>
      <c r="D1043" s="34">
        <v>0.5</v>
      </c>
      <c r="E1043" s="22" t="s">
        <v>2754</v>
      </c>
      <c r="F1043" s="22" t="s">
        <v>477</v>
      </c>
      <c r="G1043" s="22" t="s">
        <v>2755</v>
      </c>
      <c r="H1043" s="7" t="s">
        <v>3024</v>
      </c>
      <c r="I1043" s="35">
        <v>10</v>
      </c>
      <c r="J1043" s="30">
        <f>IF(OR($F1043="",$I1043=""),0,IFERROR(INDEX(Nutrition!$D$2:$D$300,MATCH($F1043,Nutrition!$A$2:$A$300,0))*$I1043/100,0))</f>
        <v>0.15</v>
      </c>
      <c r="K1043" s="30">
        <f>IF(OR($F1043="",$I1043=""),0,IFERROR(INDEX(Nutrition!$E$2:$E$300,MATCH($F1043,Nutrition!$A$2:$A$300,0))*$I1043/100,0))</f>
        <v>14.37</v>
      </c>
      <c r="L1043" s="30">
        <f>IF(OR($F1043="",$I1043=""),0,IFERROR(INDEX(Nutrition!$F$2:$F$300,MATCH($F1043,Nutrition!$A$2:$A$300,0))*$I1043/100,0))</f>
        <v>4.8</v>
      </c>
      <c r="M1043" s="30">
        <f>IF(OR($F1043="",$I1043=""),0,IFERROR(INDEX(Nutrition!$G$2:$G$300,MATCH($F1043,Nutrition!$A$2:$A$300,0))*$I1043/100,0))</f>
        <v>1.4</v>
      </c>
      <c r="N1043" s="30">
        <f>IF(OR($F1043="",$I1043=""),0,IFERROR(INDEX(Nutrition!$H$2:$H$300,MATCH($F1043,Nutrition!$A$2:$A$300,0))*$I1043/100,0))</f>
        <v>2.2999999999999998</v>
      </c>
      <c r="O1043" s="30">
        <f>IF(OR($F1043="",$I1043=""),0,IFERROR(INDEX(Nutrition!$I$2:$I$300,MATCH($F1043,Nutrition!$A$2:$A$300,0))*$I1043/100,0))</f>
        <v>32.200000000000003</v>
      </c>
      <c r="P1043" s="30">
        <f>IF(OR($F1043="",$I1043=""),0,IFERROR(INDEX(Nutrition!$J$2:$J$300,MATCH($F1043,Nutrition!$A$2:$A$300,0))*$I1043/100,0))</f>
        <v>6.8999999999999992E-2</v>
      </c>
      <c r="Q1043" s="30">
        <f>IF(OR($F1043="",$I1043=""),0,IFERROR(INDEX(Nutrition!$K$2:$K$300,MATCH($F1043,Nutrition!$A$2:$A$300,0))*$I1043/100,0))</f>
        <v>5.0600000000000006E-2</v>
      </c>
      <c r="R1043" s="30">
        <f>IF(OR($F1043="",$I1043=""),0,IFERROR(INDEX(Nutrition!$L$2:$L$300,MATCH($F1043,Nutrition!$A$2:$A$300,0))*$I1043/100,0))</f>
        <v>2.2999999999999998</v>
      </c>
      <c r="S1043" s="30">
        <f>IF(OR($F1043="",$I1043=""),0,IFERROR(INDEX(Nutrition!$M$2:$M$300,MATCH($F1043,Nutrition!$A$2:$A$300,0))*$I1043/100,0))</f>
        <v>0.10300000000000001</v>
      </c>
    </row>
    <row r="1044" spans="1:19" ht="15" customHeight="1" x14ac:dyDescent="0.25">
      <c r="A1044" s="22" t="s">
        <v>2254</v>
      </c>
      <c r="B1044" s="33" t="str">
        <f>IFERROR(INDEX(Recipes!$B$2:$B$500,MATCH(A1044,Recipes!$A$2:$A$500,0)),"")</f>
        <v>Charred Broccoli with Lemon &amp; Garlic</v>
      </c>
      <c r="C1044" s="7" t="s">
        <v>2805</v>
      </c>
      <c r="D1044" s="34">
        <v>1.5</v>
      </c>
      <c r="E1044" s="22" t="s">
        <v>2753</v>
      </c>
      <c r="F1044" s="22"/>
      <c r="G1044" s="22" t="s">
        <v>2773</v>
      </c>
      <c r="H1044" s="7"/>
      <c r="I1044" s="35"/>
      <c r="J1044" s="30">
        <f>IF(OR($F1044="",$I1044=""),0,IFERROR(INDEX(Nutrition!$D$2:$D$300,MATCH($F1044,Nutrition!$A$2:$A$300,0))*$I1044/100,0))</f>
        <v>0</v>
      </c>
      <c r="K1044" s="30">
        <f>IF(OR($F1044="",$I1044=""),0,IFERROR(INDEX(Nutrition!$E$2:$E$300,MATCH($F1044,Nutrition!$A$2:$A$300,0))*$I1044/100,0))</f>
        <v>0</v>
      </c>
      <c r="L1044" s="30">
        <f>IF(OR($F1044="",$I1044=""),0,IFERROR(INDEX(Nutrition!$F$2:$F$300,MATCH($F1044,Nutrition!$A$2:$A$300,0))*$I1044/100,0))</f>
        <v>0</v>
      </c>
      <c r="M1044" s="30">
        <f>IF(OR($F1044="",$I1044=""),0,IFERROR(INDEX(Nutrition!$G$2:$G$300,MATCH($F1044,Nutrition!$A$2:$A$300,0))*$I1044/100,0))</f>
        <v>0</v>
      </c>
      <c r="N1044" s="30">
        <f>IF(OR($F1044="",$I1044=""),0,IFERROR(INDEX(Nutrition!$H$2:$H$300,MATCH($F1044,Nutrition!$A$2:$A$300,0))*$I1044/100,0))</f>
        <v>0</v>
      </c>
      <c r="O1044" s="30">
        <f>IF(OR($F1044="",$I1044=""),0,IFERROR(INDEX(Nutrition!$I$2:$I$300,MATCH($F1044,Nutrition!$A$2:$A$300,0))*$I1044/100,0))</f>
        <v>0</v>
      </c>
      <c r="P1044" s="30">
        <f>IF(OR($F1044="",$I1044=""),0,IFERROR(INDEX(Nutrition!$J$2:$J$300,MATCH($F1044,Nutrition!$A$2:$A$300,0))*$I1044/100,0))</f>
        <v>0</v>
      </c>
      <c r="Q1044" s="30">
        <f>IF(OR($F1044="",$I1044=""),0,IFERROR(INDEX(Nutrition!$K$2:$K$300,MATCH($F1044,Nutrition!$A$2:$A$300,0))*$I1044/100,0))</f>
        <v>0</v>
      </c>
      <c r="R1044" s="30">
        <f>IF(OR($F1044="",$I1044=""),0,IFERROR(INDEX(Nutrition!$L$2:$L$300,MATCH($F1044,Nutrition!$A$2:$A$300,0))*$I1044/100,0))</f>
        <v>0</v>
      </c>
      <c r="S1044" s="30">
        <f>IF(OR($F1044="",$I1044=""),0,IFERROR(INDEX(Nutrition!$M$2:$M$300,MATCH($F1044,Nutrition!$A$2:$A$300,0))*$I1044/100,0))</f>
        <v>0</v>
      </c>
    </row>
    <row r="1045" spans="1:19" ht="15" customHeight="1" x14ac:dyDescent="0.25">
      <c r="A1045" s="22" t="s">
        <v>2254</v>
      </c>
      <c r="B1045" s="33" t="str">
        <f>IFERROR(INDEX(Recipes!$B$2:$B$500,MATCH(A1045,Recipes!$A$2:$A$500,0)),"")</f>
        <v>Charred Broccoli with Lemon &amp; Garlic</v>
      </c>
      <c r="C1045" s="7" t="s">
        <v>2906</v>
      </c>
      <c r="D1045" s="34">
        <v>1</v>
      </c>
      <c r="E1045" s="22" t="s">
        <v>2782</v>
      </c>
      <c r="F1045" s="22"/>
      <c r="G1045" s="22" t="s">
        <v>2773</v>
      </c>
      <c r="H1045" s="7"/>
      <c r="I1045" s="35"/>
      <c r="J1045" s="30">
        <f>IF(OR($F1045="",$I1045=""),0,IFERROR(INDEX(Nutrition!$D$2:$D$300,MATCH($F1045,Nutrition!$A$2:$A$300,0))*$I1045/100,0))</f>
        <v>0</v>
      </c>
      <c r="K1045" s="30">
        <f>IF(OR($F1045="",$I1045=""),0,IFERROR(INDEX(Nutrition!$E$2:$E$300,MATCH($F1045,Nutrition!$A$2:$A$300,0))*$I1045/100,0))</f>
        <v>0</v>
      </c>
      <c r="L1045" s="30">
        <f>IF(OR($F1045="",$I1045=""),0,IFERROR(INDEX(Nutrition!$F$2:$F$300,MATCH($F1045,Nutrition!$A$2:$A$300,0))*$I1045/100,0))</f>
        <v>0</v>
      </c>
      <c r="M1045" s="30">
        <f>IF(OR($F1045="",$I1045=""),0,IFERROR(INDEX(Nutrition!$G$2:$G$300,MATCH($F1045,Nutrition!$A$2:$A$300,0))*$I1045/100,0))</f>
        <v>0</v>
      </c>
      <c r="N1045" s="30">
        <f>IF(OR($F1045="",$I1045=""),0,IFERROR(INDEX(Nutrition!$H$2:$H$300,MATCH($F1045,Nutrition!$A$2:$A$300,0))*$I1045/100,0))</f>
        <v>0</v>
      </c>
      <c r="O1045" s="30">
        <f>IF(OR($F1045="",$I1045=""),0,IFERROR(INDEX(Nutrition!$I$2:$I$300,MATCH($F1045,Nutrition!$A$2:$A$300,0))*$I1045/100,0))</f>
        <v>0</v>
      </c>
      <c r="P1045" s="30">
        <f>IF(OR($F1045="",$I1045=""),0,IFERROR(INDEX(Nutrition!$J$2:$J$300,MATCH($F1045,Nutrition!$A$2:$A$300,0))*$I1045/100,0))</f>
        <v>0</v>
      </c>
      <c r="Q1045" s="30">
        <f>IF(OR($F1045="",$I1045=""),0,IFERROR(INDEX(Nutrition!$K$2:$K$300,MATCH($F1045,Nutrition!$A$2:$A$300,0))*$I1045/100,0))</f>
        <v>0</v>
      </c>
      <c r="R1045" s="30">
        <f>IF(OR($F1045="",$I1045=""),0,IFERROR(INDEX(Nutrition!$L$2:$L$300,MATCH($F1045,Nutrition!$A$2:$A$300,0))*$I1045/100,0))</f>
        <v>0</v>
      </c>
      <c r="S1045" s="30">
        <f>IF(OR($F1045="",$I1045=""),0,IFERROR(INDEX(Nutrition!$M$2:$M$300,MATCH($F1045,Nutrition!$A$2:$A$300,0))*$I1045/100,0))</f>
        <v>0</v>
      </c>
    </row>
    <row r="1046" spans="1:19" ht="15" customHeight="1" x14ac:dyDescent="0.25">
      <c r="A1046" s="22" t="s">
        <v>2265</v>
      </c>
      <c r="B1046" s="33" t="str">
        <f>IFERROR(INDEX(Recipes!$B$2:$B$500,MATCH(A1046,Recipes!$A$2:$A$500,0)),"")</f>
        <v>Honey-Roasted Carrots with Ginger</v>
      </c>
      <c r="C1046" s="7" t="s">
        <v>529</v>
      </c>
      <c r="D1046" s="34">
        <v>450</v>
      </c>
      <c r="E1046" s="22" t="s">
        <v>2813</v>
      </c>
      <c r="F1046" s="22" t="s">
        <v>528</v>
      </c>
      <c r="G1046" s="22" t="s">
        <v>2755</v>
      </c>
      <c r="H1046" s="7" t="s">
        <v>3025</v>
      </c>
      <c r="I1046" s="35">
        <v>450</v>
      </c>
      <c r="J1046" s="30">
        <f>IF(OR($F1046="",$I1046=""),0,IFERROR(INDEX(Nutrition!$D$2:$D$300,MATCH($F1046,Nutrition!$A$2:$A$300,0))*$I1046/100,0))</f>
        <v>12.6</v>
      </c>
      <c r="K1046" s="30">
        <f>IF(OR($F1046="",$I1046=""),0,IFERROR(INDEX(Nutrition!$E$2:$E$300,MATCH($F1046,Nutrition!$A$2:$A$300,0))*$I1046/100,0))</f>
        <v>26.55</v>
      </c>
      <c r="L1046" s="30">
        <f>IF(OR($F1046="",$I1046=""),0,IFERROR(INDEX(Nutrition!$F$2:$F$300,MATCH($F1046,Nutrition!$A$2:$A$300,0))*$I1046/100,0))</f>
        <v>3757.5</v>
      </c>
      <c r="M1046" s="30">
        <f>IF(OR($F1046="",$I1046=""),0,IFERROR(INDEX(Nutrition!$G$2:$G$300,MATCH($F1046,Nutrition!$A$2:$A$300,0))*$I1046/100,0))</f>
        <v>59.4</v>
      </c>
      <c r="N1046" s="30">
        <f>IF(OR($F1046="",$I1046=""),0,IFERROR(INDEX(Nutrition!$H$2:$H$300,MATCH($F1046,Nutrition!$A$2:$A$300,0))*$I1046/100,0))</f>
        <v>85.5</v>
      </c>
      <c r="O1046" s="30">
        <f>IF(OR($F1046="",$I1046=""),0,IFERROR(INDEX(Nutrition!$I$2:$I$300,MATCH($F1046,Nutrition!$A$2:$A$300,0))*$I1046/100,0))</f>
        <v>1440</v>
      </c>
      <c r="P1046" s="30">
        <f>IF(OR($F1046="",$I1046=""),0,IFERROR(INDEX(Nutrition!$J$2:$J$300,MATCH($F1046,Nutrition!$A$2:$A$300,0))*$I1046/100,0))</f>
        <v>2.97</v>
      </c>
      <c r="Q1046" s="30">
        <f>IF(OR($F1046="",$I1046=""),0,IFERROR(INDEX(Nutrition!$K$2:$K$300,MATCH($F1046,Nutrition!$A$2:$A$300,0))*$I1046/100,0))</f>
        <v>0.62100000000000011</v>
      </c>
      <c r="R1046" s="30">
        <f>IF(OR($F1046="",$I1046=""),0,IFERROR(INDEX(Nutrition!$L$2:$L$300,MATCH($F1046,Nutrition!$A$2:$A$300,0))*$I1046/100,0))</f>
        <v>54</v>
      </c>
      <c r="S1046" s="30">
        <f>IF(OR($F1046="",$I1046=""),0,IFERROR(INDEX(Nutrition!$M$2:$M$300,MATCH($F1046,Nutrition!$A$2:$A$300,0))*$I1046/100,0))</f>
        <v>1.35</v>
      </c>
    </row>
    <row r="1047" spans="1:19" ht="15" customHeight="1" x14ac:dyDescent="0.25">
      <c r="A1047" s="22" t="s">
        <v>2265</v>
      </c>
      <c r="B1047" s="33" t="str">
        <f>IFERROR(INDEX(Recipes!$B$2:$B$500,MATCH(A1047,Recipes!$A$2:$A$500,0)),"")</f>
        <v>Honey-Roasted Carrots with Ginger</v>
      </c>
      <c r="C1047" s="7" t="s">
        <v>508</v>
      </c>
      <c r="D1047" s="34">
        <v>1</v>
      </c>
      <c r="E1047" s="22" t="s">
        <v>2821</v>
      </c>
      <c r="F1047" s="22" t="s">
        <v>507</v>
      </c>
      <c r="G1047" s="22" t="s">
        <v>2755</v>
      </c>
      <c r="H1047" s="7" t="s">
        <v>2791</v>
      </c>
      <c r="I1047" s="35">
        <v>15</v>
      </c>
      <c r="J1047" s="30">
        <f>IF(OR($F1047="",$I1047=""),0,IFERROR(INDEX(Nutrition!$D$2:$D$300,MATCH($F1047,Nutrition!$A$2:$A$300,0))*$I1047/100,0))</f>
        <v>0.3</v>
      </c>
      <c r="K1047" s="30">
        <f>IF(OR($F1047="",$I1047=""),0,IFERROR(INDEX(Nutrition!$E$2:$E$300,MATCH($F1047,Nutrition!$A$2:$A$300,0))*$I1047/100,0))</f>
        <v>0.75</v>
      </c>
      <c r="L1047" s="30">
        <f>IF(OR($F1047="",$I1047=""),0,IFERROR(INDEX(Nutrition!$F$2:$F$300,MATCH($F1047,Nutrition!$A$2:$A$300,0))*$I1047/100,0))</f>
        <v>0</v>
      </c>
      <c r="M1047" s="30">
        <f>IF(OR($F1047="",$I1047=""),0,IFERROR(INDEX(Nutrition!$G$2:$G$300,MATCH($F1047,Nutrition!$A$2:$A$300,0))*$I1047/100,0))</f>
        <v>1.4999999999999999E-2</v>
      </c>
      <c r="N1047" s="30">
        <f>IF(OR($F1047="",$I1047=""),0,IFERROR(INDEX(Nutrition!$H$2:$H$300,MATCH($F1047,Nutrition!$A$2:$A$300,0))*$I1047/100,0))</f>
        <v>1.65</v>
      </c>
      <c r="O1047" s="30">
        <f>IF(OR($F1047="",$I1047=""),0,IFERROR(INDEX(Nutrition!$I$2:$I$300,MATCH($F1047,Nutrition!$A$2:$A$300,0))*$I1047/100,0))</f>
        <v>62.25</v>
      </c>
      <c r="P1047" s="30">
        <f>IF(OR($F1047="",$I1047=""),0,IFERROR(INDEX(Nutrition!$J$2:$J$300,MATCH($F1047,Nutrition!$A$2:$A$300,0))*$I1047/100,0))</f>
        <v>3.9000000000000007E-2</v>
      </c>
      <c r="Q1047" s="30">
        <f>IF(OR($F1047="",$I1047=""),0,IFERROR(INDEX(Nutrition!$K$2:$K$300,MATCH($F1047,Nutrition!$A$2:$A$300,0))*$I1047/100,0))</f>
        <v>2.4E-2</v>
      </c>
      <c r="R1047" s="30">
        <f>IF(OR($F1047="",$I1047=""),0,IFERROR(INDEX(Nutrition!$L$2:$L$300,MATCH($F1047,Nutrition!$A$2:$A$300,0))*$I1047/100,0))</f>
        <v>6.45</v>
      </c>
      <c r="S1047" s="30">
        <f>IF(OR($F1047="",$I1047=""),0,IFERROR(INDEX(Nutrition!$M$2:$M$300,MATCH($F1047,Nutrition!$A$2:$A$300,0))*$I1047/100,0))</f>
        <v>0.09</v>
      </c>
    </row>
    <row r="1048" spans="1:19" ht="15" customHeight="1" x14ac:dyDescent="0.25">
      <c r="A1048" s="22" t="s">
        <v>2265</v>
      </c>
      <c r="B1048" s="33" t="str">
        <f>IFERROR(INDEX(Recipes!$B$2:$B$500,MATCH(A1048,Recipes!$A$2:$A$500,0)),"")</f>
        <v>Honey-Roasted Carrots with Ginger</v>
      </c>
      <c r="C1048" s="7" t="s">
        <v>671</v>
      </c>
      <c r="D1048" s="34">
        <v>2</v>
      </c>
      <c r="E1048" s="22" t="s">
        <v>2753</v>
      </c>
      <c r="F1048" s="22" t="s">
        <v>670</v>
      </c>
      <c r="G1048" s="22" t="s">
        <v>2755</v>
      </c>
      <c r="H1048" s="7" t="s">
        <v>2775</v>
      </c>
      <c r="I1048" s="35">
        <v>8</v>
      </c>
      <c r="J1048" s="30">
        <f>IF(OR($F1048="",$I1048=""),0,IFERROR(INDEX(Nutrition!$D$2:$D$300,MATCH($F1048,Nutrition!$A$2:$A$300,0))*$I1048/100,0))</f>
        <v>0.26400000000000001</v>
      </c>
      <c r="K1048" s="30">
        <f>IF(OR($F1048="",$I1048=""),0,IFERROR(INDEX(Nutrition!$E$2:$E$300,MATCH($F1048,Nutrition!$A$2:$A$300,0))*$I1048/100,0))</f>
        <v>10.64</v>
      </c>
      <c r="L1048" s="30">
        <f>IF(OR($F1048="",$I1048=""),0,IFERROR(INDEX(Nutrition!$F$2:$F$300,MATCH($F1048,Nutrition!$A$2:$A$300,0))*$I1048/100,0))</f>
        <v>33.68</v>
      </c>
      <c r="M1048" s="30">
        <f>IF(OR($F1048="",$I1048=""),0,IFERROR(INDEX(Nutrition!$G$2:$G$300,MATCH($F1048,Nutrition!$A$2:$A$300,0))*$I1048/100,0))</f>
        <v>131.19999999999999</v>
      </c>
      <c r="N1048" s="30">
        <f>IF(OR($F1048="",$I1048=""),0,IFERROR(INDEX(Nutrition!$H$2:$H$300,MATCH($F1048,Nutrition!$A$2:$A$300,0))*$I1048/100,0))</f>
        <v>12.16</v>
      </c>
      <c r="O1048" s="30">
        <f>IF(OR($F1048="",$I1048=""),0,IFERROR(INDEX(Nutrition!$I$2:$I$300,MATCH($F1048,Nutrition!$A$2:$A$300,0))*$I1048/100,0))</f>
        <v>44.32</v>
      </c>
      <c r="P1048" s="30">
        <f>IF(OR($F1048="",$I1048=""),0,IFERROR(INDEX(Nutrition!$J$2:$J$300,MATCH($F1048,Nutrition!$A$2:$A$300,0))*$I1048/100,0))</f>
        <v>0.06</v>
      </c>
      <c r="Q1048" s="30">
        <f>IF(OR($F1048="",$I1048=""),0,IFERROR(INDEX(Nutrition!$K$2:$K$300,MATCH($F1048,Nutrition!$A$2:$A$300,0))*$I1048/100,0))</f>
        <v>7.1999999999999998E-3</v>
      </c>
      <c r="R1048" s="30">
        <f>IF(OR($F1048="",$I1048=""),0,IFERROR(INDEX(Nutrition!$L$2:$L$300,MATCH($F1048,Nutrition!$A$2:$A$300,0))*$I1048/100,0))</f>
        <v>4</v>
      </c>
      <c r="S1048" s="30">
        <f>IF(OR($F1048="",$I1048=""),0,IFERROR(INDEX(Nutrition!$M$2:$M$300,MATCH($F1048,Nutrition!$A$2:$A$300,0))*$I1048/100,0))</f>
        <v>0.496</v>
      </c>
    </row>
    <row r="1049" spans="1:19" ht="15" customHeight="1" x14ac:dyDescent="0.25">
      <c r="A1049" s="22" t="s">
        <v>2265</v>
      </c>
      <c r="B1049" s="33" t="str">
        <f>IFERROR(INDEX(Recipes!$B$2:$B$500,MATCH(A1049,Recipes!$A$2:$A$500,0)),"")</f>
        <v>Honey-Roasted Carrots with Ginger</v>
      </c>
      <c r="C1049" s="7" t="s">
        <v>2805</v>
      </c>
      <c r="D1049" s="34">
        <v>1</v>
      </c>
      <c r="E1049" s="22" t="s">
        <v>2753</v>
      </c>
      <c r="F1049" s="22"/>
      <c r="G1049" s="22" t="s">
        <v>2773</v>
      </c>
      <c r="H1049" s="7"/>
      <c r="I1049" s="35"/>
      <c r="J1049" s="30">
        <f>IF(OR($F1049="",$I1049=""),0,IFERROR(INDEX(Nutrition!$D$2:$D$300,MATCH($F1049,Nutrition!$A$2:$A$300,0))*$I1049/100,0))</f>
        <v>0</v>
      </c>
      <c r="K1049" s="30">
        <f>IF(OR($F1049="",$I1049=""),0,IFERROR(INDEX(Nutrition!$E$2:$E$300,MATCH($F1049,Nutrition!$A$2:$A$300,0))*$I1049/100,0))</f>
        <v>0</v>
      </c>
      <c r="L1049" s="30">
        <f>IF(OR($F1049="",$I1049=""),0,IFERROR(INDEX(Nutrition!$F$2:$F$300,MATCH($F1049,Nutrition!$A$2:$A$300,0))*$I1049/100,0))</f>
        <v>0</v>
      </c>
      <c r="M1049" s="30">
        <f>IF(OR($F1049="",$I1049=""),0,IFERROR(INDEX(Nutrition!$G$2:$G$300,MATCH($F1049,Nutrition!$A$2:$A$300,0))*$I1049/100,0))</f>
        <v>0</v>
      </c>
      <c r="N1049" s="30">
        <f>IF(OR($F1049="",$I1049=""),0,IFERROR(INDEX(Nutrition!$H$2:$H$300,MATCH($F1049,Nutrition!$A$2:$A$300,0))*$I1049/100,0))</f>
        <v>0</v>
      </c>
      <c r="O1049" s="30">
        <f>IF(OR($F1049="",$I1049=""),0,IFERROR(INDEX(Nutrition!$I$2:$I$300,MATCH($F1049,Nutrition!$A$2:$A$300,0))*$I1049/100,0))</f>
        <v>0</v>
      </c>
      <c r="P1049" s="30">
        <f>IF(OR($F1049="",$I1049=""),0,IFERROR(INDEX(Nutrition!$J$2:$J$300,MATCH($F1049,Nutrition!$A$2:$A$300,0))*$I1049/100,0))</f>
        <v>0</v>
      </c>
      <c r="Q1049" s="30">
        <f>IF(OR($F1049="",$I1049=""),0,IFERROR(INDEX(Nutrition!$K$2:$K$300,MATCH($F1049,Nutrition!$A$2:$A$300,0))*$I1049/100,0))</f>
        <v>0</v>
      </c>
      <c r="R1049" s="30">
        <f>IF(OR($F1049="",$I1049=""),0,IFERROR(INDEX(Nutrition!$L$2:$L$300,MATCH($F1049,Nutrition!$A$2:$A$300,0))*$I1049/100,0))</f>
        <v>0</v>
      </c>
      <c r="S1049" s="30">
        <f>IF(OR($F1049="",$I1049=""),0,IFERROR(INDEX(Nutrition!$M$2:$M$300,MATCH($F1049,Nutrition!$A$2:$A$300,0))*$I1049/100,0))</f>
        <v>0</v>
      </c>
    </row>
    <row r="1050" spans="1:19" ht="15" customHeight="1" x14ac:dyDescent="0.25">
      <c r="A1050" s="22" t="s">
        <v>2265</v>
      </c>
      <c r="B1050" s="33" t="str">
        <f>IFERROR(INDEX(Recipes!$B$2:$B$500,MATCH(A1050,Recipes!$A$2:$A$500,0)),"")</f>
        <v>Honey-Roasted Carrots with Ginger</v>
      </c>
      <c r="C1050" s="7" t="s">
        <v>2758</v>
      </c>
      <c r="D1050" s="34">
        <v>1</v>
      </c>
      <c r="E1050" s="22" t="s">
        <v>2759</v>
      </c>
      <c r="F1050" s="22"/>
      <c r="G1050" s="22" t="s">
        <v>2749</v>
      </c>
      <c r="H1050" s="7"/>
      <c r="I1050" s="35"/>
      <c r="J1050" s="30">
        <f>IF(OR($F1050="",$I1050=""),0,IFERROR(INDEX(Nutrition!$D$2:$D$300,MATCH($F1050,Nutrition!$A$2:$A$300,0))*$I1050/100,0))</f>
        <v>0</v>
      </c>
      <c r="K1050" s="30">
        <f>IF(OR($F1050="",$I1050=""),0,IFERROR(INDEX(Nutrition!$E$2:$E$300,MATCH($F1050,Nutrition!$A$2:$A$300,0))*$I1050/100,0))</f>
        <v>0</v>
      </c>
      <c r="L1050" s="30">
        <f>IF(OR($F1050="",$I1050=""),0,IFERROR(INDEX(Nutrition!$F$2:$F$300,MATCH($F1050,Nutrition!$A$2:$A$300,0))*$I1050/100,0))</f>
        <v>0</v>
      </c>
      <c r="M1050" s="30">
        <f>IF(OR($F1050="",$I1050=""),0,IFERROR(INDEX(Nutrition!$G$2:$G$300,MATCH($F1050,Nutrition!$A$2:$A$300,0))*$I1050/100,0))</f>
        <v>0</v>
      </c>
      <c r="N1050" s="30">
        <f>IF(OR($F1050="",$I1050=""),0,IFERROR(INDEX(Nutrition!$H$2:$H$300,MATCH($F1050,Nutrition!$A$2:$A$300,0))*$I1050/100,0))</f>
        <v>0</v>
      </c>
      <c r="O1050" s="30">
        <f>IF(OR($F1050="",$I1050=""),0,IFERROR(INDEX(Nutrition!$I$2:$I$300,MATCH($F1050,Nutrition!$A$2:$A$300,0))*$I1050/100,0))</f>
        <v>0</v>
      </c>
      <c r="P1050" s="30">
        <f>IF(OR($F1050="",$I1050=""),0,IFERROR(INDEX(Nutrition!$J$2:$J$300,MATCH($F1050,Nutrition!$A$2:$A$300,0))*$I1050/100,0))</f>
        <v>0</v>
      </c>
      <c r="Q1050" s="30">
        <f>IF(OR($F1050="",$I1050=""),0,IFERROR(INDEX(Nutrition!$K$2:$K$300,MATCH($F1050,Nutrition!$A$2:$A$300,0))*$I1050/100,0))</f>
        <v>0</v>
      </c>
      <c r="R1050" s="30">
        <f>IF(OR($F1050="",$I1050=""),0,IFERROR(INDEX(Nutrition!$L$2:$L$300,MATCH($F1050,Nutrition!$A$2:$A$300,0))*$I1050/100,0))</f>
        <v>0</v>
      </c>
      <c r="S1050" s="30">
        <f>IF(OR($F1050="",$I1050=""),0,IFERROR(INDEX(Nutrition!$M$2:$M$300,MATCH($F1050,Nutrition!$A$2:$A$300,0))*$I1050/100,0))</f>
        <v>0</v>
      </c>
    </row>
    <row r="1051" spans="1:19" ht="15" customHeight="1" x14ac:dyDescent="0.25">
      <c r="A1051" s="22" t="s">
        <v>2265</v>
      </c>
      <c r="B1051" s="33" t="str">
        <f>IFERROR(INDEX(Recipes!$B$2:$B$500,MATCH(A1051,Recipes!$A$2:$A$500,0)),"")</f>
        <v>Honey-Roasted Carrots with Ginger</v>
      </c>
      <c r="C1051" s="7" t="s">
        <v>2906</v>
      </c>
      <c r="D1051" s="34">
        <v>0.5</v>
      </c>
      <c r="E1051" s="22" t="s">
        <v>2759</v>
      </c>
      <c r="F1051" s="22"/>
      <c r="G1051" s="22" t="s">
        <v>2773</v>
      </c>
      <c r="H1051" s="7"/>
      <c r="I1051" s="35"/>
      <c r="J1051" s="30">
        <f>IF(OR($F1051="",$I1051=""),0,IFERROR(INDEX(Nutrition!$D$2:$D$300,MATCH($F1051,Nutrition!$A$2:$A$300,0))*$I1051/100,0))</f>
        <v>0</v>
      </c>
      <c r="K1051" s="30">
        <f>IF(OR($F1051="",$I1051=""),0,IFERROR(INDEX(Nutrition!$E$2:$E$300,MATCH($F1051,Nutrition!$A$2:$A$300,0))*$I1051/100,0))</f>
        <v>0</v>
      </c>
      <c r="L1051" s="30">
        <f>IF(OR($F1051="",$I1051=""),0,IFERROR(INDEX(Nutrition!$F$2:$F$300,MATCH($F1051,Nutrition!$A$2:$A$300,0))*$I1051/100,0))</f>
        <v>0</v>
      </c>
      <c r="M1051" s="30">
        <f>IF(OR($F1051="",$I1051=""),0,IFERROR(INDEX(Nutrition!$G$2:$G$300,MATCH($F1051,Nutrition!$A$2:$A$300,0))*$I1051/100,0))</f>
        <v>0</v>
      </c>
      <c r="N1051" s="30">
        <f>IF(OR($F1051="",$I1051=""),0,IFERROR(INDEX(Nutrition!$H$2:$H$300,MATCH($F1051,Nutrition!$A$2:$A$300,0))*$I1051/100,0))</f>
        <v>0</v>
      </c>
      <c r="O1051" s="30">
        <f>IF(OR($F1051="",$I1051=""),0,IFERROR(INDEX(Nutrition!$I$2:$I$300,MATCH($F1051,Nutrition!$A$2:$A$300,0))*$I1051/100,0))</f>
        <v>0</v>
      </c>
      <c r="P1051" s="30">
        <f>IF(OR($F1051="",$I1051=""),0,IFERROR(INDEX(Nutrition!$J$2:$J$300,MATCH($F1051,Nutrition!$A$2:$A$300,0))*$I1051/100,0))</f>
        <v>0</v>
      </c>
      <c r="Q1051" s="30">
        <f>IF(OR($F1051="",$I1051=""),0,IFERROR(INDEX(Nutrition!$K$2:$K$300,MATCH($F1051,Nutrition!$A$2:$A$300,0))*$I1051/100,0))</f>
        <v>0</v>
      </c>
      <c r="R1051" s="30">
        <f>IF(OR($F1051="",$I1051=""),0,IFERROR(INDEX(Nutrition!$L$2:$L$300,MATCH($F1051,Nutrition!$A$2:$A$300,0))*$I1051/100,0))</f>
        <v>0</v>
      </c>
      <c r="S1051" s="30">
        <f>IF(OR($F1051="",$I1051=""),0,IFERROR(INDEX(Nutrition!$M$2:$M$300,MATCH($F1051,Nutrition!$A$2:$A$300,0))*$I1051/100,0))</f>
        <v>0</v>
      </c>
    </row>
    <row r="1052" spans="1:19" ht="15" customHeight="1" x14ac:dyDescent="0.25">
      <c r="A1052" s="22" t="s">
        <v>2276</v>
      </c>
      <c r="B1052" s="33" t="str">
        <f>IFERROR(INDEX(Recipes!$B$2:$B$500,MATCH(A1052,Recipes!$A$2:$A$500,0)),"")</f>
        <v>Green Beans with Groundnuts &amp; Chilli</v>
      </c>
      <c r="C1052" s="7" t="s">
        <v>554</v>
      </c>
      <c r="D1052" s="34">
        <v>450</v>
      </c>
      <c r="E1052" s="22" t="s">
        <v>2813</v>
      </c>
      <c r="F1052" s="22" t="s">
        <v>553</v>
      </c>
      <c r="G1052" s="22" t="s">
        <v>2755</v>
      </c>
      <c r="H1052" s="7" t="s">
        <v>2941</v>
      </c>
      <c r="I1052" s="35">
        <v>450</v>
      </c>
      <c r="J1052" s="30">
        <f>IF(OR($F1052="",$I1052=""),0,IFERROR(INDEX(Nutrition!$D$2:$D$300,MATCH($F1052,Nutrition!$A$2:$A$300,0))*$I1052/100,0))</f>
        <v>12.15</v>
      </c>
      <c r="K1052" s="30">
        <f>IF(OR($F1052="",$I1052=""),0,IFERROR(INDEX(Nutrition!$E$2:$E$300,MATCH($F1052,Nutrition!$A$2:$A$300,0))*$I1052/100,0))</f>
        <v>54.9</v>
      </c>
      <c r="L1052" s="30">
        <f>IF(OR($F1052="",$I1052=""),0,IFERROR(INDEX(Nutrition!$F$2:$F$300,MATCH($F1052,Nutrition!$A$2:$A$300,0))*$I1052/100,0))</f>
        <v>157.5</v>
      </c>
      <c r="M1052" s="30">
        <f>IF(OR($F1052="",$I1052=""),0,IFERROR(INDEX(Nutrition!$G$2:$G$300,MATCH($F1052,Nutrition!$A$2:$A$300,0))*$I1052/100,0))</f>
        <v>193.5</v>
      </c>
      <c r="N1052" s="30">
        <f>IF(OR($F1052="",$I1052=""),0,IFERROR(INDEX(Nutrition!$H$2:$H$300,MATCH($F1052,Nutrition!$A$2:$A$300,0))*$I1052/100,0))</f>
        <v>148.5</v>
      </c>
      <c r="O1052" s="30">
        <f>IF(OR($F1052="",$I1052=""),0,IFERROR(INDEX(Nutrition!$I$2:$I$300,MATCH($F1052,Nutrition!$A$2:$A$300,0))*$I1052/100,0))</f>
        <v>949.5</v>
      </c>
      <c r="P1052" s="30">
        <f>IF(OR($F1052="",$I1052=""),0,IFERROR(INDEX(Nutrition!$J$2:$J$300,MATCH($F1052,Nutrition!$A$2:$A$300,0))*$I1052/100,0))</f>
        <v>1.845</v>
      </c>
      <c r="Q1052" s="30">
        <f>IF(OR($F1052="",$I1052=""),0,IFERROR(INDEX(Nutrition!$K$2:$K$300,MATCH($F1052,Nutrition!$A$2:$A$300,0))*$I1052/100,0))</f>
        <v>0.63449999999999995</v>
      </c>
      <c r="R1052" s="30">
        <f>IF(OR($F1052="",$I1052=""),0,IFERROR(INDEX(Nutrition!$L$2:$L$300,MATCH($F1052,Nutrition!$A$2:$A$300,0))*$I1052/100,0))</f>
        <v>112.5</v>
      </c>
      <c r="S1052" s="30">
        <f>IF(OR($F1052="",$I1052=""),0,IFERROR(INDEX(Nutrition!$M$2:$M$300,MATCH($F1052,Nutrition!$A$2:$A$300,0))*$I1052/100,0))</f>
        <v>4.6349999999999998</v>
      </c>
    </row>
    <row r="1053" spans="1:19" ht="15" customHeight="1" x14ac:dyDescent="0.25">
      <c r="A1053" s="22" t="s">
        <v>2276</v>
      </c>
      <c r="B1053" s="33" t="str">
        <f>IFERROR(INDEX(Recipes!$B$2:$B$500,MATCH(A1053,Recipes!$A$2:$A$500,0)),"")</f>
        <v>Green Beans with Groundnuts &amp; Chilli</v>
      </c>
      <c r="C1053" s="7" t="s">
        <v>500</v>
      </c>
      <c r="D1053" s="34">
        <v>2</v>
      </c>
      <c r="E1053" s="22" t="s">
        <v>2776</v>
      </c>
      <c r="F1053" s="22" t="s">
        <v>499</v>
      </c>
      <c r="G1053" s="22" t="s">
        <v>2755</v>
      </c>
      <c r="H1053" s="7" t="s">
        <v>2896</v>
      </c>
      <c r="I1053" s="35">
        <v>6</v>
      </c>
      <c r="J1053" s="30">
        <f>IF(OR($F1053="",$I1053=""),0,IFERROR(INDEX(Nutrition!$D$2:$D$300,MATCH($F1053,Nutrition!$A$2:$A$300,0))*$I1053/100,0))</f>
        <v>0.126</v>
      </c>
      <c r="K1053" s="30">
        <f>IF(OR($F1053="",$I1053=""),0,IFERROR(INDEX(Nutrition!$E$2:$E$300,MATCH($F1053,Nutrition!$A$2:$A$300,0))*$I1053/100,0))</f>
        <v>1.8719999999999999</v>
      </c>
      <c r="L1053" s="30">
        <f>IF(OR($F1053="",$I1053=""),0,IFERROR(INDEX(Nutrition!$F$2:$F$300,MATCH($F1053,Nutrition!$A$2:$A$300,0))*$I1053/100,0))</f>
        <v>0</v>
      </c>
      <c r="M1053" s="30">
        <f>IF(OR($F1053="",$I1053=""),0,IFERROR(INDEX(Nutrition!$G$2:$G$300,MATCH($F1053,Nutrition!$A$2:$A$300,0))*$I1053/100,0))</f>
        <v>0.10199999999999999</v>
      </c>
      <c r="N1053" s="30">
        <f>IF(OR($F1053="",$I1053=""),0,IFERROR(INDEX(Nutrition!$H$2:$H$300,MATCH($F1053,Nutrition!$A$2:$A$300,0))*$I1053/100,0))</f>
        <v>0.18</v>
      </c>
      <c r="O1053" s="30">
        <f>IF(OR($F1053="",$I1053=""),0,IFERROR(INDEX(Nutrition!$I$2:$I$300,MATCH($F1053,Nutrition!$A$2:$A$300,0))*$I1053/100,0))</f>
        <v>24.06</v>
      </c>
      <c r="P1053" s="30">
        <f>IF(OR($F1053="",$I1053=""),0,IFERROR(INDEX(Nutrition!$J$2:$J$300,MATCH($F1053,Nutrition!$A$2:$A$300,0))*$I1053/100,0))</f>
        <v>4.7999999999999996E-3</v>
      </c>
      <c r="Q1053" s="30">
        <f>IF(OR($F1053="",$I1053=""),0,IFERROR(INDEX(Nutrition!$K$2:$K$300,MATCH($F1053,Nutrition!$A$2:$A$300,0))*$I1053/100,0))</f>
        <v>7.4099999999999999E-2</v>
      </c>
      <c r="R1053" s="30">
        <f>IF(OR($F1053="",$I1053=""),0,IFERROR(INDEX(Nutrition!$L$2:$L$300,MATCH($F1053,Nutrition!$A$2:$A$300,0))*$I1053/100,0))</f>
        <v>1.5</v>
      </c>
      <c r="S1053" s="30">
        <f>IF(OR($F1053="",$I1053=""),0,IFERROR(INDEX(Nutrition!$M$2:$M$300,MATCH($F1053,Nutrition!$A$2:$A$300,0))*$I1053/100,0))</f>
        <v>0.10199999999999999</v>
      </c>
    </row>
    <row r="1054" spans="1:19" ht="15" customHeight="1" x14ac:dyDescent="0.25">
      <c r="A1054" s="22" t="s">
        <v>2276</v>
      </c>
      <c r="B1054" s="33" t="str">
        <f>IFERROR(INDEX(Recipes!$B$2:$B$500,MATCH(A1054,Recipes!$A$2:$A$500,0)),"")</f>
        <v>Green Beans with Groundnuts &amp; Chilli</v>
      </c>
      <c r="C1054" s="7" t="s">
        <v>508</v>
      </c>
      <c r="D1054" s="34">
        <v>2</v>
      </c>
      <c r="E1054" s="22" t="s">
        <v>2759</v>
      </c>
      <c r="F1054" s="22" t="s">
        <v>507</v>
      </c>
      <c r="G1054" s="22" t="s">
        <v>2755</v>
      </c>
      <c r="H1054" s="7" t="s">
        <v>2791</v>
      </c>
      <c r="I1054" s="35">
        <v>10</v>
      </c>
      <c r="J1054" s="30">
        <f>IF(OR($F1054="",$I1054=""),0,IFERROR(INDEX(Nutrition!$D$2:$D$300,MATCH($F1054,Nutrition!$A$2:$A$300,0))*$I1054/100,0))</f>
        <v>0.2</v>
      </c>
      <c r="K1054" s="30">
        <f>IF(OR($F1054="",$I1054=""),0,IFERROR(INDEX(Nutrition!$E$2:$E$300,MATCH($F1054,Nutrition!$A$2:$A$300,0))*$I1054/100,0))</f>
        <v>0.5</v>
      </c>
      <c r="L1054" s="30">
        <f>IF(OR($F1054="",$I1054=""),0,IFERROR(INDEX(Nutrition!$F$2:$F$300,MATCH($F1054,Nutrition!$A$2:$A$300,0))*$I1054/100,0))</f>
        <v>0</v>
      </c>
      <c r="M1054" s="30">
        <f>IF(OR($F1054="",$I1054=""),0,IFERROR(INDEX(Nutrition!$G$2:$G$300,MATCH($F1054,Nutrition!$A$2:$A$300,0))*$I1054/100,0))</f>
        <v>0.01</v>
      </c>
      <c r="N1054" s="30">
        <f>IF(OR($F1054="",$I1054=""),0,IFERROR(INDEX(Nutrition!$H$2:$H$300,MATCH($F1054,Nutrition!$A$2:$A$300,0))*$I1054/100,0))</f>
        <v>1.1000000000000001</v>
      </c>
      <c r="O1054" s="30">
        <f>IF(OR($F1054="",$I1054=""),0,IFERROR(INDEX(Nutrition!$I$2:$I$300,MATCH($F1054,Nutrition!$A$2:$A$300,0))*$I1054/100,0))</f>
        <v>41.5</v>
      </c>
      <c r="P1054" s="30">
        <f>IF(OR($F1054="",$I1054=""),0,IFERROR(INDEX(Nutrition!$J$2:$J$300,MATCH($F1054,Nutrition!$A$2:$A$300,0))*$I1054/100,0))</f>
        <v>2.6000000000000002E-2</v>
      </c>
      <c r="Q1054" s="30">
        <f>IF(OR($F1054="",$I1054=""),0,IFERROR(INDEX(Nutrition!$K$2:$K$300,MATCH($F1054,Nutrition!$A$2:$A$300,0))*$I1054/100,0))</f>
        <v>1.6E-2</v>
      </c>
      <c r="R1054" s="30">
        <f>IF(OR($F1054="",$I1054=""),0,IFERROR(INDEX(Nutrition!$L$2:$L$300,MATCH($F1054,Nutrition!$A$2:$A$300,0))*$I1054/100,0))</f>
        <v>4.3</v>
      </c>
      <c r="S1054" s="30">
        <f>IF(OR($F1054="",$I1054=""),0,IFERROR(INDEX(Nutrition!$M$2:$M$300,MATCH($F1054,Nutrition!$A$2:$A$300,0))*$I1054/100,0))</f>
        <v>0.06</v>
      </c>
    </row>
    <row r="1055" spans="1:19" ht="15" customHeight="1" x14ac:dyDescent="0.25">
      <c r="A1055" s="22" t="s">
        <v>2276</v>
      </c>
      <c r="B1055" s="33" t="str">
        <f>IFERROR(INDEX(Recipes!$B$2:$B$500,MATCH(A1055,Recipes!$A$2:$A$500,0)),"")</f>
        <v>Green Beans with Groundnuts &amp; Chilli</v>
      </c>
      <c r="C1055" s="7" t="s">
        <v>478</v>
      </c>
      <c r="D1055" s="34">
        <v>1</v>
      </c>
      <c r="E1055" s="22" t="s">
        <v>2754</v>
      </c>
      <c r="F1055" s="22" t="s">
        <v>477</v>
      </c>
      <c r="G1055" s="22" t="s">
        <v>2755</v>
      </c>
      <c r="H1055" s="7" t="s">
        <v>2830</v>
      </c>
      <c r="I1055" s="35">
        <v>20</v>
      </c>
      <c r="J1055" s="30">
        <f>IF(OR($F1055="",$I1055=""),0,IFERROR(INDEX(Nutrition!$D$2:$D$300,MATCH($F1055,Nutrition!$A$2:$A$300,0))*$I1055/100,0))</f>
        <v>0.3</v>
      </c>
      <c r="K1055" s="30">
        <f>IF(OR($F1055="",$I1055=""),0,IFERROR(INDEX(Nutrition!$E$2:$E$300,MATCH($F1055,Nutrition!$A$2:$A$300,0))*$I1055/100,0))</f>
        <v>28.74</v>
      </c>
      <c r="L1055" s="30">
        <f>IF(OR($F1055="",$I1055=""),0,IFERROR(INDEX(Nutrition!$F$2:$F$300,MATCH($F1055,Nutrition!$A$2:$A$300,0))*$I1055/100,0))</f>
        <v>9.6</v>
      </c>
      <c r="M1055" s="30">
        <f>IF(OR($F1055="",$I1055=""),0,IFERROR(INDEX(Nutrition!$G$2:$G$300,MATCH($F1055,Nutrition!$A$2:$A$300,0))*$I1055/100,0))</f>
        <v>2.8</v>
      </c>
      <c r="N1055" s="30">
        <f>IF(OR($F1055="",$I1055=""),0,IFERROR(INDEX(Nutrition!$H$2:$H$300,MATCH($F1055,Nutrition!$A$2:$A$300,0))*$I1055/100,0))</f>
        <v>4.5999999999999996</v>
      </c>
      <c r="O1055" s="30">
        <f>IF(OR($F1055="",$I1055=""),0,IFERROR(INDEX(Nutrition!$I$2:$I$300,MATCH($F1055,Nutrition!$A$2:$A$300,0))*$I1055/100,0))</f>
        <v>64.400000000000006</v>
      </c>
      <c r="P1055" s="30">
        <f>IF(OR($F1055="",$I1055=""),0,IFERROR(INDEX(Nutrition!$J$2:$J$300,MATCH($F1055,Nutrition!$A$2:$A$300,0))*$I1055/100,0))</f>
        <v>0.13799999999999998</v>
      </c>
      <c r="Q1055" s="30">
        <f>IF(OR($F1055="",$I1055=""),0,IFERROR(INDEX(Nutrition!$K$2:$K$300,MATCH($F1055,Nutrition!$A$2:$A$300,0))*$I1055/100,0))</f>
        <v>0.10120000000000001</v>
      </c>
      <c r="R1055" s="30">
        <f>IF(OR($F1055="",$I1055=""),0,IFERROR(INDEX(Nutrition!$L$2:$L$300,MATCH($F1055,Nutrition!$A$2:$A$300,0))*$I1055/100,0))</f>
        <v>4.5999999999999996</v>
      </c>
      <c r="S1055" s="30">
        <f>IF(OR($F1055="",$I1055=""),0,IFERROR(INDEX(Nutrition!$M$2:$M$300,MATCH($F1055,Nutrition!$A$2:$A$300,0))*$I1055/100,0))</f>
        <v>0.20600000000000002</v>
      </c>
    </row>
    <row r="1056" spans="1:19" ht="15" customHeight="1" x14ac:dyDescent="0.25">
      <c r="A1056" s="22" t="s">
        <v>2276</v>
      </c>
      <c r="B1056" s="33" t="str">
        <f>IFERROR(INDEX(Recipes!$B$2:$B$500,MATCH(A1056,Recipes!$A$2:$A$500,0)),"")</f>
        <v>Green Beans with Groundnuts &amp; Chilli</v>
      </c>
      <c r="C1056" s="7" t="s">
        <v>428</v>
      </c>
      <c r="D1056" s="34">
        <v>0.25</v>
      </c>
      <c r="E1056" s="22" t="s">
        <v>2748</v>
      </c>
      <c r="F1056" s="22" t="s">
        <v>427</v>
      </c>
      <c r="G1056" s="22" t="s">
        <v>2755</v>
      </c>
      <c r="H1056" s="7" t="s">
        <v>3026</v>
      </c>
      <c r="I1056" s="35">
        <v>36</v>
      </c>
      <c r="J1056" s="30">
        <f>IF(OR($F1056="",$I1056=""),0,IFERROR(INDEX(Nutrition!$D$2:$D$300,MATCH($F1056,Nutrition!$A$2:$A$300,0))*$I1056/100,0))</f>
        <v>3.06</v>
      </c>
      <c r="K1056" s="30">
        <f>IF(OR($F1056="",$I1056=""),0,IFERROR(INDEX(Nutrition!$E$2:$E$300,MATCH($F1056,Nutrition!$A$2:$A$300,0))*$I1056/100,0))</f>
        <v>0</v>
      </c>
      <c r="L1056" s="30">
        <f>IF(OR($F1056="",$I1056=""),0,IFERROR(INDEX(Nutrition!$F$2:$F$300,MATCH($F1056,Nutrition!$A$2:$A$300,0))*$I1056/100,0))</f>
        <v>0</v>
      </c>
      <c r="M1056" s="30">
        <f>IF(OR($F1056="",$I1056=""),0,IFERROR(INDEX(Nutrition!$G$2:$G$300,MATCH($F1056,Nutrition!$A$2:$A$300,0))*$I1056/100,0))</f>
        <v>0</v>
      </c>
      <c r="N1056" s="30">
        <f>IF(OR($F1056="",$I1056=""),0,IFERROR(INDEX(Nutrition!$H$2:$H$300,MATCH($F1056,Nutrition!$A$2:$A$300,0))*$I1056/100,0))</f>
        <v>86.4</v>
      </c>
      <c r="O1056" s="30">
        <f>IF(OR($F1056="",$I1056=""),0,IFERROR(INDEX(Nutrition!$I$2:$I$300,MATCH($F1056,Nutrition!$A$2:$A$300,0))*$I1056/100,0))</f>
        <v>253.8</v>
      </c>
      <c r="P1056" s="30">
        <f>IF(OR($F1056="",$I1056=""),0,IFERROR(INDEX(Nutrition!$J$2:$J$300,MATCH($F1056,Nutrition!$A$2:$A$300,0))*$I1056/100,0))</f>
        <v>2.9988000000000001</v>
      </c>
      <c r="Q1056" s="30">
        <f>IF(OR($F1056="",$I1056=""),0,IFERROR(INDEX(Nutrition!$K$2:$K$300,MATCH($F1056,Nutrition!$A$2:$A$300,0))*$I1056/100,0))</f>
        <v>0.12527999999999997</v>
      </c>
      <c r="R1056" s="30">
        <f>IF(OR($F1056="",$I1056=""),0,IFERROR(INDEX(Nutrition!$L$2:$L$300,MATCH($F1056,Nutrition!$A$2:$A$300,0))*$I1056/100,0))</f>
        <v>60.48</v>
      </c>
      <c r="S1056" s="30">
        <f>IF(OR($F1056="",$I1056=""),0,IFERROR(INDEX(Nutrition!$M$2:$M$300,MATCH($F1056,Nutrition!$A$2:$A$300,0))*$I1056/100,0))</f>
        <v>1.6488</v>
      </c>
    </row>
    <row r="1057" spans="1:19" ht="15" customHeight="1" x14ac:dyDescent="0.25">
      <c r="A1057" s="22" t="s">
        <v>2276</v>
      </c>
      <c r="B1057" s="33" t="str">
        <f>IFERROR(INDEX(Recipes!$B$2:$B$500,MATCH(A1057,Recipes!$A$2:$A$500,0)),"")</f>
        <v>Green Beans with Groundnuts &amp; Chilli</v>
      </c>
      <c r="C1057" s="7" t="s">
        <v>490</v>
      </c>
      <c r="D1057" s="34">
        <v>3</v>
      </c>
      <c r="E1057" s="22" t="s">
        <v>2820</v>
      </c>
      <c r="F1057" s="22" t="s">
        <v>489</v>
      </c>
      <c r="G1057" s="22" t="s">
        <v>2755</v>
      </c>
      <c r="H1057" s="7" t="s">
        <v>2775</v>
      </c>
      <c r="I1057" s="35">
        <v>45</v>
      </c>
      <c r="J1057" s="30">
        <f>IF(OR($F1057="",$I1057=""),0,IFERROR(INDEX(Nutrition!$D$2:$D$300,MATCH($F1057,Nutrition!$A$2:$A$300,0))*$I1057/100,0))</f>
        <v>1.17</v>
      </c>
      <c r="K1057" s="30">
        <f>IF(OR($F1057="",$I1057=""),0,IFERROR(INDEX(Nutrition!$E$2:$E$300,MATCH($F1057,Nutrition!$A$2:$A$300,0))*$I1057/100,0))</f>
        <v>8.4600000000000009</v>
      </c>
      <c r="L1057" s="30">
        <f>IF(OR($F1057="",$I1057=""),0,IFERROR(INDEX(Nutrition!$F$2:$F$300,MATCH($F1057,Nutrition!$A$2:$A$300,0))*$I1057/100,0))</f>
        <v>22.5</v>
      </c>
      <c r="M1057" s="30">
        <f>IF(OR($F1057="",$I1057=""),0,IFERROR(INDEX(Nutrition!$G$2:$G$300,MATCH($F1057,Nutrition!$A$2:$A$300,0))*$I1057/100,0))</f>
        <v>93.15</v>
      </c>
      <c r="N1057" s="30">
        <f>IF(OR($F1057="",$I1057=""),0,IFERROR(INDEX(Nutrition!$H$2:$H$300,MATCH($F1057,Nutrition!$A$2:$A$300,0))*$I1057/100,0))</f>
        <v>28.8</v>
      </c>
      <c r="O1057" s="30">
        <f>IF(OR($F1057="",$I1057=""),0,IFERROR(INDEX(Nutrition!$I$2:$I$300,MATCH($F1057,Nutrition!$A$2:$A$300,0))*$I1057/100,0))</f>
        <v>124.2</v>
      </c>
      <c r="P1057" s="30">
        <f>IF(OR($F1057="",$I1057=""),0,IFERROR(INDEX(Nutrition!$J$2:$J$300,MATCH($F1057,Nutrition!$A$2:$A$300,0))*$I1057/100,0))</f>
        <v>0.24750000000000003</v>
      </c>
      <c r="Q1057" s="30">
        <f>IF(OR($F1057="",$I1057=""),0,IFERROR(INDEX(Nutrition!$K$2:$K$300,MATCH($F1057,Nutrition!$A$2:$A$300,0))*$I1057/100,0))</f>
        <v>2.7450000000000002E-2</v>
      </c>
      <c r="R1057" s="30">
        <f>IF(OR($F1057="",$I1057=""),0,IFERROR(INDEX(Nutrition!$L$2:$L$300,MATCH($F1057,Nutrition!$A$2:$A$300,0))*$I1057/100,0))</f>
        <v>9</v>
      </c>
      <c r="S1057" s="30">
        <f>IF(OR($F1057="",$I1057=""),0,IFERROR(INDEX(Nutrition!$M$2:$M$300,MATCH($F1057,Nutrition!$A$2:$A$300,0))*$I1057/100,0))</f>
        <v>0.66599999999999993</v>
      </c>
    </row>
    <row r="1058" spans="1:19" ht="15" customHeight="1" x14ac:dyDescent="0.25">
      <c r="A1058" s="22" t="s">
        <v>2276</v>
      </c>
      <c r="B1058" s="33" t="str">
        <f>IFERROR(INDEX(Recipes!$B$2:$B$500,MATCH(A1058,Recipes!$A$2:$A$500,0)),"")</f>
        <v>Green Beans with Groundnuts &amp; Chilli</v>
      </c>
      <c r="C1058" s="7" t="s">
        <v>3027</v>
      </c>
      <c r="D1058" s="34">
        <v>2</v>
      </c>
      <c r="E1058" s="22" t="s">
        <v>2753</v>
      </c>
      <c r="F1058" s="22"/>
      <c r="G1058" s="22" t="s">
        <v>2773</v>
      </c>
      <c r="H1058" s="7"/>
      <c r="I1058" s="35"/>
      <c r="J1058" s="30">
        <f>IF(OR($F1058="",$I1058=""),0,IFERROR(INDEX(Nutrition!$D$2:$D$300,MATCH($F1058,Nutrition!$A$2:$A$300,0))*$I1058/100,0))</f>
        <v>0</v>
      </c>
      <c r="K1058" s="30">
        <f>IF(OR($F1058="",$I1058=""),0,IFERROR(INDEX(Nutrition!$E$2:$E$300,MATCH($F1058,Nutrition!$A$2:$A$300,0))*$I1058/100,0))</f>
        <v>0</v>
      </c>
      <c r="L1058" s="30">
        <f>IF(OR($F1058="",$I1058=""),0,IFERROR(INDEX(Nutrition!$F$2:$F$300,MATCH($F1058,Nutrition!$A$2:$A$300,0))*$I1058/100,0))</f>
        <v>0</v>
      </c>
      <c r="M1058" s="30">
        <f>IF(OR($F1058="",$I1058=""),0,IFERROR(INDEX(Nutrition!$G$2:$G$300,MATCH($F1058,Nutrition!$A$2:$A$300,0))*$I1058/100,0))</f>
        <v>0</v>
      </c>
      <c r="N1058" s="30">
        <f>IF(OR($F1058="",$I1058=""),0,IFERROR(INDEX(Nutrition!$H$2:$H$300,MATCH($F1058,Nutrition!$A$2:$A$300,0))*$I1058/100,0))</f>
        <v>0</v>
      </c>
      <c r="O1058" s="30">
        <f>IF(OR($F1058="",$I1058=""),0,IFERROR(INDEX(Nutrition!$I$2:$I$300,MATCH($F1058,Nutrition!$A$2:$A$300,0))*$I1058/100,0))</f>
        <v>0</v>
      </c>
      <c r="P1058" s="30">
        <f>IF(OR($F1058="",$I1058=""),0,IFERROR(INDEX(Nutrition!$J$2:$J$300,MATCH($F1058,Nutrition!$A$2:$A$300,0))*$I1058/100,0))</f>
        <v>0</v>
      </c>
      <c r="Q1058" s="30">
        <f>IF(OR($F1058="",$I1058=""),0,IFERROR(INDEX(Nutrition!$K$2:$K$300,MATCH($F1058,Nutrition!$A$2:$A$300,0))*$I1058/100,0))</f>
        <v>0</v>
      </c>
      <c r="R1058" s="30">
        <f>IF(OR($F1058="",$I1058=""),0,IFERROR(INDEX(Nutrition!$L$2:$L$300,MATCH($F1058,Nutrition!$A$2:$A$300,0))*$I1058/100,0))</f>
        <v>0</v>
      </c>
      <c r="S1058" s="30">
        <f>IF(OR($F1058="",$I1058=""),0,IFERROR(INDEX(Nutrition!$M$2:$M$300,MATCH($F1058,Nutrition!$A$2:$A$300,0))*$I1058/100,0))</f>
        <v>0</v>
      </c>
    </row>
    <row r="1059" spans="1:19" ht="15" customHeight="1" x14ac:dyDescent="0.25">
      <c r="A1059" s="22" t="s">
        <v>2276</v>
      </c>
      <c r="B1059" s="33" t="str">
        <f>IFERROR(INDEX(Recipes!$B$2:$B$500,MATCH(A1059,Recipes!$A$2:$A$500,0)),"")</f>
        <v>Green Beans with Groundnuts &amp; Chilli</v>
      </c>
      <c r="C1059" s="7" t="s">
        <v>2917</v>
      </c>
      <c r="D1059" s="34">
        <v>1</v>
      </c>
      <c r="E1059" s="22" t="s">
        <v>2759</v>
      </c>
      <c r="F1059" s="22"/>
      <c r="G1059" s="22" t="s">
        <v>2749</v>
      </c>
      <c r="H1059" s="7"/>
      <c r="I1059" s="35"/>
      <c r="J1059" s="30">
        <f>IF(OR($F1059="",$I1059=""),0,IFERROR(INDEX(Nutrition!$D$2:$D$300,MATCH($F1059,Nutrition!$A$2:$A$300,0))*$I1059/100,0))</f>
        <v>0</v>
      </c>
      <c r="K1059" s="30">
        <f>IF(OR($F1059="",$I1059=""),0,IFERROR(INDEX(Nutrition!$E$2:$E$300,MATCH($F1059,Nutrition!$A$2:$A$300,0))*$I1059/100,0))</f>
        <v>0</v>
      </c>
      <c r="L1059" s="30">
        <f>IF(OR($F1059="",$I1059=""),0,IFERROR(INDEX(Nutrition!$F$2:$F$300,MATCH($F1059,Nutrition!$A$2:$A$300,0))*$I1059/100,0))</f>
        <v>0</v>
      </c>
      <c r="M1059" s="30">
        <f>IF(OR($F1059="",$I1059=""),0,IFERROR(INDEX(Nutrition!$G$2:$G$300,MATCH($F1059,Nutrition!$A$2:$A$300,0))*$I1059/100,0))</f>
        <v>0</v>
      </c>
      <c r="N1059" s="30">
        <f>IF(OR($F1059="",$I1059=""),0,IFERROR(INDEX(Nutrition!$H$2:$H$300,MATCH($F1059,Nutrition!$A$2:$A$300,0))*$I1059/100,0))</f>
        <v>0</v>
      </c>
      <c r="O1059" s="30">
        <f>IF(OR($F1059="",$I1059=""),0,IFERROR(INDEX(Nutrition!$I$2:$I$300,MATCH($F1059,Nutrition!$A$2:$A$300,0))*$I1059/100,0))</f>
        <v>0</v>
      </c>
      <c r="P1059" s="30">
        <f>IF(OR($F1059="",$I1059=""),0,IFERROR(INDEX(Nutrition!$J$2:$J$300,MATCH($F1059,Nutrition!$A$2:$A$300,0))*$I1059/100,0))</f>
        <v>0</v>
      </c>
      <c r="Q1059" s="30">
        <f>IF(OR($F1059="",$I1059=""),0,IFERROR(INDEX(Nutrition!$K$2:$K$300,MATCH($F1059,Nutrition!$A$2:$A$300,0))*$I1059/100,0))</f>
        <v>0</v>
      </c>
      <c r="R1059" s="30">
        <f>IF(OR($F1059="",$I1059=""),0,IFERROR(INDEX(Nutrition!$L$2:$L$300,MATCH($F1059,Nutrition!$A$2:$A$300,0))*$I1059/100,0))</f>
        <v>0</v>
      </c>
      <c r="S1059" s="30">
        <f>IF(OR($F1059="",$I1059=""),0,IFERROR(INDEX(Nutrition!$M$2:$M$300,MATCH($F1059,Nutrition!$A$2:$A$300,0))*$I1059/100,0))</f>
        <v>0</v>
      </c>
    </row>
    <row r="1060" spans="1:19" ht="15" customHeight="1" x14ac:dyDescent="0.25">
      <c r="A1060" s="22" t="s">
        <v>2276</v>
      </c>
      <c r="B1060" s="33" t="str">
        <f>IFERROR(INDEX(Recipes!$B$2:$B$500,MATCH(A1060,Recipes!$A$2:$A$500,0)),"")</f>
        <v>Green Beans with Groundnuts &amp; Chilli</v>
      </c>
      <c r="C1060" s="7" t="s">
        <v>2823</v>
      </c>
      <c r="D1060" s="34">
        <v>1</v>
      </c>
      <c r="E1060" s="22" t="s">
        <v>2759</v>
      </c>
      <c r="F1060" s="22"/>
      <c r="G1060" s="22" t="s">
        <v>2749</v>
      </c>
      <c r="H1060" s="7"/>
      <c r="I1060" s="35"/>
      <c r="J1060" s="30">
        <f>IF(OR($F1060="",$I1060=""),0,IFERROR(INDEX(Nutrition!$D$2:$D$300,MATCH($F1060,Nutrition!$A$2:$A$300,0))*$I1060/100,0))</f>
        <v>0</v>
      </c>
      <c r="K1060" s="30">
        <f>IF(OR($F1060="",$I1060=""),0,IFERROR(INDEX(Nutrition!$E$2:$E$300,MATCH($F1060,Nutrition!$A$2:$A$300,0))*$I1060/100,0))</f>
        <v>0</v>
      </c>
      <c r="L1060" s="30">
        <f>IF(OR($F1060="",$I1060=""),0,IFERROR(INDEX(Nutrition!$F$2:$F$300,MATCH($F1060,Nutrition!$A$2:$A$300,0))*$I1060/100,0))</f>
        <v>0</v>
      </c>
      <c r="M1060" s="30">
        <f>IF(OR($F1060="",$I1060=""),0,IFERROR(INDEX(Nutrition!$G$2:$G$300,MATCH($F1060,Nutrition!$A$2:$A$300,0))*$I1060/100,0))</f>
        <v>0</v>
      </c>
      <c r="N1060" s="30">
        <f>IF(OR($F1060="",$I1060=""),0,IFERROR(INDEX(Nutrition!$H$2:$H$300,MATCH($F1060,Nutrition!$A$2:$A$300,0))*$I1060/100,0))</f>
        <v>0</v>
      </c>
      <c r="O1060" s="30">
        <f>IF(OR($F1060="",$I1060=""),0,IFERROR(INDEX(Nutrition!$I$2:$I$300,MATCH($F1060,Nutrition!$A$2:$A$300,0))*$I1060/100,0))</f>
        <v>0</v>
      </c>
      <c r="P1060" s="30">
        <f>IF(OR($F1060="",$I1060=""),0,IFERROR(INDEX(Nutrition!$J$2:$J$300,MATCH($F1060,Nutrition!$A$2:$A$300,0))*$I1060/100,0))</f>
        <v>0</v>
      </c>
      <c r="Q1060" s="30">
        <f>IF(OR($F1060="",$I1060=""),0,IFERROR(INDEX(Nutrition!$K$2:$K$300,MATCH($F1060,Nutrition!$A$2:$A$300,0))*$I1060/100,0))</f>
        <v>0</v>
      </c>
      <c r="R1060" s="30">
        <f>IF(OR($F1060="",$I1060=""),0,IFERROR(INDEX(Nutrition!$L$2:$L$300,MATCH($F1060,Nutrition!$A$2:$A$300,0))*$I1060/100,0))</f>
        <v>0</v>
      </c>
      <c r="S1060" s="30">
        <f>IF(OR($F1060="",$I1060=""),0,IFERROR(INDEX(Nutrition!$M$2:$M$300,MATCH($F1060,Nutrition!$A$2:$A$300,0))*$I1060/100,0))</f>
        <v>0</v>
      </c>
    </row>
    <row r="1061" spans="1:19" ht="15" customHeight="1" x14ac:dyDescent="0.25">
      <c r="A1061" s="22" t="s">
        <v>2287</v>
      </c>
      <c r="B1061" s="33" t="str">
        <f>IFERROR(INDEX(Recipes!$B$2:$B$500,MATCH(A1061,Recipes!$A$2:$A$500,0)),"")</f>
        <v>Grilled Zucchini with Lemon &amp; Herbs</v>
      </c>
      <c r="C1061" s="7" t="s">
        <v>592</v>
      </c>
      <c r="D1061" s="34">
        <v>2</v>
      </c>
      <c r="E1061" s="22" t="s">
        <v>2754</v>
      </c>
      <c r="F1061" s="22" t="s">
        <v>591</v>
      </c>
      <c r="G1061" s="22" t="s">
        <v>2755</v>
      </c>
      <c r="H1061" s="7" t="s">
        <v>3028</v>
      </c>
      <c r="I1061" s="35">
        <v>392</v>
      </c>
      <c r="J1061" s="30">
        <f>IF(OR($F1061="",$I1061=""),0,IFERROR(INDEX(Nutrition!$D$2:$D$300,MATCH($F1061,Nutrition!$A$2:$A$300,0))*$I1061/100,0))</f>
        <v>3.92</v>
      </c>
      <c r="K1061" s="30">
        <f>IF(OR($F1061="",$I1061=""),0,IFERROR(INDEX(Nutrition!$E$2:$E$300,MATCH($F1061,Nutrition!$A$2:$A$300,0))*$I1061/100,0))</f>
        <v>70.167999999999992</v>
      </c>
      <c r="L1061" s="30">
        <f>IF(OR($F1061="",$I1061=""),0,IFERROR(INDEX(Nutrition!$F$2:$F$300,MATCH($F1061,Nutrition!$A$2:$A$300,0))*$I1061/100,0))</f>
        <v>39.200000000000003</v>
      </c>
      <c r="M1061" s="30">
        <f>IF(OR($F1061="",$I1061=""),0,IFERROR(INDEX(Nutrition!$G$2:$G$300,MATCH($F1061,Nutrition!$A$2:$A$300,0))*$I1061/100,0))</f>
        <v>16.855999999999998</v>
      </c>
      <c r="N1061" s="30">
        <f>IF(OR($F1061="",$I1061=""),0,IFERROR(INDEX(Nutrition!$H$2:$H$300,MATCH($F1061,Nutrition!$A$2:$A$300,0))*$I1061/100,0))</f>
        <v>94.08</v>
      </c>
      <c r="O1061" s="30">
        <f>IF(OR($F1061="",$I1061=""),0,IFERROR(INDEX(Nutrition!$I$2:$I$300,MATCH($F1061,Nutrition!$A$2:$A$300,0))*$I1061/100,0))</f>
        <v>1023.12</v>
      </c>
      <c r="P1061" s="30">
        <f>IF(OR($F1061="",$I1061=""),0,IFERROR(INDEX(Nutrition!$J$2:$J$300,MATCH($F1061,Nutrition!$A$2:$A$300,0))*$I1061/100,0))</f>
        <v>0.47039999999999998</v>
      </c>
      <c r="Q1061" s="30">
        <f>IF(OR($F1061="",$I1061=""),0,IFERROR(INDEX(Nutrition!$K$2:$K$300,MATCH($F1061,Nutrition!$A$2:$A$300,0))*$I1061/100,0))</f>
        <v>0.63895999999999997</v>
      </c>
      <c r="R1061" s="30">
        <f>IF(OR($F1061="",$I1061=""),0,IFERROR(INDEX(Nutrition!$L$2:$L$300,MATCH($F1061,Nutrition!$A$2:$A$300,0))*$I1061/100,0))</f>
        <v>70.56</v>
      </c>
      <c r="S1061" s="30">
        <f>IF(OR($F1061="",$I1061=""),0,IFERROR(INDEX(Nutrition!$M$2:$M$300,MATCH($F1061,Nutrition!$A$2:$A$300,0))*$I1061/100,0))</f>
        <v>1.4503999999999999</v>
      </c>
    </row>
    <row r="1062" spans="1:19" ht="15" customHeight="1" x14ac:dyDescent="0.25">
      <c r="A1062" s="22" t="s">
        <v>2287</v>
      </c>
      <c r="B1062" s="33" t="str">
        <f>IFERROR(INDEX(Recipes!$B$2:$B$500,MATCH(A1062,Recipes!$A$2:$A$500,0)),"")</f>
        <v>Grilled Zucchini with Lemon &amp; Herbs</v>
      </c>
      <c r="C1062" s="7" t="s">
        <v>500</v>
      </c>
      <c r="D1062" s="34">
        <v>1</v>
      </c>
      <c r="E1062" s="22" t="s">
        <v>2816</v>
      </c>
      <c r="F1062" s="22" t="s">
        <v>499</v>
      </c>
      <c r="G1062" s="22" t="s">
        <v>2755</v>
      </c>
      <c r="H1062" s="7" t="s">
        <v>2791</v>
      </c>
      <c r="I1062" s="35">
        <v>3</v>
      </c>
      <c r="J1062" s="30">
        <f>IF(OR($F1062="",$I1062=""),0,IFERROR(INDEX(Nutrition!$D$2:$D$300,MATCH($F1062,Nutrition!$A$2:$A$300,0))*$I1062/100,0))</f>
        <v>6.3E-2</v>
      </c>
      <c r="K1062" s="30">
        <f>IF(OR($F1062="",$I1062=""),0,IFERROR(INDEX(Nutrition!$E$2:$E$300,MATCH($F1062,Nutrition!$A$2:$A$300,0))*$I1062/100,0))</f>
        <v>0.93599999999999994</v>
      </c>
      <c r="L1062" s="30">
        <f>IF(OR($F1062="",$I1062=""),0,IFERROR(INDEX(Nutrition!$F$2:$F$300,MATCH($F1062,Nutrition!$A$2:$A$300,0))*$I1062/100,0))</f>
        <v>0</v>
      </c>
      <c r="M1062" s="30">
        <f>IF(OR($F1062="",$I1062=""),0,IFERROR(INDEX(Nutrition!$G$2:$G$300,MATCH($F1062,Nutrition!$A$2:$A$300,0))*$I1062/100,0))</f>
        <v>5.0999999999999997E-2</v>
      </c>
      <c r="N1062" s="30">
        <f>IF(OR($F1062="",$I1062=""),0,IFERROR(INDEX(Nutrition!$H$2:$H$300,MATCH($F1062,Nutrition!$A$2:$A$300,0))*$I1062/100,0))</f>
        <v>0.09</v>
      </c>
      <c r="O1062" s="30">
        <f>IF(OR($F1062="",$I1062=""),0,IFERROR(INDEX(Nutrition!$I$2:$I$300,MATCH($F1062,Nutrition!$A$2:$A$300,0))*$I1062/100,0))</f>
        <v>12.03</v>
      </c>
      <c r="P1062" s="30">
        <f>IF(OR($F1062="",$I1062=""),0,IFERROR(INDEX(Nutrition!$J$2:$J$300,MATCH($F1062,Nutrition!$A$2:$A$300,0))*$I1062/100,0))</f>
        <v>2.3999999999999998E-3</v>
      </c>
      <c r="Q1062" s="30">
        <f>IF(OR($F1062="",$I1062=""),0,IFERROR(INDEX(Nutrition!$K$2:$K$300,MATCH($F1062,Nutrition!$A$2:$A$300,0))*$I1062/100,0))</f>
        <v>3.705E-2</v>
      </c>
      <c r="R1062" s="30">
        <f>IF(OR($F1062="",$I1062=""),0,IFERROR(INDEX(Nutrition!$L$2:$L$300,MATCH($F1062,Nutrition!$A$2:$A$300,0))*$I1062/100,0))</f>
        <v>0.75</v>
      </c>
      <c r="S1062" s="30">
        <f>IF(OR($F1062="",$I1062=""),0,IFERROR(INDEX(Nutrition!$M$2:$M$300,MATCH($F1062,Nutrition!$A$2:$A$300,0))*$I1062/100,0))</f>
        <v>5.0999999999999997E-2</v>
      </c>
    </row>
    <row r="1063" spans="1:19" ht="15" customHeight="1" x14ac:dyDescent="0.25">
      <c r="A1063" s="22" t="s">
        <v>2287</v>
      </c>
      <c r="B1063" s="33" t="str">
        <f>IFERROR(INDEX(Recipes!$B$2:$B$500,MATCH(A1063,Recipes!$A$2:$A$500,0)),"")</f>
        <v>Grilled Zucchini with Lemon &amp; Herbs</v>
      </c>
      <c r="C1063" s="7" t="s">
        <v>206</v>
      </c>
      <c r="D1063" s="34">
        <v>0.5</v>
      </c>
      <c r="E1063" s="22" t="s">
        <v>2754</v>
      </c>
      <c r="F1063" s="22" t="s">
        <v>205</v>
      </c>
      <c r="G1063" s="22" t="s">
        <v>2755</v>
      </c>
      <c r="H1063" s="7" t="s">
        <v>2950</v>
      </c>
      <c r="I1063" s="35">
        <v>29</v>
      </c>
      <c r="J1063" s="30">
        <f>IF(OR($F1063="",$I1063=""),0,IFERROR(INDEX(Nutrition!$D$2:$D$300,MATCH($F1063,Nutrition!$A$2:$A$300,0))*$I1063/100,0))</f>
        <v>0.81199999999999983</v>
      </c>
      <c r="K1063" s="30">
        <f>IF(OR($F1063="",$I1063=""),0,IFERROR(INDEX(Nutrition!$E$2:$E$300,MATCH($F1063,Nutrition!$A$2:$A$300,0))*$I1063/100,0))</f>
        <v>15.37</v>
      </c>
      <c r="L1063" s="30">
        <f>IF(OR($F1063="",$I1063=""),0,IFERROR(INDEX(Nutrition!$F$2:$F$300,MATCH($F1063,Nutrition!$A$2:$A$300,0))*$I1063/100,0))</f>
        <v>0.28999999999999998</v>
      </c>
      <c r="M1063" s="30">
        <f>IF(OR($F1063="",$I1063=""),0,IFERROR(INDEX(Nutrition!$G$2:$G$300,MATCH($F1063,Nutrition!$A$2:$A$300,0))*$I1063/100,0))</f>
        <v>0</v>
      </c>
      <c r="N1063" s="30">
        <f>IF(OR($F1063="",$I1063=""),0,IFERROR(INDEX(Nutrition!$H$2:$H$300,MATCH($F1063,Nutrition!$A$2:$A$300,0))*$I1063/100,0))</f>
        <v>3.19</v>
      </c>
      <c r="O1063" s="30">
        <f>IF(OR($F1063="",$I1063=""),0,IFERROR(INDEX(Nutrition!$I$2:$I$300,MATCH($F1063,Nutrition!$A$2:$A$300,0))*$I1063/100,0))</f>
        <v>40.020000000000003</v>
      </c>
      <c r="P1063" s="30">
        <f>IF(OR($F1063="",$I1063=""),0,IFERROR(INDEX(Nutrition!$J$2:$J$300,MATCH($F1063,Nutrition!$A$2:$A$300,0))*$I1063/100,0))</f>
        <v>4.3499999999999997E-2</v>
      </c>
      <c r="Q1063" s="30">
        <f>IF(OR($F1063="",$I1063=""),0,IFERROR(INDEX(Nutrition!$K$2:$K$300,MATCH($F1063,Nutrition!$A$2:$A$300,0))*$I1063/100,0))</f>
        <v>2.3199999999999998E-2</v>
      </c>
      <c r="R1063" s="30">
        <f>IF(OR($F1063="",$I1063=""),0,IFERROR(INDEX(Nutrition!$L$2:$L$300,MATCH($F1063,Nutrition!$A$2:$A$300,0))*$I1063/100,0))</f>
        <v>2.3199999999999998</v>
      </c>
      <c r="S1063" s="30">
        <f>IF(OR($F1063="",$I1063=""),0,IFERROR(INDEX(Nutrition!$M$2:$M$300,MATCH($F1063,Nutrition!$A$2:$A$300,0))*$I1063/100,0))</f>
        <v>0.17399999999999999</v>
      </c>
    </row>
    <row r="1064" spans="1:19" ht="15" customHeight="1" x14ac:dyDescent="0.25">
      <c r="A1064" s="22" t="s">
        <v>2287</v>
      </c>
      <c r="B1064" s="33" t="str">
        <f>IFERROR(INDEX(Recipes!$B$2:$B$500,MATCH(A1064,Recipes!$A$2:$A$500,0)),"")</f>
        <v>Grilled Zucchini with Lemon &amp; Herbs</v>
      </c>
      <c r="C1064" s="7" t="s">
        <v>671</v>
      </c>
      <c r="D1064" s="34">
        <v>1</v>
      </c>
      <c r="E1064" s="22" t="s">
        <v>2753</v>
      </c>
      <c r="F1064" s="22" t="s">
        <v>670</v>
      </c>
      <c r="G1064" s="22" t="s">
        <v>2755</v>
      </c>
      <c r="H1064" s="7" t="s">
        <v>2775</v>
      </c>
      <c r="I1064" s="35">
        <v>4</v>
      </c>
      <c r="J1064" s="30">
        <f>IF(OR($F1064="",$I1064=""),0,IFERROR(INDEX(Nutrition!$D$2:$D$300,MATCH($F1064,Nutrition!$A$2:$A$300,0))*$I1064/100,0))</f>
        <v>0.13200000000000001</v>
      </c>
      <c r="K1064" s="30">
        <f>IF(OR($F1064="",$I1064=""),0,IFERROR(INDEX(Nutrition!$E$2:$E$300,MATCH($F1064,Nutrition!$A$2:$A$300,0))*$I1064/100,0))</f>
        <v>5.32</v>
      </c>
      <c r="L1064" s="30">
        <f>IF(OR($F1064="",$I1064=""),0,IFERROR(INDEX(Nutrition!$F$2:$F$300,MATCH($F1064,Nutrition!$A$2:$A$300,0))*$I1064/100,0))</f>
        <v>16.84</v>
      </c>
      <c r="M1064" s="30">
        <f>IF(OR($F1064="",$I1064=""),0,IFERROR(INDEX(Nutrition!$G$2:$G$300,MATCH($F1064,Nutrition!$A$2:$A$300,0))*$I1064/100,0))</f>
        <v>65.599999999999994</v>
      </c>
      <c r="N1064" s="30">
        <f>IF(OR($F1064="",$I1064=""),0,IFERROR(INDEX(Nutrition!$H$2:$H$300,MATCH($F1064,Nutrition!$A$2:$A$300,0))*$I1064/100,0))</f>
        <v>6.08</v>
      </c>
      <c r="O1064" s="30">
        <f>IF(OR($F1064="",$I1064=""),0,IFERROR(INDEX(Nutrition!$I$2:$I$300,MATCH($F1064,Nutrition!$A$2:$A$300,0))*$I1064/100,0))</f>
        <v>22.16</v>
      </c>
      <c r="P1064" s="30">
        <f>IF(OR($F1064="",$I1064=""),0,IFERROR(INDEX(Nutrition!$J$2:$J$300,MATCH($F1064,Nutrition!$A$2:$A$300,0))*$I1064/100,0))</f>
        <v>0.03</v>
      </c>
      <c r="Q1064" s="30">
        <f>IF(OR($F1064="",$I1064=""),0,IFERROR(INDEX(Nutrition!$K$2:$K$300,MATCH($F1064,Nutrition!$A$2:$A$300,0))*$I1064/100,0))</f>
        <v>3.5999999999999999E-3</v>
      </c>
      <c r="R1064" s="30">
        <f>IF(OR($F1064="",$I1064=""),0,IFERROR(INDEX(Nutrition!$L$2:$L$300,MATCH($F1064,Nutrition!$A$2:$A$300,0))*$I1064/100,0))</f>
        <v>2</v>
      </c>
      <c r="S1064" s="30">
        <f>IF(OR($F1064="",$I1064=""),0,IFERROR(INDEX(Nutrition!$M$2:$M$300,MATCH($F1064,Nutrition!$A$2:$A$300,0))*$I1064/100,0))</f>
        <v>0.248</v>
      </c>
    </row>
    <row r="1065" spans="1:19" ht="15" customHeight="1" x14ac:dyDescent="0.25">
      <c r="A1065" s="22" t="s">
        <v>2287</v>
      </c>
      <c r="B1065" s="33" t="str">
        <f>IFERROR(INDEX(Recipes!$B$2:$B$500,MATCH(A1065,Recipes!$A$2:$A$500,0)),"")</f>
        <v>Grilled Zucchini with Lemon &amp; Herbs</v>
      </c>
      <c r="C1065" s="7" t="s">
        <v>674</v>
      </c>
      <c r="D1065" s="34">
        <v>1</v>
      </c>
      <c r="E1065" s="22" t="s">
        <v>2753</v>
      </c>
      <c r="F1065" s="22" t="s">
        <v>673</v>
      </c>
      <c r="G1065" s="22" t="s">
        <v>2755</v>
      </c>
      <c r="H1065" s="7" t="s">
        <v>2775</v>
      </c>
      <c r="I1065" s="35">
        <v>4</v>
      </c>
      <c r="J1065" s="30">
        <f>IF(OR($F1065="",$I1065=""),0,IFERROR(INDEX(Nutrition!$D$2:$D$300,MATCH($F1065,Nutrition!$A$2:$A$300,0))*$I1065/100,0))</f>
        <v>6.4000000000000001E-2</v>
      </c>
      <c r="K1065" s="30">
        <f>IF(OR($F1065="",$I1065=""),0,IFERROR(INDEX(Nutrition!$E$2:$E$300,MATCH($F1065,Nutrition!$A$2:$A$300,0))*$I1065/100,0))</f>
        <v>0.72</v>
      </c>
      <c r="L1065" s="30">
        <f>IF(OR($F1065="",$I1065=""),0,IFERROR(INDEX(Nutrition!$F$2:$F$300,MATCH($F1065,Nutrition!$A$2:$A$300,0))*$I1065/100,0))</f>
        <v>10.56</v>
      </c>
      <c r="M1065" s="30">
        <f>IF(OR($F1065="",$I1065=""),0,IFERROR(INDEX(Nutrition!$G$2:$G$300,MATCH($F1065,Nutrition!$A$2:$A$300,0))*$I1065/100,0))</f>
        <v>16.591999999999999</v>
      </c>
      <c r="N1065" s="30">
        <f>IF(OR($F1065="",$I1065=""),0,IFERROR(INDEX(Nutrition!$H$2:$H$300,MATCH($F1065,Nutrition!$A$2:$A$300,0))*$I1065/100,0))</f>
        <v>2.72</v>
      </c>
      <c r="O1065" s="30">
        <f>IF(OR($F1065="",$I1065=""),0,IFERROR(INDEX(Nutrition!$I$2:$I$300,MATCH($F1065,Nutrition!$A$2:$A$300,0))*$I1065/100,0))</f>
        <v>11.8</v>
      </c>
      <c r="P1065" s="30">
        <f>IF(OR($F1065="",$I1065=""),0,IFERROR(INDEX(Nutrition!$J$2:$J$300,MATCH($F1065,Nutrition!$A$2:$A$300,0))*$I1065/100,0))</f>
        <v>3.2000000000000001E-2</v>
      </c>
      <c r="Q1065" s="30">
        <f>IF(OR($F1065="",$I1065=""),0,IFERROR(INDEX(Nutrition!$K$2:$K$300,MATCH($F1065,Nutrition!$A$2:$A$300,0))*$I1065/100,0))</f>
        <v>6.1999999999999998E-3</v>
      </c>
      <c r="R1065" s="30">
        <f>IF(OR($F1065="",$I1065=""),0,IFERROR(INDEX(Nutrition!$L$2:$L$300,MATCH($F1065,Nutrition!$A$2:$A$300,0))*$I1065/100,0))</f>
        <v>2.56</v>
      </c>
      <c r="S1065" s="30">
        <f>IF(OR($F1065="",$I1065=""),0,IFERROR(INDEX(Nutrition!$M$2:$M$300,MATCH($F1065,Nutrition!$A$2:$A$300,0))*$I1065/100,0))</f>
        <v>0.1268</v>
      </c>
    </row>
    <row r="1066" spans="1:19" ht="15" customHeight="1" x14ac:dyDescent="0.25">
      <c r="A1066" s="22" t="s">
        <v>2287</v>
      </c>
      <c r="B1066" s="33" t="str">
        <f>IFERROR(INDEX(Recipes!$B$2:$B$500,MATCH(A1066,Recipes!$A$2:$A$500,0)),"")</f>
        <v>Grilled Zucchini with Lemon &amp; Herbs</v>
      </c>
      <c r="C1066" s="7" t="s">
        <v>2805</v>
      </c>
      <c r="D1066" s="34">
        <v>1</v>
      </c>
      <c r="E1066" s="22" t="s">
        <v>2753</v>
      </c>
      <c r="F1066" s="22"/>
      <c r="G1066" s="22" t="s">
        <v>2773</v>
      </c>
      <c r="H1066" s="7"/>
      <c r="I1066" s="35"/>
      <c r="J1066" s="30">
        <f>IF(OR($F1066="",$I1066=""),0,IFERROR(INDEX(Nutrition!$D$2:$D$300,MATCH($F1066,Nutrition!$A$2:$A$300,0))*$I1066/100,0))</f>
        <v>0</v>
      </c>
      <c r="K1066" s="30">
        <f>IF(OR($F1066="",$I1066=""),0,IFERROR(INDEX(Nutrition!$E$2:$E$300,MATCH($F1066,Nutrition!$A$2:$A$300,0))*$I1066/100,0))</f>
        <v>0</v>
      </c>
      <c r="L1066" s="30">
        <f>IF(OR($F1066="",$I1066=""),0,IFERROR(INDEX(Nutrition!$F$2:$F$300,MATCH($F1066,Nutrition!$A$2:$A$300,0))*$I1066/100,0))</f>
        <v>0</v>
      </c>
      <c r="M1066" s="30">
        <f>IF(OR($F1066="",$I1066=""),0,IFERROR(INDEX(Nutrition!$G$2:$G$300,MATCH($F1066,Nutrition!$A$2:$A$300,0))*$I1066/100,0))</f>
        <v>0</v>
      </c>
      <c r="N1066" s="30">
        <f>IF(OR($F1066="",$I1066=""),0,IFERROR(INDEX(Nutrition!$H$2:$H$300,MATCH($F1066,Nutrition!$A$2:$A$300,0))*$I1066/100,0))</f>
        <v>0</v>
      </c>
      <c r="O1066" s="30">
        <f>IF(OR($F1066="",$I1066=""),0,IFERROR(INDEX(Nutrition!$I$2:$I$300,MATCH($F1066,Nutrition!$A$2:$A$300,0))*$I1066/100,0))</f>
        <v>0</v>
      </c>
      <c r="P1066" s="30">
        <f>IF(OR($F1066="",$I1066=""),0,IFERROR(INDEX(Nutrition!$J$2:$J$300,MATCH($F1066,Nutrition!$A$2:$A$300,0))*$I1066/100,0))</f>
        <v>0</v>
      </c>
      <c r="Q1066" s="30">
        <f>IF(OR($F1066="",$I1066=""),0,IFERROR(INDEX(Nutrition!$K$2:$K$300,MATCH($F1066,Nutrition!$A$2:$A$300,0))*$I1066/100,0))</f>
        <v>0</v>
      </c>
      <c r="R1066" s="30">
        <f>IF(OR($F1066="",$I1066=""),0,IFERROR(INDEX(Nutrition!$L$2:$L$300,MATCH($F1066,Nutrition!$A$2:$A$300,0))*$I1066/100,0))</f>
        <v>0</v>
      </c>
      <c r="S1066" s="30">
        <f>IF(OR($F1066="",$I1066=""),0,IFERROR(INDEX(Nutrition!$M$2:$M$300,MATCH($F1066,Nutrition!$A$2:$A$300,0))*$I1066/100,0))</f>
        <v>0</v>
      </c>
    </row>
    <row r="1067" spans="1:19" ht="15" customHeight="1" x14ac:dyDescent="0.25">
      <c r="A1067" s="22" t="s">
        <v>2287</v>
      </c>
      <c r="B1067" s="33" t="str">
        <f>IFERROR(INDEX(Recipes!$B$2:$B$500,MATCH(A1067,Recipes!$A$2:$A$500,0)),"")</f>
        <v>Grilled Zucchini with Lemon &amp; Herbs</v>
      </c>
      <c r="C1067" s="7" t="s">
        <v>2906</v>
      </c>
      <c r="D1067" s="34">
        <v>1</v>
      </c>
      <c r="E1067" s="22" t="s">
        <v>2782</v>
      </c>
      <c r="F1067" s="22"/>
      <c r="G1067" s="22" t="s">
        <v>2773</v>
      </c>
      <c r="H1067" s="7"/>
      <c r="I1067" s="35"/>
      <c r="J1067" s="30">
        <f>IF(OR($F1067="",$I1067=""),0,IFERROR(INDEX(Nutrition!$D$2:$D$300,MATCH($F1067,Nutrition!$A$2:$A$300,0))*$I1067/100,0))</f>
        <v>0</v>
      </c>
      <c r="K1067" s="30">
        <f>IF(OR($F1067="",$I1067=""),0,IFERROR(INDEX(Nutrition!$E$2:$E$300,MATCH($F1067,Nutrition!$A$2:$A$300,0))*$I1067/100,0))</f>
        <v>0</v>
      </c>
      <c r="L1067" s="30">
        <f>IF(OR($F1067="",$I1067=""),0,IFERROR(INDEX(Nutrition!$F$2:$F$300,MATCH($F1067,Nutrition!$A$2:$A$300,0))*$I1067/100,0))</f>
        <v>0</v>
      </c>
      <c r="M1067" s="30">
        <f>IF(OR($F1067="",$I1067=""),0,IFERROR(INDEX(Nutrition!$G$2:$G$300,MATCH($F1067,Nutrition!$A$2:$A$300,0))*$I1067/100,0))</f>
        <v>0</v>
      </c>
      <c r="N1067" s="30">
        <f>IF(OR($F1067="",$I1067=""),0,IFERROR(INDEX(Nutrition!$H$2:$H$300,MATCH($F1067,Nutrition!$A$2:$A$300,0))*$I1067/100,0))</f>
        <v>0</v>
      </c>
      <c r="O1067" s="30">
        <f>IF(OR($F1067="",$I1067=""),0,IFERROR(INDEX(Nutrition!$I$2:$I$300,MATCH($F1067,Nutrition!$A$2:$A$300,0))*$I1067/100,0))</f>
        <v>0</v>
      </c>
      <c r="P1067" s="30">
        <f>IF(OR($F1067="",$I1067=""),0,IFERROR(INDEX(Nutrition!$J$2:$J$300,MATCH($F1067,Nutrition!$A$2:$A$300,0))*$I1067/100,0))</f>
        <v>0</v>
      </c>
      <c r="Q1067" s="30">
        <f>IF(OR($F1067="",$I1067=""),0,IFERROR(INDEX(Nutrition!$K$2:$K$300,MATCH($F1067,Nutrition!$A$2:$A$300,0))*$I1067/100,0))</f>
        <v>0</v>
      </c>
      <c r="R1067" s="30">
        <f>IF(OR($F1067="",$I1067=""),0,IFERROR(INDEX(Nutrition!$L$2:$L$300,MATCH($F1067,Nutrition!$A$2:$A$300,0))*$I1067/100,0))</f>
        <v>0</v>
      </c>
      <c r="S1067" s="30">
        <f>IF(OR($F1067="",$I1067=""),0,IFERROR(INDEX(Nutrition!$M$2:$M$300,MATCH($F1067,Nutrition!$A$2:$A$300,0))*$I1067/100,0))</f>
        <v>0</v>
      </c>
    </row>
    <row r="1068" spans="1:19" ht="15" customHeight="1" x14ac:dyDescent="0.25">
      <c r="A1068" s="22" t="s">
        <v>2298</v>
      </c>
      <c r="B1068" s="33" t="str">
        <f>IFERROR(INDEX(Recipes!$B$2:$B$500,MATCH(A1068,Recipes!$A$2:$A$500,0)),"")</f>
        <v>Turmeric Roasted Cauliflower</v>
      </c>
      <c r="C1068" s="7" t="s">
        <v>583</v>
      </c>
      <c r="D1068" s="34">
        <v>1</v>
      </c>
      <c r="E1068" s="22" t="s">
        <v>2808</v>
      </c>
      <c r="F1068" s="22" t="s">
        <v>582</v>
      </c>
      <c r="G1068" s="22" t="s">
        <v>2755</v>
      </c>
      <c r="H1068" s="7" t="s">
        <v>3029</v>
      </c>
      <c r="I1068" s="35">
        <v>588</v>
      </c>
      <c r="J1068" s="30">
        <f>IF(OR($F1068="",$I1068=""),0,IFERROR(INDEX(Nutrition!$D$2:$D$300,MATCH($F1068,Nutrition!$A$2:$A$300,0))*$I1068/100,0))</f>
        <v>11.76</v>
      </c>
      <c r="K1068" s="30">
        <f>IF(OR($F1068="",$I1068=""),0,IFERROR(INDEX(Nutrition!$E$2:$E$300,MATCH($F1068,Nutrition!$A$2:$A$300,0))*$I1068/100,0))</f>
        <v>283.416</v>
      </c>
      <c r="L1068" s="30">
        <f>IF(OR($F1068="",$I1068=""),0,IFERROR(INDEX(Nutrition!$F$2:$F$300,MATCH($F1068,Nutrition!$A$2:$A$300,0))*$I1068/100,0))</f>
        <v>0</v>
      </c>
      <c r="M1068" s="30">
        <f>IF(OR($F1068="",$I1068=""),0,IFERROR(INDEX(Nutrition!$G$2:$G$300,MATCH($F1068,Nutrition!$A$2:$A$300,0))*$I1068/100,0))</f>
        <v>91.14</v>
      </c>
      <c r="N1068" s="30">
        <f>IF(OR($F1068="",$I1068=""),0,IFERROR(INDEX(Nutrition!$H$2:$H$300,MATCH($F1068,Nutrition!$A$2:$A$300,0))*$I1068/100,0))</f>
        <v>335.16</v>
      </c>
      <c r="O1068" s="30">
        <f>IF(OR($F1068="",$I1068=""),0,IFERROR(INDEX(Nutrition!$I$2:$I$300,MATCH($F1068,Nutrition!$A$2:$A$300,0))*$I1068/100,0))</f>
        <v>1758.12</v>
      </c>
      <c r="P1068" s="30">
        <f>IF(OR($F1068="",$I1068=""),0,IFERROR(INDEX(Nutrition!$J$2:$J$300,MATCH($F1068,Nutrition!$A$2:$A$300,0))*$I1068/100,0))</f>
        <v>0.47039999999999998</v>
      </c>
      <c r="Q1068" s="30">
        <f>IF(OR($F1068="",$I1068=""),0,IFERROR(INDEX(Nutrition!$K$2:$K$300,MATCH($F1068,Nutrition!$A$2:$A$300,0))*$I1068/100,0))</f>
        <v>1.08192</v>
      </c>
      <c r="R1068" s="30">
        <f>IF(OR($F1068="",$I1068=""),0,IFERROR(INDEX(Nutrition!$L$2:$L$300,MATCH($F1068,Nutrition!$A$2:$A$300,0))*$I1068/100,0))</f>
        <v>88.2</v>
      </c>
      <c r="S1068" s="30">
        <f>IF(OR($F1068="",$I1068=""),0,IFERROR(INDEX(Nutrition!$M$2:$M$300,MATCH($F1068,Nutrition!$A$2:$A$300,0))*$I1068/100,0))</f>
        <v>2.4695999999999998</v>
      </c>
    </row>
    <row r="1069" spans="1:19" ht="15" customHeight="1" x14ac:dyDescent="0.25">
      <c r="A1069" s="22" t="s">
        <v>2298</v>
      </c>
      <c r="B1069" s="33" t="str">
        <f>IFERROR(INDEX(Recipes!$B$2:$B$500,MATCH(A1069,Recipes!$A$2:$A$500,0)),"")</f>
        <v>Turmeric Roasted Cauliflower</v>
      </c>
      <c r="C1069" s="7" t="s">
        <v>516</v>
      </c>
      <c r="D1069" s="34">
        <v>2</v>
      </c>
      <c r="E1069" s="22" t="s">
        <v>2981</v>
      </c>
      <c r="F1069" s="22" t="s">
        <v>515</v>
      </c>
      <c r="G1069" s="22" t="s">
        <v>2755</v>
      </c>
      <c r="H1069" s="7" t="s">
        <v>2791</v>
      </c>
      <c r="I1069" s="35">
        <v>20</v>
      </c>
      <c r="J1069" s="30">
        <f>IF(OR($F1069="",$I1069=""),0,IFERROR(INDEX(Nutrition!$D$2:$D$300,MATCH($F1069,Nutrition!$A$2:$A$300,0))*$I1069/100,0))</f>
        <v>1.1399999999999999</v>
      </c>
      <c r="K1069" s="30">
        <f>IF(OR($F1069="",$I1069=""),0,IFERROR(INDEX(Nutrition!$E$2:$E$300,MATCH($F1069,Nutrition!$A$2:$A$300,0))*$I1069/100,0))</f>
        <v>0.6</v>
      </c>
      <c r="L1069" s="30">
        <f>IF(OR($F1069="",$I1069=""),0,IFERROR(INDEX(Nutrition!$F$2:$F$300,MATCH($F1069,Nutrition!$A$2:$A$300,0))*$I1069/100,0))</f>
        <v>0</v>
      </c>
      <c r="M1069" s="30">
        <f>IF(OR($F1069="",$I1069=""),0,IFERROR(INDEX(Nutrition!$G$2:$G$300,MATCH($F1069,Nutrition!$A$2:$A$300,0))*$I1069/100,0))</f>
        <v>0.68</v>
      </c>
      <c r="N1069" s="30">
        <f>IF(OR($F1069="",$I1069=""),0,IFERROR(INDEX(Nutrition!$H$2:$H$300,MATCH($F1069,Nutrition!$A$2:$A$300,0))*$I1069/100,0))</f>
        <v>1</v>
      </c>
      <c r="O1069" s="30">
        <f>IF(OR($F1069="",$I1069=""),0,IFERROR(INDEX(Nutrition!$I$2:$I$300,MATCH($F1069,Nutrition!$A$2:$A$300,0))*$I1069/100,0))</f>
        <v>104</v>
      </c>
      <c r="P1069" s="30">
        <f>IF(OR($F1069="",$I1069=""),0,IFERROR(INDEX(Nutrition!$J$2:$J$300,MATCH($F1069,Nutrition!$A$2:$A$300,0))*$I1069/100,0))</f>
        <v>0.22</v>
      </c>
      <c r="Q1069" s="30">
        <f>IF(OR($F1069="",$I1069=""),0,IFERROR(INDEX(Nutrition!$K$2:$K$300,MATCH($F1069,Nutrition!$A$2:$A$300,0))*$I1069/100,0))</f>
        <v>6.0000000000000001E-3</v>
      </c>
      <c r="R1069" s="30">
        <f>IF(OR($F1069="",$I1069=""),0,IFERROR(INDEX(Nutrition!$L$2:$L$300,MATCH($F1069,Nutrition!$A$2:$A$300,0))*$I1069/100,0))</f>
        <v>10.4</v>
      </c>
      <c r="S1069" s="30">
        <f>IF(OR($F1069="",$I1069=""),0,IFERROR(INDEX(Nutrition!$M$2:$M$300,MATCH($F1069,Nutrition!$A$2:$A$300,0))*$I1069/100,0))</f>
        <v>2.76</v>
      </c>
    </row>
    <row r="1070" spans="1:19" ht="15" customHeight="1" x14ac:dyDescent="0.25">
      <c r="A1070" s="22" t="s">
        <v>2298</v>
      </c>
      <c r="B1070" s="33" t="str">
        <f>IFERROR(INDEX(Recipes!$B$2:$B$500,MATCH(A1070,Recipes!$A$2:$A$500,0)),"")</f>
        <v>Turmeric Roasted Cauliflower</v>
      </c>
      <c r="C1070" s="7" t="s">
        <v>508</v>
      </c>
      <c r="D1070" s="34">
        <v>1</v>
      </c>
      <c r="E1070" s="22" t="s">
        <v>2759</v>
      </c>
      <c r="F1070" s="22" t="s">
        <v>507</v>
      </c>
      <c r="G1070" s="22" t="s">
        <v>2755</v>
      </c>
      <c r="H1070" s="7" t="s">
        <v>2791</v>
      </c>
      <c r="I1070" s="35">
        <v>5</v>
      </c>
      <c r="J1070" s="30">
        <f>IF(OR($F1070="",$I1070=""),0,IFERROR(INDEX(Nutrition!$D$2:$D$300,MATCH($F1070,Nutrition!$A$2:$A$300,0))*$I1070/100,0))</f>
        <v>0.1</v>
      </c>
      <c r="K1070" s="30">
        <f>IF(OR($F1070="",$I1070=""),0,IFERROR(INDEX(Nutrition!$E$2:$E$300,MATCH($F1070,Nutrition!$A$2:$A$300,0))*$I1070/100,0))</f>
        <v>0.25</v>
      </c>
      <c r="L1070" s="30">
        <f>IF(OR($F1070="",$I1070=""),0,IFERROR(INDEX(Nutrition!$F$2:$F$300,MATCH($F1070,Nutrition!$A$2:$A$300,0))*$I1070/100,0))</f>
        <v>0</v>
      </c>
      <c r="M1070" s="30">
        <f>IF(OR($F1070="",$I1070=""),0,IFERROR(INDEX(Nutrition!$G$2:$G$300,MATCH($F1070,Nutrition!$A$2:$A$300,0))*$I1070/100,0))</f>
        <v>5.0000000000000001E-3</v>
      </c>
      <c r="N1070" s="30">
        <f>IF(OR($F1070="",$I1070=""),0,IFERROR(INDEX(Nutrition!$H$2:$H$300,MATCH($F1070,Nutrition!$A$2:$A$300,0))*$I1070/100,0))</f>
        <v>0.55000000000000004</v>
      </c>
      <c r="O1070" s="30">
        <f>IF(OR($F1070="",$I1070=""),0,IFERROR(INDEX(Nutrition!$I$2:$I$300,MATCH($F1070,Nutrition!$A$2:$A$300,0))*$I1070/100,0))</f>
        <v>20.75</v>
      </c>
      <c r="P1070" s="30">
        <f>IF(OR($F1070="",$I1070=""),0,IFERROR(INDEX(Nutrition!$J$2:$J$300,MATCH($F1070,Nutrition!$A$2:$A$300,0))*$I1070/100,0))</f>
        <v>1.3000000000000001E-2</v>
      </c>
      <c r="Q1070" s="30">
        <f>IF(OR($F1070="",$I1070=""),0,IFERROR(INDEX(Nutrition!$K$2:$K$300,MATCH($F1070,Nutrition!$A$2:$A$300,0))*$I1070/100,0))</f>
        <v>8.0000000000000002E-3</v>
      </c>
      <c r="R1070" s="30">
        <f>IF(OR($F1070="",$I1070=""),0,IFERROR(INDEX(Nutrition!$L$2:$L$300,MATCH($F1070,Nutrition!$A$2:$A$300,0))*$I1070/100,0))</f>
        <v>2.15</v>
      </c>
      <c r="S1070" s="30">
        <f>IF(OR($F1070="",$I1070=""),0,IFERROR(INDEX(Nutrition!$M$2:$M$300,MATCH($F1070,Nutrition!$A$2:$A$300,0))*$I1070/100,0))</f>
        <v>0.03</v>
      </c>
    </row>
    <row r="1071" spans="1:19" ht="15" customHeight="1" x14ac:dyDescent="0.25">
      <c r="A1071" s="22" t="s">
        <v>2298</v>
      </c>
      <c r="B1071" s="33" t="str">
        <f>IFERROR(INDEX(Recipes!$B$2:$B$500,MATCH(A1071,Recipes!$A$2:$A$500,0)),"")</f>
        <v>Turmeric Roasted Cauliflower</v>
      </c>
      <c r="C1071" s="7" t="s">
        <v>206</v>
      </c>
      <c r="D1071" s="34">
        <v>1</v>
      </c>
      <c r="E1071" s="22" t="s">
        <v>2754</v>
      </c>
      <c r="F1071" s="22" t="s">
        <v>205</v>
      </c>
      <c r="G1071" s="22" t="s">
        <v>2755</v>
      </c>
      <c r="H1071" s="7" t="s">
        <v>3030</v>
      </c>
      <c r="I1071" s="35">
        <v>58</v>
      </c>
      <c r="J1071" s="30">
        <f>IF(OR($F1071="",$I1071=""),0,IFERROR(INDEX(Nutrition!$D$2:$D$300,MATCH($F1071,Nutrition!$A$2:$A$300,0))*$I1071/100,0))</f>
        <v>1.6239999999999997</v>
      </c>
      <c r="K1071" s="30">
        <f>IF(OR($F1071="",$I1071=""),0,IFERROR(INDEX(Nutrition!$E$2:$E$300,MATCH($F1071,Nutrition!$A$2:$A$300,0))*$I1071/100,0))</f>
        <v>30.74</v>
      </c>
      <c r="L1071" s="30">
        <f>IF(OR($F1071="",$I1071=""),0,IFERROR(INDEX(Nutrition!$F$2:$F$300,MATCH($F1071,Nutrition!$A$2:$A$300,0))*$I1071/100,0))</f>
        <v>0.57999999999999996</v>
      </c>
      <c r="M1071" s="30">
        <f>IF(OR($F1071="",$I1071=""),0,IFERROR(INDEX(Nutrition!$G$2:$G$300,MATCH($F1071,Nutrition!$A$2:$A$300,0))*$I1071/100,0))</f>
        <v>0</v>
      </c>
      <c r="N1071" s="30">
        <f>IF(OR($F1071="",$I1071=""),0,IFERROR(INDEX(Nutrition!$H$2:$H$300,MATCH($F1071,Nutrition!$A$2:$A$300,0))*$I1071/100,0))</f>
        <v>6.38</v>
      </c>
      <c r="O1071" s="30">
        <f>IF(OR($F1071="",$I1071=""),0,IFERROR(INDEX(Nutrition!$I$2:$I$300,MATCH($F1071,Nutrition!$A$2:$A$300,0))*$I1071/100,0))</f>
        <v>80.040000000000006</v>
      </c>
      <c r="P1071" s="30">
        <f>IF(OR($F1071="",$I1071=""),0,IFERROR(INDEX(Nutrition!$J$2:$J$300,MATCH($F1071,Nutrition!$A$2:$A$300,0))*$I1071/100,0))</f>
        <v>8.6999999999999994E-2</v>
      </c>
      <c r="Q1071" s="30">
        <f>IF(OR($F1071="",$I1071=""),0,IFERROR(INDEX(Nutrition!$K$2:$K$300,MATCH($F1071,Nutrition!$A$2:$A$300,0))*$I1071/100,0))</f>
        <v>4.6399999999999997E-2</v>
      </c>
      <c r="R1071" s="30">
        <f>IF(OR($F1071="",$I1071=""),0,IFERROR(INDEX(Nutrition!$L$2:$L$300,MATCH($F1071,Nutrition!$A$2:$A$300,0))*$I1071/100,0))</f>
        <v>4.6399999999999997</v>
      </c>
      <c r="S1071" s="30">
        <f>IF(OR($F1071="",$I1071=""),0,IFERROR(INDEX(Nutrition!$M$2:$M$300,MATCH($F1071,Nutrition!$A$2:$A$300,0))*$I1071/100,0))</f>
        <v>0.34799999999999998</v>
      </c>
    </row>
    <row r="1072" spans="1:19" ht="15" customHeight="1" x14ac:dyDescent="0.25">
      <c r="A1072" s="22" t="s">
        <v>2298</v>
      </c>
      <c r="B1072" s="33" t="str">
        <f>IFERROR(INDEX(Recipes!$B$2:$B$500,MATCH(A1072,Recipes!$A$2:$A$500,0)),"")</f>
        <v>Turmeric Roasted Cauliflower</v>
      </c>
      <c r="C1072" s="7" t="s">
        <v>668</v>
      </c>
      <c r="D1072" s="34">
        <v>2</v>
      </c>
      <c r="E1072" s="22" t="s">
        <v>2753</v>
      </c>
      <c r="F1072" s="22" t="s">
        <v>667</v>
      </c>
      <c r="G1072" s="22" t="s">
        <v>2755</v>
      </c>
      <c r="H1072" s="7" t="s">
        <v>2840</v>
      </c>
      <c r="I1072" s="35">
        <v>8</v>
      </c>
      <c r="J1072" s="30">
        <f>IF(OR($F1072="",$I1072=""),0,IFERROR(INDEX(Nutrition!$D$2:$D$300,MATCH($F1072,Nutrition!$A$2:$A$300,0))*$I1072/100,0))</f>
        <v>0.22399999999999998</v>
      </c>
      <c r="K1072" s="30">
        <f>IF(OR($F1072="",$I1072=""),0,IFERROR(INDEX(Nutrition!$E$2:$E$300,MATCH($F1072,Nutrition!$A$2:$A$300,0))*$I1072/100,0))</f>
        <v>2.16</v>
      </c>
      <c r="L1072" s="30">
        <f>IF(OR($F1072="",$I1072=""),0,IFERROR(INDEX(Nutrition!$F$2:$F$300,MATCH($F1072,Nutrition!$A$2:$A$300,0))*$I1072/100,0))</f>
        <v>26.96</v>
      </c>
      <c r="M1072" s="30">
        <f>IF(OR($F1072="",$I1072=""),0,IFERROR(INDEX(Nutrition!$G$2:$G$300,MATCH($F1072,Nutrition!$A$2:$A$300,0))*$I1072/100,0))</f>
        <v>24.8</v>
      </c>
      <c r="N1072" s="30">
        <f>IF(OR($F1072="",$I1072=""),0,IFERROR(INDEX(Nutrition!$H$2:$H$300,MATCH($F1072,Nutrition!$A$2:$A$300,0))*$I1072/100,0))</f>
        <v>4.96</v>
      </c>
      <c r="O1072" s="30">
        <f>IF(OR($F1072="",$I1072=""),0,IFERROR(INDEX(Nutrition!$I$2:$I$300,MATCH($F1072,Nutrition!$A$2:$A$300,0))*$I1072/100,0))</f>
        <v>41.68</v>
      </c>
      <c r="P1072" s="30">
        <f>IF(OR($F1072="",$I1072=""),0,IFERROR(INDEX(Nutrition!$J$2:$J$300,MATCH($F1072,Nutrition!$A$2:$A$300,0))*$I1072/100,0))</f>
        <v>0.2</v>
      </c>
      <c r="Q1072" s="30">
        <f>IF(OR($F1072="",$I1072=""),0,IFERROR(INDEX(Nutrition!$K$2:$K$300,MATCH($F1072,Nutrition!$A$2:$A$300,0))*$I1072/100,0))</f>
        <v>1.192E-2</v>
      </c>
      <c r="R1072" s="30">
        <f>IF(OR($F1072="",$I1072=""),0,IFERROR(INDEX(Nutrition!$L$2:$L$300,MATCH($F1072,Nutrition!$A$2:$A$300,0))*$I1072/100,0))</f>
        <v>2.08</v>
      </c>
      <c r="S1072" s="30">
        <f>IF(OR($F1072="",$I1072=""),0,IFERROR(INDEX(Nutrition!$M$2:$M$300,MATCH($F1072,Nutrition!$A$2:$A$300,0))*$I1072/100,0))</f>
        <v>0.1416</v>
      </c>
    </row>
    <row r="1073" spans="1:19" ht="15" customHeight="1" x14ac:dyDescent="0.25">
      <c r="A1073" s="22" t="s">
        <v>2298</v>
      </c>
      <c r="B1073" s="33" t="str">
        <f>IFERROR(INDEX(Recipes!$B$2:$B$500,MATCH(A1073,Recipes!$A$2:$A$500,0)),"")</f>
        <v>Turmeric Roasted Cauliflower</v>
      </c>
      <c r="C1073" s="7" t="s">
        <v>2805</v>
      </c>
      <c r="D1073" s="34">
        <v>2</v>
      </c>
      <c r="E1073" s="22" t="s">
        <v>2753</v>
      </c>
      <c r="F1073" s="22"/>
      <c r="G1073" s="22" t="s">
        <v>2773</v>
      </c>
      <c r="H1073" s="7"/>
      <c r="I1073" s="35"/>
      <c r="J1073" s="30">
        <f>IF(OR($F1073="",$I1073=""),0,IFERROR(INDEX(Nutrition!$D$2:$D$300,MATCH($F1073,Nutrition!$A$2:$A$300,0))*$I1073/100,0))</f>
        <v>0</v>
      </c>
      <c r="K1073" s="30">
        <f>IF(OR($F1073="",$I1073=""),0,IFERROR(INDEX(Nutrition!$E$2:$E$300,MATCH($F1073,Nutrition!$A$2:$A$300,0))*$I1073/100,0))</f>
        <v>0</v>
      </c>
      <c r="L1073" s="30">
        <f>IF(OR($F1073="",$I1073=""),0,IFERROR(INDEX(Nutrition!$F$2:$F$300,MATCH($F1073,Nutrition!$A$2:$A$300,0))*$I1073/100,0))</f>
        <v>0</v>
      </c>
      <c r="M1073" s="30">
        <f>IF(OR($F1073="",$I1073=""),0,IFERROR(INDEX(Nutrition!$G$2:$G$300,MATCH($F1073,Nutrition!$A$2:$A$300,0))*$I1073/100,0))</f>
        <v>0</v>
      </c>
      <c r="N1073" s="30">
        <f>IF(OR($F1073="",$I1073=""),0,IFERROR(INDEX(Nutrition!$H$2:$H$300,MATCH($F1073,Nutrition!$A$2:$A$300,0))*$I1073/100,0))</f>
        <v>0</v>
      </c>
      <c r="O1073" s="30">
        <f>IF(OR($F1073="",$I1073=""),0,IFERROR(INDEX(Nutrition!$I$2:$I$300,MATCH($F1073,Nutrition!$A$2:$A$300,0))*$I1073/100,0))</f>
        <v>0</v>
      </c>
      <c r="P1073" s="30">
        <f>IF(OR($F1073="",$I1073=""),0,IFERROR(INDEX(Nutrition!$J$2:$J$300,MATCH($F1073,Nutrition!$A$2:$A$300,0))*$I1073/100,0))</f>
        <v>0</v>
      </c>
      <c r="Q1073" s="30">
        <f>IF(OR($F1073="",$I1073=""),0,IFERROR(INDEX(Nutrition!$K$2:$K$300,MATCH($F1073,Nutrition!$A$2:$A$300,0))*$I1073/100,0))</f>
        <v>0</v>
      </c>
      <c r="R1073" s="30">
        <f>IF(OR($F1073="",$I1073=""),0,IFERROR(INDEX(Nutrition!$L$2:$L$300,MATCH($F1073,Nutrition!$A$2:$A$300,0))*$I1073/100,0))</f>
        <v>0</v>
      </c>
      <c r="S1073" s="30">
        <f>IF(OR($F1073="",$I1073=""),0,IFERROR(INDEX(Nutrition!$M$2:$M$300,MATCH($F1073,Nutrition!$A$2:$A$300,0))*$I1073/100,0))</f>
        <v>0</v>
      </c>
    </row>
    <row r="1074" spans="1:19" ht="15" customHeight="1" x14ac:dyDescent="0.25">
      <c r="A1074" s="22" t="s">
        <v>2298</v>
      </c>
      <c r="B1074" s="33" t="str">
        <f>IFERROR(INDEX(Recipes!$B$2:$B$500,MATCH(A1074,Recipes!$A$2:$A$500,0)),"")</f>
        <v>Turmeric Roasted Cauliflower</v>
      </c>
      <c r="C1074" s="7" t="s">
        <v>3031</v>
      </c>
      <c r="D1074" s="34">
        <v>0.5</v>
      </c>
      <c r="E1074" s="22" t="s">
        <v>2759</v>
      </c>
      <c r="F1074" s="22"/>
      <c r="G1074" s="22" t="s">
        <v>2749</v>
      </c>
      <c r="H1074" s="7"/>
      <c r="I1074" s="35"/>
      <c r="J1074" s="30">
        <f>IF(OR($F1074="",$I1074=""),0,IFERROR(INDEX(Nutrition!$D$2:$D$300,MATCH($F1074,Nutrition!$A$2:$A$300,0))*$I1074/100,0))</f>
        <v>0</v>
      </c>
      <c r="K1074" s="30">
        <f>IF(OR($F1074="",$I1074=""),0,IFERROR(INDEX(Nutrition!$E$2:$E$300,MATCH($F1074,Nutrition!$A$2:$A$300,0))*$I1074/100,0))</f>
        <v>0</v>
      </c>
      <c r="L1074" s="30">
        <f>IF(OR($F1074="",$I1074=""),0,IFERROR(INDEX(Nutrition!$F$2:$F$300,MATCH($F1074,Nutrition!$A$2:$A$300,0))*$I1074/100,0))</f>
        <v>0</v>
      </c>
      <c r="M1074" s="30">
        <f>IF(OR($F1074="",$I1074=""),0,IFERROR(INDEX(Nutrition!$G$2:$G$300,MATCH($F1074,Nutrition!$A$2:$A$300,0))*$I1074/100,0))</f>
        <v>0</v>
      </c>
      <c r="N1074" s="30">
        <f>IF(OR($F1074="",$I1074=""),0,IFERROR(INDEX(Nutrition!$H$2:$H$300,MATCH($F1074,Nutrition!$A$2:$A$300,0))*$I1074/100,0))</f>
        <v>0</v>
      </c>
      <c r="O1074" s="30">
        <f>IF(OR($F1074="",$I1074=""),0,IFERROR(INDEX(Nutrition!$I$2:$I$300,MATCH($F1074,Nutrition!$A$2:$A$300,0))*$I1074/100,0))</f>
        <v>0</v>
      </c>
      <c r="P1074" s="30">
        <f>IF(OR($F1074="",$I1074=""),0,IFERROR(INDEX(Nutrition!$J$2:$J$300,MATCH($F1074,Nutrition!$A$2:$A$300,0))*$I1074/100,0))</f>
        <v>0</v>
      </c>
      <c r="Q1074" s="30">
        <f>IF(OR($F1074="",$I1074=""),0,IFERROR(INDEX(Nutrition!$K$2:$K$300,MATCH($F1074,Nutrition!$A$2:$A$300,0))*$I1074/100,0))</f>
        <v>0</v>
      </c>
      <c r="R1074" s="30">
        <f>IF(OR($F1074="",$I1074=""),0,IFERROR(INDEX(Nutrition!$L$2:$L$300,MATCH($F1074,Nutrition!$A$2:$A$300,0))*$I1074/100,0))</f>
        <v>0</v>
      </c>
      <c r="S1074" s="30">
        <f>IF(OR($F1074="",$I1074=""),0,IFERROR(INDEX(Nutrition!$M$2:$M$300,MATCH($F1074,Nutrition!$A$2:$A$300,0))*$I1074/100,0))</f>
        <v>0</v>
      </c>
    </row>
    <row r="1075" spans="1:19" ht="15" customHeight="1" x14ac:dyDescent="0.25">
      <c r="A1075" s="22" t="s">
        <v>2298</v>
      </c>
      <c r="B1075" s="33" t="str">
        <f>IFERROR(INDEX(Recipes!$B$2:$B$500,MATCH(A1075,Recipes!$A$2:$A$500,0)),"")</f>
        <v>Turmeric Roasted Cauliflower</v>
      </c>
      <c r="C1075" s="7" t="s">
        <v>2906</v>
      </c>
      <c r="D1075" s="34">
        <v>1</v>
      </c>
      <c r="E1075" s="22" t="s">
        <v>2759</v>
      </c>
      <c r="F1075" s="22"/>
      <c r="G1075" s="22" t="s">
        <v>2773</v>
      </c>
      <c r="H1075" s="7"/>
      <c r="I1075" s="35"/>
      <c r="J1075" s="30">
        <f>IF(OR($F1075="",$I1075=""),0,IFERROR(INDEX(Nutrition!$D$2:$D$300,MATCH($F1075,Nutrition!$A$2:$A$300,0))*$I1075/100,0))</f>
        <v>0</v>
      </c>
      <c r="K1075" s="30">
        <f>IF(OR($F1075="",$I1075=""),0,IFERROR(INDEX(Nutrition!$E$2:$E$300,MATCH($F1075,Nutrition!$A$2:$A$300,0))*$I1075/100,0))</f>
        <v>0</v>
      </c>
      <c r="L1075" s="30">
        <f>IF(OR($F1075="",$I1075=""),0,IFERROR(INDEX(Nutrition!$F$2:$F$300,MATCH($F1075,Nutrition!$A$2:$A$300,0))*$I1075/100,0))</f>
        <v>0</v>
      </c>
      <c r="M1075" s="30">
        <f>IF(OR($F1075="",$I1075=""),0,IFERROR(INDEX(Nutrition!$G$2:$G$300,MATCH($F1075,Nutrition!$A$2:$A$300,0))*$I1075/100,0))</f>
        <v>0</v>
      </c>
      <c r="N1075" s="30">
        <f>IF(OR($F1075="",$I1075=""),0,IFERROR(INDEX(Nutrition!$H$2:$H$300,MATCH($F1075,Nutrition!$A$2:$A$300,0))*$I1075/100,0))</f>
        <v>0</v>
      </c>
      <c r="O1075" s="30">
        <f>IF(OR($F1075="",$I1075=""),0,IFERROR(INDEX(Nutrition!$I$2:$I$300,MATCH($F1075,Nutrition!$A$2:$A$300,0))*$I1075/100,0))</f>
        <v>0</v>
      </c>
      <c r="P1075" s="30">
        <f>IF(OR($F1075="",$I1075=""),0,IFERROR(INDEX(Nutrition!$J$2:$J$300,MATCH($F1075,Nutrition!$A$2:$A$300,0))*$I1075/100,0))</f>
        <v>0</v>
      </c>
      <c r="Q1075" s="30">
        <f>IF(OR($F1075="",$I1075=""),0,IFERROR(INDEX(Nutrition!$K$2:$K$300,MATCH($F1075,Nutrition!$A$2:$A$300,0))*$I1075/100,0))</f>
        <v>0</v>
      </c>
      <c r="R1075" s="30">
        <f>IF(OR($F1075="",$I1075=""),0,IFERROR(INDEX(Nutrition!$L$2:$L$300,MATCH($F1075,Nutrition!$A$2:$A$300,0))*$I1075/100,0))</f>
        <v>0</v>
      </c>
      <c r="S1075" s="30">
        <f>IF(OR($F1075="",$I1075=""),0,IFERROR(INDEX(Nutrition!$M$2:$M$300,MATCH($F1075,Nutrition!$A$2:$A$300,0))*$I1075/100,0))</f>
        <v>0</v>
      </c>
    </row>
    <row r="1076" spans="1:19" ht="15" customHeight="1" x14ac:dyDescent="0.25">
      <c r="A1076" s="22" t="s">
        <v>2309</v>
      </c>
      <c r="B1076" s="33" t="str">
        <f>IFERROR(INDEX(Recipes!$B$2:$B$500,MATCH(A1076,Recipes!$A$2:$A$500,0)),"")</f>
        <v>Sautéed Mushrooms with Garlic &amp; Parsley</v>
      </c>
      <c r="C1076" s="7" t="s">
        <v>595</v>
      </c>
      <c r="D1076" s="34">
        <v>450</v>
      </c>
      <c r="E1076" s="22" t="s">
        <v>2813</v>
      </c>
      <c r="F1076" s="22" t="s">
        <v>594</v>
      </c>
      <c r="G1076" s="22" t="s">
        <v>2755</v>
      </c>
      <c r="H1076" s="7" t="s">
        <v>2914</v>
      </c>
      <c r="I1076" s="35">
        <v>450</v>
      </c>
      <c r="J1076" s="30">
        <f>IF(OR($F1076="",$I1076=""),0,IFERROR(INDEX(Nutrition!$D$2:$D$300,MATCH($F1076,Nutrition!$A$2:$A$300,0))*$I1076/100,0))</f>
        <v>10.35</v>
      </c>
      <c r="K1076" s="30">
        <f>IF(OR($F1076="",$I1076=""),0,IFERROR(INDEX(Nutrition!$E$2:$E$300,MATCH($F1076,Nutrition!$A$2:$A$300,0))*$I1076/100,0))</f>
        <v>0</v>
      </c>
      <c r="L1076" s="30">
        <f>IF(OR($F1076="",$I1076=""),0,IFERROR(INDEX(Nutrition!$F$2:$F$300,MATCH($F1076,Nutrition!$A$2:$A$300,0))*$I1076/100,0))</f>
        <v>0</v>
      </c>
      <c r="M1076" s="30">
        <f>IF(OR($F1076="",$I1076=""),0,IFERROR(INDEX(Nutrition!$G$2:$G$300,MATCH($F1076,Nutrition!$A$2:$A$300,0))*$I1076/100,0))</f>
        <v>0</v>
      </c>
      <c r="N1076" s="30">
        <f>IF(OR($F1076="",$I1076=""),0,IFERROR(INDEX(Nutrition!$H$2:$H$300,MATCH($F1076,Nutrition!$A$2:$A$300,0))*$I1076/100,0))</f>
        <v>171</v>
      </c>
      <c r="O1076" s="30">
        <f>IF(OR($F1076="",$I1076=""),0,IFERROR(INDEX(Nutrition!$I$2:$I$300,MATCH($F1076,Nutrition!$A$2:$A$300,0))*$I1076/100,0))</f>
        <v>1890</v>
      </c>
      <c r="P1076" s="30">
        <f>IF(OR($F1076="",$I1076=""),0,IFERROR(INDEX(Nutrition!$J$2:$J$300,MATCH($F1076,Nutrition!$A$2:$A$300,0))*$I1076/100,0))</f>
        <v>0</v>
      </c>
      <c r="Q1076" s="30">
        <f>IF(OR($F1076="",$I1076=""),0,IFERROR(INDEX(Nutrition!$K$2:$K$300,MATCH($F1076,Nutrition!$A$2:$A$300,0))*$I1076/100,0))</f>
        <v>0.495</v>
      </c>
      <c r="R1076" s="30">
        <f>IF(OR($F1076="",$I1076=""),0,IFERROR(INDEX(Nutrition!$L$2:$L$300,MATCH($F1076,Nutrition!$A$2:$A$300,0))*$I1076/100,0))</f>
        <v>81</v>
      </c>
      <c r="S1076" s="30">
        <f>IF(OR($F1076="",$I1076=""),0,IFERROR(INDEX(Nutrition!$M$2:$M$300,MATCH($F1076,Nutrition!$A$2:$A$300,0))*$I1076/100,0))</f>
        <v>5.9850000000000003</v>
      </c>
    </row>
    <row r="1077" spans="1:19" ht="15" customHeight="1" x14ac:dyDescent="0.25">
      <c r="A1077" s="22" t="s">
        <v>2309</v>
      </c>
      <c r="B1077" s="33" t="str">
        <f>IFERROR(INDEX(Recipes!$B$2:$B$500,MATCH(A1077,Recipes!$A$2:$A$500,0)),"")</f>
        <v>Sautéed Mushrooms with Garlic &amp; Parsley</v>
      </c>
      <c r="C1077" s="7" t="s">
        <v>500</v>
      </c>
      <c r="D1077" s="34">
        <v>1</v>
      </c>
      <c r="E1077" s="22" t="s">
        <v>2816</v>
      </c>
      <c r="F1077" s="22" t="s">
        <v>499</v>
      </c>
      <c r="G1077" s="22" t="s">
        <v>2755</v>
      </c>
      <c r="H1077" s="7" t="s">
        <v>2791</v>
      </c>
      <c r="I1077" s="35">
        <v>3</v>
      </c>
      <c r="J1077" s="30">
        <f>IF(OR($F1077="",$I1077=""),0,IFERROR(INDEX(Nutrition!$D$2:$D$300,MATCH($F1077,Nutrition!$A$2:$A$300,0))*$I1077/100,0))</f>
        <v>6.3E-2</v>
      </c>
      <c r="K1077" s="30">
        <f>IF(OR($F1077="",$I1077=""),0,IFERROR(INDEX(Nutrition!$E$2:$E$300,MATCH($F1077,Nutrition!$A$2:$A$300,0))*$I1077/100,0))</f>
        <v>0.93599999999999994</v>
      </c>
      <c r="L1077" s="30">
        <f>IF(OR($F1077="",$I1077=""),0,IFERROR(INDEX(Nutrition!$F$2:$F$300,MATCH($F1077,Nutrition!$A$2:$A$300,0))*$I1077/100,0))</f>
        <v>0</v>
      </c>
      <c r="M1077" s="30">
        <f>IF(OR($F1077="",$I1077=""),0,IFERROR(INDEX(Nutrition!$G$2:$G$300,MATCH($F1077,Nutrition!$A$2:$A$300,0))*$I1077/100,0))</f>
        <v>5.0999999999999997E-2</v>
      </c>
      <c r="N1077" s="30">
        <f>IF(OR($F1077="",$I1077=""),0,IFERROR(INDEX(Nutrition!$H$2:$H$300,MATCH($F1077,Nutrition!$A$2:$A$300,0))*$I1077/100,0))</f>
        <v>0.09</v>
      </c>
      <c r="O1077" s="30">
        <f>IF(OR($F1077="",$I1077=""),0,IFERROR(INDEX(Nutrition!$I$2:$I$300,MATCH($F1077,Nutrition!$A$2:$A$300,0))*$I1077/100,0))</f>
        <v>12.03</v>
      </c>
      <c r="P1077" s="30">
        <f>IF(OR($F1077="",$I1077=""),0,IFERROR(INDEX(Nutrition!$J$2:$J$300,MATCH($F1077,Nutrition!$A$2:$A$300,0))*$I1077/100,0))</f>
        <v>2.3999999999999998E-3</v>
      </c>
      <c r="Q1077" s="30">
        <f>IF(OR($F1077="",$I1077=""),0,IFERROR(INDEX(Nutrition!$K$2:$K$300,MATCH($F1077,Nutrition!$A$2:$A$300,0))*$I1077/100,0))</f>
        <v>3.705E-2</v>
      </c>
      <c r="R1077" s="30">
        <f>IF(OR($F1077="",$I1077=""),0,IFERROR(INDEX(Nutrition!$L$2:$L$300,MATCH($F1077,Nutrition!$A$2:$A$300,0))*$I1077/100,0))</f>
        <v>0.75</v>
      </c>
      <c r="S1077" s="30">
        <f>IF(OR($F1077="",$I1077=""),0,IFERROR(INDEX(Nutrition!$M$2:$M$300,MATCH($F1077,Nutrition!$A$2:$A$300,0))*$I1077/100,0))</f>
        <v>5.0999999999999997E-2</v>
      </c>
    </row>
    <row r="1078" spans="1:19" ht="15" customHeight="1" x14ac:dyDescent="0.25">
      <c r="A1078" s="22" t="s">
        <v>2309</v>
      </c>
      <c r="B1078" s="33" t="str">
        <f>IFERROR(INDEX(Recipes!$B$2:$B$500,MATCH(A1078,Recipes!$A$2:$A$500,0)),"")</f>
        <v>Sautéed Mushrooms with Garlic &amp; Parsley</v>
      </c>
      <c r="C1078" s="7" t="s">
        <v>671</v>
      </c>
      <c r="D1078" s="34">
        <v>1</v>
      </c>
      <c r="E1078" s="22" t="s">
        <v>2753</v>
      </c>
      <c r="F1078" s="22" t="s">
        <v>670</v>
      </c>
      <c r="G1078" s="22" t="s">
        <v>2755</v>
      </c>
      <c r="H1078" s="7" t="s">
        <v>2775</v>
      </c>
      <c r="I1078" s="35">
        <v>4</v>
      </c>
      <c r="J1078" s="30">
        <f>IF(OR($F1078="",$I1078=""),0,IFERROR(INDEX(Nutrition!$D$2:$D$300,MATCH($F1078,Nutrition!$A$2:$A$300,0))*$I1078/100,0))</f>
        <v>0.13200000000000001</v>
      </c>
      <c r="K1078" s="30">
        <f>IF(OR($F1078="",$I1078=""),0,IFERROR(INDEX(Nutrition!$E$2:$E$300,MATCH($F1078,Nutrition!$A$2:$A$300,0))*$I1078/100,0))</f>
        <v>5.32</v>
      </c>
      <c r="L1078" s="30">
        <f>IF(OR($F1078="",$I1078=""),0,IFERROR(INDEX(Nutrition!$F$2:$F$300,MATCH($F1078,Nutrition!$A$2:$A$300,0))*$I1078/100,0))</f>
        <v>16.84</v>
      </c>
      <c r="M1078" s="30">
        <f>IF(OR($F1078="",$I1078=""),0,IFERROR(INDEX(Nutrition!$G$2:$G$300,MATCH($F1078,Nutrition!$A$2:$A$300,0))*$I1078/100,0))</f>
        <v>65.599999999999994</v>
      </c>
      <c r="N1078" s="30">
        <f>IF(OR($F1078="",$I1078=""),0,IFERROR(INDEX(Nutrition!$H$2:$H$300,MATCH($F1078,Nutrition!$A$2:$A$300,0))*$I1078/100,0))</f>
        <v>6.08</v>
      </c>
      <c r="O1078" s="30">
        <f>IF(OR($F1078="",$I1078=""),0,IFERROR(INDEX(Nutrition!$I$2:$I$300,MATCH($F1078,Nutrition!$A$2:$A$300,0))*$I1078/100,0))</f>
        <v>22.16</v>
      </c>
      <c r="P1078" s="30">
        <f>IF(OR($F1078="",$I1078=""),0,IFERROR(INDEX(Nutrition!$J$2:$J$300,MATCH($F1078,Nutrition!$A$2:$A$300,0))*$I1078/100,0))</f>
        <v>0.03</v>
      </c>
      <c r="Q1078" s="30">
        <f>IF(OR($F1078="",$I1078=""),0,IFERROR(INDEX(Nutrition!$K$2:$K$300,MATCH($F1078,Nutrition!$A$2:$A$300,0))*$I1078/100,0))</f>
        <v>3.5999999999999999E-3</v>
      </c>
      <c r="R1078" s="30">
        <f>IF(OR($F1078="",$I1078=""),0,IFERROR(INDEX(Nutrition!$L$2:$L$300,MATCH($F1078,Nutrition!$A$2:$A$300,0))*$I1078/100,0))</f>
        <v>2</v>
      </c>
      <c r="S1078" s="30">
        <f>IF(OR($F1078="",$I1078=""),0,IFERROR(INDEX(Nutrition!$M$2:$M$300,MATCH($F1078,Nutrition!$A$2:$A$300,0))*$I1078/100,0))</f>
        <v>0.248</v>
      </c>
    </row>
    <row r="1079" spans="1:19" ht="15" customHeight="1" x14ac:dyDescent="0.25">
      <c r="A1079" s="22" t="s">
        <v>2309</v>
      </c>
      <c r="B1079" s="33" t="str">
        <f>IFERROR(INDEX(Recipes!$B$2:$B$500,MATCH(A1079,Recipes!$A$2:$A$500,0)),"")</f>
        <v>Sautéed Mushrooms with Garlic &amp; Parsley</v>
      </c>
      <c r="C1079" s="7" t="s">
        <v>213</v>
      </c>
      <c r="D1079" s="34">
        <v>0.5</v>
      </c>
      <c r="E1079" s="22" t="s">
        <v>2754</v>
      </c>
      <c r="F1079" s="22" t="s">
        <v>212</v>
      </c>
      <c r="G1079" s="22" t="s">
        <v>2755</v>
      </c>
      <c r="H1079" s="7" t="s">
        <v>2912</v>
      </c>
      <c r="I1079" s="35">
        <v>34</v>
      </c>
      <c r="J1079" s="30">
        <f>IF(OR($F1079="",$I1079=""),0,IFERROR(INDEX(Nutrition!$D$2:$D$300,MATCH($F1079,Nutrition!$A$2:$A$300,0))*$I1079/100,0))</f>
        <v>0.95199999999999985</v>
      </c>
      <c r="K1079" s="30">
        <f>IF(OR($F1079="",$I1079=""),0,IFERROR(INDEX(Nutrition!$E$2:$E$300,MATCH($F1079,Nutrition!$A$2:$A$300,0))*$I1079/100,0))</f>
        <v>9.8940000000000001</v>
      </c>
      <c r="L1079" s="30">
        <f>IF(OR($F1079="",$I1079=""),0,IFERROR(INDEX(Nutrition!$F$2:$F$300,MATCH($F1079,Nutrition!$A$2:$A$300,0))*$I1079/100,0))</f>
        <v>0.68</v>
      </c>
      <c r="M1079" s="30">
        <f>IF(OR($F1079="",$I1079=""),0,IFERROR(INDEX(Nutrition!$G$2:$G$300,MATCH($F1079,Nutrition!$A$2:$A$300,0))*$I1079/100,0))</f>
        <v>0.20399999999999999</v>
      </c>
      <c r="N1079" s="30">
        <f>IF(OR($F1079="",$I1079=""),0,IFERROR(INDEX(Nutrition!$H$2:$H$300,MATCH($F1079,Nutrition!$A$2:$A$300,0))*$I1079/100,0))</f>
        <v>2.72</v>
      </c>
      <c r="O1079" s="30">
        <f>IF(OR($F1079="",$I1079=""),0,IFERROR(INDEX(Nutrition!$I$2:$I$300,MATCH($F1079,Nutrition!$A$2:$A$300,0))*$I1079/100,0))</f>
        <v>34.68</v>
      </c>
      <c r="P1079" s="30">
        <f>IF(OR($F1079="",$I1079=""),0,IFERROR(INDEX(Nutrition!$J$2:$J$300,MATCH($F1079,Nutrition!$A$2:$A$300,0))*$I1079/100,0))</f>
        <v>7.4800000000000005E-2</v>
      </c>
      <c r="Q1079" s="30">
        <f>IF(OR($F1079="",$I1079=""),0,IFERROR(INDEX(Nutrition!$K$2:$K$300,MATCH($F1079,Nutrition!$A$2:$A$300,0))*$I1079/100,0))</f>
        <v>1.4619999999999999E-2</v>
      </c>
      <c r="R1079" s="30">
        <f>IF(OR($F1079="",$I1079=""),0,IFERROR(INDEX(Nutrition!$L$2:$L$300,MATCH($F1079,Nutrition!$A$2:$A$300,0))*$I1079/100,0))</f>
        <v>2.04</v>
      </c>
      <c r="S1079" s="30">
        <f>IF(OR($F1079="",$I1079=""),0,IFERROR(INDEX(Nutrition!$M$2:$M$300,MATCH($F1079,Nutrition!$A$2:$A$300,0))*$I1079/100,0))</f>
        <v>0.20399999999999999</v>
      </c>
    </row>
    <row r="1080" spans="1:19" ht="15" customHeight="1" x14ac:dyDescent="0.25">
      <c r="A1080" s="22" t="s">
        <v>2309</v>
      </c>
      <c r="B1080" s="33" t="str">
        <f>IFERROR(INDEX(Recipes!$B$2:$B$500,MATCH(A1080,Recipes!$A$2:$A$500,0)),"")</f>
        <v>Sautéed Mushrooms with Garlic &amp; Parsley</v>
      </c>
      <c r="C1080" s="7" t="s">
        <v>684</v>
      </c>
      <c r="D1080" s="34">
        <v>1</v>
      </c>
      <c r="E1080" s="22" t="s">
        <v>2990</v>
      </c>
      <c r="F1080" s="22" t="s">
        <v>683</v>
      </c>
      <c r="G1080" s="22" t="s">
        <v>2755</v>
      </c>
      <c r="H1080" s="7" t="s">
        <v>2760</v>
      </c>
      <c r="I1080" s="35">
        <v>2</v>
      </c>
      <c r="J1080" s="30">
        <f>IF(OR($F1080="",$I1080=""),0,IFERROR(INDEX(Nutrition!$D$2:$D$300,MATCH($F1080,Nutrition!$A$2:$A$300,0))*$I1080/100,0))</f>
        <v>0.28199999999999997</v>
      </c>
      <c r="K1080" s="30">
        <f>IF(OR($F1080="",$I1080=""),0,IFERROR(INDEX(Nutrition!$E$2:$E$300,MATCH($F1080,Nutrition!$A$2:$A$300,0))*$I1080/100,0))</f>
        <v>0.436</v>
      </c>
      <c r="L1080" s="30">
        <f>IF(OR($F1080="",$I1080=""),0,IFERROR(INDEX(Nutrition!$F$2:$F$300,MATCH($F1080,Nutrition!$A$2:$A$300,0))*$I1080/100,0))</f>
        <v>2.92</v>
      </c>
      <c r="M1080" s="30">
        <f>IF(OR($F1080="",$I1080=""),0,IFERROR(INDEX(Nutrition!$G$2:$G$300,MATCH($F1080,Nutrition!$A$2:$A$300,0))*$I1080/100,0))</f>
        <v>0</v>
      </c>
      <c r="N1080" s="30">
        <f>IF(OR($F1080="",$I1080=""),0,IFERROR(INDEX(Nutrition!$H$2:$H$300,MATCH($F1080,Nutrition!$A$2:$A$300,0))*$I1080/100,0))</f>
        <v>2.1800000000000002</v>
      </c>
      <c r="O1080" s="30">
        <f>IF(OR($F1080="",$I1080=""),0,IFERROR(INDEX(Nutrition!$I$2:$I$300,MATCH($F1080,Nutrition!$A$2:$A$300,0))*$I1080/100,0))</f>
        <v>13.36</v>
      </c>
      <c r="P1080" s="30">
        <f>IF(OR($F1080="",$I1080=""),0,IFERROR(INDEX(Nutrition!$J$2:$J$300,MATCH($F1080,Nutrition!$A$2:$A$300,0))*$I1080/100,0))</f>
        <v>0</v>
      </c>
      <c r="Q1080" s="30">
        <f>IF(OR($F1080="",$I1080=""),0,IFERROR(INDEX(Nutrition!$K$2:$K$300,MATCH($F1080,Nutrition!$A$2:$A$300,0))*$I1080/100,0))</f>
        <v>6.7200000000000003E-3</v>
      </c>
      <c r="R1080" s="30">
        <f>IF(OR($F1080="",$I1080=""),0,IFERROR(INDEX(Nutrition!$L$2:$L$300,MATCH($F1080,Nutrition!$A$2:$A$300,0))*$I1080/100,0))</f>
        <v>1.82</v>
      </c>
      <c r="S1080" s="30">
        <f>IF(OR($F1080="",$I1080=""),0,IFERROR(INDEX(Nutrition!$M$2:$M$300,MATCH($F1080,Nutrition!$A$2:$A$300,0))*$I1080/100,0))</f>
        <v>0.13300000000000001</v>
      </c>
    </row>
    <row r="1081" spans="1:19" ht="15" customHeight="1" x14ac:dyDescent="0.25">
      <c r="A1081" s="22" t="s">
        <v>2309</v>
      </c>
      <c r="B1081" s="33" t="str">
        <f>IFERROR(INDEX(Recipes!$B$2:$B$500,MATCH(A1081,Recipes!$A$2:$A$500,0)),"")</f>
        <v>Sautéed Mushrooms with Garlic &amp; Parsley</v>
      </c>
      <c r="C1081" s="7" t="s">
        <v>2805</v>
      </c>
      <c r="D1081" s="34">
        <v>2</v>
      </c>
      <c r="E1081" s="22" t="s">
        <v>2753</v>
      </c>
      <c r="F1081" s="22"/>
      <c r="G1081" s="22" t="s">
        <v>2773</v>
      </c>
      <c r="H1081" s="7"/>
      <c r="I1081" s="35"/>
      <c r="J1081" s="30">
        <f>IF(OR($F1081="",$I1081=""),0,IFERROR(INDEX(Nutrition!$D$2:$D$300,MATCH($F1081,Nutrition!$A$2:$A$300,0))*$I1081/100,0))</f>
        <v>0</v>
      </c>
      <c r="K1081" s="30">
        <f>IF(OR($F1081="",$I1081=""),0,IFERROR(INDEX(Nutrition!$E$2:$E$300,MATCH($F1081,Nutrition!$A$2:$A$300,0))*$I1081/100,0))</f>
        <v>0</v>
      </c>
      <c r="L1081" s="30">
        <f>IF(OR($F1081="",$I1081=""),0,IFERROR(INDEX(Nutrition!$F$2:$F$300,MATCH($F1081,Nutrition!$A$2:$A$300,0))*$I1081/100,0))</f>
        <v>0</v>
      </c>
      <c r="M1081" s="30">
        <f>IF(OR($F1081="",$I1081=""),0,IFERROR(INDEX(Nutrition!$G$2:$G$300,MATCH($F1081,Nutrition!$A$2:$A$300,0))*$I1081/100,0))</f>
        <v>0</v>
      </c>
      <c r="N1081" s="30">
        <f>IF(OR($F1081="",$I1081=""),0,IFERROR(INDEX(Nutrition!$H$2:$H$300,MATCH($F1081,Nutrition!$A$2:$A$300,0))*$I1081/100,0))</f>
        <v>0</v>
      </c>
      <c r="O1081" s="30">
        <f>IF(OR($F1081="",$I1081=""),0,IFERROR(INDEX(Nutrition!$I$2:$I$300,MATCH($F1081,Nutrition!$A$2:$A$300,0))*$I1081/100,0))</f>
        <v>0</v>
      </c>
      <c r="P1081" s="30">
        <f>IF(OR($F1081="",$I1081=""),0,IFERROR(INDEX(Nutrition!$J$2:$J$300,MATCH($F1081,Nutrition!$A$2:$A$300,0))*$I1081/100,0))</f>
        <v>0</v>
      </c>
      <c r="Q1081" s="30">
        <f>IF(OR($F1081="",$I1081=""),0,IFERROR(INDEX(Nutrition!$K$2:$K$300,MATCH($F1081,Nutrition!$A$2:$A$300,0))*$I1081/100,0))</f>
        <v>0</v>
      </c>
      <c r="R1081" s="30">
        <f>IF(OR($F1081="",$I1081=""),0,IFERROR(INDEX(Nutrition!$L$2:$L$300,MATCH($F1081,Nutrition!$A$2:$A$300,0))*$I1081/100,0))</f>
        <v>0</v>
      </c>
      <c r="S1081" s="30">
        <f>IF(OR($F1081="",$I1081=""),0,IFERROR(INDEX(Nutrition!$M$2:$M$300,MATCH($F1081,Nutrition!$A$2:$A$300,0))*$I1081/100,0))</f>
        <v>0</v>
      </c>
    </row>
    <row r="1082" spans="1:19" ht="15" customHeight="1" x14ac:dyDescent="0.25">
      <c r="A1082" s="22" t="s">
        <v>2309</v>
      </c>
      <c r="B1082" s="33" t="str">
        <f>IFERROR(INDEX(Recipes!$B$2:$B$500,MATCH(A1082,Recipes!$A$2:$A$500,0)),"")</f>
        <v>Sautéed Mushrooms with Garlic &amp; Parsley</v>
      </c>
      <c r="C1082" s="7" t="s">
        <v>2823</v>
      </c>
      <c r="D1082" s="34">
        <v>1</v>
      </c>
      <c r="E1082" s="22" t="s">
        <v>2753</v>
      </c>
      <c r="F1082" s="22"/>
      <c r="G1082" s="22" t="s">
        <v>2749</v>
      </c>
      <c r="H1082" s="7"/>
      <c r="I1082" s="35"/>
      <c r="J1082" s="30">
        <f>IF(OR($F1082="",$I1082=""),0,IFERROR(INDEX(Nutrition!$D$2:$D$300,MATCH($F1082,Nutrition!$A$2:$A$300,0))*$I1082/100,0))</f>
        <v>0</v>
      </c>
      <c r="K1082" s="30">
        <f>IF(OR($F1082="",$I1082=""),0,IFERROR(INDEX(Nutrition!$E$2:$E$300,MATCH($F1082,Nutrition!$A$2:$A$300,0))*$I1082/100,0))</f>
        <v>0</v>
      </c>
      <c r="L1082" s="30">
        <f>IF(OR($F1082="",$I1082=""),0,IFERROR(INDEX(Nutrition!$F$2:$F$300,MATCH($F1082,Nutrition!$A$2:$A$300,0))*$I1082/100,0))</f>
        <v>0</v>
      </c>
      <c r="M1082" s="30">
        <f>IF(OR($F1082="",$I1082=""),0,IFERROR(INDEX(Nutrition!$G$2:$G$300,MATCH($F1082,Nutrition!$A$2:$A$300,0))*$I1082/100,0))</f>
        <v>0</v>
      </c>
      <c r="N1082" s="30">
        <f>IF(OR($F1082="",$I1082=""),0,IFERROR(INDEX(Nutrition!$H$2:$H$300,MATCH($F1082,Nutrition!$A$2:$A$300,0))*$I1082/100,0))</f>
        <v>0</v>
      </c>
      <c r="O1082" s="30">
        <f>IF(OR($F1082="",$I1082=""),0,IFERROR(INDEX(Nutrition!$I$2:$I$300,MATCH($F1082,Nutrition!$A$2:$A$300,0))*$I1082/100,0))</f>
        <v>0</v>
      </c>
      <c r="P1082" s="30">
        <f>IF(OR($F1082="",$I1082=""),0,IFERROR(INDEX(Nutrition!$J$2:$J$300,MATCH($F1082,Nutrition!$A$2:$A$300,0))*$I1082/100,0))</f>
        <v>0</v>
      </c>
      <c r="Q1082" s="30">
        <f>IF(OR($F1082="",$I1082=""),0,IFERROR(INDEX(Nutrition!$K$2:$K$300,MATCH($F1082,Nutrition!$A$2:$A$300,0))*$I1082/100,0))</f>
        <v>0</v>
      </c>
      <c r="R1082" s="30">
        <f>IF(OR($F1082="",$I1082=""),0,IFERROR(INDEX(Nutrition!$L$2:$L$300,MATCH($F1082,Nutrition!$A$2:$A$300,0))*$I1082/100,0))</f>
        <v>0</v>
      </c>
      <c r="S1082" s="30">
        <f>IF(OR($F1082="",$I1082=""),0,IFERROR(INDEX(Nutrition!$M$2:$M$300,MATCH($F1082,Nutrition!$A$2:$A$300,0))*$I1082/100,0))</f>
        <v>0</v>
      </c>
    </row>
    <row r="1083" spans="1:19" ht="15" customHeight="1" x14ac:dyDescent="0.25">
      <c r="A1083" s="22" t="s">
        <v>2309</v>
      </c>
      <c r="B1083" s="33" t="str">
        <f>IFERROR(INDEX(Recipes!$B$2:$B$500,MATCH(A1083,Recipes!$A$2:$A$500,0)),"")</f>
        <v>Sautéed Mushrooms with Garlic &amp; Parsley</v>
      </c>
      <c r="C1083" s="7" t="s">
        <v>2906</v>
      </c>
      <c r="D1083" s="34">
        <v>0.25</v>
      </c>
      <c r="E1083" s="22" t="s">
        <v>2759</v>
      </c>
      <c r="F1083" s="22"/>
      <c r="G1083" s="22" t="s">
        <v>2773</v>
      </c>
      <c r="H1083" s="7"/>
      <c r="I1083" s="35"/>
      <c r="J1083" s="30">
        <f>IF(OR($F1083="",$I1083=""),0,IFERROR(INDEX(Nutrition!$D$2:$D$300,MATCH($F1083,Nutrition!$A$2:$A$300,0))*$I1083/100,0))</f>
        <v>0</v>
      </c>
      <c r="K1083" s="30">
        <f>IF(OR($F1083="",$I1083=""),0,IFERROR(INDEX(Nutrition!$E$2:$E$300,MATCH($F1083,Nutrition!$A$2:$A$300,0))*$I1083/100,0))</f>
        <v>0</v>
      </c>
      <c r="L1083" s="30">
        <f>IF(OR($F1083="",$I1083=""),0,IFERROR(INDEX(Nutrition!$F$2:$F$300,MATCH($F1083,Nutrition!$A$2:$A$300,0))*$I1083/100,0))</f>
        <v>0</v>
      </c>
      <c r="M1083" s="30">
        <f>IF(OR($F1083="",$I1083=""),0,IFERROR(INDEX(Nutrition!$G$2:$G$300,MATCH($F1083,Nutrition!$A$2:$A$300,0))*$I1083/100,0))</f>
        <v>0</v>
      </c>
      <c r="N1083" s="30">
        <f>IF(OR($F1083="",$I1083=""),0,IFERROR(INDEX(Nutrition!$H$2:$H$300,MATCH($F1083,Nutrition!$A$2:$A$300,0))*$I1083/100,0))</f>
        <v>0</v>
      </c>
      <c r="O1083" s="30">
        <f>IF(OR($F1083="",$I1083=""),0,IFERROR(INDEX(Nutrition!$I$2:$I$300,MATCH($F1083,Nutrition!$A$2:$A$300,0))*$I1083/100,0))</f>
        <v>0</v>
      </c>
      <c r="P1083" s="30">
        <f>IF(OR($F1083="",$I1083=""),0,IFERROR(INDEX(Nutrition!$J$2:$J$300,MATCH($F1083,Nutrition!$A$2:$A$300,0))*$I1083/100,0))</f>
        <v>0</v>
      </c>
      <c r="Q1083" s="30">
        <f>IF(OR($F1083="",$I1083=""),0,IFERROR(INDEX(Nutrition!$K$2:$K$300,MATCH($F1083,Nutrition!$A$2:$A$300,0))*$I1083/100,0))</f>
        <v>0</v>
      </c>
      <c r="R1083" s="30">
        <f>IF(OR($F1083="",$I1083=""),0,IFERROR(INDEX(Nutrition!$L$2:$L$300,MATCH($F1083,Nutrition!$A$2:$A$300,0))*$I1083/100,0))</f>
        <v>0</v>
      </c>
      <c r="S1083" s="30">
        <f>IF(OR($F1083="",$I1083=""),0,IFERROR(INDEX(Nutrition!$M$2:$M$300,MATCH($F1083,Nutrition!$A$2:$A$300,0))*$I1083/100,0))</f>
        <v>0</v>
      </c>
    </row>
    <row r="1084" spans="1:19" ht="15" customHeight="1" x14ac:dyDescent="0.25">
      <c r="A1084" s="22" t="s">
        <v>2318</v>
      </c>
      <c r="B1084" s="33" t="str">
        <f>IFERROR(INDEX(Recipes!$B$2:$B$500,MATCH(A1084,Recipes!$A$2:$A$500,0)),"")</f>
        <v>Bhindi Masala (Stir-Fried Okra)</v>
      </c>
      <c r="C1084" s="7" t="s">
        <v>572</v>
      </c>
      <c r="D1084" s="34">
        <v>250</v>
      </c>
      <c r="E1084" s="22" t="s">
        <v>2813</v>
      </c>
      <c r="F1084" s="22" t="s">
        <v>571</v>
      </c>
      <c r="G1084" s="22" t="s">
        <v>2755</v>
      </c>
      <c r="H1084" s="7" t="s">
        <v>3032</v>
      </c>
      <c r="I1084" s="35">
        <v>250</v>
      </c>
      <c r="J1084" s="30">
        <f>IF(OR($F1084="",$I1084=""),0,IFERROR(INDEX(Nutrition!$D$2:$D$300,MATCH($F1084,Nutrition!$A$2:$A$300,0))*$I1084/100,0))</f>
        <v>8</v>
      </c>
      <c r="K1084" s="30">
        <f>IF(OR($F1084="",$I1084=""),0,IFERROR(INDEX(Nutrition!$E$2:$E$300,MATCH($F1084,Nutrition!$A$2:$A$300,0))*$I1084/100,0))</f>
        <v>57.5</v>
      </c>
      <c r="L1084" s="30">
        <f>IF(OR($F1084="",$I1084=""),0,IFERROR(INDEX(Nutrition!$F$2:$F$300,MATCH($F1084,Nutrition!$A$2:$A$300,0))*$I1084/100,0))</f>
        <v>90</v>
      </c>
      <c r="M1084" s="30">
        <f>IF(OR($F1084="",$I1084=""),0,IFERROR(INDEX(Nutrition!$G$2:$G$300,MATCH($F1084,Nutrition!$A$2:$A$300,0))*$I1084/100,0))</f>
        <v>78.25</v>
      </c>
      <c r="N1084" s="30">
        <f>IF(OR($F1084="",$I1084=""),0,IFERROR(INDEX(Nutrition!$H$2:$H$300,MATCH($F1084,Nutrition!$A$2:$A$300,0))*$I1084/100,0))</f>
        <v>150</v>
      </c>
      <c r="O1084" s="30">
        <f>IF(OR($F1084="",$I1084=""),0,IFERROR(INDEX(Nutrition!$I$2:$I$300,MATCH($F1084,Nutrition!$A$2:$A$300,0))*$I1084/100,0))</f>
        <v>747.5</v>
      </c>
      <c r="P1084" s="30">
        <f>IF(OR($F1084="",$I1084=""),0,IFERROR(INDEX(Nutrition!$J$2:$J$300,MATCH($F1084,Nutrition!$A$2:$A$300,0))*$I1084/100,0))</f>
        <v>0.67500000000000004</v>
      </c>
      <c r="Q1084" s="30">
        <f>IF(OR($F1084="",$I1084=""),0,IFERROR(INDEX(Nutrition!$K$2:$K$300,MATCH($F1084,Nutrition!$A$2:$A$300,0))*$I1084/100,0))</f>
        <v>0.53749999999999998</v>
      </c>
      <c r="R1084" s="30">
        <f>IF(OR($F1084="",$I1084=""),0,IFERROR(INDEX(Nutrition!$L$2:$L$300,MATCH($F1084,Nutrition!$A$2:$A$300,0))*$I1084/100,0))</f>
        <v>142.5</v>
      </c>
      <c r="S1084" s="30">
        <f>IF(OR($F1084="",$I1084=""),0,IFERROR(INDEX(Nutrition!$M$2:$M$300,MATCH($F1084,Nutrition!$A$2:$A$300,0))*$I1084/100,0))</f>
        <v>1.55</v>
      </c>
    </row>
    <row r="1085" spans="1:19" ht="15" customHeight="1" x14ac:dyDescent="0.25">
      <c r="A1085" s="22" t="s">
        <v>2318</v>
      </c>
      <c r="B1085" s="33" t="str">
        <f>IFERROR(INDEX(Recipes!$B$2:$B$500,MATCH(A1085,Recipes!$A$2:$A$500,0)),"")</f>
        <v>Bhindi Masala (Stir-Fried Okra)</v>
      </c>
      <c r="C1085" s="7" t="s">
        <v>482</v>
      </c>
      <c r="D1085" s="34">
        <v>2</v>
      </c>
      <c r="E1085" s="22" t="s">
        <v>2754</v>
      </c>
      <c r="F1085" s="22" t="s">
        <v>481</v>
      </c>
      <c r="G1085" s="22" t="s">
        <v>2755</v>
      </c>
      <c r="H1085" s="7" t="s">
        <v>2903</v>
      </c>
      <c r="I1085" s="35">
        <v>220</v>
      </c>
      <c r="J1085" s="30">
        <f>IF(OR($F1085="",$I1085=""),0,IFERROR(INDEX(Nutrition!$D$2:$D$300,MATCH($F1085,Nutrition!$A$2:$A$300,0))*$I1085/100,0))</f>
        <v>3.74</v>
      </c>
      <c r="K1085" s="30">
        <f>IF(OR($F1085="",$I1085=""),0,IFERROR(INDEX(Nutrition!$E$2:$E$300,MATCH($F1085,Nutrition!$A$2:$A$300,0))*$I1085/100,0))</f>
        <v>16.28</v>
      </c>
      <c r="L1085" s="30">
        <f>IF(OR($F1085="",$I1085=""),0,IFERROR(INDEX(Nutrition!$F$2:$F$300,MATCH($F1085,Nutrition!$A$2:$A$300,0))*$I1085/100,0))</f>
        <v>0</v>
      </c>
      <c r="M1085" s="30">
        <f>IF(OR($F1085="",$I1085=""),0,IFERROR(INDEX(Nutrition!$G$2:$G$300,MATCH($F1085,Nutrition!$A$2:$A$300,0))*$I1085/100,0))</f>
        <v>0.88</v>
      </c>
      <c r="N1085" s="30">
        <f>IF(OR($F1085="",$I1085=""),0,IFERROR(INDEX(Nutrition!$H$2:$H$300,MATCH($F1085,Nutrition!$A$2:$A$300,0))*$I1085/100,0))</f>
        <v>41.8</v>
      </c>
      <c r="O1085" s="30">
        <f>IF(OR($F1085="",$I1085=""),0,IFERROR(INDEX(Nutrition!$I$2:$I$300,MATCH($F1085,Nutrition!$A$2:$A$300,0))*$I1085/100,0))</f>
        <v>321.2</v>
      </c>
      <c r="P1085" s="30">
        <f>IF(OR($F1085="",$I1085=""),0,IFERROR(INDEX(Nutrition!$J$2:$J$300,MATCH($F1085,Nutrition!$A$2:$A$300,0))*$I1085/100,0))</f>
        <v>4.4000000000000004E-2</v>
      </c>
      <c r="Q1085" s="30">
        <f>IF(OR($F1085="",$I1085=""),0,IFERROR(INDEX(Nutrition!$K$2:$K$300,MATCH($F1085,Nutrition!$A$2:$A$300,0))*$I1085/100,0))</f>
        <v>0.26400000000000001</v>
      </c>
      <c r="R1085" s="30">
        <f>IF(OR($F1085="",$I1085=""),0,IFERROR(INDEX(Nutrition!$L$2:$L$300,MATCH($F1085,Nutrition!$A$2:$A$300,0))*$I1085/100,0))</f>
        <v>22</v>
      </c>
      <c r="S1085" s="30">
        <f>IF(OR($F1085="",$I1085=""),0,IFERROR(INDEX(Nutrition!$M$2:$M$300,MATCH($F1085,Nutrition!$A$2:$A$300,0))*$I1085/100,0))</f>
        <v>0.46199999999999997</v>
      </c>
    </row>
    <row r="1086" spans="1:19" ht="15" customHeight="1" x14ac:dyDescent="0.25">
      <c r="A1086" s="22" t="s">
        <v>2318</v>
      </c>
      <c r="B1086" s="33" t="str">
        <f>IFERROR(INDEX(Recipes!$B$2:$B$500,MATCH(A1086,Recipes!$A$2:$A$500,0)),"")</f>
        <v>Bhindi Masala (Stir-Fried Okra)</v>
      </c>
      <c r="C1086" s="7" t="s">
        <v>446</v>
      </c>
      <c r="D1086" s="34">
        <v>2</v>
      </c>
      <c r="E1086" s="22" t="s">
        <v>2754</v>
      </c>
      <c r="F1086" s="22" t="s">
        <v>445</v>
      </c>
      <c r="G1086" s="22" t="s">
        <v>2755</v>
      </c>
      <c r="H1086" s="7" t="s">
        <v>2775</v>
      </c>
      <c r="I1086" s="35">
        <v>124</v>
      </c>
      <c r="J1086" s="30">
        <f>IF(OR($F1086="",$I1086=""),0,IFERROR(INDEX(Nutrition!$D$2:$D$300,MATCH($F1086,Nutrition!$A$2:$A$300,0))*$I1086/100,0))</f>
        <v>1.4879999999999998</v>
      </c>
      <c r="K1086" s="30">
        <f>IF(OR($F1086="",$I1086=""),0,IFERROR(INDEX(Nutrition!$E$2:$E$300,MATCH($F1086,Nutrition!$A$2:$A$300,0))*$I1086/100,0))</f>
        <v>16.988</v>
      </c>
      <c r="L1086" s="30">
        <f>IF(OR($F1086="",$I1086=""),0,IFERROR(INDEX(Nutrition!$F$2:$F$300,MATCH($F1086,Nutrition!$A$2:$A$300,0))*$I1086/100,0))</f>
        <v>52.08</v>
      </c>
      <c r="M1086" s="30">
        <f>IF(OR($F1086="",$I1086=""),0,IFERROR(INDEX(Nutrition!$G$2:$G$300,MATCH($F1086,Nutrition!$A$2:$A$300,0))*$I1086/100,0))</f>
        <v>9.7959999999999994</v>
      </c>
      <c r="N1086" s="30">
        <f>IF(OR($F1086="",$I1086=""),0,IFERROR(INDEX(Nutrition!$H$2:$H$300,MATCH($F1086,Nutrition!$A$2:$A$300,0))*$I1086/100,0))</f>
        <v>18.600000000000001</v>
      </c>
      <c r="O1086" s="30">
        <f>IF(OR($F1086="",$I1086=""),0,IFERROR(INDEX(Nutrition!$I$2:$I$300,MATCH($F1086,Nutrition!$A$2:$A$300,0))*$I1086/100,0))</f>
        <v>293.88</v>
      </c>
      <c r="P1086" s="30">
        <f>IF(OR($F1086="",$I1086=""),0,IFERROR(INDEX(Nutrition!$J$2:$J$300,MATCH($F1086,Nutrition!$A$2:$A$300,0))*$I1086/100,0))</f>
        <v>0.66960000000000008</v>
      </c>
      <c r="Q1086" s="30">
        <f>IF(OR($F1086="",$I1086=""),0,IFERROR(INDEX(Nutrition!$K$2:$K$300,MATCH($F1086,Nutrition!$A$2:$A$300,0))*$I1086/100,0))</f>
        <v>9.9199999999999997E-2</v>
      </c>
      <c r="R1086" s="30">
        <f>IF(OR($F1086="",$I1086=""),0,IFERROR(INDEX(Nutrition!$L$2:$L$300,MATCH($F1086,Nutrition!$A$2:$A$300,0))*$I1086/100,0))</f>
        <v>13.64</v>
      </c>
      <c r="S1086" s="30">
        <f>IF(OR($F1086="",$I1086=""),0,IFERROR(INDEX(Nutrition!$M$2:$M$300,MATCH($F1086,Nutrition!$A$2:$A$300,0))*$I1086/100,0))</f>
        <v>0.33480000000000004</v>
      </c>
    </row>
    <row r="1087" spans="1:19" ht="15" customHeight="1" x14ac:dyDescent="0.25">
      <c r="A1087" s="22" t="s">
        <v>2318</v>
      </c>
      <c r="B1087" s="33" t="str">
        <f>IFERROR(INDEX(Recipes!$B$2:$B$500,MATCH(A1087,Recipes!$A$2:$A$500,0)),"")</f>
        <v>Bhindi Masala (Stir-Fried Okra)</v>
      </c>
      <c r="C1087" s="7" t="s">
        <v>500</v>
      </c>
      <c r="D1087" s="34">
        <v>2</v>
      </c>
      <c r="E1087" s="22" t="s">
        <v>2776</v>
      </c>
      <c r="F1087" s="22" t="s">
        <v>499</v>
      </c>
      <c r="G1087" s="22" t="s">
        <v>2755</v>
      </c>
      <c r="H1087" s="7"/>
      <c r="I1087" s="35">
        <v>6</v>
      </c>
      <c r="J1087" s="30">
        <f>IF(OR($F1087="",$I1087=""),0,IFERROR(INDEX(Nutrition!$D$2:$D$300,MATCH($F1087,Nutrition!$A$2:$A$300,0))*$I1087/100,0))</f>
        <v>0.126</v>
      </c>
      <c r="K1087" s="30">
        <f>IF(OR($F1087="",$I1087=""),0,IFERROR(INDEX(Nutrition!$E$2:$E$300,MATCH($F1087,Nutrition!$A$2:$A$300,0))*$I1087/100,0))</f>
        <v>1.8719999999999999</v>
      </c>
      <c r="L1087" s="30">
        <f>IF(OR($F1087="",$I1087=""),0,IFERROR(INDEX(Nutrition!$F$2:$F$300,MATCH($F1087,Nutrition!$A$2:$A$300,0))*$I1087/100,0))</f>
        <v>0</v>
      </c>
      <c r="M1087" s="30">
        <f>IF(OR($F1087="",$I1087=""),0,IFERROR(INDEX(Nutrition!$G$2:$G$300,MATCH($F1087,Nutrition!$A$2:$A$300,0))*$I1087/100,0))</f>
        <v>0.10199999999999999</v>
      </c>
      <c r="N1087" s="30">
        <f>IF(OR($F1087="",$I1087=""),0,IFERROR(INDEX(Nutrition!$H$2:$H$300,MATCH($F1087,Nutrition!$A$2:$A$300,0))*$I1087/100,0))</f>
        <v>0.18</v>
      </c>
      <c r="O1087" s="30">
        <f>IF(OR($F1087="",$I1087=""),0,IFERROR(INDEX(Nutrition!$I$2:$I$300,MATCH($F1087,Nutrition!$A$2:$A$300,0))*$I1087/100,0))</f>
        <v>24.06</v>
      </c>
      <c r="P1087" s="30">
        <f>IF(OR($F1087="",$I1087=""),0,IFERROR(INDEX(Nutrition!$J$2:$J$300,MATCH($F1087,Nutrition!$A$2:$A$300,0))*$I1087/100,0))</f>
        <v>4.7999999999999996E-3</v>
      </c>
      <c r="Q1087" s="30">
        <f>IF(OR($F1087="",$I1087=""),0,IFERROR(INDEX(Nutrition!$K$2:$K$300,MATCH($F1087,Nutrition!$A$2:$A$300,0))*$I1087/100,0))</f>
        <v>7.4099999999999999E-2</v>
      </c>
      <c r="R1087" s="30">
        <f>IF(OR($F1087="",$I1087=""),0,IFERROR(INDEX(Nutrition!$L$2:$L$300,MATCH($F1087,Nutrition!$A$2:$A$300,0))*$I1087/100,0))</f>
        <v>1.5</v>
      </c>
      <c r="S1087" s="30">
        <f>IF(OR($F1087="",$I1087=""),0,IFERROR(INDEX(Nutrition!$M$2:$M$300,MATCH($F1087,Nutrition!$A$2:$A$300,0))*$I1087/100,0))</f>
        <v>0.10199999999999999</v>
      </c>
    </row>
    <row r="1088" spans="1:19" ht="15" customHeight="1" x14ac:dyDescent="0.25">
      <c r="A1088" s="22" t="s">
        <v>2318</v>
      </c>
      <c r="B1088" s="33" t="str">
        <f>IFERROR(INDEX(Recipes!$B$2:$B$500,MATCH(A1088,Recipes!$A$2:$A$500,0)),"")</f>
        <v>Bhindi Masala (Stir-Fried Okra)</v>
      </c>
      <c r="C1088" s="7" t="s">
        <v>508</v>
      </c>
      <c r="D1088" s="34">
        <v>1</v>
      </c>
      <c r="E1088" s="22" t="s">
        <v>2821</v>
      </c>
      <c r="F1088" s="22" t="s">
        <v>507</v>
      </c>
      <c r="G1088" s="22" t="s">
        <v>2755</v>
      </c>
      <c r="H1088" s="7"/>
      <c r="I1088" s="35">
        <v>15</v>
      </c>
      <c r="J1088" s="30">
        <f>IF(OR($F1088="",$I1088=""),0,IFERROR(INDEX(Nutrition!$D$2:$D$300,MATCH($F1088,Nutrition!$A$2:$A$300,0))*$I1088/100,0))</f>
        <v>0.3</v>
      </c>
      <c r="K1088" s="30">
        <f>IF(OR($F1088="",$I1088=""),0,IFERROR(INDEX(Nutrition!$E$2:$E$300,MATCH($F1088,Nutrition!$A$2:$A$300,0))*$I1088/100,0))</f>
        <v>0.75</v>
      </c>
      <c r="L1088" s="30">
        <f>IF(OR($F1088="",$I1088=""),0,IFERROR(INDEX(Nutrition!$F$2:$F$300,MATCH($F1088,Nutrition!$A$2:$A$300,0))*$I1088/100,0))</f>
        <v>0</v>
      </c>
      <c r="M1088" s="30">
        <f>IF(OR($F1088="",$I1088=""),0,IFERROR(INDEX(Nutrition!$G$2:$G$300,MATCH($F1088,Nutrition!$A$2:$A$300,0))*$I1088/100,0))</f>
        <v>1.4999999999999999E-2</v>
      </c>
      <c r="N1088" s="30">
        <f>IF(OR($F1088="",$I1088=""),0,IFERROR(INDEX(Nutrition!$H$2:$H$300,MATCH($F1088,Nutrition!$A$2:$A$300,0))*$I1088/100,0))</f>
        <v>1.65</v>
      </c>
      <c r="O1088" s="30">
        <f>IF(OR($F1088="",$I1088=""),0,IFERROR(INDEX(Nutrition!$I$2:$I$300,MATCH($F1088,Nutrition!$A$2:$A$300,0))*$I1088/100,0))</f>
        <v>62.25</v>
      </c>
      <c r="P1088" s="30">
        <f>IF(OR($F1088="",$I1088=""),0,IFERROR(INDEX(Nutrition!$J$2:$J$300,MATCH($F1088,Nutrition!$A$2:$A$300,0))*$I1088/100,0))</f>
        <v>3.9000000000000007E-2</v>
      </c>
      <c r="Q1088" s="30">
        <f>IF(OR($F1088="",$I1088=""),0,IFERROR(INDEX(Nutrition!$K$2:$K$300,MATCH($F1088,Nutrition!$A$2:$A$300,0))*$I1088/100,0))</f>
        <v>2.4E-2</v>
      </c>
      <c r="R1088" s="30">
        <f>IF(OR($F1088="",$I1088=""),0,IFERROR(INDEX(Nutrition!$L$2:$L$300,MATCH($F1088,Nutrition!$A$2:$A$300,0))*$I1088/100,0))</f>
        <v>6.45</v>
      </c>
      <c r="S1088" s="30">
        <f>IF(OR($F1088="",$I1088=""),0,IFERROR(INDEX(Nutrition!$M$2:$M$300,MATCH($F1088,Nutrition!$A$2:$A$300,0))*$I1088/100,0))</f>
        <v>0.09</v>
      </c>
    </row>
    <row r="1089" spans="1:19" ht="15" customHeight="1" x14ac:dyDescent="0.25">
      <c r="A1089" s="22" t="s">
        <v>2318</v>
      </c>
      <c r="B1089" s="33" t="str">
        <f>IFERROR(INDEX(Recipes!$B$2:$B$500,MATCH(A1089,Recipes!$A$2:$A$500,0)),"")</f>
        <v>Bhindi Masala (Stir-Fried Okra)</v>
      </c>
      <c r="C1089" s="7" t="s">
        <v>478</v>
      </c>
      <c r="D1089" s="34">
        <v>1</v>
      </c>
      <c r="E1089" s="22" t="s">
        <v>2754</v>
      </c>
      <c r="F1089" s="22" t="s">
        <v>477</v>
      </c>
      <c r="G1089" s="22" t="s">
        <v>2755</v>
      </c>
      <c r="H1089" s="7" t="s">
        <v>3033</v>
      </c>
      <c r="I1089" s="35">
        <v>20</v>
      </c>
      <c r="J1089" s="30">
        <f>IF(OR($F1089="",$I1089=""),0,IFERROR(INDEX(Nutrition!$D$2:$D$300,MATCH($F1089,Nutrition!$A$2:$A$300,0))*$I1089/100,0))</f>
        <v>0.3</v>
      </c>
      <c r="K1089" s="30">
        <f>IF(OR($F1089="",$I1089=""),0,IFERROR(INDEX(Nutrition!$E$2:$E$300,MATCH($F1089,Nutrition!$A$2:$A$300,0))*$I1089/100,0))</f>
        <v>28.74</v>
      </c>
      <c r="L1089" s="30">
        <f>IF(OR($F1089="",$I1089=""),0,IFERROR(INDEX(Nutrition!$F$2:$F$300,MATCH($F1089,Nutrition!$A$2:$A$300,0))*$I1089/100,0))</f>
        <v>9.6</v>
      </c>
      <c r="M1089" s="30">
        <f>IF(OR($F1089="",$I1089=""),0,IFERROR(INDEX(Nutrition!$G$2:$G$300,MATCH($F1089,Nutrition!$A$2:$A$300,0))*$I1089/100,0))</f>
        <v>2.8</v>
      </c>
      <c r="N1089" s="30">
        <f>IF(OR($F1089="",$I1089=""),0,IFERROR(INDEX(Nutrition!$H$2:$H$300,MATCH($F1089,Nutrition!$A$2:$A$300,0))*$I1089/100,0))</f>
        <v>4.5999999999999996</v>
      </c>
      <c r="O1089" s="30">
        <f>IF(OR($F1089="",$I1089=""),0,IFERROR(INDEX(Nutrition!$I$2:$I$300,MATCH($F1089,Nutrition!$A$2:$A$300,0))*$I1089/100,0))</f>
        <v>64.400000000000006</v>
      </c>
      <c r="P1089" s="30">
        <f>IF(OR($F1089="",$I1089=""),0,IFERROR(INDEX(Nutrition!$J$2:$J$300,MATCH($F1089,Nutrition!$A$2:$A$300,0))*$I1089/100,0))</f>
        <v>0.13799999999999998</v>
      </c>
      <c r="Q1089" s="30">
        <f>IF(OR($F1089="",$I1089=""),0,IFERROR(INDEX(Nutrition!$K$2:$K$300,MATCH($F1089,Nutrition!$A$2:$A$300,0))*$I1089/100,0))</f>
        <v>0.10120000000000001</v>
      </c>
      <c r="R1089" s="30">
        <f>IF(OR($F1089="",$I1089=""),0,IFERROR(INDEX(Nutrition!$L$2:$L$300,MATCH($F1089,Nutrition!$A$2:$A$300,0))*$I1089/100,0))</f>
        <v>4.5999999999999996</v>
      </c>
      <c r="S1089" s="30">
        <f>IF(OR($F1089="",$I1089=""),0,IFERROR(INDEX(Nutrition!$M$2:$M$300,MATCH($F1089,Nutrition!$A$2:$A$300,0))*$I1089/100,0))</f>
        <v>0.20600000000000002</v>
      </c>
    </row>
    <row r="1090" spans="1:19" ht="15" customHeight="1" x14ac:dyDescent="0.25">
      <c r="A1090" s="22" t="s">
        <v>2318</v>
      </c>
      <c r="B1090" s="33" t="str">
        <f>IFERROR(INDEX(Recipes!$B$2:$B$500,MATCH(A1090,Recipes!$A$2:$A$500,0)),"")</f>
        <v>Bhindi Masala (Stir-Fried Okra)</v>
      </c>
      <c r="C1090" s="7" t="s">
        <v>668</v>
      </c>
      <c r="D1090" s="34">
        <v>2</v>
      </c>
      <c r="E1090" s="22" t="s">
        <v>2753</v>
      </c>
      <c r="F1090" s="22" t="s">
        <v>667</v>
      </c>
      <c r="G1090" s="22" t="s">
        <v>2755</v>
      </c>
      <c r="H1090" s="7" t="s">
        <v>2775</v>
      </c>
      <c r="I1090" s="35">
        <v>8</v>
      </c>
      <c r="J1090" s="30">
        <f>IF(OR($F1090="",$I1090=""),0,IFERROR(INDEX(Nutrition!$D$2:$D$300,MATCH($F1090,Nutrition!$A$2:$A$300,0))*$I1090/100,0))</f>
        <v>0.22399999999999998</v>
      </c>
      <c r="K1090" s="30">
        <f>IF(OR($F1090="",$I1090=""),0,IFERROR(INDEX(Nutrition!$E$2:$E$300,MATCH($F1090,Nutrition!$A$2:$A$300,0))*$I1090/100,0))</f>
        <v>2.16</v>
      </c>
      <c r="L1090" s="30">
        <f>IF(OR($F1090="",$I1090=""),0,IFERROR(INDEX(Nutrition!$F$2:$F$300,MATCH($F1090,Nutrition!$A$2:$A$300,0))*$I1090/100,0))</f>
        <v>26.96</v>
      </c>
      <c r="M1090" s="30">
        <f>IF(OR($F1090="",$I1090=""),0,IFERROR(INDEX(Nutrition!$G$2:$G$300,MATCH($F1090,Nutrition!$A$2:$A$300,0))*$I1090/100,0))</f>
        <v>24.8</v>
      </c>
      <c r="N1090" s="30">
        <f>IF(OR($F1090="",$I1090=""),0,IFERROR(INDEX(Nutrition!$H$2:$H$300,MATCH($F1090,Nutrition!$A$2:$A$300,0))*$I1090/100,0))</f>
        <v>4.96</v>
      </c>
      <c r="O1090" s="30">
        <f>IF(OR($F1090="",$I1090=""),0,IFERROR(INDEX(Nutrition!$I$2:$I$300,MATCH($F1090,Nutrition!$A$2:$A$300,0))*$I1090/100,0))</f>
        <v>41.68</v>
      </c>
      <c r="P1090" s="30">
        <f>IF(OR($F1090="",$I1090=""),0,IFERROR(INDEX(Nutrition!$J$2:$J$300,MATCH($F1090,Nutrition!$A$2:$A$300,0))*$I1090/100,0))</f>
        <v>0.2</v>
      </c>
      <c r="Q1090" s="30">
        <f>IF(OR($F1090="",$I1090=""),0,IFERROR(INDEX(Nutrition!$K$2:$K$300,MATCH($F1090,Nutrition!$A$2:$A$300,0))*$I1090/100,0))</f>
        <v>1.192E-2</v>
      </c>
      <c r="R1090" s="30">
        <f>IF(OR($F1090="",$I1090=""),0,IFERROR(INDEX(Nutrition!$L$2:$L$300,MATCH($F1090,Nutrition!$A$2:$A$300,0))*$I1090/100,0))</f>
        <v>2.08</v>
      </c>
      <c r="S1090" s="30">
        <f>IF(OR($F1090="",$I1090=""),0,IFERROR(INDEX(Nutrition!$M$2:$M$300,MATCH($F1090,Nutrition!$A$2:$A$300,0))*$I1090/100,0))</f>
        <v>0.1416</v>
      </c>
    </row>
    <row r="1091" spans="1:19" ht="15" customHeight="1" x14ac:dyDescent="0.25">
      <c r="A1091" s="22" t="s">
        <v>2318</v>
      </c>
      <c r="B1091" s="33" t="str">
        <f>IFERROR(INDEX(Recipes!$B$2:$B$500,MATCH(A1091,Recipes!$A$2:$A$500,0)),"")</f>
        <v>Bhindi Masala (Stir-Fried Okra)</v>
      </c>
      <c r="C1091" s="7" t="s">
        <v>2898</v>
      </c>
      <c r="D1091" s="34">
        <v>3</v>
      </c>
      <c r="E1091" s="22" t="s">
        <v>2753</v>
      </c>
      <c r="F1091" s="22"/>
      <c r="G1091" s="22" t="s">
        <v>2773</v>
      </c>
      <c r="H1091" s="7"/>
      <c r="I1091" s="35"/>
      <c r="J1091" s="30">
        <f>IF(OR($F1091="",$I1091=""),0,IFERROR(INDEX(Nutrition!$D$2:$D$300,MATCH($F1091,Nutrition!$A$2:$A$300,0))*$I1091/100,0))</f>
        <v>0</v>
      </c>
      <c r="K1091" s="30">
        <f>IF(OR($F1091="",$I1091=""),0,IFERROR(INDEX(Nutrition!$E$2:$E$300,MATCH($F1091,Nutrition!$A$2:$A$300,0))*$I1091/100,0))</f>
        <v>0</v>
      </c>
      <c r="L1091" s="30">
        <f>IF(OR($F1091="",$I1091=""),0,IFERROR(INDEX(Nutrition!$F$2:$F$300,MATCH($F1091,Nutrition!$A$2:$A$300,0))*$I1091/100,0))</f>
        <v>0</v>
      </c>
      <c r="M1091" s="30">
        <f>IF(OR($F1091="",$I1091=""),0,IFERROR(INDEX(Nutrition!$G$2:$G$300,MATCH($F1091,Nutrition!$A$2:$A$300,0))*$I1091/100,0))</f>
        <v>0</v>
      </c>
      <c r="N1091" s="30">
        <f>IF(OR($F1091="",$I1091=""),0,IFERROR(INDEX(Nutrition!$H$2:$H$300,MATCH($F1091,Nutrition!$A$2:$A$300,0))*$I1091/100,0))</f>
        <v>0</v>
      </c>
      <c r="O1091" s="30">
        <f>IF(OR($F1091="",$I1091=""),0,IFERROR(INDEX(Nutrition!$I$2:$I$300,MATCH($F1091,Nutrition!$A$2:$A$300,0))*$I1091/100,0))</f>
        <v>0</v>
      </c>
      <c r="P1091" s="30">
        <f>IF(OR($F1091="",$I1091=""),0,IFERROR(INDEX(Nutrition!$J$2:$J$300,MATCH($F1091,Nutrition!$A$2:$A$300,0))*$I1091/100,0))</f>
        <v>0</v>
      </c>
      <c r="Q1091" s="30">
        <f>IF(OR($F1091="",$I1091=""),0,IFERROR(INDEX(Nutrition!$K$2:$K$300,MATCH($F1091,Nutrition!$A$2:$A$300,0))*$I1091/100,0))</f>
        <v>0</v>
      </c>
      <c r="R1091" s="30">
        <f>IF(OR($F1091="",$I1091=""),0,IFERROR(INDEX(Nutrition!$L$2:$L$300,MATCH($F1091,Nutrition!$A$2:$A$300,0))*$I1091/100,0))</f>
        <v>0</v>
      </c>
      <c r="S1091" s="30">
        <f>IF(OR($F1091="",$I1091=""),0,IFERROR(INDEX(Nutrition!$M$2:$M$300,MATCH($F1091,Nutrition!$A$2:$A$300,0))*$I1091/100,0))</f>
        <v>0</v>
      </c>
    </row>
    <row r="1092" spans="1:19" ht="15" customHeight="1" x14ac:dyDescent="0.25">
      <c r="A1092" s="22" t="s">
        <v>2318</v>
      </c>
      <c r="B1092" s="33" t="str">
        <f>IFERROR(INDEX(Recipes!$B$2:$B$500,MATCH(A1092,Recipes!$A$2:$A$500,0)),"")</f>
        <v>Bhindi Masala (Stir-Fried Okra)</v>
      </c>
      <c r="C1092" s="7" t="s">
        <v>2983</v>
      </c>
      <c r="D1092" s="34">
        <v>0.5</v>
      </c>
      <c r="E1092" s="22" t="s">
        <v>2759</v>
      </c>
      <c r="F1092" s="22"/>
      <c r="G1092" s="22" t="s">
        <v>2749</v>
      </c>
      <c r="H1092" s="7"/>
      <c r="I1092" s="35"/>
      <c r="J1092" s="30">
        <f>IF(OR($F1092="",$I1092=""),0,IFERROR(INDEX(Nutrition!$D$2:$D$300,MATCH($F1092,Nutrition!$A$2:$A$300,0))*$I1092/100,0))</f>
        <v>0</v>
      </c>
      <c r="K1092" s="30">
        <f>IF(OR($F1092="",$I1092=""),0,IFERROR(INDEX(Nutrition!$E$2:$E$300,MATCH($F1092,Nutrition!$A$2:$A$300,0))*$I1092/100,0))</f>
        <v>0</v>
      </c>
      <c r="L1092" s="30">
        <f>IF(OR($F1092="",$I1092=""),0,IFERROR(INDEX(Nutrition!$F$2:$F$300,MATCH($F1092,Nutrition!$A$2:$A$300,0))*$I1092/100,0))</f>
        <v>0</v>
      </c>
      <c r="M1092" s="30">
        <f>IF(OR($F1092="",$I1092=""),0,IFERROR(INDEX(Nutrition!$G$2:$G$300,MATCH($F1092,Nutrition!$A$2:$A$300,0))*$I1092/100,0))</f>
        <v>0</v>
      </c>
      <c r="N1092" s="30">
        <f>IF(OR($F1092="",$I1092=""),0,IFERROR(INDEX(Nutrition!$H$2:$H$300,MATCH($F1092,Nutrition!$A$2:$A$300,0))*$I1092/100,0))</f>
        <v>0</v>
      </c>
      <c r="O1092" s="30">
        <f>IF(OR($F1092="",$I1092=""),0,IFERROR(INDEX(Nutrition!$I$2:$I$300,MATCH($F1092,Nutrition!$A$2:$A$300,0))*$I1092/100,0))</f>
        <v>0</v>
      </c>
      <c r="P1092" s="30">
        <f>IF(OR($F1092="",$I1092=""),0,IFERROR(INDEX(Nutrition!$J$2:$J$300,MATCH($F1092,Nutrition!$A$2:$A$300,0))*$I1092/100,0))</f>
        <v>0</v>
      </c>
      <c r="Q1092" s="30">
        <f>IF(OR($F1092="",$I1092=""),0,IFERROR(INDEX(Nutrition!$K$2:$K$300,MATCH($F1092,Nutrition!$A$2:$A$300,0))*$I1092/100,0))</f>
        <v>0</v>
      </c>
      <c r="R1092" s="30">
        <f>IF(OR($F1092="",$I1092=""),0,IFERROR(INDEX(Nutrition!$L$2:$L$300,MATCH($F1092,Nutrition!$A$2:$A$300,0))*$I1092/100,0))</f>
        <v>0</v>
      </c>
      <c r="S1092" s="30">
        <f>IF(OR($F1092="",$I1092=""),0,IFERROR(INDEX(Nutrition!$M$2:$M$300,MATCH($F1092,Nutrition!$A$2:$A$300,0))*$I1092/100,0))</f>
        <v>0</v>
      </c>
    </row>
    <row r="1093" spans="1:19" ht="15" customHeight="1" x14ac:dyDescent="0.25">
      <c r="A1093" s="22" t="s">
        <v>2318</v>
      </c>
      <c r="B1093" s="33" t="str">
        <f>IFERROR(INDEX(Recipes!$B$2:$B$500,MATCH(A1093,Recipes!$A$2:$A$500,0)),"")</f>
        <v>Bhindi Masala (Stir-Fried Okra)</v>
      </c>
      <c r="C1093" s="7" t="s">
        <v>2881</v>
      </c>
      <c r="D1093" s="34">
        <v>1</v>
      </c>
      <c r="E1093" s="22" t="s">
        <v>2759</v>
      </c>
      <c r="F1093" s="22"/>
      <c r="G1093" s="22" t="s">
        <v>2749</v>
      </c>
      <c r="H1093" s="7"/>
      <c r="I1093" s="35"/>
      <c r="J1093" s="30">
        <f>IF(OR($F1093="",$I1093=""),0,IFERROR(INDEX(Nutrition!$D$2:$D$300,MATCH($F1093,Nutrition!$A$2:$A$300,0))*$I1093/100,0))</f>
        <v>0</v>
      </c>
      <c r="K1093" s="30">
        <f>IF(OR($F1093="",$I1093=""),0,IFERROR(INDEX(Nutrition!$E$2:$E$300,MATCH($F1093,Nutrition!$A$2:$A$300,0))*$I1093/100,0))</f>
        <v>0</v>
      </c>
      <c r="L1093" s="30">
        <f>IF(OR($F1093="",$I1093=""),0,IFERROR(INDEX(Nutrition!$F$2:$F$300,MATCH($F1093,Nutrition!$A$2:$A$300,0))*$I1093/100,0))</f>
        <v>0</v>
      </c>
      <c r="M1093" s="30">
        <f>IF(OR($F1093="",$I1093=""),0,IFERROR(INDEX(Nutrition!$G$2:$G$300,MATCH($F1093,Nutrition!$A$2:$A$300,0))*$I1093/100,0))</f>
        <v>0</v>
      </c>
      <c r="N1093" s="30">
        <f>IF(OR($F1093="",$I1093=""),0,IFERROR(INDEX(Nutrition!$H$2:$H$300,MATCH($F1093,Nutrition!$A$2:$A$300,0))*$I1093/100,0))</f>
        <v>0</v>
      </c>
      <c r="O1093" s="30">
        <f>IF(OR($F1093="",$I1093=""),0,IFERROR(INDEX(Nutrition!$I$2:$I$300,MATCH($F1093,Nutrition!$A$2:$A$300,0))*$I1093/100,0))</f>
        <v>0</v>
      </c>
      <c r="P1093" s="30">
        <f>IF(OR($F1093="",$I1093=""),0,IFERROR(INDEX(Nutrition!$J$2:$J$300,MATCH($F1093,Nutrition!$A$2:$A$300,0))*$I1093/100,0))</f>
        <v>0</v>
      </c>
      <c r="Q1093" s="30">
        <f>IF(OR($F1093="",$I1093=""),0,IFERROR(INDEX(Nutrition!$K$2:$K$300,MATCH($F1093,Nutrition!$A$2:$A$300,0))*$I1093/100,0))</f>
        <v>0</v>
      </c>
      <c r="R1093" s="30">
        <f>IF(OR($F1093="",$I1093=""),0,IFERROR(INDEX(Nutrition!$L$2:$L$300,MATCH($F1093,Nutrition!$A$2:$A$300,0))*$I1093/100,0))</f>
        <v>0</v>
      </c>
      <c r="S1093" s="30">
        <f>IF(OR($F1093="",$I1093=""),0,IFERROR(INDEX(Nutrition!$M$2:$M$300,MATCH($F1093,Nutrition!$A$2:$A$300,0))*$I1093/100,0))</f>
        <v>0</v>
      </c>
    </row>
    <row r="1094" spans="1:19" ht="15" customHeight="1" x14ac:dyDescent="0.25">
      <c r="A1094" s="22" t="s">
        <v>2318</v>
      </c>
      <c r="B1094" s="33" t="str">
        <f>IFERROR(INDEX(Recipes!$B$2:$B$500,MATCH(A1094,Recipes!$A$2:$A$500,0)),"")</f>
        <v>Bhindi Masala (Stir-Fried Okra)</v>
      </c>
      <c r="C1094" s="7" t="s">
        <v>3034</v>
      </c>
      <c r="D1094" s="34">
        <v>0.25</v>
      </c>
      <c r="E1094" s="22" t="s">
        <v>2759</v>
      </c>
      <c r="F1094" s="22"/>
      <c r="G1094" s="22" t="s">
        <v>2749</v>
      </c>
      <c r="H1094" s="7"/>
      <c r="I1094" s="35"/>
      <c r="J1094" s="30">
        <f>IF(OR($F1094="",$I1094=""),0,IFERROR(INDEX(Nutrition!$D$2:$D$300,MATCH($F1094,Nutrition!$A$2:$A$300,0))*$I1094/100,0))</f>
        <v>0</v>
      </c>
      <c r="K1094" s="30">
        <f>IF(OR($F1094="",$I1094=""),0,IFERROR(INDEX(Nutrition!$E$2:$E$300,MATCH($F1094,Nutrition!$A$2:$A$300,0))*$I1094/100,0))</f>
        <v>0</v>
      </c>
      <c r="L1094" s="30">
        <f>IF(OR($F1094="",$I1094=""),0,IFERROR(INDEX(Nutrition!$F$2:$F$300,MATCH($F1094,Nutrition!$A$2:$A$300,0))*$I1094/100,0))</f>
        <v>0</v>
      </c>
      <c r="M1094" s="30">
        <f>IF(OR($F1094="",$I1094=""),0,IFERROR(INDEX(Nutrition!$G$2:$G$300,MATCH($F1094,Nutrition!$A$2:$A$300,0))*$I1094/100,0))</f>
        <v>0</v>
      </c>
      <c r="N1094" s="30">
        <f>IF(OR($F1094="",$I1094=""),0,IFERROR(INDEX(Nutrition!$H$2:$H$300,MATCH($F1094,Nutrition!$A$2:$A$300,0))*$I1094/100,0))</f>
        <v>0</v>
      </c>
      <c r="O1094" s="30">
        <f>IF(OR($F1094="",$I1094=""),0,IFERROR(INDEX(Nutrition!$I$2:$I$300,MATCH($F1094,Nutrition!$A$2:$A$300,0))*$I1094/100,0))</f>
        <v>0</v>
      </c>
      <c r="P1094" s="30">
        <f>IF(OR($F1094="",$I1094=""),0,IFERROR(INDEX(Nutrition!$J$2:$J$300,MATCH($F1094,Nutrition!$A$2:$A$300,0))*$I1094/100,0))</f>
        <v>0</v>
      </c>
      <c r="Q1094" s="30">
        <f>IF(OR($F1094="",$I1094=""),0,IFERROR(INDEX(Nutrition!$K$2:$K$300,MATCH($F1094,Nutrition!$A$2:$A$300,0))*$I1094/100,0))</f>
        <v>0</v>
      </c>
      <c r="R1094" s="30">
        <f>IF(OR($F1094="",$I1094=""),0,IFERROR(INDEX(Nutrition!$L$2:$L$300,MATCH($F1094,Nutrition!$A$2:$A$300,0))*$I1094/100,0))</f>
        <v>0</v>
      </c>
      <c r="S1094" s="30">
        <f>IF(OR($F1094="",$I1094=""),0,IFERROR(INDEX(Nutrition!$M$2:$M$300,MATCH($F1094,Nutrition!$A$2:$A$300,0))*$I1094/100,0))</f>
        <v>0</v>
      </c>
    </row>
    <row r="1095" spans="1:19" ht="15" customHeight="1" x14ac:dyDescent="0.25">
      <c r="A1095" s="22" t="s">
        <v>2318</v>
      </c>
      <c r="B1095" s="33" t="str">
        <f>IFERROR(INDEX(Recipes!$B$2:$B$500,MATCH(A1095,Recipes!$A$2:$A$500,0)),"")</f>
        <v>Bhindi Masala (Stir-Fried Okra)</v>
      </c>
      <c r="C1095" s="7" t="s">
        <v>2781</v>
      </c>
      <c r="D1095" s="34">
        <v>0.5</v>
      </c>
      <c r="E1095" s="22" t="s">
        <v>2759</v>
      </c>
      <c r="F1095" s="22"/>
      <c r="G1095" s="22" t="s">
        <v>2773</v>
      </c>
      <c r="H1095" s="7"/>
      <c r="I1095" s="35"/>
      <c r="J1095" s="30">
        <f>IF(OR($F1095="",$I1095=""),0,IFERROR(INDEX(Nutrition!$D$2:$D$300,MATCH($F1095,Nutrition!$A$2:$A$300,0))*$I1095/100,0))</f>
        <v>0</v>
      </c>
      <c r="K1095" s="30">
        <f>IF(OR($F1095="",$I1095=""),0,IFERROR(INDEX(Nutrition!$E$2:$E$300,MATCH($F1095,Nutrition!$A$2:$A$300,0))*$I1095/100,0))</f>
        <v>0</v>
      </c>
      <c r="L1095" s="30">
        <f>IF(OR($F1095="",$I1095=""),0,IFERROR(INDEX(Nutrition!$F$2:$F$300,MATCH($F1095,Nutrition!$A$2:$A$300,0))*$I1095/100,0))</f>
        <v>0</v>
      </c>
      <c r="M1095" s="30">
        <f>IF(OR($F1095="",$I1095=""),0,IFERROR(INDEX(Nutrition!$G$2:$G$300,MATCH($F1095,Nutrition!$A$2:$A$300,0))*$I1095/100,0))</f>
        <v>0</v>
      </c>
      <c r="N1095" s="30">
        <f>IF(OR($F1095="",$I1095=""),0,IFERROR(INDEX(Nutrition!$H$2:$H$300,MATCH($F1095,Nutrition!$A$2:$A$300,0))*$I1095/100,0))</f>
        <v>0</v>
      </c>
      <c r="O1095" s="30">
        <f>IF(OR($F1095="",$I1095=""),0,IFERROR(INDEX(Nutrition!$I$2:$I$300,MATCH($F1095,Nutrition!$A$2:$A$300,0))*$I1095/100,0))</f>
        <v>0</v>
      </c>
      <c r="P1095" s="30">
        <f>IF(OR($F1095="",$I1095=""),0,IFERROR(INDEX(Nutrition!$J$2:$J$300,MATCH($F1095,Nutrition!$A$2:$A$300,0))*$I1095/100,0))</f>
        <v>0</v>
      </c>
      <c r="Q1095" s="30">
        <f>IF(OR($F1095="",$I1095=""),0,IFERROR(INDEX(Nutrition!$K$2:$K$300,MATCH($F1095,Nutrition!$A$2:$A$300,0))*$I1095/100,0))</f>
        <v>0</v>
      </c>
      <c r="R1095" s="30">
        <f>IF(OR($F1095="",$I1095=""),0,IFERROR(INDEX(Nutrition!$L$2:$L$300,MATCH($F1095,Nutrition!$A$2:$A$300,0))*$I1095/100,0))</f>
        <v>0</v>
      </c>
      <c r="S1095" s="30">
        <f>IF(OR($F1095="",$I1095=""),0,IFERROR(INDEX(Nutrition!$M$2:$M$300,MATCH($F1095,Nutrition!$A$2:$A$300,0))*$I1095/100,0))</f>
        <v>0</v>
      </c>
    </row>
    <row r="1096" spans="1:19" ht="15" customHeight="1" x14ac:dyDescent="0.25">
      <c r="A1096" s="22" t="s">
        <v>2330</v>
      </c>
      <c r="B1096" s="33" t="str">
        <f>IFERROR(INDEX(Recipes!$B$2:$B$500,MATCH(A1096,Recipes!$A$2:$A$500,0)),"")</f>
        <v>Roasted Pumpkin with Lemon Yoghurt</v>
      </c>
      <c r="C1096" s="7" t="s">
        <v>603</v>
      </c>
      <c r="D1096" s="34">
        <v>1</v>
      </c>
      <c r="E1096" s="22" t="s">
        <v>3035</v>
      </c>
      <c r="F1096" s="22" t="s">
        <v>602</v>
      </c>
      <c r="G1096" s="22" t="s">
        <v>2755</v>
      </c>
      <c r="H1096" s="7" t="s">
        <v>3036</v>
      </c>
      <c r="I1096" s="35">
        <v>1000</v>
      </c>
      <c r="J1096" s="30">
        <f>IF(OR($F1096="",$I1096=""),0,IFERROR(INDEX(Nutrition!$D$2:$D$300,MATCH($F1096,Nutrition!$A$2:$A$300,0))*$I1096/100,0))</f>
        <v>5</v>
      </c>
      <c r="K1096" s="30">
        <f>IF(OR($F1096="",$I1096=""),0,IFERROR(INDEX(Nutrition!$E$2:$E$300,MATCH($F1096,Nutrition!$A$2:$A$300,0))*$I1096/100,0))</f>
        <v>90</v>
      </c>
      <c r="L1096" s="30">
        <f>IF(OR($F1096="",$I1096=""),0,IFERROR(INDEX(Nutrition!$F$2:$F$300,MATCH($F1096,Nutrition!$A$2:$A$300,0))*$I1096/100,0))</f>
        <v>4260</v>
      </c>
      <c r="M1096" s="30">
        <f>IF(OR($F1096="",$I1096=""),0,IFERROR(INDEX(Nutrition!$G$2:$G$300,MATCH($F1096,Nutrition!$A$2:$A$300,0))*$I1096/100,0))</f>
        <v>11</v>
      </c>
      <c r="N1096" s="30">
        <f>IF(OR($F1096="",$I1096=""),0,IFERROR(INDEX(Nutrition!$H$2:$H$300,MATCH($F1096,Nutrition!$A$2:$A$300,0))*$I1096/100,0))</f>
        <v>160</v>
      </c>
      <c r="O1096" s="30">
        <f>IF(OR($F1096="",$I1096=""),0,IFERROR(INDEX(Nutrition!$I$2:$I$300,MATCH($F1096,Nutrition!$A$2:$A$300,0))*$I1096/100,0))</f>
        <v>3400</v>
      </c>
      <c r="P1096" s="30">
        <f>IF(OR($F1096="",$I1096=""),0,IFERROR(INDEX(Nutrition!$J$2:$J$300,MATCH($F1096,Nutrition!$A$2:$A$300,0))*$I1096/100,0))</f>
        <v>10.6</v>
      </c>
      <c r="Q1096" s="30">
        <f>IF(OR($F1096="",$I1096=""),0,IFERROR(INDEX(Nutrition!$K$2:$K$300,MATCH($F1096,Nutrition!$A$2:$A$300,0))*$I1096/100,0))</f>
        <v>0.61</v>
      </c>
      <c r="R1096" s="30">
        <f>IF(OR($F1096="",$I1096=""),0,IFERROR(INDEX(Nutrition!$L$2:$L$300,MATCH($F1096,Nutrition!$A$2:$A$300,0))*$I1096/100,0))</f>
        <v>120</v>
      </c>
      <c r="S1096" s="30">
        <f>IF(OR($F1096="",$I1096=""),0,IFERROR(INDEX(Nutrition!$M$2:$M$300,MATCH($F1096,Nutrition!$A$2:$A$300,0))*$I1096/100,0))</f>
        <v>8</v>
      </c>
    </row>
    <row r="1097" spans="1:19" ht="15" customHeight="1" x14ac:dyDescent="0.25">
      <c r="A1097" s="22" t="s">
        <v>2330</v>
      </c>
      <c r="B1097" s="33" t="str">
        <f>IFERROR(INDEX(Recipes!$B$2:$B$500,MATCH(A1097,Recipes!$A$2:$A$500,0)),"")</f>
        <v>Roasted Pumpkin with Lemon Yoghurt</v>
      </c>
      <c r="C1097" s="7" t="s">
        <v>500</v>
      </c>
      <c r="D1097" s="34">
        <v>1.5</v>
      </c>
      <c r="E1097" s="22" t="s">
        <v>2776</v>
      </c>
      <c r="F1097" s="22" t="s">
        <v>499</v>
      </c>
      <c r="G1097" s="22" t="s">
        <v>2755</v>
      </c>
      <c r="H1097" s="7" t="s">
        <v>2896</v>
      </c>
      <c r="I1097" s="35">
        <v>4.5</v>
      </c>
      <c r="J1097" s="30">
        <f>IF(OR($F1097="",$I1097=""),0,IFERROR(INDEX(Nutrition!$D$2:$D$300,MATCH($F1097,Nutrition!$A$2:$A$300,0))*$I1097/100,0))</f>
        <v>9.4500000000000015E-2</v>
      </c>
      <c r="K1097" s="30">
        <f>IF(OR($F1097="",$I1097=""),0,IFERROR(INDEX(Nutrition!$E$2:$E$300,MATCH($F1097,Nutrition!$A$2:$A$300,0))*$I1097/100,0))</f>
        <v>1.4040000000000001</v>
      </c>
      <c r="L1097" s="30">
        <f>IF(OR($F1097="",$I1097=""),0,IFERROR(INDEX(Nutrition!$F$2:$F$300,MATCH($F1097,Nutrition!$A$2:$A$300,0))*$I1097/100,0))</f>
        <v>0</v>
      </c>
      <c r="M1097" s="30">
        <f>IF(OR($F1097="",$I1097=""),0,IFERROR(INDEX(Nutrition!$G$2:$G$300,MATCH($F1097,Nutrition!$A$2:$A$300,0))*$I1097/100,0))</f>
        <v>7.6499999999999999E-2</v>
      </c>
      <c r="N1097" s="30">
        <f>IF(OR($F1097="",$I1097=""),0,IFERROR(INDEX(Nutrition!$H$2:$H$300,MATCH($F1097,Nutrition!$A$2:$A$300,0))*$I1097/100,0))</f>
        <v>0.13500000000000001</v>
      </c>
      <c r="O1097" s="30">
        <f>IF(OR($F1097="",$I1097=""),0,IFERROR(INDEX(Nutrition!$I$2:$I$300,MATCH($F1097,Nutrition!$A$2:$A$300,0))*$I1097/100,0))</f>
        <v>18.045000000000002</v>
      </c>
      <c r="P1097" s="30">
        <f>IF(OR($F1097="",$I1097=""),0,IFERROR(INDEX(Nutrition!$J$2:$J$300,MATCH($F1097,Nutrition!$A$2:$A$300,0))*$I1097/100,0))</f>
        <v>3.5999999999999999E-3</v>
      </c>
      <c r="Q1097" s="30">
        <f>IF(OR($F1097="",$I1097=""),0,IFERROR(INDEX(Nutrition!$K$2:$K$300,MATCH($F1097,Nutrition!$A$2:$A$300,0))*$I1097/100,0))</f>
        <v>5.5574999999999999E-2</v>
      </c>
      <c r="R1097" s="30">
        <f>IF(OR($F1097="",$I1097=""),0,IFERROR(INDEX(Nutrition!$L$2:$L$300,MATCH($F1097,Nutrition!$A$2:$A$300,0))*$I1097/100,0))</f>
        <v>1.125</v>
      </c>
      <c r="S1097" s="30">
        <f>IF(OR($F1097="",$I1097=""),0,IFERROR(INDEX(Nutrition!$M$2:$M$300,MATCH($F1097,Nutrition!$A$2:$A$300,0))*$I1097/100,0))</f>
        <v>7.6499999999999999E-2</v>
      </c>
    </row>
    <row r="1098" spans="1:19" ht="15" customHeight="1" x14ac:dyDescent="0.25">
      <c r="A1098" s="22" t="s">
        <v>2330</v>
      </c>
      <c r="B1098" s="33" t="str">
        <f>IFERROR(INDEX(Recipes!$B$2:$B$500,MATCH(A1098,Recipes!$A$2:$A$500,0)),"")</f>
        <v>Roasted Pumpkin with Lemon Yoghurt</v>
      </c>
      <c r="C1098" s="7" t="s">
        <v>206</v>
      </c>
      <c r="D1098" s="34">
        <v>1</v>
      </c>
      <c r="E1098" s="22" t="s">
        <v>2753</v>
      </c>
      <c r="F1098" s="22" t="s">
        <v>205</v>
      </c>
      <c r="G1098" s="22" t="s">
        <v>2755</v>
      </c>
      <c r="H1098" s="7" t="s">
        <v>2912</v>
      </c>
      <c r="I1098" s="35">
        <v>15</v>
      </c>
      <c r="J1098" s="30">
        <f>IF(OR($F1098="",$I1098=""),0,IFERROR(INDEX(Nutrition!$D$2:$D$300,MATCH($F1098,Nutrition!$A$2:$A$300,0))*$I1098/100,0))</f>
        <v>0.42</v>
      </c>
      <c r="K1098" s="30">
        <f>IF(OR($F1098="",$I1098=""),0,IFERROR(INDEX(Nutrition!$E$2:$E$300,MATCH($F1098,Nutrition!$A$2:$A$300,0))*$I1098/100,0))</f>
        <v>7.95</v>
      </c>
      <c r="L1098" s="30">
        <f>IF(OR($F1098="",$I1098=""),0,IFERROR(INDEX(Nutrition!$F$2:$F$300,MATCH($F1098,Nutrition!$A$2:$A$300,0))*$I1098/100,0))</f>
        <v>0.15</v>
      </c>
      <c r="M1098" s="30">
        <f>IF(OR($F1098="",$I1098=""),0,IFERROR(INDEX(Nutrition!$G$2:$G$300,MATCH($F1098,Nutrition!$A$2:$A$300,0))*$I1098/100,0))</f>
        <v>0</v>
      </c>
      <c r="N1098" s="30">
        <f>IF(OR($F1098="",$I1098=""),0,IFERROR(INDEX(Nutrition!$H$2:$H$300,MATCH($F1098,Nutrition!$A$2:$A$300,0))*$I1098/100,0))</f>
        <v>1.65</v>
      </c>
      <c r="O1098" s="30">
        <f>IF(OR($F1098="",$I1098=""),0,IFERROR(INDEX(Nutrition!$I$2:$I$300,MATCH($F1098,Nutrition!$A$2:$A$300,0))*$I1098/100,0))</f>
        <v>20.7</v>
      </c>
      <c r="P1098" s="30">
        <f>IF(OR($F1098="",$I1098=""),0,IFERROR(INDEX(Nutrition!$J$2:$J$300,MATCH($F1098,Nutrition!$A$2:$A$300,0))*$I1098/100,0))</f>
        <v>2.2499999999999999E-2</v>
      </c>
      <c r="Q1098" s="30">
        <f>IF(OR($F1098="",$I1098=""),0,IFERROR(INDEX(Nutrition!$K$2:$K$300,MATCH($F1098,Nutrition!$A$2:$A$300,0))*$I1098/100,0))</f>
        <v>1.2E-2</v>
      </c>
      <c r="R1098" s="30">
        <f>IF(OR($F1098="",$I1098=""),0,IFERROR(INDEX(Nutrition!$L$2:$L$300,MATCH($F1098,Nutrition!$A$2:$A$300,0))*$I1098/100,0))</f>
        <v>1.2</v>
      </c>
      <c r="S1098" s="30">
        <f>IF(OR($F1098="",$I1098=""),0,IFERROR(INDEX(Nutrition!$M$2:$M$300,MATCH($F1098,Nutrition!$A$2:$A$300,0))*$I1098/100,0))</f>
        <v>0.09</v>
      </c>
    </row>
    <row r="1099" spans="1:19" ht="15" customHeight="1" x14ac:dyDescent="0.25">
      <c r="A1099" s="22" t="s">
        <v>2330</v>
      </c>
      <c r="B1099" s="33" t="str">
        <f>IFERROR(INDEX(Recipes!$B$2:$B$500,MATCH(A1099,Recipes!$A$2:$A$500,0)),"")</f>
        <v>Roasted Pumpkin with Lemon Yoghurt</v>
      </c>
      <c r="C1099" s="7" t="s">
        <v>428</v>
      </c>
      <c r="D1099" s="34">
        <v>2</v>
      </c>
      <c r="E1099" s="22" t="s">
        <v>2753</v>
      </c>
      <c r="F1099" s="22" t="s">
        <v>427</v>
      </c>
      <c r="G1099" s="22" t="s">
        <v>2755</v>
      </c>
      <c r="H1099" s="7" t="s">
        <v>3037</v>
      </c>
      <c r="I1099" s="35">
        <v>30</v>
      </c>
      <c r="J1099" s="30">
        <f>IF(OR($F1099="",$I1099=""),0,IFERROR(INDEX(Nutrition!$D$2:$D$300,MATCH($F1099,Nutrition!$A$2:$A$300,0))*$I1099/100,0))</f>
        <v>2.5499999999999998</v>
      </c>
      <c r="K1099" s="30">
        <f>IF(OR($F1099="",$I1099=""),0,IFERROR(INDEX(Nutrition!$E$2:$E$300,MATCH($F1099,Nutrition!$A$2:$A$300,0))*$I1099/100,0))</f>
        <v>0</v>
      </c>
      <c r="L1099" s="30">
        <f>IF(OR($F1099="",$I1099=""),0,IFERROR(INDEX(Nutrition!$F$2:$F$300,MATCH($F1099,Nutrition!$A$2:$A$300,0))*$I1099/100,0))</f>
        <v>0</v>
      </c>
      <c r="M1099" s="30">
        <f>IF(OR($F1099="",$I1099=""),0,IFERROR(INDEX(Nutrition!$G$2:$G$300,MATCH($F1099,Nutrition!$A$2:$A$300,0))*$I1099/100,0))</f>
        <v>0</v>
      </c>
      <c r="N1099" s="30">
        <f>IF(OR($F1099="",$I1099=""),0,IFERROR(INDEX(Nutrition!$H$2:$H$300,MATCH($F1099,Nutrition!$A$2:$A$300,0))*$I1099/100,0))</f>
        <v>72</v>
      </c>
      <c r="O1099" s="30">
        <f>IF(OR($F1099="",$I1099=""),0,IFERROR(INDEX(Nutrition!$I$2:$I$300,MATCH($F1099,Nutrition!$A$2:$A$300,0))*$I1099/100,0))</f>
        <v>211.5</v>
      </c>
      <c r="P1099" s="30">
        <f>IF(OR($F1099="",$I1099=""),0,IFERROR(INDEX(Nutrition!$J$2:$J$300,MATCH($F1099,Nutrition!$A$2:$A$300,0))*$I1099/100,0))</f>
        <v>2.4990000000000001</v>
      </c>
      <c r="Q1099" s="30">
        <f>IF(OR($F1099="",$I1099=""),0,IFERROR(INDEX(Nutrition!$K$2:$K$300,MATCH($F1099,Nutrition!$A$2:$A$300,0))*$I1099/100,0))</f>
        <v>0.10439999999999999</v>
      </c>
      <c r="R1099" s="30">
        <f>IF(OR($F1099="",$I1099=""),0,IFERROR(INDEX(Nutrition!$L$2:$L$300,MATCH($F1099,Nutrition!$A$2:$A$300,0))*$I1099/100,0))</f>
        <v>50.4</v>
      </c>
      <c r="S1099" s="30">
        <f>IF(OR($F1099="",$I1099=""),0,IFERROR(INDEX(Nutrition!$M$2:$M$300,MATCH($F1099,Nutrition!$A$2:$A$300,0))*$I1099/100,0))</f>
        <v>1.3740000000000001</v>
      </c>
    </row>
    <row r="1100" spans="1:19" ht="15" customHeight="1" x14ac:dyDescent="0.25">
      <c r="A1100" s="22" t="s">
        <v>2330</v>
      </c>
      <c r="B1100" s="33" t="str">
        <f>IFERROR(INDEX(Recipes!$B$2:$B$500,MATCH(A1100,Recipes!$A$2:$A$500,0)),"")</f>
        <v>Roasted Pumpkin with Lemon Yoghurt</v>
      </c>
      <c r="C1100" s="7" t="s">
        <v>668</v>
      </c>
      <c r="D1100" s="34">
        <v>2</v>
      </c>
      <c r="E1100" s="22" t="s">
        <v>2753</v>
      </c>
      <c r="F1100" s="22" t="s">
        <v>667</v>
      </c>
      <c r="G1100" s="22" t="s">
        <v>2755</v>
      </c>
      <c r="H1100" s="7" t="s">
        <v>2775</v>
      </c>
      <c r="I1100" s="35">
        <v>8</v>
      </c>
      <c r="J1100" s="30">
        <f>IF(OR($F1100="",$I1100=""),0,IFERROR(INDEX(Nutrition!$D$2:$D$300,MATCH($F1100,Nutrition!$A$2:$A$300,0))*$I1100/100,0))</f>
        <v>0.22399999999999998</v>
      </c>
      <c r="K1100" s="30">
        <f>IF(OR($F1100="",$I1100=""),0,IFERROR(INDEX(Nutrition!$E$2:$E$300,MATCH($F1100,Nutrition!$A$2:$A$300,0))*$I1100/100,0))</f>
        <v>2.16</v>
      </c>
      <c r="L1100" s="30">
        <f>IF(OR($F1100="",$I1100=""),0,IFERROR(INDEX(Nutrition!$F$2:$F$300,MATCH($F1100,Nutrition!$A$2:$A$300,0))*$I1100/100,0))</f>
        <v>26.96</v>
      </c>
      <c r="M1100" s="30">
        <f>IF(OR($F1100="",$I1100=""),0,IFERROR(INDEX(Nutrition!$G$2:$G$300,MATCH($F1100,Nutrition!$A$2:$A$300,0))*$I1100/100,0))</f>
        <v>24.8</v>
      </c>
      <c r="N1100" s="30">
        <f>IF(OR($F1100="",$I1100=""),0,IFERROR(INDEX(Nutrition!$H$2:$H$300,MATCH($F1100,Nutrition!$A$2:$A$300,0))*$I1100/100,0))</f>
        <v>4.96</v>
      </c>
      <c r="O1100" s="30">
        <f>IF(OR($F1100="",$I1100=""),0,IFERROR(INDEX(Nutrition!$I$2:$I$300,MATCH($F1100,Nutrition!$A$2:$A$300,0))*$I1100/100,0))</f>
        <v>41.68</v>
      </c>
      <c r="P1100" s="30">
        <f>IF(OR($F1100="",$I1100=""),0,IFERROR(INDEX(Nutrition!$J$2:$J$300,MATCH($F1100,Nutrition!$A$2:$A$300,0))*$I1100/100,0))</f>
        <v>0.2</v>
      </c>
      <c r="Q1100" s="30">
        <f>IF(OR($F1100="",$I1100=""),0,IFERROR(INDEX(Nutrition!$K$2:$K$300,MATCH($F1100,Nutrition!$A$2:$A$300,0))*$I1100/100,0))</f>
        <v>1.192E-2</v>
      </c>
      <c r="R1100" s="30">
        <f>IF(OR($F1100="",$I1100=""),0,IFERROR(INDEX(Nutrition!$L$2:$L$300,MATCH($F1100,Nutrition!$A$2:$A$300,0))*$I1100/100,0))</f>
        <v>2.08</v>
      </c>
      <c r="S1100" s="30">
        <f>IF(OR($F1100="",$I1100=""),0,IFERROR(INDEX(Nutrition!$M$2:$M$300,MATCH($F1100,Nutrition!$A$2:$A$300,0))*$I1100/100,0))</f>
        <v>0.1416</v>
      </c>
    </row>
    <row r="1101" spans="1:19" ht="15" customHeight="1" x14ac:dyDescent="0.25">
      <c r="A1101" s="22" t="s">
        <v>2330</v>
      </c>
      <c r="B1101" s="33" t="str">
        <f>IFERROR(INDEX(Recipes!$B$2:$B$500,MATCH(A1101,Recipes!$A$2:$A$500,0)),"")</f>
        <v>Roasted Pumpkin with Lemon Yoghurt</v>
      </c>
      <c r="C1101" s="7" t="s">
        <v>2751</v>
      </c>
      <c r="D1101" s="34">
        <v>0.75</v>
      </c>
      <c r="E1101" s="22" t="s">
        <v>2748</v>
      </c>
      <c r="F1101" s="22"/>
      <c r="G1101" s="22" t="s">
        <v>2749</v>
      </c>
      <c r="H1101" s="7" t="s">
        <v>3038</v>
      </c>
      <c r="I1101" s="35"/>
      <c r="J1101" s="30">
        <f>IF(OR($F1101="",$I1101=""),0,IFERROR(INDEX(Nutrition!$D$2:$D$300,MATCH($F1101,Nutrition!$A$2:$A$300,0))*$I1101/100,0))</f>
        <v>0</v>
      </c>
      <c r="K1101" s="30">
        <f>IF(OR($F1101="",$I1101=""),0,IFERROR(INDEX(Nutrition!$E$2:$E$300,MATCH($F1101,Nutrition!$A$2:$A$300,0))*$I1101/100,0))</f>
        <v>0</v>
      </c>
      <c r="L1101" s="30">
        <f>IF(OR($F1101="",$I1101=""),0,IFERROR(INDEX(Nutrition!$F$2:$F$300,MATCH($F1101,Nutrition!$A$2:$A$300,0))*$I1101/100,0))</f>
        <v>0</v>
      </c>
      <c r="M1101" s="30">
        <f>IF(OR($F1101="",$I1101=""),0,IFERROR(INDEX(Nutrition!$G$2:$G$300,MATCH($F1101,Nutrition!$A$2:$A$300,0))*$I1101/100,0))</f>
        <v>0</v>
      </c>
      <c r="N1101" s="30">
        <f>IF(OR($F1101="",$I1101=""),0,IFERROR(INDEX(Nutrition!$H$2:$H$300,MATCH($F1101,Nutrition!$A$2:$A$300,0))*$I1101/100,0))</f>
        <v>0</v>
      </c>
      <c r="O1101" s="30">
        <f>IF(OR($F1101="",$I1101=""),0,IFERROR(INDEX(Nutrition!$I$2:$I$300,MATCH($F1101,Nutrition!$A$2:$A$300,0))*$I1101/100,0))</f>
        <v>0</v>
      </c>
      <c r="P1101" s="30">
        <f>IF(OR($F1101="",$I1101=""),0,IFERROR(INDEX(Nutrition!$J$2:$J$300,MATCH($F1101,Nutrition!$A$2:$A$300,0))*$I1101/100,0))</f>
        <v>0</v>
      </c>
      <c r="Q1101" s="30">
        <f>IF(OR($F1101="",$I1101=""),0,IFERROR(INDEX(Nutrition!$K$2:$K$300,MATCH($F1101,Nutrition!$A$2:$A$300,0))*$I1101/100,0))</f>
        <v>0</v>
      </c>
      <c r="R1101" s="30">
        <f>IF(OR($F1101="",$I1101=""),0,IFERROR(INDEX(Nutrition!$L$2:$L$300,MATCH($F1101,Nutrition!$A$2:$A$300,0))*$I1101/100,0))</f>
        <v>0</v>
      </c>
      <c r="S1101" s="30">
        <f>IF(OR($F1101="",$I1101=""),0,IFERROR(INDEX(Nutrition!$M$2:$M$300,MATCH($F1101,Nutrition!$A$2:$A$300,0))*$I1101/100,0))</f>
        <v>0</v>
      </c>
    </row>
    <row r="1102" spans="1:19" ht="15" customHeight="1" x14ac:dyDescent="0.25">
      <c r="A1102" s="22" t="s">
        <v>2330</v>
      </c>
      <c r="B1102" s="33" t="str">
        <f>IFERROR(INDEX(Recipes!$B$2:$B$500,MATCH(A1102,Recipes!$A$2:$A$500,0)),"")</f>
        <v>Roasted Pumpkin with Lemon Yoghurt</v>
      </c>
      <c r="C1102" s="7" t="s">
        <v>2805</v>
      </c>
      <c r="D1102" s="34">
        <v>3</v>
      </c>
      <c r="E1102" s="22" t="s">
        <v>2753</v>
      </c>
      <c r="F1102" s="22"/>
      <c r="G1102" s="22" t="s">
        <v>2773</v>
      </c>
      <c r="H1102" s="7"/>
      <c r="I1102" s="35"/>
      <c r="J1102" s="30">
        <f>IF(OR($F1102="",$I1102=""),0,IFERROR(INDEX(Nutrition!$D$2:$D$300,MATCH($F1102,Nutrition!$A$2:$A$300,0))*$I1102/100,0))</f>
        <v>0</v>
      </c>
      <c r="K1102" s="30">
        <f>IF(OR($F1102="",$I1102=""),0,IFERROR(INDEX(Nutrition!$E$2:$E$300,MATCH($F1102,Nutrition!$A$2:$A$300,0))*$I1102/100,0))</f>
        <v>0</v>
      </c>
      <c r="L1102" s="30">
        <f>IF(OR($F1102="",$I1102=""),0,IFERROR(INDEX(Nutrition!$F$2:$F$300,MATCH($F1102,Nutrition!$A$2:$A$300,0))*$I1102/100,0))</f>
        <v>0</v>
      </c>
      <c r="M1102" s="30">
        <f>IF(OR($F1102="",$I1102=""),0,IFERROR(INDEX(Nutrition!$G$2:$G$300,MATCH($F1102,Nutrition!$A$2:$A$300,0))*$I1102/100,0))</f>
        <v>0</v>
      </c>
      <c r="N1102" s="30">
        <f>IF(OR($F1102="",$I1102=""),0,IFERROR(INDEX(Nutrition!$H$2:$H$300,MATCH($F1102,Nutrition!$A$2:$A$300,0))*$I1102/100,0))</f>
        <v>0</v>
      </c>
      <c r="O1102" s="30">
        <f>IF(OR($F1102="",$I1102=""),0,IFERROR(INDEX(Nutrition!$I$2:$I$300,MATCH($F1102,Nutrition!$A$2:$A$300,0))*$I1102/100,0))</f>
        <v>0</v>
      </c>
      <c r="P1102" s="30">
        <f>IF(OR($F1102="",$I1102=""),0,IFERROR(INDEX(Nutrition!$J$2:$J$300,MATCH($F1102,Nutrition!$A$2:$A$300,0))*$I1102/100,0))</f>
        <v>0</v>
      </c>
      <c r="Q1102" s="30">
        <f>IF(OR($F1102="",$I1102=""),0,IFERROR(INDEX(Nutrition!$K$2:$K$300,MATCH($F1102,Nutrition!$A$2:$A$300,0))*$I1102/100,0))</f>
        <v>0</v>
      </c>
      <c r="R1102" s="30">
        <f>IF(OR($F1102="",$I1102=""),0,IFERROR(INDEX(Nutrition!$L$2:$L$300,MATCH($F1102,Nutrition!$A$2:$A$300,0))*$I1102/100,0))</f>
        <v>0</v>
      </c>
      <c r="S1102" s="30">
        <f>IF(OR($F1102="",$I1102=""),0,IFERROR(INDEX(Nutrition!$M$2:$M$300,MATCH($F1102,Nutrition!$A$2:$A$300,0))*$I1102/100,0))</f>
        <v>0</v>
      </c>
    </row>
    <row r="1103" spans="1:19" ht="15" customHeight="1" x14ac:dyDescent="0.25">
      <c r="A1103" s="22" t="s">
        <v>2330</v>
      </c>
      <c r="B1103" s="33" t="str">
        <f>IFERROR(INDEX(Recipes!$B$2:$B$500,MATCH(A1103,Recipes!$A$2:$A$500,0)),"")</f>
        <v>Roasted Pumpkin with Lemon Yoghurt</v>
      </c>
      <c r="C1103" s="7" t="s">
        <v>2789</v>
      </c>
      <c r="D1103" s="34">
        <v>1</v>
      </c>
      <c r="E1103" s="22" t="s">
        <v>2782</v>
      </c>
      <c r="F1103" s="22"/>
      <c r="G1103" s="22" t="s">
        <v>2749</v>
      </c>
      <c r="H1103" s="7"/>
      <c r="I1103" s="35"/>
      <c r="J1103" s="30">
        <f>IF(OR($F1103="",$I1103=""),0,IFERROR(INDEX(Nutrition!$D$2:$D$300,MATCH($F1103,Nutrition!$A$2:$A$300,0))*$I1103/100,0))</f>
        <v>0</v>
      </c>
      <c r="K1103" s="30">
        <f>IF(OR($F1103="",$I1103=""),0,IFERROR(INDEX(Nutrition!$E$2:$E$300,MATCH($F1103,Nutrition!$A$2:$A$300,0))*$I1103/100,0))</f>
        <v>0</v>
      </c>
      <c r="L1103" s="30">
        <f>IF(OR($F1103="",$I1103=""),0,IFERROR(INDEX(Nutrition!$F$2:$F$300,MATCH($F1103,Nutrition!$A$2:$A$300,0))*$I1103/100,0))</f>
        <v>0</v>
      </c>
      <c r="M1103" s="30">
        <f>IF(OR($F1103="",$I1103=""),0,IFERROR(INDEX(Nutrition!$G$2:$G$300,MATCH($F1103,Nutrition!$A$2:$A$300,0))*$I1103/100,0))</f>
        <v>0</v>
      </c>
      <c r="N1103" s="30">
        <f>IF(OR($F1103="",$I1103=""),0,IFERROR(INDEX(Nutrition!$H$2:$H$300,MATCH($F1103,Nutrition!$A$2:$A$300,0))*$I1103/100,0))</f>
        <v>0</v>
      </c>
      <c r="O1103" s="30">
        <f>IF(OR($F1103="",$I1103=""),0,IFERROR(INDEX(Nutrition!$I$2:$I$300,MATCH($F1103,Nutrition!$A$2:$A$300,0))*$I1103/100,0))</f>
        <v>0</v>
      </c>
      <c r="P1103" s="30">
        <f>IF(OR($F1103="",$I1103=""),0,IFERROR(INDEX(Nutrition!$J$2:$J$300,MATCH($F1103,Nutrition!$A$2:$A$300,0))*$I1103/100,0))</f>
        <v>0</v>
      </c>
      <c r="Q1103" s="30">
        <f>IF(OR($F1103="",$I1103=""),0,IFERROR(INDEX(Nutrition!$K$2:$K$300,MATCH($F1103,Nutrition!$A$2:$A$300,0))*$I1103/100,0))</f>
        <v>0</v>
      </c>
      <c r="R1103" s="30">
        <f>IF(OR($F1103="",$I1103=""),0,IFERROR(INDEX(Nutrition!$L$2:$L$300,MATCH($F1103,Nutrition!$A$2:$A$300,0))*$I1103/100,0))</f>
        <v>0</v>
      </c>
      <c r="S1103" s="30">
        <f>IF(OR($F1103="",$I1103=""),0,IFERROR(INDEX(Nutrition!$M$2:$M$300,MATCH($F1103,Nutrition!$A$2:$A$300,0))*$I1103/100,0))</f>
        <v>0</v>
      </c>
    </row>
    <row r="1104" spans="1:19" ht="15" customHeight="1" x14ac:dyDescent="0.25">
      <c r="A1104" s="22" t="s">
        <v>2330</v>
      </c>
      <c r="B1104" s="33" t="str">
        <f>IFERROR(INDEX(Recipes!$B$2:$B$500,MATCH(A1104,Recipes!$A$2:$A$500,0)),"")</f>
        <v>Roasted Pumpkin with Lemon Yoghurt</v>
      </c>
      <c r="C1104" s="7" t="s">
        <v>2906</v>
      </c>
      <c r="D1104" s="34">
        <v>0.75</v>
      </c>
      <c r="E1104" s="22" t="s">
        <v>2759</v>
      </c>
      <c r="F1104" s="22"/>
      <c r="G1104" s="22" t="s">
        <v>2773</v>
      </c>
      <c r="H1104" s="7"/>
      <c r="I1104" s="35"/>
      <c r="J1104" s="30">
        <f>IF(OR($F1104="",$I1104=""),0,IFERROR(INDEX(Nutrition!$D$2:$D$300,MATCH($F1104,Nutrition!$A$2:$A$300,0))*$I1104/100,0))</f>
        <v>0</v>
      </c>
      <c r="K1104" s="30">
        <f>IF(OR($F1104="",$I1104=""),0,IFERROR(INDEX(Nutrition!$E$2:$E$300,MATCH($F1104,Nutrition!$A$2:$A$300,0))*$I1104/100,0))</f>
        <v>0</v>
      </c>
      <c r="L1104" s="30">
        <f>IF(OR($F1104="",$I1104=""),0,IFERROR(INDEX(Nutrition!$F$2:$F$300,MATCH($F1104,Nutrition!$A$2:$A$300,0))*$I1104/100,0))</f>
        <v>0</v>
      </c>
      <c r="M1104" s="30">
        <f>IF(OR($F1104="",$I1104=""),0,IFERROR(INDEX(Nutrition!$G$2:$G$300,MATCH($F1104,Nutrition!$A$2:$A$300,0))*$I1104/100,0))</f>
        <v>0</v>
      </c>
      <c r="N1104" s="30">
        <f>IF(OR($F1104="",$I1104=""),0,IFERROR(INDEX(Nutrition!$H$2:$H$300,MATCH($F1104,Nutrition!$A$2:$A$300,0))*$I1104/100,0))</f>
        <v>0</v>
      </c>
      <c r="O1104" s="30">
        <f>IF(OR($F1104="",$I1104=""),0,IFERROR(INDEX(Nutrition!$I$2:$I$300,MATCH($F1104,Nutrition!$A$2:$A$300,0))*$I1104/100,0))</f>
        <v>0</v>
      </c>
      <c r="P1104" s="30">
        <f>IF(OR($F1104="",$I1104=""),0,IFERROR(INDEX(Nutrition!$J$2:$J$300,MATCH($F1104,Nutrition!$A$2:$A$300,0))*$I1104/100,0))</f>
        <v>0</v>
      </c>
      <c r="Q1104" s="30">
        <f>IF(OR($F1104="",$I1104=""),0,IFERROR(INDEX(Nutrition!$K$2:$K$300,MATCH($F1104,Nutrition!$A$2:$A$300,0))*$I1104/100,0))</f>
        <v>0</v>
      </c>
      <c r="R1104" s="30">
        <f>IF(OR($F1104="",$I1104=""),0,IFERROR(INDEX(Nutrition!$L$2:$L$300,MATCH($F1104,Nutrition!$A$2:$A$300,0))*$I1104/100,0))</f>
        <v>0</v>
      </c>
      <c r="S1104" s="30">
        <f>IF(OR($F1104="",$I1104=""),0,IFERROR(INDEX(Nutrition!$M$2:$M$300,MATCH($F1104,Nutrition!$A$2:$A$300,0))*$I1104/100,0))</f>
        <v>0</v>
      </c>
    </row>
    <row r="1105" spans="1:19" ht="15" customHeight="1" x14ac:dyDescent="0.25">
      <c r="A1105" s="22" t="s">
        <v>2341</v>
      </c>
      <c r="B1105" s="33" t="str">
        <f>IFERROR(INDEX(Recipes!$B$2:$B$500,MATCH(A1105,Recipes!$A$2:$A$500,0)),"")</f>
        <v>Crispy Smashed Potatoes with Rosemary</v>
      </c>
      <c r="C1105" s="7" t="s">
        <v>617</v>
      </c>
      <c r="D1105" s="34">
        <v>900</v>
      </c>
      <c r="E1105" s="22" t="s">
        <v>2813</v>
      </c>
      <c r="F1105" s="22" t="s">
        <v>616</v>
      </c>
      <c r="G1105" s="22" t="s">
        <v>2755</v>
      </c>
      <c r="H1105" s="7" t="s">
        <v>3039</v>
      </c>
      <c r="I1105" s="35">
        <v>900</v>
      </c>
      <c r="J1105" s="30">
        <f>IF(OR($F1105="",$I1105=""),0,IFERROR(INDEX(Nutrition!$D$2:$D$300,MATCH($F1105,Nutrition!$A$2:$A$300,0))*$I1105/100,0))</f>
        <v>18.899999999999999</v>
      </c>
      <c r="K1105" s="30">
        <f>IF(OR($F1105="",$I1105=""),0,IFERROR(INDEX(Nutrition!$E$2:$E$300,MATCH($F1105,Nutrition!$A$2:$A$300,0))*$I1105/100,0))</f>
        <v>177.3</v>
      </c>
      <c r="L1105" s="30">
        <f>IF(OR($F1105="",$I1105=""),0,IFERROR(INDEX(Nutrition!$F$2:$F$300,MATCH($F1105,Nutrition!$A$2:$A$300,0))*$I1105/100,0))</f>
        <v>0</v>
      </c>
      <c r="M1105" s="30">
        <f>IF(OR($F1105="",$I1105=""),0,IFERROR(INDEX(Nutrition!$G$2:$G$300,MATCH($F1105,Nutrition!$A$2:$A$300,0))*$I1105/100,0))</f>
        <v>18</v>
      </c>
      <c r="N1105" s="30">
        <f>IF(OR($F1105="",$I1105=""),0,IFERROR(INDEX(Nutrition!$H$2:$H$300,MATCH($F1105,Nutrition!$A$2:$A$300,0))*$I1105/100,0))</f>
        <v>135</v>
      </c>
      <c r="O1105" s="30">
        <f>IF(OR($F1105="",$I1105=""),0,IFERROR(INDEX(Nutrition!$I$2:$I$300,MATCH($F1105,Nutrition!$A$2:$A$300,0))*$I1105/100,0))</f>
        <v>3825</v>
      </c>
      <c r="P1105" s="30">
        <f>IF(OR($F1105="",$I1105=""),0,IFERROR(INDEX(Nutrition!$J$2:$J$300,MATCH($F1105,Nutrition!$A$2:$A$300,0))*$I1105/100,0))</f>
        <v>0.09</v>
      </c>
      <c r="Q1105" s="30">
        <f>IF(OR($F1105="",$I1105=""),0,IFERROR(INDEX(Nutrition!$K$2:$K$300,MATCH($F1105,Nutrition!$A$2:$A$300,0))*$I1105/100,0))</f>
        <v>2.6819999999999999</v>
      </c>
      <c r="R1105" s="30">
        <f>IF(OR($F1105="",$I1105=""),0,IFERROR(INDEX(Nutrition!$L$2:$L$300,MATCH($F1105,Nutrition!$A$2:$A$300,0))*$I1105/100,0))</f>
        <v>207</v>
      </c>
      <c r="S1105" s="30">
        <f>IF(OR($F1105="",$I1105=""),0,IFERROR(INDEX(Nutrition!$M$2:$M$300,MATCH($F1105,Nutrition!$A$2:$A$300,0))*$I1105/100,0))</f>
        <v>7.29</v>
      </c>
    </row>
    <row r="1106" spans="1:19" ht="15" customHeight="1" x14ac:dyDescent="0.25">
      <c r="A1106" s="22" t="s">
        <v>2341</v>
      </c>
      <c r="B1106" s="33" t="str">
        <f>IFERROR(INDEX(Recipes!$B$2:$B$500,MATCH(A1106,Recipes!$A$2:$A$500,0)),"")</f>
        <v>Crispy Smashed Potatoes with Rosemary</v>
      </c>
      <c r="C1106" s="7" t="s">
        <v>500</v>
      </c>
      <c r="D1106" s="34">
        <v>2</v>
      </c>
      <c r="E1106" s="22" t="s">
        <v>2776</v>
      </c>
      <c r="F1106" s="22" t="s">
        <v>499</v>
      </c>
      <c r="G1106" s="22" t="s">
        <v>2755</v>
      </c>
      <c r="H1106" s="7" t="s">
        <v>2791</v>
      </c>
      <c r="I1106" s="35">
        <v>6</v>
      </c>
      <c r="J1106" s="30">
        <f>IF(OR($F1106="",$I1106=""),0,IFERROR(INDEX(Nutrition!$D$2:$D$300,MATCH($F1106,Nutrition!$A$2:$A$300,0))*$I1106/100,0))</f>
        <v>0.126</v>
      </c>
      <c r="K1106" s="30">
        <f>IF(OR($F1106="",$I1106=""),0,IFERROR(INDEX(Nutrition!$E$2:$E$300,MATCH($F1106,Nutrition!$A$2:$A$300,0))*$I1106/100,0))</f>
        <v>1.8719999999999999</v>
      </c>
      <c r="L1106" s="30">
        <f>IF(OR($F1106="",$I1106=""),0,IFERROR(INDEX(Nutrition!$F$2:$F$300,MATCH($F1106,Nutrition!$A$2:$A$300,0))*$I1106/100,0))</f>
        <v>0</v>
      </c>
      <c r="M1106" s="30">
        <f>IF(OR($F1106="",$I1106=""),0,IFERROR(INDEX(Nutrition!$G$2:$G$300,MATCH($F1106,Nutrition!$A$2:$A$300,0))*$I1106/100,0))</f>
        <v>0.10199999999999999</v>
      </c>
      <c r="N1106" s="30">
        <f>IF(OR($F1106="",$I1106=""),0,IFERROR(INDEX(Nutrition!$H$2:$H$300,MATCH($F1106,Nutrition!$A$2:$A$300,0))*$I1106/100,0))</f>
        <v>0.18</v>
      </c>
      <c r="O1106" s="30">
        <f>IF(OR($F1106="",$I1106=""),0,IFERROR(INDEX(Nutrition!$I$2:$I$300,MATCH($F1106,Nutrition!$A$2:$A$300,0))*$I1106/100,0))</f>
        <v>24.06</v>
      </c>
      <c r="P1106" s="30">
        <f>IF(OR($F1106="",$I1106=""),0,IFERROR(INDEX(Nutrition!$J$2:$J$300,MATCH($F1106,Nutrition!$A$2:$A$300,0))*$I1106/100,0))</f>
        <v>4.7999999999999996E-3</v>
      </c>
      <c r="Q1106" s="30">
        <f>IF(OR($F1106="",$I1106=""),0,IFERROR(INDEX(Nutrition!$K$2:$K$300,MATCH($F1106,Nutrition!$A$2:$A$300,0))*$I1106/100,0))</f>
        <v>7.4099999999999999E-2</v>
      </c>
      <c r="R1106" s="30">
        <f>IF(OR($F1106="",$I1106=""),0,IFERROR(INDEX(Nutrition!$L$2:$L$300,MATCH($F1106,Nutrition!$A$2:$A$300,0))*$I1106/100,0))</f>
        <v>1.5</v>
      </c>
      <c r="S1106" s="30">
        <f>IF(OR($F1106="",$I1106=""),0,IFERROR(INDEX(Nutrition!$M$2:$M$300,MATCH($F1106,Nutrition!$A$2:$A$300,0))*$I1106/100,0))</f>
        <v>0.10199999999999999</v>
      </c>
    </row>
    <row r="1107" spans="1:19" ht="15" customHeight="1" x14ac:dyDescent="0.25">
      <c r="A1107" s="22" t="s">
        <v>2341</v>
      </c>
      <c r="B1107" s="33" t="str">
        <f>IFERROR(INDEX(Recipes!$B$2:$B$500,MATCH(A1107,Recipes!$A$2:$A$500,0)),"")</f>
        <v>Crispy Smashed Potatoes with Rosemary</v>
      </c>
      <c r="C1107" s="7" t="s">
        <v>684</v>
      </c>
      <c r="D1107" s="34">
        <v>1</v>
      </c>
      <c r="E1107" s="22" t="s">
        <v>2753</v>
      </c>
      <c r="F1107" s="22" t="s">
        <v>683</v>
      </c>
      <c r="G1107" s="22" t="s">
        <v>2755</v>
      </c>
      <c r="H1107" s="7" t="s">
        <v>3040</v>
      </c>
      <c r="I1107" s="35">
        <v>4</v>
      </c>
      <c r="J1107" s="30">
        <f>IF(OR($F1107="",$I1107=""),0,IFERROR(INDEX(Nutrition!$D$2:$D$300,MATCH($F1107,Nutrition!$A$2:$A$300,0))*$I1107/100,0))</f>
        <v>0.56399999999999995</v>
      </c>
      <c r="K1107" s="30">
        <f>IF(OR($F1107="",$I1107=""),0,IFERROR(INDEX(Nutrition!$E$2:$E$300,MATCH($F1107,Nutrition!$A$2:$A$300,0))*$I1107/100,0))</f>
        <v>0.872</v>
      </c>
      <c r="L1107" s="30">
        <f>IF(OR($F1107="",$I1107=""),0,IFERROR(INDEX(Nutrition!$F$2:$F$300,MATCH($F1107,Nutrition!$A$2:$A$300,0))*$I1107/100,0))</f>
        <v>5.84</v>
      </c>
      <c r="M1107" s="30">
        <f>IF(OR($F1107="",$I1107=""),0,IFERROR(INDEX(Nutrition!$G$2:$G$300,MATCH($F1107,Nutrition!$A$2:$A$300,0))*$I1107/100,0))</f>
        <v>0</v>
      </c>
      <c r="N1107" s="30">
        <f>IF(OR($F1107="",$I1107=""),0,IFERROR(INDEX(Nutrition!$H$2:$H$300,MATCH($F1107,Nutrition!$A$2:$A$300,0))*$I1107/100,0))</f>
        <v>4.3600000000000003</v>
      </c>
      <c r="O1107" s="30">
        <f>IF(OR($F1107="",$I1107=""),0,IFERROR(INDEX(Nutrition!$I$2:$I$300,MATCH($F1107,Nutrition!$A$2:$A$300,0))*$I1107/100,0))</f>
        <v>26.72</v>
      </c>
      <c r="P1107" s="30">
        <f>IF(OR($F1107="",$I1107=""),0,IFERROR(INDEX(Nutrition!$J$2:$J$300,MATCH($F1107,Nutrition!$A$2:$A$300,0))*$I1107/100,0))</f>
        <v>0</v>
      </c>
      <c r="Q1107" s="30">
        <f>IF(OR($F1107="",$I1107=""),0,IFERROR(INDEX(Nutrition!$K$2:$K$300,MATCH($F1107,Nutrition!$A$2:$A$300,0))*$I1107/100,0))</f>
        <v>1.3440000000000001E-2</v>
      </c>
      <c r="R1107" s="30">
        <f>IF(OR($F1107="",$I1107=""),0,IFERROR(INDEX(Nutrition!$L$2:$L$300,MATCH($F1107,Nutrition!$A$2:$A$300,0))*$I1107/100,0))</f>
        <v>3.64</v>
      </c>
      <c r="S1107" s="30">
        <f>IF(OR($F1107="",$I1107=""),0,IFERROR(INDEX(Nutrition!$M$2:$M$300,MATCH($F1107,Nutrition!$A$2:$A$300,0))*$I1107/100,0))</f>
        <v>0.26600000000000001</v>
      </c>
    </row>
    <row r="1108" spans="1:19" ht="15" customHeight="1" x14ac:dyDescent="0.25">
      <c r="A1108" s="22" t="s">
        <v>2341</v>
      </c>
      <c r="B1108" s="33" t="str">
        <f>IFERROR(INDEX(Recipes!$B$2:$B$500,MATCH(A1108,Recipes!$A$2:$A$500,0)),"")</f>
        <v>Crispy Smashed Potatoes with Rosemary</v>
      </c>
      <c r="C1108" s="7" t="s">
        <v>2805</v>
      </c>
      <c r="D1108" s="34">
        <v>2</v>
      </c>
      <c r="E1108" s="22" t="s">
        <v>2753</v>
      </c>
      <c r="F1108" s="22"/>
      <c r="G1108" s="22" t="s">
        <v>2773</v>
      </c>
      <c r="H1108" s="7"/>
      <c r="I1108" s="35"/>
      <c r="J1108" s="30">
        <f>IF(OR($F1108="",$I1108=""),0,IFERROR(INDEX(Nutrition!$D$2:$D$300,MATCH($F1108,Nutrition!$A$2:$A$300,0))*$I1108/100,0))</f>
        <v>0</v>
      </c>
      <c r="K1108" s="30">
        <f>IF(OR($F1108="",$I1108=""),0,IFERROR(INDEX(Nutrition!$E$2:$E$300,MATCH($F1108,Nutrition!$A$2:$A$300,0))*$I1108/100,0))</f>
        <v>0</v>
      </c>
      <c r="L1108" s="30">
        <f>IF(OR($F1108="",$I1108=""),0,IFERROR(INDEX(Nutrition!$F$2:$F$300,MATCH($F1108,Nutrition!$A$2:$A$300,0))*$I1108/100,0))</f>
        <v>0</v>
      </c>
      <c r="M1108" s="30">
        <f>IF(OR($F1108="",$I1108=""),0,IFERROR(INDEX(Nutrition!$G$2:$G$300,MATCH($F1108,Nutrition!$A$2:$A$300,0))*$I1108/100,0))</f>
        <v>0</v>
      </c>
      <c r="N1108" s="30">
        <f>IF(OR($F1108="",$I1108=""),0,IFERROR(INDEX(Nutrition!$H$2:$H$300,MATCH($F1108,Nutrition!$A$2:$A$300,0))*$I1108/100,0))</f>
        <v>0</v>
      </c>
      <c r="O1108" s="30">
        <f>IF(OR($F1108="",$I1108=""),0,IFERROR(INDEX(Nutrition!$I$2:$I$300,MATCH($F1108,Nutrition!$A$2:$A$300,0))*$I1108/100,0))</f>
        <v>0</v>
      </c>
      <c r="P1108" s="30">
        <f>IF(OR($F1108="",$I1108=""),0,IFERROR(INDEX(Nutrition!$J$2:$J$300,MATCH($F1108,Nutrition!$A$2:$A$300,0))*$I1108/100,0))</f>
        <v>0</v>
      </c>
      <c r="Q1108" s="30">
        <f>IF(OR($F1108="",$I1108=""),0,IFERROR(INDEX(Nutrition!$K$2:$K$300,MATCH($F1108,Nutrition!$A$2:$A$300,0))*$I1108/100,0))</f>
        <v>0</v>
      </c>
      <c r="R1108" s="30">
        <f>IF(OR($F1108="",$I1108=""),0,IFERROR(INDEX(Nutrition!$L$2:$L$300,MATCH($F1108,Nutrition!$A$2:$A$300,0))*$I1108/100,0))</f>
        <v>0</v>
      </c>
      <c r="S1108" s="30">
        <f>IF(OR($F1108="",$I1108=""),0,IFERROR(INDEX(Nutrition!$M$2:$M$300,MATCH($F1108,Nutrition!$A$2:$A$300,0))*$I1108/100,0))</f>
        <v>0</v>
      </c>
    </row>
    <row r="1109" spans="1:19" ht="15" customHeight="1" x14ac:dyDescent="0.25">
      <c r="A1109" s="22" t="s">
        <v>2341</v>
      </c>
      <c r="B1109" s="33" t="str">
        <f>IFERROR(INDEX(Recipes!$B$2:$B$500,MATCH(A1109,Recipes!$A$2:$A$500,0)),"")</f>
        <v>Crispy Smashed Potatoes with Rosemary</v>
      </c>
      <c r="C1109" s="7" t="s">
        <v>2906</v>
      </c>
      <c r="D1109" s="34">
        <v>1</v>
      </c>
      <c r="E1109" s="22" t="s">
        <v>2759</v>
      </c>
      <c r="F1109" s="22"/>
      <c r="G1109" s="22" t="s">
        <v>2773</v>
      </c>
      <c r="H1109" s="7"/>
      <c r="I1109" s="35"/>
      <c r="J1109" s="30">
        <f>IF(OR($F1109="",$I1109=""),0,IFERROR(INDEX(Nutrition!$D$2:$D$300,MATCH($F1109,Nutrition!$A$2:$A$300,0))*$I1109/100,0))</f>
        <v>0</v>
      </c>
      <c r="K1109" s="30">
        <f>IF(OR($F1109="",$I1109=""),0,IFERROR(INDEX(Nutrition!$E$2:$E$300,MATCH($F1109,Nutrition!$A$2:$A$300,0))*$I1109/100,0))</f>
        <v>0</v>
      </c>
      <c r="L1109" s="30">
        <f>IF(OR($F1109="",$I1109=""),0,IFERROR(INDEX(Nutrition!$F$2:$F$300,MATCH($F1109,Nutrition!$A$2:$A$300,0))*$I1109/100,0))</f>
        <v>0</v>
      </c>
      <c r="M1109" s="30">
        <f>IF(OR($F1109="",$I1109=""),0,IFERROR(INDEX(Nutrition!$G$2:$G$300,MATCH($F1109,Nutrition!$A$2:$A$300,0))*$I1109/100,0))</f>
        <v>0</v>
      </c>
      <c r="N1109" s="30">
        <f>IF(OR($F1109="",$I1109=""),0,IFERROR(INDEX(Nutrition!$H$2:$H$300,MATCH($F1109,Nutrition!$A$2:$A$300,0))*$I1109/100,0))</f>
        <v>0</v>
      </c>
      <c r="O1109" s="30">
        <f>IF(OR($F1109="",$I1109=""),0,IFERROR(INDEX(Nutrition!$I$2:$I$300,MATCH($F1109,Nutrition!$A$2:$A$300,0))*$I1109/100,0))</f>
        <v>0</v>
      </c>
      <c r="P1109" s="30">
        <f>IF(OR($F1109="",$I1109=""),0,IFERROR(INDEX(Nutrition!$J$2:$J$300,MATCH($F1109,Nutrition!$A$2:$A$300,0))*$I1109/100,0))</f>
        <v>0</v>
      </c>
      <c r="Q1109" s="30">
        <f>IF(OR($F1109="",$I1109=""),0,IFERROR(INDEX(Nutrition!$K$2:$K$300,MATCH($F1109,Nutrition!$A$2:$A$300,0))*$I1109/100,0))</f>
        <v>0</v>
      </c>
      <c r="R1109" s="30">
        <f>IF(OR($F1109="",$I1109=""),0,IFERROR(INDEX(Nutrition!$L$2:$L$300,MATCH($F1109,Nutrition!$A$2:$A$300,0))*$I1109/100,0))</f>
        <v>0</v>
      </c>
      <c r="S1109" s="30">
        <f>IF(OR($F1109="",$I1109=""),0,IFERROR(INDEX(Nutrition!$M$2:$M$300,MATCH($F1109,Nutrition!$A$2:$A$300,0))*$I1109/100,0))</f>
        <v>0</v>
      </c>
    </row>
    <row r="1110" spans="1:19" ht="15" customHeight="1" x14ac:dyDescent="0.25">
      <c r="A1110" s="22" t="s">
        <v>2352</v>
      </c>
      <c r="B1110" s="33" t="str">
        <f>IFERROR(INDEX(Recipes!$B$2:$B$500,MATCH(A1110,Recipes!$A$2:$A$500,0)),"")</f>
        <v>Garlic Stir-Fried Cabbage &amp; Carrot</v>
      </c>
      <c r="C1110" s="7" t="s">
        <v>537</v>
      </c>
      <c r="D1110" s="34">
        <v>1</v>
      </c>
      <c r="E1110" s="22" t="s">
        <v>2754</v>
      </c>
      <c r="F1110" s="22" t="s">
        <v>536</v>
      </c>
      <c r="G1110" s="22" t="s">
        <v>2755</v>
      </c>
      <c r="H1110" s="7" t="s">
        <v>3041</v>
      </c>
      <c r="I1110" s="35">
        <v>700</v>
      </c>
      <c r="J1110" s="30">
        <f>IF(OR($F1110="",$I1110=""),0,IFERROR(INDEX(Nutrition!$D$2:$D$300,MATCH($F1110,Nutrition!$A$2:$A$300,0))*$I1110/100,0))</f>
        <v>17.5</v>
      </c>
      <c r="K1110" s="30">
        <f>IF(OR($F1110="",$I1110=""),0,IFERROR(INDEX(Nutrition!$E$2:$E$300,MATCH($F1110,Nutrition!$A$2:$A$300,0))*$I1110/100,0))</f>
        <v>256.2</v>
      </c>
      <c r="L1110" s="30">
        <f>IF(OR($F1110="",$I1110=""),0,IFERROR(INDEX(Nutrition!$F$2:$F$300,MATCH($F1110,Nutrition!$A$2:$A$300,0))*$I1110/100,0))</f>
        <v>35</v>
      </c>
      <c r="M1110" s="30">
        <f>IF(OR($F1110="",$I1110=""),0,IFERROR(INDEX(Nutrition!$G$2:$G$300,MATCH($F1110,Nutrition!$A$2:$A$300,0))*$I1110/100,0))</f>
        <v>532</v>
      </c>
      <c r="N1110" s="30">
        <f>IF(OR($F1110="",$I1110=""),0,IFERROR(INDEX(Nutrition!$H$2:$H$300,MATCH($F1110,Nutrition!$A$2:$A$300,0))*$I1110/100,0))</f>
        <v>301</v>
      </c>
      <c r="O1110" s="30">
        <f>IF(OR($F1110="",$I1110=""),0,IFERROR(INDEX(Nutrition!$I$2:$I$300,MATCH($F1110,Nutrition!$A$2:$A$300,0))*$I1110/100,0))</f>
        <v>1190</v>
      </c>
      <c r="P1110" s="30">
        <f>IF(OR($F1110="",$I1110=""),0,IFERROR(INDEX(Nutrition!$J$2:$J$300,MATCH($F1110,Nutrition!$A$2:$A$300,0))*$I1110/100,0))</f>
        <v>1.05</v>
      </c>
      <c r="Q1110" s="30">
        <f>IF(OR($F1110="",$I1110=""),0,IFERROR(INDEX(Nutrition!$K$2:$K$300,MATCH($F1110,Nutrition!$A$2:$A$300,0))*$I1110/100,0))</f>
        <v>0.86799999999999999</v>
      </c>
      <c r="R1110" s="30">
        <f>IF(OR($F1110="",$I1110=""),0,IFERROR(INDEX(Nutrition!$L$2:$L$300,MATCH($F1110,Nutrition!$A$2:$A$300,0))*$I1110/100,0))</f>
        <v>84</v>
      </c>
      <c r="S1110" s="30">
        <f>IF(OR($F1110="",$I1110=""),0,IFERROR(INDEX(Nutrition!$M$2:$M$300,MATCH($F1110,Nutrition!$A$2:$A$300,0))*$I1110/100,0))</f>
        <v>3.29</v>
      </c>
    </row>
    <row r="1111" spans="1:19" ht="15" customHeight="1" x14ac:dyDescent="0.25">
      <c r="A1111" s="22" t="s">
        <v>2352</v>
      </c>
      <c r="B1111" s="33" t="str">
        <f>IFERROR(INDEX(Recipes!$B$2:$B$500,MATCH(A1111,Recipes!$A$2:$A$500,0)),"")</f>
        <v>Garlic Stir-Fried Cabbage &amp; Carrot</v>
      </c>
      <c r="C1111" s="7" t="s">
        <v>529</v>
      </c>
      <c r="D1111" s="34">
        <v>1</v>
      </c>
      <c r="E1111" s="22" t="s">
        <v>2754</v>
      </c>
      <c r="F1111" s="22" t="s">
        <v>528</v>
      </c>
      <c r="G1111" s="22" t="s">
        <v>2755</v>
      </c>
      <c r="H1111" s="7" t="s">
        <v>2791</v>
      </c>
      <c r="I1111" s="35">
        <v>61</v>
      </c>
      <c r="J1111" s="30">
        <f>IF(OR($F1111="",$I1111=""),0,IFERROR(INDEX(Nutrition!$D$2:$D$300,MATCH($F1111,Nutrition!$A$2:$A$300,0))*$I1111/100,0))</f>
        <v>1.7079999999999997</v>
      </c>
      <c r="K1111" s="30">
        <f>IF(OR($F1111="",$I1111=""),0,IFERROR(INDEX(Nutrition!$E$2:$E$300,MATCH($F1111,Nutrition!$A$2:$A$300,0))*$I1111/100,0))</f>
        <v>3.5990000000000002</v>
      </c>
      <c r="L1111" s="30">
        <f>IF(OR($F1111="",$I1111=""),0,IFERROR(INDEX(Nutrition!$F$2:$F$300,MATCH($F1111,Nutrition!$A$2:$A$300,0))*$I1111/100,0))</f>
        <v>509.35</v>
      </c>
      <c r="M1111" s="30">
        <f>IF(OR($F1111="",$I1111=""),0,IFERROR(INDEX(Nutrition!$G$2:$G$300,MATCH($F1111,Nutrition!$A$2:$A$300,0))*$I1111/100,0))</f>
        <v>8.0519999999999996</v>
      </c>
      <c r="N1111" s="30">
        <f>IF(OR($F1111="",$I1111=""),0,IFERROR(INDEX(Nutrition!$H$2:$H$300,MATCH($F1111,Nutrition!$A$2:$A$300,0))*$I1111/100,0))</f>
        <v>11.59</v>
      </c>
      <c r="O1111" s="30">
        <f>IF(OR($F1111="",$I1111=""),0,IFERROR(INDEX(Nutrition!$I$2:$I$300,MATCH($F1111,Nutrition!$A$2:$A$300,0))*$I1111/100,0))</f>
        <v>195.2</v>
      </c>
      <c r="P1111" s="30">
        <f>IF(OR($F1111="",$I1111=""),0,IFERROR(INDEX(Nutrition!$J$2:$J$300,MATCH($F1111,Nutrition!$A$2:$A$300,0))*$I1111/100,0))</f>
        <v>0.40260000000000007</v>
      </c>
      <c r="Q1111" s="30">
        <f>IF(OR($F1111="",$I1111=""),0,IFERROR(INDEX(Nutrition!$K$2:$K$300,MATCH($F1111,Nutrition!$A$2:$A$300,0))*$I1111/100,0))</f>
        <v>8.4180000000000005E-2</v>
      </c>
      <c r="R1111" s="30">
        <f>IF(OR($F1111="",$I1111=""),0,IFERROR(INDEX(Nutrition!$L$2:$L$300,MATCH($F1111,Nutrition!$A$2:$A$300,0))*$I1111/100,0))</f>
        <v>7.32</v>
      </c>
      <c r="S1111" s="30">
        <f>IF(OR($F1111="",$I1111=""),0,IFERROR(INDEX(Nutrition!$M$2:$M$300,MATCH($F1111,Nutrition!$A$2:$A$300,0))*$I1111/100,0))</f>
        <v>0.183</v>
      </c>
    </row>
    <row r="1112" spans="1:19" ht="15" customHeight="1" x14ac:dyDescent="0.25">
      <c r="A1112" s="22" t="s">
        <v>2352</v>
      </c>
      <c r="B1112" s="33" t="str">
        <f>IFERROR(INDEX(Recipes!$B$2:$B$500,MATCH(A1112,Recipes!$A$2:$A$500,0)),"")</f>
        <v>Garlic Stir-Fried Cabbage &amp; Carrot</v>
      </c>
      <c r="C1112" s="7" t="s">
        <v>500</v>
      </c>
      <c r="D1112" s="34">
        <v>2</v>
      </c>
      <c r="E1112" s="22" t="s">
        <v>2776</v>
      </c>
      <c r="F1112" s="22" t="s">
        <v>499</v>
      </c>
      <c r="G1112" s="22" t="s">
        <v>2755</v>
      </c>
      <c r="H1112" s="7" t="s">
        <v>2902</v>
      </c>
      <c r="I1112" s="35">
        <v>6</v>
      </c>
      <c r="J1112" s="30">
        <f>IF(OR($F1112="",$I1112=""),0,IFERROR(INDEX(Nutrition!$D$2:$D$300,MATCH($F1112,Nutrition!$A$2:$A$300,0))*$I1112/100,0))</f>
        <v>0.126</v>
      </c>
      <c r="K1112" s="30">
        <f>IF(OR($F1112="",$I1112=""),0,IFERROR(INDEX(Nutrition!$E$2:$E$300,MATCH($F1112,Nutrition!$A$2:$A$300,0))*$I1112/100,0))</f>
        <v>1.8719999999999999</v>
      </c>
      <c r="L1112" s="30">
        <f>IF(OR($F1112="",$I1112=""),0,IFERROR(INDEX(Nutrition!$F$2:$F$300,MATCH($F1112,Nutrition!$A$2:$A$300,0))*$I1112/100,0))</f>
        <v>0</v>
      </c>
      <c r="M1112" s="30">
        <f>IF(OR($F1112="",$I1112=""),0,IFERROR(INDEX(Nutrition!$G$2:$G$300,MATCH($F1112,Nutrition!$A$2:$A$300,0))*$I1112/100,0))</f>
        <v>0.10199999999999999</v>
      </c>
      <c r="N1112" s="30">
        <f>IF(OR($F1112="",$I1112=""),0,IFERROR(INDEX(Nutrition!$H$2:$H$300,MATCH($F1112,Nutrition!$A$2:$A$300,0))*$I1112/100,0))</f>
        <v>0.18</v>
      </c>
      <c r="O1112" s="30">
        <f>IF(OR($F1112="",$I1112=""),0,IFERROR(INDEX(Nutrition!$I$2:$I$300,MATCH($F1112,Nutrition!$A$2:$A$300,0))*$I1112/100,0))</f>
        <v>24.06</v>
      </c>
      <c r="P1112" s="30">
        <f>IF(OR($F1112="",$I1112=""),0,IFERROR(INDEX(Nutrition!$J$2:$J$300,MATCH($F1112,Nutrition!$A$2:$A$300,0))*$I1112/100,0))</f>
        <v>4.7999999999999996E-3</v>
      </c>
      <c r="Q1112" s="30">
        <f>IF(OR($F1112="",$I1112=""),0,IFERROR(INDEX(Nutrition!$K$2:$K$300,MATCH($F1112,Nutrition!$A$2:$A$300,0))*$I1112/100,0))</f>
        <v>7.4099999999999999E-2</v>
      </c>
      <c r="R1112" s="30">
        <f>IF(OR($F1112="",$I1112=""),0,IFERROR(INDEX(Nutrition!$L$2:$L$300,MATCH($F1112,Nutrition!$A$2:$A$300,0))*$I1112/100,0))</f>
        <v>1.5</v>
      </c>
      <c r="S1112" s="30">
        <f>IF(OR($F1112="",$I1112=""),0,IFERROR(INDEX(Nutrition!$M$2:$M$300,MATCH($F1112,Nutrition!$A$2:$A$300,0))*$I1112/100,0))</f>
        <v>0.10199999999999999</v>
      </c>
    </row>
    <row r="1113" spans="1:19" ht="15" customHeight="1" x14ac:dyDescent="0.25">
      <c r="A1113" s="22" t="s">
        <v>2352</v>
      </c>
      <c r="B1113" s="33" t="str">
        <f>IFERROR(INDEX(Recipes!$B$2:$B$500,MATCH(A1113,Recipes!$A$2:$A$500,0)),"")</f>
        <v>Garlic Stir-Fried Cabbage &amp; Carrot</v>
      </c>
      <c r="C1113" s="7" t="s">
        <v>508</v>
      </c>
      <c r="D1113" s="34">
        <v>1</v>
      </c>
      <c r="E1113" s="22" t="s">
        <v>2821</v>
      </c>
      <c r="F1113" s="22" t="s">
        <v>507</v>
      </c>
      <c r="G1113" s="22" t="s">
        <v>2755</v>
      </c>
      <c r="H1113" s="7" t="s">
        <v>2791</v>
      </c>
      <c r="I1113" s="35">
        <v>15</v>
      </c>
      <c r="J1113" s="30">
        <f>IF(OR($F1113="",$I1113=""),0,IFERROR(INDEX(Nutrition!$D$2:$D$300,MATCH($F1113,Nutrition!$A$2:$A$300,0))*$I1113/100,0))</f>
        <v>0.3</v>
      </c>
      <c r="K1113" s="30">
        <f>IF(OR($F1113="",$I1113=""),0,IFERROR(INDEX(Nutrition!$E$2:$E$300,MATCH($F1113,Nutrition!$A$2:$A$300,0))*$I1113/100,0))</f>
        <v>0.75</v>
      </c>
      <c r="L1113" s="30">
        <f>IF(OR($F1113="",$I1113=""),0,IFERROR(INDEX(Nutrition!$F$2:$F$300,MATCH($F1113,Nutrition!$A$2:$A$300,0))*$I1113/100,0))</f>
        <v>0</v>
      </c>
      <c r="M1113" s="30">
        <f>IF(OR($F1113="",$I1113=""),0,IFERROR(INDEX(Nutrition!$G$2:$G$300,MATCH($F1113,Nutrition!$A$2:$A$300,0))*$I1113/100,0))</f>
        <v>1.4999999999999999E-2</v>
      </c>
      <c r="N1113" s="30">
        <f>IF(OR($F1113="",$I1113=""),0,IFERROR(INDEX(Nutrition!$H$2:$H$300,MATCH($F1113,Nutrition!$A$2:$A$300,0))*$I1113/100,0))</f>
        <v>1.65</v>
      </c>
      <c r="O1113" s="30">
        <f>IF(OR($F1113="",$I1113=""),0,IFERROR(INDEX(Nutrition!$I$2:$I$300,MATCH($F1113,Nutrition!$A$2:$A$300,0))*$I1113/100,0))</f>
        <v>62.25</v>
      </c>
      <c r="P1113" s="30">
        <f>IF(OR($F1113="",$I1113=""),0,IFERROR(INDEX(Nutrition!$J$2:$J$300,MATCH($F1113,Nutrition!$A$2:$A$300,0))*$I1113/100,0))</f>
        <v>3.9000000000000007E-2</v>
      </c>
      <c r="Q1113" s="30">
        <f>IF(OR($F1113="",$I1113=""),0,IFERROR(INDEX(Nutrition!$K$2:$K$300,MATCH($F1113,Nutrition!$A$2:$A$300,0))*$I1113/100,0))</f>
        <v>2.4E-2</v>
      </c>
      <c r="R1113" s="30">
        <f>IF(OR($F1113="",$I1113=""),0,IFERROR(INDEX(Nutrition!$L$2:$L$300,MATCH($F1113,Nutrition!$A$2:$A$300,0))*$I1113/100,0))</f>
        <v>6.45</v>
      </c>
      <c r="S1113" s="30">
        <f>IF(OR($F1113="",$I1113=""),0,IFERROR(INDEX(Nutrition!$M$2:$M$300,MATCH($F1113,Nutrition!$A$2:$A$300,0))*$I1113/100,0))</f>
        <v>0.09</v>
      </c>
    </row>
    <row r="1114" spans="1:19" ht="15" customHeight="1" x14ac:dyDescent="0.25">
      <c r="A1114" s="22" t="s">
        <v>2352</v>
      </c>
      <c r="B1114" s="33" t="str">
        <f>IFERROR(INDEX(Recipes!$B$2:$B$500,MATCH(A1114,Recipes!$A$2:$A$500,0)),"")</f>
        <v>Garlic Stir-Fried Cabbage &amp; Carrot</v>
      </c>
      <c r="C1114" s="7" t="s">
        <v>490</v>
      </c>
      <c r="D1114" s="34">
        <v>2</v>
      </c>
      <c r="E1114" s="22" t="s">
        <v>2820</v>
      </c>
      <c r="F1114" s="22" t="s">
        <v>489</v>
      </c>
      <c r="G1114" s="22" t="s">
        <v>2755</v>
      </c>
      <c r="H1114" s="7" t="s">
        <v>2830</v>
      </c>
      <c r="I1114" s="35">
        <v>30</v>
      </c>
      <c r="J1114" s="30">
        <f>IF(OR($F1114="",$I1114=""),0,IFERROR(INDEX(Nutrition!$D$2:$D$300,MATCH($F1114,Nutrition!$A$2:$A$300,0))*$I1114/100,0))</f>
        <v>0.78</v>
      </c>
      <c r="K1114" s="30">
        <f>IF(OR($F1114="",$I1114=""),0,IFERROR(INDEX(Nutrition!$E$2:$E$300,MATCH($F1114,Nutrition!$A$2:$A$300,0))*$I1114/100,0))</f>
        <v>5.64</v>
      </c>
      <c r="L1114" s="30">
        <f>IF(OR($F1114="",$I1114=""),0,IFERROR(INDEX(Nutrition!$F$2:$F$300,MATCH($F1114,Nutrition!$A$2:$A$300,0))*$I1114/100,0))</f>
        <v>15</v>
      </c>
      <c r="M1114" s="30">
        <f>IF(OR($F1114="",$I1114=""),0,IFERROR(INDEX(Nutrition!$G$2:$G$300,MATCH($F1114,Nutrition!$A$2:$A$300,0))*$I1114/100,0))</f>
        <v>62.1</v>
      </c>
      <c r="N1114" s="30">
        <f>IF(OR($F1114="",$I1114=""),0,IFERROR(INDEX(Nutrition!$H$2:$H$300,MATCH($F1114,Nutrition!$A$2:$A$300,0))*$I1114/100,0))</f>
        <v>19.2</v>
      </c>
      <c r="O1114" s="30">
        <f>IF(OR($F1114="",$I1114=""),0,IFERROR(INDEX(Nutrition!$I$2:$I$300,MATCH($F1114,Nutrition!$A$2:$A$300,0))*$I1114/100,0))</f>
        <v>82.8</v>
      </c>
      <c r="P1114" s="30">
        <f>IF(OR($F1114="",$I1114=""),0,IFERROR(INDEX(Nutrition!$J$2:$J$300,MATCH($F1114,Nutrition!$A$2:$A$300,0))*$I1114/100,0))</f>
        <v>0.16500000000000001</v>
      </c>
      <c r="Q1114" s="30">
        <f>IF(OR($F1114="",$I1114=""),0,IFERROR(INDEX(Nutrition!$K$2:$K$300,MATCH($F1114,Nutrition!$A$2:$A$300,0))*$I1114/100,0))</f>
        <v>1.83E-2</v>
      </c>
      <c r="R1114" s="30">
        <f>IF(OR($F1114="",$I1114=""),0,IFERROR(INDEX(Nutrition!$L$2:$L$300,MATCH($F1114,Nutrition!$A$2:$A$300,0))*$I1114/100,0))</f>
        <v>6</v>
      </c>
      <c r="S1114" s="30">
        <f>IF(OR($F1114="",$I1114=""),0,IFERROR(INDEX(Nutrition!$M$2:$M$300,MATCH($F1114,Nutrition!$A$2:$A$300,0))*$I1114/100,0))</f>
        <v>0.44400000000000001</v>
      </c>
    </row>
    <row r="1115" spans="1:19" ht="15" customHeight="1" x14ac:dyDescent="0.25">
      <c r="A1115" s="22" t="s">
        <v>2352</v>
      </c>
      <c r="B1115" s="33" t="str">
        <f>IFERROR(INDEX(Recipes!$B$2:$B$500,MATCH(A1115,Recipes!$A$2:$A$500,0)),"")</f>
        <v>Garlic Stir-Fried Cabbage &amp; Carrot</v>
      </c>
      <c r="C1115" s="7" t="s">
        <v>478</v>
      </c>
      <c r="D1115" s="34">
        <v>1</v>
      </c>
      <c r="E1115" s="22" t="s">
        <v>2754</v>
      </c>
      <c r="F1115" s="22" t="s">
        <v>477</v>
      </c>
      <c r="G1115" s="22" t="s">
        <v>2755</v>
      </c>
      <c r="H1115" s="7" t="s">
        <v>2830</v>
      </c>
      <c r="I1115" s="35">
        <v>20</v>
      </c>
      <c r="J1115" s="30">
        <f>IF(OR($F1115="",$I1115=""),0,IFERROR(INDEX(Nutrition!$D$2:$D$300,MATCH($F1115,Nutrition!$A$2:$A$300,0))*$I1115/100,0))</f>
        <v>0.3</v>
      </c>
      <c r="K1115" s="30">
        <f>IF(OR($F1115="",$I1115=""),0,IFERROR(INDEX(Nutrition!$E$2:$E$300,MATCH($F1115,Nutrition!$A$2:$A$300,0))*$I1115/100,0))</f>
        <v>28.74</v>
      </c>
      <c r="L1115" s="30">
        <f>IF(OR($F1115="",$I1115=""),0,IFERROR(INDEX(Nutrition!$F$2:$F$300,MATCH($F1115,Nutrition!$A$2:$A$300,0))*$I1115/100,0))</f>
        <v>9.6</v>
      </c>
      <c r="M1115" s="30">
        <f>IF(OR($F1115="",$I1115=""),0,IFERROR(INDEX(Nutrition!$G$2:$G$300,MATCH($F1115,Nutrition!$A$2:$A$300,0))*$I1115/100,0))</f>
        <v>2.8</v>
      </c>
      <c r="N1115" s="30">
        <f>IF(OR($F1115="",$I1115=""),0,IFERROR(INDEX(Nutrition!$H$2:$H$300,MATCH($F1115,Nutrition!$A$2:$A$300,0))*$I1115/100,0))</f>
        <v>4.5999999999999996</v>
      </c>
      <c r="O1115" s="30">
        <f>IF(OR($F1115="",$I1115=""),0,IFERROR(INDEX(Nutrition!$I$2:$I$300,MATCH($F1115,Nutrition!$A$2:$A$300,0))*$I1115/100,0))</f>
        <v>64.400000000000006</v>
      </c>
      <c r="P1115" s="30">
        <f>IF(OR($F1115="",$I1115=""),0,IFERROR(INDEX(Nutrition!$J$2:$J$300,MATCH($F1115,Nutrition!$A$2:$A$300,0))*$I1115/100,0))</f>
        <v>0.13799999999999998</v>
      </c>
      <c r="Q1115" s="30">
        <f>IF(OR($F1115="",$I1115=""),0,IFERROR(INDEX(Nutrition!$K$2:$K$300,MATCH($F1115,Nutrition!$A$2:$A$300,0))*$I1115/100,0))</f>
        <v>0.10120000000000001</v>
      </c>
      <c r="R1115" s="30">
        <f>IF(OR($F1115="",$I1115=""),0,IFERROR(INDEX(Nutrition!$L$2:$L$300,MATCH($F1115,Nutrition!$A$2:$A$300,0))*$I1115/100,0))</f>
        <v>4.5999999999999996</v>
      </c>
      <c r="S1115" s="30">
        <f>IF(OR($F1115="",$I1115=""),0,IFERROR(INDEX(Nutrition!$M$2:$M$300,MATCH($F1115,Nutrition!$A$2:$A$300,0))*$I1115/100,0))</f>
        <v>0.20600000000000002</v>
      </c>
    </row>
    <row r="1116" spans="1:19" ht="15" customHeight="1" x14ac:dyDescent="0.25">
      <c r="A1116" s="22" t="s">
        <v>2352</v>
      </c>
      <c r="B1116" s="33" t="str">
        <f>IFERROR(INDEX(Recipes!$B$2:$B$500,MATCH(A1116,Recipes!$A$2:$A$500,0)),"")</f>
        <v>Garlic Stir-Fried Cabbage &amp; Carrot</v>
      </c>
      <c r="C1116" s="7" t="s">
        <v>213</v>
      </c>
      <c r="D1116" s="34">
        <v>0.5</v>
      </c>
      <c r="E1116" s="22" t="s">
        <v>2754</v>
      </c>
      <c r="F1116" s="22" t="s">
        <v>212</v>
      </c>
      <c r="G1116" s="22" t="s">
        <v>2755</v>
      </c>
      <c r="H1116" s="7" t="s">
        <v>2912</v>
      </c>
      <c r="I1116" s="35">
        <v>34</v>
      </c>
      <c r="J1116" s="30">
        <f>IF(OR($F1116="",$I1116=""),0,IFERROR(INDEX(Nutrition!$D$2:$D$300,MATCH($F1116,Nutrition!$A$2:$A$300,0))*$I1116/100,0))</f>
        <v>0.95199999999999985</v>
      </c>
      <c r="K1116" s="30">
        <f>IF(OR($F1116="",$I1116=""),0,IFERROR(INDEX(Nutrition!$E$2:$E$300,MATCH($F1116,Nutrition!$A$2:$A$300,0))*$I1116/100,0))</f>
        <v>9.8940000000000001</v>
      </c>
      <c r="L1116" s="30">
        <f>IF(OR($F1116="",$I1116=""),0,IFERROR(INDEX(Nutrition!$F$2:$F$300,MATCH($F1116,Nutrition!$A$2:$A$300,0))*$I1116/100,0))</f>
        <v>0.68</v>
      </c>
      <c r="M1116" s="30">
        <f>IF(OR($F1116="",$I1116=""),0,IFERROR(INDEX(Nutrition!$G$2:$G$300,MATCH($F1116,Nutrition!$A$2:$A$300,0))*$I1116/100,0))</f>
        <v>0.20399999999999999</v>
      </c>
      <c r="N1116" s="30">
        <f>IF(OR($F1116="",$I1116=""),0,IFERROR(INDEX(Nutrition!$H$2:$H$300,MATCH($F1116,Nutrition!$A$2:$A$300,0))*$I1116/100,0))</f>
        <v>2.72</v>
      </c>
      <c r="O1116" s="30">
        <f>IF(OR($F1116="",$I1116=""),0,IFERROR(INDEX(Nutrition!$I$2:$I$300,MATCH($F1116,Nutrition!$A$2:$A$300,0))*$I1116/100,0))</f>
        <v>34.68</v>
      </c>
      <c r="P1116" s="30">
        <f>IF(OR($F1116="",$I1116=""),0,IFERROR(INDEX(Nutrition!$J$2:$J$300,MATCH($F1116,Nutrition!$A$2:$A$300,0))*$I1116/100,0))</f>
        <v>7.4800000000000005E-2</v>
      </c>
      <c r="Q1116" s="30">
        <f>IF(OR($F1116="",$I1116=""),0,IFERROR(INDEX(Nutrition!$K$2:$K$300,MATCH($F1116,Nutrition!$A$2:$A$300,0))*$I1116/100,0))</f>
        <v>1.4619999999999999E-2</v>
      </c>
      <c r="R1116" s="30">
        <f>IF(OR($F1116="",$I1116=""),0,IFERROR(INDEX(Nutrition!$L$2:$L$300,MATCH($F1116,Nutrition!$A$2:$A$300,0))*$I1116/100,0))</f>
        <v>2.04</v>
      </c>
      <c r="S1116" s="30">
        <f>IF(OR($F1116="",$I1116=""),0,IFERROR(INDEX(Nutrition!$M$2:$M$300,MATCH($F1116,Nutrition!$A$2:$A$300,0))*$I1116/100,0))</f>
        <v>0.20399999999999999</v>
      </c>
    </row>
    <row r="1117" spans="1:19" ht="15" customHeight="1" x14ac:dyDescent="0.25">
      <c r="A1117" s="22" t="s">
        <v>2352</v>
      </c>
      <c r="B1117" s="33" t="str">
        <f>IFERROR(INDEX(Recipes!$B$2:$B$500,MATCH(A1117,Recipes!$A$2:$A$500,0)),"")</f>
        <v>Garlic Stir-Fried Cabbage &amp; Carrot</v>
      </c>
      <c r="C1117" s="7" t="s">
        <v>2898</v>
      </c>
      <c r="D1117" s="34">
        <v>2</v>
      </c>
      <c r="E1117" s="22" t="s">
        <v>2753</v>
      </c>
      <c r="F1117" s="22"/>
      <c r="G1117" s="22" t="s">
        <v>2773</v>
      </c>
      <c r="H1117" s="7"/>
      <c r="I1117" s="35"/>
      <c r="J1117" s="30">
        <f>IF(OR($F1117="",$I1117=""),0,IFERROR(INDEX(Nutrition!$D$2:$D$300,MATCH($F1117,Nutrition!$A$2:$A$300,0))*$I1117/100,0))</f>
        <v>0</v>
      </c>
      <c r="K1117" s="30">
        <f>IF(OR($F1117="",$I1117=""),0,IFERROR(INDEX(Nutrition!$E$2:$E$300,MATCH($F1117,Nutrition!$A$2:$A$300,0))*$I1117/100,0))</f>
        <v>0</v>
      </c>
      <c r="L1117" s="30">
        <f>IF(OR($F1117="",$I1117=""),0,IFERROR(INDEX(Nutrition!$F$2:$F$300,MATCH($F1117,Nutrition!$A$2:$A$300,0))*$I1117/100,0))</f>
        <v>0</v>
      </c>
      <c r="M1117" s="30">
        <f>IF(OR($F1117="",$I1117=""),0,IFERROR(INDEX(Nutrition!$G$2:$G$300,MATCH($F1117,Nutrition!$A$2:$A$300,0))*$I1117/100,0))</f>
        <v>0</v>
      </c>
      <c r="N1117" s="30">
        <f>IF(OR($F1117="",$I1117=""),0,IFERROR(INDEX(Nutrition!$H$2:$H$300,MATCH($F1117,Nutrition!$A$2:$A$300,0))*$I1117/100,0))</f>
        <v>0</v>
      </c>
      <c r="O1117" s="30">
        <f>IF(OR($F1117="",$I1117=""),0,IFERROR(INDEX(Nutrition!$I$2:$I$300,MATCH($F1117,Nutrition!$A$2:$A$300,0))*$I1117/100,0))</f>
        <v>0</v>
      </c>
      <c r="P1117" s="30">
        <f>IF(OR($F1117="",$I1117=""),0,IFERROR(INDEX(Nutrition!$J$2:$J$300,MATCH($F1117,Nutrition!$A$2:$A$300,0))*$I1117/100,0))</f>
        <v>0</v>
      </c>
      <c r="Q1117" s="30">
        <f>IF(OR($F1117="",$I1117=""),0,IFERROR(INDEX(Nutrition!$K$2:$K$300,MATCH($F1117,Nutrition!$A$2:$A$300,0))*$I1117/100,0))</f>
        <v>0</v>
      </c>
      <c r="R1117" s="30">
        <f>IF(OR($F1117="",$I1117=""),0,IFERROR(INDEX(Nutrition!$L$2:$L$300,MATCH($F1117,Nutrition!$A$2:$A$300,0))*$I1117/100,0))</f>
        <v>0</v>
      </c>
      <c r="S1117" s="30">
        <f>IF(OR($F1117="",$I1117=""),0,IFERROR(INDEX(Nutrition!$M$2:$M$300,MATCH($F1117,Nutrition!$A$2:$A$300,0))*$I1117/100,0))</f>
        <v>0</v>
      </c>
    </row>
    <row r="1118" spans="1:19" ht="15" customHeight="1" x14ac:dyDescent="0.25">
      <c r="A1118" s="22" t="s">
        <v>2352</v>
      </c>
      <c r="B1118" s="33" t="str">
        <f>IFERROR(INDEX(Recipes!$B$2:$B$500,MATCH(A1118,Recipes!$A$2:$A$500,0)),"")</f>
        <v>Garlic Stir-Fried Cabbage &amp; Carrot</v>
      </c>
      <c r="C1118" s="7" t="s">
        <v>2906</v>
      </c>
      <c r="D1118" s="34">
        <v>1</v>
      </c>
      <c r="E1118" s="22" t="s">
        <v>2759</v>
      </c>
      <c r="F1118" s="22"/>
      <c r="G1118" s="22" t="s">
        <v>2773</v>
      </c>
      <c r="H1118" s="7"/>
      <c r="I1118" s="35"/>
      <c r="J1118" s="30">
        <f>IF(OR($F1118="",$I1118=""),0,IFERROR(INDEX(Nutrition!$D$2:$D$300,MATCH($F1118,Nutrition!$A$2:$A$300,0))*$I1118/100,0))</f>
        <v>0</v>
      </c>
      <c r="K1118" s="30">
        <f>IF(OR($F1118="",$I1118=""),0,IFERROR(INDEX(Nutrition!$E$2:$E$300,MATCH($F1118,Nutrition!$A$2:$A$300,0))*$I1118/100,0))</f>
        <v>0</v>
      </c>
      <c r="L1118" s="30">
        <f>IF(OR($F1118="",$I1118=""),0,IFERROR(INDEX(Nutrition!$F$2:$F$300,MATCH($F1118,Nutrition!$A$2:$A$300,0))*$I1118/100,0))</f>
        <v>0</v>
      </c>
      <c r="M1118" s="30">
        <f>IF(OR($F1118="",$I1118=""),0,IFERROR(INDEX(Nutrition!$G$2:$G$300,MATCH($F1118,Nutrition!$A$2:$A$300,0))*$I1118/100,0))</f>
        <v>0</v>
      </c>
      <c r="N1118" s="30">
        <f>IF(OR($F1118="",$I1118=""),0,IFERROR(INDEX(Nutrition!$H$2:$H$300,MATCH($F1118,Nutrition!$A$2:$A$300,0))*$I1118/100,0))</f>
        <v>0</v>
      </c>
      <c r="O1118" s="30">
        <f>IF(OR($F1118="",$I1118=""),0,IFERROR(INDEX(Nutrition!$I$2:$I$300,MATCH($F1118,Nutrition!$A$2:$A$300,0))*$I1118/100,0))</f>
        <v>0</v>
      </c>
      <c r="P1118" s="30">
        <f>IF(OR($F1118="",$I1118=""),0,IFERROR(INDEX(Nutrition!$J$2:$J$300,MATCH($F1118,Nutrition!$A$2:$A$300,0))*$I1118/100,0))</f>
        <v>0</v>
      </c>
      <c r="Q1118" s="30">
        <f>IF(OR($F1118="",$I1118=""),0,IFERROR(INDEX(Nutrition!$K$2:$K$300,MATCH($F1118,Nutrition!$A$2:$A$300,0))*$I1118/100,0))</f>
        <v>0</v>
      </c>
      <c r="R1118" s="30">
        <f>IF(OR($F1118="",$I1118=""),0,IFERROR(INDEX(Nutrition!$L$2:$L$300,MATCH($F1118,Nutrition!$A$2:$A$300,0))*$I1118/100,0))</f>
        <v>0</v>
      </c>
      <c r="S1118" s="30">
        <f>IF(OR($F1118="",$I1118=""),0,IFERROR(INDEX(Nutrition!$M$2:$M$300,MATCH($F1118,Nutrition!$A$2:$A$300,0))*$I1118/100,0))</f>
        <v>0</v>
      </c>
    </row>
    <row r="1119" spans="1:19" ht="15" customHeight="1" x14ac:dyDescent="0.25">
      <c r="A1119" s="22" t="s">
        <v>2362</v>
      </c>
      <c r="B1119" s="33" t="str">
        <f>IFERROR(INDEX(Recipes!$B$2:$B$500,MATCH(A1119,Recipes!$A$2:$A$500,0)),"")</f>
        <v>Garlic Stir-Fried Efo Tete</v>
      </c>
      <c r="C1119" s="7" t="s">
        <v>633</v>
      </c>
      <c r="D1119" s="34">
        <v>450</v>
      </c>
      <c r="E1119" s="22" t="s">
        <v>2813</v>
      </c>
      <c r="F1119" s="22" t="s">
        <v>632</v>
      </c>
      <c r="G1119" s="22" t="s">
        <v>2755</v>
      </c>
      <c r="H1119" s="7" t="s">
        <v>3042</v>
      </c>
      <c r="I1119" s="35">
        <v>450</v>
      </c>
      <c r="J1119" s="30">
        <f>IF(OR($F1119="",$I1119=""),0,IFERROR(INDEX(Nutrition!$D$2:$D$300,MATCH($F1119,Nutrition!$A$2:$A$300,0))*$I1119/100,0))</f>
        <v>9</v>
      </c>
      <c r="K1119" s="30">
        <f>IF(OR($F1119="",$I1119=""),0,IFERROR(INDEX(Nutrition!$E$2:$E$300,MATCH($F1119,Nutrition!$A$2:$A$300,0))*$I1119/100,0))</f>
        <v>194.85</v>
      </c>
      <c r="L1119" s="30">
        <f>IF(OR($F1119="",$I1119=""),0,IFERROR(INDEX(Nutrition!$F$2:$F$300,MATCH($F1119,Nutrition!$A$2:$A$300,0))*$I1119/100,0))</f>
        <v>657</v>
      </c>
      <c r="M1119" s="30">
        <f>IF(OR($F1119="",$I1119=""),0,IFERROR(INDEX(Nutrition!$G$2:$G$300,MATCH($F1119,Nutrition!$A$2:$A$300,0))*$I1119/100,0))</f>
        <v>5130</v>
      </c>
      <c r="N1119" s="30">
        <f>IF(OR($F1119="",$I1119=""),0,IFERROR(INDEX(Nutrition!$H$2:$H$300,MATCH($F1119,Nutrition!$A$2:$A$300,0))*$I1119/100,0))</f>
        <v>382.5</v>
      </c>
      <c r="O1119" s="30">
        <f>IF(OR($F1119="",$I1119=""),0,IFERROR(INDEX(Nutrition!$I$2:$I$300,MATCH($F1119,Nutrition!$A$2:$A$300,0))*$I1119/100,0))</f>
        <v>2749.5</v>
      </c>
      <c r="P1119" s="30">
        <f>IF(OR($F1119="",$I1119=""),0,IFERROR(INDEX(Nutrition!$J$2:$J$300,MATCH($F1119,Nutrition!$A$2:$A$300,0))*$I1119/100,0))</f>
        <v>0</v>
      </c>
      <c r="Q1119" s="30">
        <f>IF(OR($F1119="",$I1119=""),0,IFERROR(INDEX(Nutrition!$K$2:$K$300,MATCH($F1119,Nutrition!$A$2:$A$300,0))*$I1119/100,0))</f>
        <v>0.8640000000000001</v>
      </c>
      <c r="R1119" s="30">
        <f>IF(OR($F1119="",$I1119=""),0,IFERROR(INDEX(Nutrition!$L$2:$L$300,MATCH($F1119,Nutrition!$A$2:$A$300,0))*$I1119/100,0))</f>
        <v>247.5</v>
      </c>
      <c r="S1119" s="30">
        <f>IF(OR($F1119="",$I1119=""),0,IFERROR(INDEX(Nutrition!$M$2:$M$300,MATCH($F1119,Nutrition!$A$2:$A$300,0))*$I1119/100,0))</f>
        <v>10.44</v>
      </c>
    </row>
    <row r="1120" spans="1:19" ht="15" customHeight="1" x14ac:dyDescent="0.25">
      <c r="A1120" s="22" t="s">
        <v>2362</v>
      </c>
      <c r="B1120" s="33" t="str">
        <f>IFERROR(INDEX(Recipes!$B$2:$B$500,MATCH(A1120,Recipes!$A$2:$A$500,0)),"")</f>
        <v>Garlic Stir-Fried Efo Tete</v>
      </c>
      <c r="C1120" s="7" t="s">
        <v>500</v>
      </c>
      <c r="D1120" s="34">
        <v>5</v>
      </c>
      <c r="E1120" s="22" t="s">
        <v>2776</v>
      </c>
      <c r="F1120" s="22" t="s">
        <v>499</v>
      </c>
      <c r="G1120" s="22" t="s">
        <v>2755</v>
      </c>
      <c r="H1120" s="7" t="s">
        <v>3043</v>
      </c>
      <c r="I1120" s="35">
        <v>15</v>
      </c>
      <c r="J1120" s="30">
        <f>IF(OR($F1120="",$I1120=""),0,IFERROR(INDEX(Nutrition!$D$2:$D$300,MATCH($F1120,Nutrition!$A$2:$A$300,0))*$I1120/100,0))</f>
        <v>0.315</v>
      </c>
      <c r="K1120" s="30">
        <f>IF(OR($F1120="",$I1120=""),0,IFERROR(INDEX(Nutrition!$E$2:$E$300,MATCH($F1120,Nutrition!$A$2:$A$300,0))*$I1120/100,0))</f>
        <v>4.68</v>
      </c>
      <c r="L1120" s="30">
        <f>IF(OR($F1120="",$I1120=""),0,IFERROR(INDEX(Nutrition!$F$2:$F$300,MATCH($F1120,Nutrition!$A$2:$A$300,0))*$I1120/100,0))</f>
        <v>0</v>
      </c>
      <c r="M1120" s="30">
        <f>IF(OR($F1120="",$I1120=""),0,IFERROR(INDEX(Nutrition!$G$2:$G$300,MATCH($F1120,Nutrition!$A$2:$A$300,0))*$I1120/100,0))</f>
        <v>0.255</v>
      </c>
      <c r="N1120" s="30">
        <f>IF(OR($F1120="",$I1120=""),0,IFERROR(INDEX(Nutrition!$H$2:$H$300,MATCH($F1120,Nutrition!$A$2:$A$300,0))*$I1120/100,0))</f>
        <v>0.45</v>
      </c>
      <c r="O1120" s="30">
        <f>IF(OR($F1120="",$I1120=""),0,IFERROR(INDEX(Nutrition!$I$2:$I$300,MATCH($F1120,Nutrition!$A$2:$A$300,0))*$I1120/100,0))</f>
        <v>60.15</v>
      </c>
      <c r="P1120" s="30">
        <f>IF(OR($F1120="",$I1120=""),0,IFERROR(INDEX(Nutrition!$J$2:$J$300,MATCH($F1120,Nutrition!$A$2:$A$300,0))*$I1120/100,0))</f>
        <v>1.2E-2</v>
      </c>
      <c r="Q1120" s="30">
        <f>IF(OR($F1120="",$I1120=""),0,IFERROR(INDEX(Nutrition!$K$2:$K$300,MATCH($F1120,Nutrition!$A$2:$A$300,0))*$I1120/100,0))</f>
        <v>0.18525000000000003</v>
      </c>
      <c r="R1120" s="30">
        <f>IF(OR($F1120="",$I1120=""),0,IFERROR(INDEX(Nutrition!$L$2:$L$300,MATCH($F1120,Nutrition!$A$2:$A$300,0))*$I1120/100,0))</f>
        <v>3.75</v>
      </c>
      <c r="S1120" s="30">
        <f>IF(OR($F1120="",$I1120=""),0,IFERROR(INDEX(Nutrition!$M$2:$M$300,MATCH($F1120,Nutrition!$A$2:$A$300,0))*$I1120/100,0))</f>
        <v>0.255</v>
      </c>
    </row>
    <row r="1121" spans="1:19" ht="15" customHeight="1" x14ac:dyDescent="0.25">
      <c r="A1121" s="22" t="s">
        <v>2362</v>
      </c>
      <c r="B1121" s="33" t="str">
        <f>IFERROR(INDEX(Recipes!$B$2:$B$500,MATCH(A1121,Recipes!$A$2:$A$500,0)),"")</f>
        <v>Garlic Stir-Fried Efo Tete</v>
      </c>
      <c r="C1121" s="7" t="s">
        <v>473</v>
      </c>
      <c r="D1121" s="34">
        <v>0.5</v>
      </c>
      <c r="E1121" s="22" t="s">
        <v>2754</v>
      </c>
      <c r="F1121" s="22" t="s">
        <v>472</v>
      </c>
      <c r="G1121" s="22" t="s">
        <v>2755</v>
      </c>
      <c r="H1121" s="7" t="s">
        <v>3044</v>
      </c>
      <c r="I1121" s="35">
        <v>5</v>
      </c>
      <c r="J1121" s="30">
        <f>IF(OR($F1121="",$I1121=""),0,IFERROR(INDEX(Nutrition!$D$2:$D$300,MATCH($F1121,Nutrition!$A$2:$A$300,0))*$I1121/100,0))</f>
        <v>7.4999999999999997E-2</v>
      </c>
      <c r="K1121" s="30">
        <f>IF(OR($F1121="",$I1121=""),0,IFERROR(INDEX(Nutrition!$E$2:$E$300,MATCH($F1121,Nutrition!$A$2:$A$300,0))*$I1121/100,0))</f>
        <v>7.1849999999999996</v>
      </c>
      <c r="L1121" s="30">
        <f>IF(OR($F1121="",$I1121=""),0,IFERROR(INDEX(Nutrition!$F$2:$F$300,MATCH($F1121,Nutrition!$A$2:$A$300,0))*$I1121/100,0))</f>
        <v>2.4</v>
      </c>
      <c r="M1121" s="30">
        <f>IF(OR($F1121="",$I1121=""),0,IFERROR(INDEX(Nutrition!$G$2:$G$300,MATCH($F1121,Nutrition!$A$2:$A$300,0))*$I1121/100,0))</f>
        <v>0.7</v>
      </c>
      <c r="N1121" s="30">
        <f>IF(OR($F1121="",$I1121=""),0,IFERROR(INDEX(Nutrition!$H$2:$H$300,MATCH($F1121,Nutrition!$A$2:$A$300,0))*$I1121/100,0))</f>
        <v>1.1499999999999999</v>
      </c>
      <c r="O1121" s="30">
        <f>IF(OR($F1121="",$I1121=""),0,IFERROR(INDEX(Nutrition!$I$2:$I$300,MATCH($F1121,Nutrition!$A$2:$A$300,0))*$I1121/100,0))</f>
        <v>16.100000000000001</v>
      </c>
      <c r="P1121" s="30">
        <f>IF(OR($F1121="",$I1121=""),0,IFERROR(INDEX(Nutrition!$J$2:$J$300,MATCH($F1121,Nutrition!$A$2:$A$300,0))*$I1121/100,0))</f>
        <v>3.4499999999999996E-2</v>
      </c>
      <c r="Q1121" s="30">
        <f>IF(OR($F1121="",$I1121=""),0,IFERROR(INDEX(Nutrition!$K$2:$K$300,MATCH($F1121,Nutrition!$A$2:$A$300,0))*$I1121/100,0))</f>
        <v>2.5300000000000003E-2</v>
      </c>
      <c r="R1121" s="30">
        <f>IF(OR($F1121="",$I1121=""),0,IFERROR(INDEX(Nutrition!$L$2:$L$300,MATCH($F1121,Nutrition!$A$2:$A$300,0))*$I1121/100,0))</f>
        <v>1.1499999999999999</v>
      </c>
      <c r="S1121" s="30">
        <f>IF(OR($F1121="",$I1121=""),0,IFERROR(INDEX(Nutrition!$M$2:$M$300,MATCH($F1121,Nutrition!$A$2:$A$300,0))*$I1121/100,0))</f>
        <v>5.1500000000000004E-2</v>
      </c>
    </row>
    <row r="1122" spans="1:19" ht="15" customHeight="1" x14ac:dyDescent="0.25">
      <c r="A1122" s="22" t="s">
        <v>2362</v>
      </c>
      <c r="B1122" s="33" t="str">
        <f>IFERROR(INDEX(Recipes!$B$2:$B$500,MATCH(A1122,Recipes!$A$2:$A$500,0)),"")</f>
        <v>Garlic Stir-Fried Efo Tete</v>
      </c>
      <c r="C1122" s="7" t="s">
        <v>3027</v>
      </c>
      <c r="D1122" s="34">
        <v>3</v>
      </c>
      <c r="E1122" s="22" t="s">
        <v>2753</v>
      </c>
      <c r="F1122" s="22"/>
      <c r="G1122" s="22" t="s">
        <v>2773</v>
      </c>
      <c r="H1122" s="7"/>
      <c r="I1122" s="35"/>
      <c r="J1122" s="30">
        <f>IF(OR($F1122="",$I1122=""),0,IFERROR(INDEX(Nutrition!$D$2:$D$300,MATCH($F1122,Nutrition!$A$2:$A$300,0))*$I1122/100,0))</f>
        <v>0</v>
      </c>
      <c r="K1122" s="30">
        <f>IF(OR($F1122="",$I1122=""),0,IFERROR(INDEX(Nutrition!$E$2:$E$300,MATCH($F1122,Nutrition!$A$2:$A$300,0))*$I1122/100,0))</f>
        <v>0</v>
      </c>
      <c r="L1122" s="30">
        <f>IF(OR($F1122="",$I1122=""),0,IFERROR(INDEX(Nutrition!$F$2:$F$300,MATCH($F1122,Nutrition!$A$2:$A$300,0))*$I1122/100,0))</f>
        <v>0</v>
      </c>
      <c r="M1122" s="30">
        <f>IF(OR($F1122="",$I1122=""),0,IFERROR(INDEX(Nutrition!$G$2:$G$300,MATCH($F1122,Nutrition!$A$2:$A$300,0))*$I1122/100,0))</f>
        <v>0</v>
      </c>
      <c r="N1122" s="30">
        <f>IF(OR($F1122="",$I1122=""),0,IFERROR(INDEX(Nutrition!$H$2:$H$300,MATCH($F1122,Nutrition!$A$2:$A$300,0))*$I1122/100,0))</f>
        <v>0</v>
      </c>
      <c r="O1122" s="30">
        <f>IF(OR($F1122="",$I1122=""),0,IFERROR(INDEX(Nutrition!$I$2:$I$300,MATCH($F1122,Nutrition!$A$2:$A$300,0))*$I1122/100,0))</f>
        <v>0</v>
      </c>
      <c r="P1122" s="30">
        <f>IF(OR($F1122="",$I1122=""),0,IFERROR(INDEX(Nutrition!$J$2:$J$300,MATCH($F1122,Nutrition!$A$2:$A$300,0))*$I1122/100,0))</f>
        <v>0</v>
      </c>
      <c r="Q1122" s="30">
        <f>IF(OR($F1122="",$I1122=""),0,IFERROR(INDEX(Nutrition!$K$2:$K$300,MATCH($F1122,Nutrition!$A$2:$A$300,0))*$I1122/100,0))</f>
        <v>0</v>
      </c>
      <c r="R1122" s="30">
        <f>IF(OR($F1122="",$I1122=""),0,IFERROR(INDEX(Nutrition!$L$2:$L$300,MATCH($F1122,Nutrition!$A$2:$A$300,0))*$I1122/100,0))</f>
        <v>0</v>
      </c>
      <c r="S1122" s="30">
        <f>IF(OR($F1122="",$I1122=""),0,IFERROR(INDEX(Nutrition!$M$2:$M$300,MATCH($F1122,Nutrition!$A$2:$A$300,0))*$I1122/100,0))</f>
        <v>0</v>
      </c>
    </row>
    <row r="1123" spans="1:19" ht="15" customHeight="1" x14ac:dyDescent="0.25">
      <c r="A1123" s="22" t="s">
        <v>2362</v>
      </c>
      <c r="B1123" s="33" t="str">
        <f>IFERROR(INDEX(Recipes!$B$2:$B$500,MATCH(A1123,Recipes!$A$2:$A$500,0)),"")</f>
        <v>Garlic Stir-Fried Efo Tete</v>
      </c>
      <c r="C1123" s="7" t="s">
        <v>2917</v>
      </c>
      <c r="D1123" s="34">
        <v>1</v>
      </c>
      <c r="E1123" s="22" t="s">
        <v>2782</v>
      </c>
      <c r="F1123" s="22"/>
      <c r="G1123" s="22" t="s">
        <v>2749</v>
      </c>
      <c r="H1123" s="7"/>
      <c r="I1123" s="35"/>
      <c r="J1123" s="30">
        <f>IF(OR($F1123="",$I1123=""),0,IFERROR(INDEX(Nutrition!$D$2:$D$300,MATCH($F1123,Nutrition!$A$2:$A$300,0))*$I1123/100,0))</f>
        <v>0</v>
      </c>
      <c r="K1123" s="30">
        <f>IF(OR($F1123="",$I1123=""),0,IFERROR(INDEX(Nutrition!$E$2:$E$300,MATCH($F1123,Nutrition!$A$2:$A$300,0))*$I1123/100,0))</f>
        <v>0</v>
      </c>
      <c r="L1123" s="30">
        <f>IF(OR($F1123="",$I1123=""),0,IFERROR(INDEX(Nutrition!$F$2:$F$300,MATCH($F1123,Nutrition!$A$2:$A$300,0))*$I1123/100,0))</f>
        <v>0</v>
      </c>
      <c r="M1123" s="30">
        <f>IF(OR($F1123="",$I1123=""),0,IFERROR(INDEX(Nutrition!$G$2:$G$300,MATCH($F1123,Nutrition!$A$2:$A$300,0))*$I1123/100,0))</f>
        <v>0</v>
      </c>
      <c r="N1123" s="30">
        <f>IF(OR($F1123="",$I1123=""),0,IFERROR(INDEX(Nutrition!$H$2:$H$300,MATCH($F1123,Nutrition!$A$2:$A$300,0))*$I1123/100,0))</f>
        <v>0</v>
      </c>
      <c r="O1123" s="30">
        <f>IF(OR($F1123="",$I1123=""),0,IFERROR(INDEX(Nutrition!$I$2:$I$300,MATCH($F1123,Nutrition!$A$2:$A$300,0))*$I1123/100,0))</f>
        <v>0</v>
      </c>
      <c r="P1123" s="30">
        <f>IF(OR($F1123="",$I1123=""),0,IFERROR(INDEX(Nutrition!$J$2:$J$300,MATCH($F1123,Nutrition!$A$2:$A$300,0))*$I1123/100,0))</f>
        <v>0</v>
      </c>
      <c r="Q1123" s="30">
        <f>IF(OR($F1123="",$I1123=""),0,IFERROR(INDEX(Nutrition!$K$2:$K$300,MATCH($F1123,Nutrition!$A$2:$A$300,0))*$I1123/100,0))</f>
        <v>0</v>
      </c>
      <c r="R1123" s="30">
        <f>IF(OR($F1123="",$I1123=""),0,IFERROR(INDEX(Nutrition!$L$2:$L$300,MATCH($F1123,Nutrition!$A$2:$A$300,0))*$I1123/100,0))</f>
        <v>0</v>
      </c>
      <c r="S1123" s="30">
        <f>IF(OR($F1123="",$I1123=""),0,IFERROR(INDEX(Nutrition!$M$2:$M$300,MATCH($F1123,Nutrition!$A$2:$A$300,0))*$I1123/100,0))</f>
        <v>0</v>
      </c>
    </row>
    <row r="1124" spans="1:19" ht="15" customHeight="1" x14ac:dyDescent="0.25">
      <c r="A1124" s="22" t="s">
        <v>2362</v>
      </c>
      <c r="B1124" s="33" t="str">
        <f>IFERROR(INDEX(Recipes!$B$2:$B$500,MATCH(A1124,Recipes!$A$2:$A$500,0)),"")</f>
        <v>Garlic Stir-Fried Efo Tete</v>
      </c>
      <c r="C1124" s="7" t="s">
        <v>2781</v>
      </c>
      <c r="D1124" s="34">
        <v>0.5</v>
      </c>
      <c r="E1124" s="22" t="s">
        <v>2759</v>
      </c>
      <c r="F1124" s="22"/>
      <c r="G1124" s="22" t="s">
        <v>2773</v>
      </c>
      <c r="H1124" s="7"/>
      <c r="I1124" s="35"/>
      <c r="J1124" s="30">
        <f>IF(OR($F1124="",$I1124=""),0,IFERROR(INDEX(Nutrition!$D$2:$D$300,MATCH($F1124,Nutrition!$A$2:$A$300,0))*$I1124/100,0))</f>
        <v>0</v>
      </c>
      <c r="K1124" s="30">
        <f>IF(OR($F1124="",$I1124=""),0,IFERROR(INDEX(Nutrition!$E$2:$E$300,MATCH($F1124,Nutrition!$A$2:$A$300,0))*$I1124/100,0))</f>
        <v>0</v>
      </c>
      <c r="L1124" s="30">
        <f>IF(OR($F1124="",$I1124=""),0,IFERROR(INDEX(Nutrition!$F$2:$F$300,MATCH($F1124,Nutrition!$A$2:$A$300,0))*$I1124/100,0))</f>
        <v>0</v>
      </c>
      <c r="M1124" s="30">
        <f>IF(OR($F1124="",$I1124=""),0,IFERROR(INDEX(Nutrition!$G$2:$G$300,MATCH($F1124,Nutrition!$A$2:$A$300,0))*$I1124/100,0))</f>
        <v>0</v>
      </c>
      <c r="N1124" s="30">
        <f>IF(OR($F1124="",$I1124=""),0,IFERROR(INDEX(Nutrition!$H$2:$H$300,MATCH($F1124,Nutrition!$A$2:$A$300,0))*$I1124/100,0))</f>
        <v>0</v>
      </c>
      <c r="O1124" s="30">
        <f>IF(OR($F1124="",$I1124=""),0,IFERROR(INDEX(Nutrition!$I$2:$I$300,MATCH($F1124,Nutrition!$A$2:$A$300,0))*$I1124/100,0))</f>
        <v>0</v>
      </c>
      <c r="P1124" s="30">
        <f>IF(OR($F1124="",$I1124=""),0,IFERROR(INDEX(Nutrition!$J$2:$J$300,MATCH($F1124,Nutrition!$A$2:$A$300,0))*$I1124/100,0))</f>
        <v>0</v>
      </c>
      <c r="Q1124" s="30">
        <f>IF(OR($F1124="",$I1124=""),0,IFERROR(INDEX(Nutrition!$K$2:$K$300,MATCH($F1124,Nutrition!$A$2:$A$300,0))*$I1124/100,0))</f>
        <v>0</v>
      </c>
      <c r="R1124" s="30">
        <f>IF(OR($F1124="",$I1124=""),0,IFERROR(INDEX(Nutrition!$L$2:$L$300,MATCH($F1124,Nutrition!$A$2:$A$300,0))*$I1124/100,0))</f>
        <v>0</v>
      </c>
      <c r="S1124" s="30">
        <f>IF(OR($F1124="",$I1124=""),0,IFERROR(INDEX(Nutrition!$M$2:$M$300,MATCH($F1124,Nutrition!$A$2:$A$300,0))*$I1124/100,0))</f>
        <v>0</v>
      </c>
    </row>
    <row r="1125" spans="1:19" ht="15" customHeight="1" x14ac:dyDescent="0.25">
      <c r="A1125" s="22" t="s">
        <v>2372</v>
      </c>
      <c r="B1125" s="33" t="str">
        <f>IFERROR(INDEX(Recipes!$B$2:$B$500,MATCH(A1125,Recipes!$A$2:$A$500,0)),"")</f>
        <v>Nigerian Fruit Salad with Condensed Milk</v>
      </c>
      <c r="C1125" s="7" t="s">
        <v>139</v>
      </c>
      <c r="D1125" s="34">
        <v>1</v>
      </c>
      <c r="E1125" s="22" t="s">
        <v>2748</v>
      </c>
      <c r="F1125" s="22" t="s">
        <v>138</v>
      </c>
      <c r="G1125" s="22" t="s">
        <v>2755</v>
      </c>
      <c r="H1125" s="7" t="s">
        <v>2775</v>
      </c>
      <c r="I1125" s="35">
        <v>165</v>
      </c>
      <c r="J1125" s="30">
        <f>IF(OR($F1125="",$I1125=""),0,IFERROR(INDEX(Nutrition!$D$2:$D$300,MATCH($F1125,Nutrition!$A$2:$A$300,0))*$I1125/100,0))</f>
        <v>2.3099999999999996</v>
      </c>
      <c r="K1125" s="30">
        <f>IF(OR($F1125="",$I1125=""),0,IFERROR(INDEX(Nutrition!$E$2:$E$300,MATCH($F1125,Nutrition!$A$2:$A$300,0))*$I1125/100,0))</f>
        <v>78.86999999999999</v>
      </c>
      <c r="L1125" s="30">
        <f>IF(OR($F1125="",$I1125=""),0,IFERROR(INDEX(Nutrition!$F$2:$F$300,MATCH($F1125,Nutrition!$A$2:$A$300,0))*$I1125/100,0))</f>
        <v>4.95</v>
      </c>
      <c r="M1125" s="30">
        <f>IF(OR($F1125="",$I1125=""),0,IFERROR(INDEX(Nutrition!$G$2:$G$300,MATCH($F1125,Nutrition!$A$2:$A$300,0))*$I1125/100,0))</f>
        <v>1.1549999999999998</v>
      </c>
      <c r="N1125" s="30">
        <f>IF(OR($F1125="",$I1125=""),0,IFERROR(INDEX(Nutrition!$H$2:$H$300,MATCH($F1125,Nutrition!$A$2:$A$300,0))*$I1125/100,0))</f>
        <v>29.7</v>
      </c>
      <c r="O1125" s="30">
        <f>IF(OR($F1125="",$I1125=""),0,IFERROR(INDEX(Nutrition!$I$2:$I$300,MATCH($F1125,Nutrition!$A$2:$A$300,0))*$I1125/100,0))</f>
        <v>179.85</v>
      </c>
      <c r="P1125" s="30">
        <f>IF(OR($F1125="",$I1125=""),0,IFERROR(INDEX(Nutrition!$J$2:$J$300,MATCH($F1125,Nutrition!$A$2:$A$300,0))*$I1125/100,0))</f>
        <v>3.3000000000000002E-2</v>
      </c>
      <c r="Q1125" s="30">
        <f>IF(OR($F1125="",$I1125=""),0,IFERROR(INDEX(Nutrition!$K$2:$K$300,MATCH($F1125,Nutrition!$A$2:$A$300,0))*$I1125/100,0))</f>
        <v>0.18479999999999999</v>
      </c>
      <c r="R1125" s="30">
        <f>IF(OR($F1125="",$I1125=""),0,IFERROR(INDEX(Nutrition!$L$2:$L$300,MATCH($F1125,Nutrition!$A$2:$A$300,0))*$I1125/100,0))</f>
        <v>19.8</v>
      </c>
      <c r="S1125" s="30">
        <f>IF(OR($F1125="",$I1125=""),0,IFERROR(INDEX(Nutrition!$M$2:$M$300,MATCH($F1125,Nutrition!$A$2:$A$300,0))*$I1125/100,0))</f>
        <v>0.47849999999999993</v>
      </c>
    </row>
    <row r="1126" spans="1:19" ht="15" customHeight="1" x14ac:dyDescent="0.25">
      <c r="A1126" s="22" t="s">
        <v>2372</v>
      </c>
      <c r="B1126" s="33" t="str">
        <f>IFERROR(INDEX(Recipes!$B$2:$B$500,MATCH(A1126,Recipes!$A$2:$A$500,0)),"")</f>
        <v>Nigerian Fruit Salad with Condensed Milk</v>
      </c>
      <c r="C1126" s="7" t="s">
        <v>160</v>
      </c>
      <c r="D1126" s="34">
        <v>0.5</v>
      </c>
      <c r="E1126" s="22" t="s">
        <v>2748</v>
      </c>
      <c r="F1126" s="22" t="s">
        <v>159</v>
      </c>
      <c r="G1126" s="22" t="s">
        <v>2755</v>
      </c>
      <c r="H1126" s="7" t="s">
        <v>3045</v>
      </c>
      <c r="I1126" s="35">
        <v>72</v>
      </c>
      <c r="J1126" s="30">
        <f>IF(OR($F1126="",$I1126=""),0,IFERROR(INDEX(Nutrition!$D$2:$D$300,MATCH($F1126,Nutrition!$A$2:$A$300,0))*$I1126/100,0))</f>
        <v>1.224</v>
      </c>
      <c r="K1126" s="30">
        <f>IF(OR($F1126="",$I1126=""),0,IFERROR(INDEX(Nutrition!$E$2:$E$300,MATCH($F1126,Nutrition!$A$2:$A$300,0))*$I1126/100,0))</f>
        <v>43.847999999999999</v>
      </c>
      <c r="L1126" s="30">
        <f>IF(OR($F1126="",$I1126=""),0,IFERROR(INDEX(Nutrition!$F$2:$F$300,MATCH($F1126,Nutrition!$A$2:$A$300,0))*$I1126/100,0))</f>
        <v>33.840000000000003</v>
      </c>
      <c r="M1126" s="30">
        <f>IF(OR($F1126="",$I1126=""),0,IFERROR(INDEX(Nutrition!$G$2:$G$300,MATCH($F1126,Nutrition!$A$2:$A$300,0))*$I1126/100,0))</f>
        <v>1.8720000000000001</v>
      </c>
      <c r="N1126" s="30">
        <f>IF(OR($F1126="",$I1126=""),0,IFERROR(INDEX(Nutrition!$H$2:$H$300,MATCH($F1126,Nutrition!$A$2:$A$300,0))*$I1126/100,0))</f>
        <v>26.64</v>
      </c>
      <c r="O1126" s="30">
        <f>IF(OR($F1126="",$I1126=""),0,IFERROR(INDEX(Nutrition!$I$2:$I$300,MATCH($F1126,Nutrition!$A$2:$A$300,0))*$I1126/100,0))</f>
        <v>131.04</v>
      </c>
      <c r="P1126" s="30">
        <f>IF(OR($F1126="",$I1126=""),0,IFERROR(INDEX(Nutrition!$J$2:$J$300,MATCH($F1126,Nutrition!$A$2:$A$300,0))*$I1126/100,0))</f>
        <v>0.21599999999999997</v>
      </c>
      <c r="Q1126" s="30">
        <f>IF(OR($F1126="",$I1126=""),0,IFERROR(INDEX(Nutrition!$K$2:$K$300,MATCH($F1126,Nutrition!$A$2:$A$300,0))*$I1126/100,0))</f>
        <v>2.7359999999999999E-2</v>
      </c>
      <c r="R1126" s="30">
        <f>IF(OR($F1126="",$I1126=""),0,IFERROR(INDEX(Nutrition!$L$2:$L$300,MATCH($F1126,Nutrition!$A$2:$A$300,0))*$I1126/100,0))</f>
        <v>15.12</v>
      </c>
      <c r="S1126" s="30">
        <f>IF(OR($F1126="",$I1126=""),0,IFERROR(INDEX(Nutrition!$M$2:$M$300,MATCH($F1126,Nutrition!$A$2:$A$300,0))*$I1126/100,0))</f>
        <v>0.18</v>
      </c>
    </row>
    <row r="1127" spans="1:19" ht="15" customHeight="1" x14ac:dyDescent="0.25">
      <c r="A1127" s="22" t="s">
        <v>2372</v>
      </c>
      <c r="B1127" s="33" t="str">
        <f>IFERROR(INDEX(Recipes!$B$2:$B$500,MATCH(A1127,Recipes!$A$2:$A$500,0)),"")</f>
        <v>Nigerian Fruit Salad with Condensed Milk</v>
      </c>
      <c r="C1127" s="7" t="s">
        <v>150</v>
      </c>
      <c r="D1127" s="34">
        <v>0.5</v>
      </c>
      <c r="E1127" s="22" t="s">
        <v>2748</v>
      </c>
      <c r="F1127" s="22" t="s">
        <v>149</v>
      </c>
      <c r="G1127" s="22" t="s">
        <v>2755</v>
      </c>
      <c r="H1127" s="7" t="s">
        <v>2775</v>
      </c>
      <c r="I1127" s="35">
        <v>76</v>
      </c>
      <c r="J1127" s="30">
        <f>IF(OR($F1127="",$I1127=""),0,IFERROR(INDEX(Nutrition!$D$2:$D$300,MATCH($F1127,Nutrition!$A$2:$A$300,0))*$I1127/100,0))</f>
        <v>0.30400000000000005</v>
      </c>
      <c r="K1127" s="30">
        <f>IF(OR($F1127="",$I1127=""),0,IFERROR(INDEX(Nutrition!$E$2:$E$300,MATCH($F1127,Nutrition!$A$2:$A$300,0))*$I1127/100,0))</f>
        <v>6.1560000000000006</v>
      </c>
      <c r="L1127" s="30">
        <f>IF(OR($F1127="",$I1127=""),0,IFERROR(INDEX(Nutrition!$F$2:$F$300,MATCH($F1127,Nutrition!$A$2:$A$300,0))*$I1127/100,0))</f>
        <v>21.28</v>
      </c>
      <c r="M1127" s="30">
        <f>IF(OR($F1127="",$I1127=""),0,IFERROR(INDEX(Nutrition!$G$2:$G$300,MATCH($F1127,Nutrition!$A$2:$A$300,0))*$I1127/100,0))</f>
        <v>7.6000000000000012E-2</v>
      </c>
      <c r="N1127" s="30">
        <f>IF(OR($F1127="",$I1127=""),0,IFERROR(INDEX(Nutrition!$H$2:$H$300,MATCH($F1127,Nutrition!$A$2:$A$300,0))*$I1127/100,0))</f>
        <v>2.2799999999999998</v>
      </c>
      <c r="O1127" s="30">
        <f>IF(OR($F1127="",$I1127=""),0,IFERROR(INDEX(Nutrition!$I$2:$I$300,MATCH($F1127,Nutrition!$A$2:$A$300,0))*$I1127/100,0))</f>
        <v>85.12</v>
      </c>
      <c r="P1127" s="30">
        <f>IF(OR($F1127="",$I1127=""),0,IFERROR(INDEX(Nutrition!$J$2:$J$300,MATCH($F1127,Nutrition!$A$2:$A$300,0))*$I1127/100,0))</f>
        <v>3.8000000000000006E-2</v>
      </c>
      <c r="Q1127" s="30">
        <f>IF(OR($F1127="",$I1127=""),0,IFERROR(INDEX(Nutrition!$K$2:$K$300,MATCH($F1127,Nutrition!$A$2:$A$300,0))*$I1127/100,0))</f>
        <v>3.4200000000000001E-2</v>
      </c>
      <c r="R1127" s="30">
        <f>IF(OR($F1127="",$I1127=""),0,IFERROR(INDEX(Nutrition!$L$2:$L$300,MATCH($F1127,Nutrition!$A$2:$A$300,0))*$I1127/100,0))</f>
        <v>7.6</v>
      </c>
      <c r="S1127" s="30">
        <f>IF(OR($F1127="",$I1127=""),0,IFERROR(INDEX(Nutrition!$M$2:$M$300,MATCH($F1127,Nutrition!$A$2:$A$300,0))*$I1127/100,0))</f>
        <v>0.18239999999999998</v>
      </c>
    </row>
    <row r="1128" spans="1:19" ht="15" customHeight="1" x14ac:dyDescent="0.25">
      <c r="A1128" s="22" t="s">
        <v>2372</v>
      </c>
      <c r="B1128" s="33" t="str">
        <f>IFERROR(INDEX(Recipes!$B$2:$B$500,MATCH(A1128,Recipes!$A$2:$A$500,0)),"")</f>
        <v>Nigerian Fruit Salad with Condensed Milk</v>
      </c>
      <c r="C1128" s="7" t="s">
        <v>529</v>
      </c>
      <c r="D1128" s="34">
        <v>1</v>
      </c>
      <c r="E1128" s="22" t="s">
        <v>2754</v>
      </c>
      <c r="F1128" s="22" t="s">
        <v>528</v>
      </c>
      <c r="G1128" s="22" t="s">
        <v>2755</v>
      </c>
      <c r="H1128" s="7" t="s">
        <v>2954</v>
      </c>
      <c r="I1128" s="35">
        <v>61</v>
      </c>
      <c r="J1128" s="30">
        <f>IF(OR($F1128="",$I1128=""),0,IFERROR(INDEX(Nutrition!$D$2:$D$300,MATCH($F1128,Nutrition!$A$2:$A$300,0))*$I1128/100,0))</f>
        <v>1.7079999999999997</v>
      </c>
      <c r="K1128" s="30">
        <f>IF(OR($F1128="",$I1128=""),0,IFERROR(INDEX(Nutrition!$E$2:$E$300,MATCH($F1128,Nutrition!$A$2:$A$300,0))*$I1128/100,0))</f>
        <v>3.5990000000000002</v>
      </c>
      <c r="L1128" s="30">
        <f>IF(OR($F1128="",$I1128=""),0,IFERROR(INDEX(Nutrition!$F$2:$F$300,MATCH($F1128,Nutrition!$A$2:$A$300,0))*$I1128/100,0))</f>
        <v>509.35</v>
      </c>
      <c r="M1128" s="30">
        <f>IF(OR($F1128="",$I1128=""),0,IFERROR(INDEX(Nutrition!$G$2:$G$300,MATCH($F1128,Nutrition!$A$2:$A$300,0))*$I1128/100,0))</f>
        <v>8.0519999999999996</v>
      </c>
      <c r="N1128" s="30">
        <f>IF(OR($F1128="",$I1128=""),0,IFERROR(INDEX(Nutrition!$H$2:$H$300,MATCH($F1128,Nutrition!$A$2:$A$300,0))*$I1128/100,0))</f>
        <v>11.59</v>
      </c>
      <c r="O1128" s="30">
        <f>IF(OR($F1128="",$I1128=""),0,IFERROR(INDEX(Nutrition!$I$2:$I$300,MATCH($F1128,Nutrition!$A$2:$A$300,0))*$I1128/100,0))</f>
        <v>195.2</v>
      </c>
      <c r="P1128" s="30">
        <f>IF(OR($F1128="",$I1128=""),0,IFERROR(INDEX(Nutrition!$J$2:$J$300,MATCH($F1128,Nutrition!$A$2:$A$300,0))*$I1128/100,0))</f>
        <v>0.40260000000000007</v>
      </c>
      <c r="Q1128" s="30">
        <f>IF(OR($F1128="",$I1128=""),0,IFERROR(INDEX(Nutrition!$K$2:$K$300,MATCH($F1128,Nutrition!$A$2:$A$300,0))*$I1128/100,0))</f>
        <v>8.4180000000000005E-2</v>
      </c>
      <c r="R1128" s="30">
        <f>IF(OR($F1128="",$I1128=""),0,IFERROR(INDEX(Nutrition!$L$2:$L$300,MATCH($F1128,Nutrition!$A$2:$A$300,0))*$I1128/100,0))</f>
        <v>7.32</v>
      </c>
      <c r="S1128" s="30">
        <f>IF(OR($F1128="",$I1128=""),0,IFERROR(INDEX(Nutrition!$M$2:$M$300,MATCH($F1128,Nutrition!$A$2:$A$300,0))*$I1128/100,0))</f>
        <v>0.183</v>
      </c>
    </row>
    <row r="1129" spans="1:19" ht="15" customHeight="1" x14ac:dyDescent="0.25">
      <c r="A1129" s="22" t="s">
        <v>2372</v>
      </c>
      <c r="B1129" s="33" t="str">
        <f>IFERROR(INDEX(Recipes!$B$2:$B$500,MATCH(A1129,Recipes!$A$2:$A$500,0)),"")</f>
        <v>Nigerian Fruit Salad with Condensed Milk</v>
      </c>
      <c r="C1129" s="7" t="s">
        <v>523</v>
      </c>
      <c r="D1129" s="34">
        <v>1</v>
      </c>
      <c r="E1129" s="22" t="s">
        <v>2754</v>
      </c>
      <c r="F1129" s="22" t="s">
        <v>522</v>
      </c>
      <c r="G1129" s="22" t="s">
        <v>2755</v>
      </c>
      <c r="H1129" s="7" t="s">
        <v>3046</v>
      </c>
      <c r="I1129" s="35">
        <v>301</v>
      </c>
      <c r="J1129" s="30">
        <f>IF(OR($F1129="",$I1129=""),0,IFERROR(INDEX(Nutrition!$D$2:$D$300,MATCH($F1129,Nutrition!$A$2:$A$300,0))*$I1129/100,0))</f>
        <v>1.5049999999999999</v>
      </c>
      <c r="K1129" s="30">
        <f>IF(OR($F1129="",$I1129=""),0,IFERROR(INDEX(Nutrition!$E$2:$E$300,MATCH($F1129,Nutrition!$A$2:$A$300,0))*$I1129/100,0))</f>
        <v>8.427999999999999</v>
      </c>
      <c r="L1129" s="30">
        <f>IF(OR($F1129="",$I1129=""),0,IFERROR(INDEX(Nutrition!$F$2:$F$300,MATCH($F1129,Nutrition!$A$2:$A$300,0))*$I1129/100,0))</f>
        <v>15.05</v>
      </c>
      <c r="M1129" s="30">
        <f>IF(OR($F1129="",$I1129=""),0,IFERROR(INDEX(Nutrition!$G$2:$G$300,MATCH($F1129,Nutrition!$A$2:$A$300,0))*$I1129/100,0))</f>
        <v>49.363999999999997</v>
      </c>
      <c r="N1129" s="30">
        <f>IF(OR($F1129="",$I1129=""),0,IFERROR(INDEX(Nutrition!$H$2:$H$300,MATCH($F1129,Nutrition!$A$2:$A$300,0))*$I1129/100,0))</f>
        <v>21.07</v>
      </c>
      <c r="O1129" s="30">
        <f>IF(OR($F1129="",$I1129=""),0,IFERROR(INDEX(Nutrition!$I$2:$I$300,MATCH($F1129,Nutrition!$A$2:$A$300,0))*$I1129/100,0))</f>
        <v>442.47</v>
      </c>
      <c r="P1129" s="30">
        <f>IF(OR($F1129="",$I1129=""),0,IFERROR(INDEX(Nutrition!$J$2:$J$300,MATCH($F1129,Nutrition!$A$2:$A$300,0))*$I1129/100,0))</f>
        <v>9.0299999999999991E-2</v>
      </c>
      <c r="Q1129" s="30">
        <f>IF(OR($F1129="",$I1129=""),0,IFERROR(INDEX(Nutrition!$K$2:$K$300,MATCH($F1129,Nutrition!$A$2:$A$300,0))*$I1129/100,0))</f>
        <v>0.12040000000000001</v>
      </c>
      <c r="R1129" s="30">
        <f>IF(OR($F1129="",$I1129=""),0,IFERROR(INDEX(Nutrition!$L$2:$L$300,MATCH($F1129,Nutrition!$A$2:$A$300,0))*$I1129/100,0))</f>
        <v>39.130000000000003</v>
      </c>
      <c r="S1129" s="30">
        <f>IF(OR($F1129="",$I1129=""),0,IFERROR(INDEX(Nutrition!$M$2:$M$300,MATCH($F1129,Nutrition!$A$2:$A$300,0))*$I1129/100,0))</f>
        <v>0.84279999999999999</v>
      </c>
    </row>
    <row r="1130" spans="1:19" ht="15" customHeight="1" x14ac:dyDescent="0.25">
      <c r="A1130" s="22" t="s">
        <v>2372</v>
      </c>
      <c r="B1130" s="33" t="str">
        <f>IFERROR(INDEX(Recipes!$B$2:$B$500,MATCH(A1130,Recipes!$A$2:$A$500,0)),"")</f>
        <v>Nigerian Fruit Salad with Condensed Milk</v>
      </c>
      <c r="C1130" s="7" t="s">
        <v>262</v>
      </c>
      <c r="D1130" s="34">
        <v>0.25</v>
      </c>
      <c r="E1130" s="22" t="s">
        <v>2748</v>
      </c>
      <c r="F1130" s="22" t="s">
        <v>261</v>
      </c>
      <c r="G1130" s="22" t="s">
        <v>2755</v>
      </c>
      <c r="H1130" s="7" t="s">
        <v>3047</v>
      </c>
      <c r="I1130" s="35">
        <v>20</v>
      </c>
      <c r="J1130" s="30">
        <f>IF(OR($F1130="",$I1130=""),0,IFERROR(INDEX(Nutrition!$D$2:$D$300,MATCH($F1130,Nutrition!$A$2:$A$300,0))*$I1130/100,0))</f>
        <v>1.8</v>
      </c>
      <c r="K1130" s="30">
        <f>IF(OR($F1130="",$I1130=""),0,IFERROR(INDEX(Nutrition!$E$2:$E$300,MATCH($F1130,Nutrition!$A$2:$A$300,0))*$I1130/100,0))</f>
        <v>0.66</v>
      </c>
      <c r="L1130" s="30">
        <f>IF(OR($F1130="",$I1130=""),0,IFERROR(INDEX(Nutrition!$F$2:$F$300,MATCH($F1130,Nutrition!$A$2:$A$300,0))*$I1130/100,0))</f>
        <v>0</v>
      </c>
      <c r="M1130" s="30">
        <f>IF(OR($F1130="",$I1130=""),0,IFERROR(INDEX(Nutrition!$G$2:$G$300,MATCH($F1130,Nutrition!$A$2:$A$300,0))*$I1130/100,0))</f>
        <v>0.04</v>
      </c>
      <c r="N1130" s="30">
        <f>IF(OR($F1130="",$I1130=""),0,IFERROR(INDEX(Nutrition!$H$2:$H$300,MATCH($F1130,Nutrition!$A$2:$A$300,0))*$I1130/100,0))</f>
        <v>5.2</v>
      </c>
      <c r="O1130" s="30">
        <f>IF(OR($F1130="",$I1130=""),0,IFERROR(INDEX(Nutrition!$I$2:$I$300,MATCH($F1130,Nutrition!$A$2:$A$300,0))*$I1130/100,0))</f>
        <v>71.2</v>
      </c>
      <c r="P1130" s="30">
        <f>IF(OR($F1130="",$I1130=""),0,IFERROR(INDEX(Nutrition!$J$2:$J$300,MATCH($F1130,Nutrition!$A$2:$A$300,0))*$I1130/100,0))</f>
        <v>4.8000000000000001E-2</v>
      </c>
      <c r="Q1130" s="30">
        <f>IF(OR($F1130="",$I1130=""),0,IFERROR(INDEX(Nutrition!$K$2:$K$300,MATCH($F1130,Nutrition!$A$2:$A$300,0))*$I1130/100,0))</f>
        <v>1.0800000000000001E-2</v>
      </c>
      <c r="R1130" s="30">
        <f>IF(OR($F1130="",$I1130=""),0,IFERROR(INDEX(Nutrition!$L$2:$L$300,MATCH($F1130,Nutrition!$A$2:$A$300,0))*$I1130/100,0))</f>
        <v>6.4</v>
      </c>
      <c r="S1130" s="30">
        <f>IF(OR($F1130="",$I1130=""),0,IFERROR(INDEX(Nutrition!$M$2:$M$300,MATCH($F1130,Nutrition!$A$2:$A$300,0))*$I1130/100,0))</f>
        <v>0.48599999999999999</v>
      </c>
    </row>
    <row r="1131" spans="1:19" ht="15" customHeight="1" x14ac:dyDescent="0.25">
      <c r="A1131" s="22" t="s">
        <v>2372</v>
      </c>
      <c r="B1131" s="33" t="str">
        <f>IFERROR(INDEX(Recipes!$B$2:$B$500,MATCH(A1131,Recipes!$A$2:$A$500,0)),"")</f>
        <v>Nigerian Fruit Salad with Condensed Milk</v>
      </c>
      <c r="C1131" s="7" t="s">
        <v>428</v>
      </c>
      <c r="D1131" s="34">
        <v>0.5</v>
      </c>
      <c r="E1131" s="22" t="s">
        <v>2748</v>
      </c>
      <c r="F1131" s="22" t="s">
        <v>427</v>
      </c>
      <c r="G1131" s="22" t="s">
        <v>2755</v>
      </c>
      <c r="H1131" s="7" t="s">
        <v>3048</v>
      </c>
      <c r="I1131" s="35">
        <v>73</v>
      </c>
      <c r="J1131" s="30">
        <f>IF(OR($F1131="",$I1131=""),0,IFERROR(INDEX(Nutrition!$D$2:$D$300,MATCH($F1131,Nutrition!$A$2:$A$300,0))*$I1131/100,0))</f>
        <v>6.2050000000000001</v>
      </c>
      <c r="K1131" s="30">
        <f>IF(OR($F1131="",$I1131=""),0,IFERROR(INDEX(Nutrition!$E$2:$E$300,MATCH($F1131,Nutrition!$A$2:$A$300,0))*$I1131/100,0))</f>
        <v>0</v>
      </c>
      <c r="L1131" s="30">
        <f>IF(OR($F1131="",$I1131=""),0,IFERROR(INDEX(Nutrition!$F$2:$F$300,MATCH($F1131,Nutrition!$A$2:$A$300,0))*$I1131/100,0))</f>
        <v>0</v>
      </c>
      <c r="M1131" s="30">
        <f>IF(OR($F1131="",$I1131=""),0,IFERROR(INDEX(Nutrition!$G$2:$G$300,MATCH($F1131,Nutrition!$A$2:$A$300,0))*$I1131/100,0))</f>
        <v>0</v>
      </c>
      <c r="N1131" s="30">
        <f>IF(OR($F1131="",$I1131=""),0,IFERROR(INDEX(Nutrition!$H$2:$H$300,MATCH($F1131,Nutrition!$A$2:$A$300,0))*$I1131/100,0))</f>
        <v>175.2</v>
      </c>
      <c r="O1131" s="30">
        <f>IF(OR($F1131="",$I1131=""),0,IFERROR(INDEX(Nutrition!$I$2:$I$300,MATCH($F1131,Nutrition!$A$2:$A$300,0))*$I1131/100,0))</f>
        <v>514.65</v>
      </c>
      <c r="P1131" s="30">
        <f>IF(OR($F1131="",$I1131=""),0,IFERROR(INDEX(Nutrition!$J$2:$J$300,MATCH($F1131,Nutrition!$A$2:$A$300,0))*$I1131/100,0))</f>
        <v>6.0809000000000006</v>
      </c>
      <c r="Q1131" s="30">
        <f>IF(OR($F1131="",$I1131=""),0,IFERROR(INDEX(Nutrition!$K$2:$K$300,MATCH($F1131,Nutrition!$A$2:$A$300,0))*$I1131/100,0))</f>
        <v>0.25403999999999999</v>
      </c>
      <c r="R1131" s="30">
        <f>IF(OR($F1131="",$I1131=""),0,IFERROR(INDEX(Nutrition!$L$2:$L$300,MATCH($F1131,Nutrition!$A$2:$A$300,0))*$I1131/100,0))</f>
        <v>122.64</v>
      </c>
      <c r="S1131" s="30">
        <f>IF(OR($F1131="",$I1131=""),0,IFERROR(INDEX(Nutrition!$M$2:$M$300,MATCH($F1131,Nutrition!$A$2:$A$300,0))*$I1131/100,0))</f>
        <v>3.3434000000000004</v>
      </c>
    </row>
    <row r="1132" spans="1:19" ht="15" customHeight="1" x14ac:dyDescent="0.25">
      <c r="A1132" s="22" t="s">
        <v>2372</v>
      </c>
      <c r="B1132" s="33" t="str">
        <f>IFERROR(INDEX(Recipes!$B$2:$B$500,MATCH(A1132,Recipes!$A$2:$A$500,0)),"")</f>
        <v>Nigerian Fruit Salad with Condensed Milk</v>
      </c>
      <c r="C1132" s="7" t="s">
        <v>3049</v>
      </c>
      <c r="D1132" s="34">
        <v>4</v>
      </c>
      <c r="E1132" s="22" t="s">
        <v>2753</v>
      </c>
      <c r="F1132" s="22"/>
      <c r="G1132" s="22" t="s">
        <v>2749</v>
      </c>
      <c r="H1132" s="7"/>
      <c r="I1132" s="35"/>
      <c r="J1132" s="30">
        <f>IF(OR($F1132="",$I1132=""),0,IFERROR(INDEX(Nutrition!$D$2:$D$300,MATCH($F1132,Nutrition!$A$2:$A$300,0))*$I1132/100,0))</f>
        <v>0</v>
      </c>
      <c r="K1132" s="30">
        <f>IF(OR($F1132="",$I1132=""),0,IFERROR(INDEX(Nutrition!$E$2:$E$300,MATCH($F1132,Nutrition!$A$2:$A$300,0))*$I1132/100,0))</f>
        <v>0</v>
      </c>
      <c r="L1132" s="30">
        <f>IF(OR($F1132="",$I1132=""),0,IFERROR(INDEX(Nutrition!$F$2:$F$300,MATCH($F1132,Nutrition!$A$2:$A$300,0))*$I1132/100,0))</f>
        <v>0</v>
      </c>
      <c r="M1132" s="30">
        <f>IF(OR($F1132="",$I1132=""),0,IFERROR(INDEX(Nutrition!$G$2:$G$300,MATCH($F1132,Nutrition!$A$2:$A$300,0))*$I1132/100,0))</f>
        <v>0</v>
      </c>
      <c r="N1132" s="30">
        <f>IF(OR($F1132="",$I1132=""),0,IFERROR(INDEX(Nutrition!$H$2:$H$300,MATCH($F1132,Nutrition!$A$2:$A$300,0))*$I1132/100,0))</f>
        <v>0</v>
      </c>
      <c r="O1132" s="30">
        <f>IF(OR($F1132="",$I1132=""),0,IFERROR(INDEX(Nutrition!$I$2:$I$300,MATCH($F1132,Nutrition!$A$2:$A$300,0))*$I1132/100,0))</f>
        <v>0</v>
      </c>
      <c r="P1132" s="30">
        <f>IF(OR($F1132="",$I1132=""),0,IFERROR(INDEX(Nutrition!$J$2:$J$300,MATCH($F1132,Nutrition!$A$2:$A$300,0))*$I1132/100,0))</f>
        <v>0</v>
      </c>
      <c r="Q1132" s="30">
        <f>IF(OR($F1132="",$I1132=""),0,IFERROR(INDEX(Nutrition!$K$2:$K$300,MATCH($F1132,Nutrition!$A$2:$A$300,0))*$I1132/100,0))</f>
        <v>0</v>
      </c>
      <c r="R1132" s="30">
        <f>IF(OR($F1132="",$I1132=""),0,IFERROR(INDEX(Nutrition!$L$2:$L$300,MATCH($F1132,Nutrition!$A$2:$A$300,0))*$I1132/100,0))</f>
        <v>0</v>
      </c>
      <c r="S1132" s="30">
        <f>IF(OR($F1132="",$I1132=""),0,IFERROR(INDEX(Nutrition!$M$2:$M$300,MATCH($F1132,Nutrition!$A$2:$A$300,0))*$I1132/100,0))</f>
        <v>0</v>
      </c>
    </row>
    <row r="1133" spans="1:19" ht="15" customHeight="1" x14ac:dyDescent="0.25">
      <c r="A1133" s="22" t="s">
        <v>2385</v>
      </c>
      <c r="B1133" s="33" t="str">
        <f>IFERROR(INDEX(Recipes!$B$2:$B$500,MATCH(A1133,Recipes!$A$2:$A$500,0)),"")</f>
        <v>Filipino-Style Fruit Salad with Cream</v>
      </c>
      <c r="C1133" s="7" t="s">
        <v>139</v>
      </c>
      <c r="D1133" s="34">
        <v>2</v>
      </c>
      <c r="E1133" s="22" t="s">
        <v>2790</v>
      </c>
      <c r="F1133" s="22" t="s">
        <v>138</v>
      </c>
      <c r="G1133" s="22" t="s">
        <v>2755</v>
      </c>
      <c r="H1133" s="7" t="s">
        <v>2756</v>
      </c>
      <c r="I1133" s="35">
        <v>330</v>
      </c>
      <c r="J1133" s="30">
        <f>IF(OR($F1133="",$I1133=""),0,IFERROR(INDEX(Nutrition!$D$2:$D$300,MATCH($F1133,Nutrition!$A$2:$A$300,0))*$I1133/100,0))</f>
        <v>4.6199999999999992</v>
      </c>
      <c r="K1133" s="30">
        <f>IF(OR($F1133="",$I1133=""),0,IFERROR(INDEX(Nutrition!$E$2:$E$300,MATCH($F1133,Nutrition!$A$2:$A$300,0))*$I1133/100,0))</f>
        <v>157.73999999999998</v>
      </c>
      <c r="L1133" s="30">
        <f>IF(OR($F1133="",$I1133=""),0,IFERROR(INDEX(Nutrition!$F$2:$F$300,MATCH($F1133,Nutrition!$A$2:$A$300,0))*$I1133/100,0))</f>
        <v>9.9</v>
      </c>
      <c r="M1133" s="30">
        <f>IF(OR($F1133="",$I1133=""),0,IFERROR(INDEX(Nutrition!$G$2:$G$300,MATCH($F1133,Nutrition!$A$2:$A$300,0))*$I1133/100,0))</f>
        <v>2.3099999999999996</v>
      </c>
      <c r="N1133" s="30">
        <f>IF(OR($F1133="",$I1133=""),0,IFERROR(INDEX(Nutrition!$H$2:$H$300,MATCH($F1133,Nutrition!$A$2:$A$300,0))*$I1133/100,0))</f>
        <v>59.4</v>
      </c>
      <c r="O1133" s="30">
        <f>IF(OR($F1133="",$I1133=""),0,IFERROR(INDEX(Nutrition!$I$2:$I$300,MATCH($F1133,Nutrition!$A$2:$A$300,0))*$I1133/100,0))</f>
        <v>359.7</v>
      </c>
      <c r="P1133" s="30">
        <f>IF(OR($F1133="",$I1133=""),0,IFERROR(INDEX(Nutrition!$J$2:$J$300,MATCH($F1133,Nutrition!$A$2:$A$300,0))*$I1133/100,0))</f>
        <v>6.6000000000000003E-2</v>
      </c>
      <c r="Q1133" s="30">
        <f>IF(OR($F1133="",$I1133=""),0,IFERROR(INDEX(Nutrition!$K$2:$K$300,MATCH($F1133,Nutrition!$A$2:$A$300,0))*$I1133/100,0))</f>
        <v>0.36959999999999998</v>
      </c>
      <c r="R1133" s="30">
        <f>IF(OR($F1133="",$I1133=""),0,IFERROR(INDEX(Nutrition!$L$2:$L$300,MATCH($F1133,Nutrition!$A$2:$A$300,0))*$I1133/100,0))</f>
        <v>39.6</v>
      </c>
      <c r="S1133" s="30">
        <f>IF(OR($F1133="",$I1133=""),0,IFERROR(INDEX(Nutrition!$M$2:$M$300,MATCH($F1133,Nutrition!$A$2:$A$300,0))*$I1133/100,0))</f>
        <v>0.95699999999999985</v>
      </c>
    </row>
    <row r="1134" spans="1:19" ht="15" customHeight="1" x14ac:dyDescent="0.25">
      <c r="A1134" s="22" t="s">
        <v>2385</v>
      </c>
      <c r="B1134" s="33" t="str">
        <f>IFERROR(INDEX(Recipes!$B$2:$B$500,MATCH(A1134,Recipes!$A$2:$A$500,0)),"")</f>
        <v>Filipino-Style Fruit Salad with Cream</v>
      </c>
      <c r="C1134" s="7" t="s">
        <v>160</v>
      </c>
      <c r="D1134" s="34">
        <v>1</v>
      </c>
      <c r="E1134" s="22" t="s">
        <v>2748</v>
      </c>
      <c r="F1134" s="22" t="s">
        <v>159</v>
      </c>
      <c r="G1134" s="22" t="s">
        <v>2755</v>
      </c>
      <c r="H1134" s="7" t="s">
        <v>2756</v>
      </c>
      <c r="I1134" s="35">
        <v>145</v>
      </c>
      <c r="J1134" s="30">
        <f>IF(OR($F1134="",$I1134=""),0,IFERROR(INDEX(Nutrition!$D$2:$D$300,MATCH($F1134,Nutrition!$A$2:$A$300,0))*$I1134/100,0))</f>
        <v>2.4649999999999999</v>
      </c>
      <c r="K1134" s="30">
        <f>IF(OR($F1134="",$I1134=""),0,IFERROR(INDEX(Nutrition!$E$2:$E$300,MATCH($F1134,Nutrition!$A$2:$A$300,0))*$I1134/100,0))</f>
        <v>88.305000000000007</v>
      </c>
      <c r="L1134" s="30">
        <f>IF(OR($F1134="",$I1134=""),0,IFERROR(INDEX(Nutrition!$F$2:$F$300,MATCH($F1134,Nutrition!$A$2:$A$300,0))*$I1134/100,0))</f>
        <v>68.150000000000006</v>
      </c>
      <c r="M1134" s="30">
        <f>IF(OR($F1134="",$I1134=""),0,IFERROR(INDEX(Nutrition!$G$2:$G$300,MATCH($F1134,Nutrition!$A$2:$A$300,0))*$I1134/100,0))</f>
        <v>3.77</v>
      </c>
      <c r="N1134" s="30">
        <f>IF(OR($F1134="",$I1134=""),0,IFERROR(INDEX(Nutrition!$H$2:$H$300,MATCH($F1134,Nutrition!$A$2:$A$300,0))*$I1134/100,0))</f>
        <v>53.65</v>
      </c>
      <c r="O1134" s="30">
        <f>IF(OR($F1134="",$I1134=""),0,IFERROR(INDEX(Nutrition!$I$2:$I$300,MATCH($F1134,Nutrition!$A$2:$A$300,0))*$I1134/100,0))</f>
        <v>263.89999999999998</v>
      </c>
      <c r="P1134" s="30">
        <f>IF(OR($F1134="",$I1134=""),0,IFERROR(INDEX(Nutrition!$J$2:$J$300,MATCH($F1134,Nutrition!$A$2:$A$300,0))*$I1134/100,0))</f>
        <v>0.435</v>
      </c>
      <c r="Q1134" s="30">
        <f>IF(OR($F1134="",$I1134=""),0,IFERROR(INDEX(Nutrition!$K$2:$K$300,MATCH($F1134,Nutrition!$A$2:$A$300,0))*$I1134/100,0))</f>
        <v>5.5099999999999996E-2</v>
      </c>
      <c r="R1134" s="30">
        <f>IF(OR($F1134="",$I1134=""),0,IFERROR(INDEX(Nutrition!$L$2:$L$300,MATCH($F1134,Nutrition!$A$2:$A$300,0))*$I1134/100,0))</f>
        <v>30.45</v>
      </c>
      <c r="S1134" s="30">
        <f>IF(OR($F1134="",$I1134=""),0,IFERROR(INDEX(Nutrition!$M$2:$M$300,MATCH($F1134,Nutrition!$A$2:$A$300,0))*$I1134/100,0))</f>
        <v>0.36249999999999999</v>
      </c>
    </row>
    <row r="1135" spans="1:19" ht="15" customHeight="1" x14ac:dyDescent="0.25">
      <c r="A1135" s="22" t="s">
        <v>2385</v>
      </c>
      <c r="B1135" s="33" t="str">
        <f>IFERROR(INDEX(Recipes!$B$2:$B$500,MATCH(A1135,Recipes!$A$2:$A$500,0)),"")</f>
        <v>Filipino-Style Fruit Salad with Cream</v>
      </c>
      <c r="C1135" s="7" t="s">
        <v>379</v>
      </c>
      <c r="D1135" s="34">
        <v>2</v>
      </c>
      <c r="E1135" s="22" t="s">
        <v>2754</v>
      </c>
      <c r="F1135" s="22" t="s">
        <v>378</v>
      </c>
      <c r="G1135" s="22" t="s">
        <v>2755</v>
      </c>
      <c r="H1135" s="7" t="s">
        <v>2756</v>
      </c>
      <c r="I1135" s="35">
        <v>364</v>
      </c>
      <c r="J1135" s="30">
        <f>IF(OR($F1135="",$I1135=""),0,IFERROR(INDEX(Nutrition!$D$2:$D$300,MATCH($F1135,Nutrition!$A$2:$A$300,0))*$I1135/100,0))</f>
        <v>8.7360000000000007</v>
      </c>
      <c r="K1135" s="30">
        <f>IF(OR($F1135="",$I1135=""),0,IFERROR(INDEX(Nutrition!$E$2:$E$300,MATCH($F1135,Nutrition!$A$2:$A$300,0))*$I1135/100,0))</f>
        <v>16.744</v>
      </c>
      <c r="L1135" s="30">
        <f>IF(OR($F1135="",$I1135=""),0,IFERROR(INDEX(Nutrition!$F$2:$F$300,MATCH($F1135,Nutrition!$A$2:$A$300,0))*$I1135/100,0))</f>
        <v>10.92</v>
      </c>
      <c r="M1135" s="30">
        <f>IF(OR($F1135="",$I1135=""),0,IFERROR(INDEX(Nutrition!$G$2:$G$300,MATCH($F1135,Nutrition!$A$2:$A$300,0))*$I1135/100,0))</f>
        <v>8.0080000000000009</v>
      </c>
      <c r="N1135" s="30">
        <f>IF(OR($F1135="",$I1135=""),0,IFERROR(INDEX(Nutrition!$H$2:$H$300,MATCH($F1135,Nutrition!$A$2:$A$300,0))*$I1135/100,0))</f>
        <v>10.92</v>
      </c>
      <c r="O1135" s="30">
        <f>IF(OR($F1135="",$I1135=""),0,IFERROR(INDEX(Nutrition!$I$2:$I$300,MATCH($F1135,Nutrition!$A$2:$A$300,0))*$I1135/100,0))</f>
        <v>389.48</v>
      </c>
      <c r="P1135" s="30">
        <f>IF(OR($F1135="",$I1135=""),0,IFERROR(INDEX(Nutrition!$J$2:$J$300,MATCH($F1135,Nutrition!$A$2:$A$300,0))*$I1135/100,0))</f>
        <v>0.6552</v>
      </c>
      <c r="Q1135" s="30">
        <f>IF(OR($F1135="",$I1135=""),0,IFERROR(INDEX(Nutrition!$K$2:$K$300,MATCH($F1135,Nutrition!$A$2:$A$300,0))*$I1135/100,0))</f>
        <v>0.14924000000000001</v>
      </c>
      <c r="R1135" s="30">
        <f>IF(OR($F1135="",$I1135=""),0,IFERROR(INDEX(Nutrition!$L$2:$L$300,MATCH($F1135,Nutrition!$A$2:$A$300,0))*$I1135/100,0))</f>
        <v>18.2</v>
      </c>
      <c r="S1135" s="30">
        <f>IF(OR($F1135="",$I1135=""),0,IFERROR(INDEX(Nutrition!$M$2:$M$300,MATCH($F1135,Nutrition!$A$2:$A$300,0))*$I1135/100,0))</f>
        <v>0.43680000000000002</v>
      </c>
    </row>
    <row r="1136" spans="1:19" ht="15" customHeight="1" x14ac:dyDescent="0.25">
      <c r="A1136" s="22" t="s">
        <v>2385</v>
      </c>
      <c r="B1136" s="33" t="str">
        <f>IFERROR(INDEX(Recipes!$B$2:$B$500,MATCH(A1136,Recipes!$A$2:$A$500,0)),"")</f>
        <v>Filipino-Style Fruit Salad with Cream</v>
      </c>
      <c r="C1136" s="7" t="s">
        <v>393</v>
      </c>
      <c r="D1136" s="34">
        <v>1</v>
      </c>
      <c r="E1136" s="22" t="s">
        <v>2748</v>
      </c>
      <c r="F1136" s="22" t="s">
        <v>392</v>
      </c>
      <c r="G1136" s="22" t="s">
        <v>2755</v>
      </c>
      <c r="H1136" s="7" t="s">
        <v>2907</v>
      </c>
      <c r="I1136" s="35">
        <v>151</v>
      </c>
      <c r="J1136" s="30">
        <f>IF(OR($F1136="",$I1136=""),0,IFERROR(INDEX(Nutrition!$D$2:$D$300,MATCH($F1136,Nutrition!$A$2:$A$300,0))*$I1136/100,0))</f>
        <v>1.359</v>
      </c>
      <c r="K1136" s="30">
        <f>IF(OR($F1136="",$I1136=""),0,IFERROR(INDEX(Nutrition!$E$2:$E$300,MATCH($F1136,Nutrition!$A$2:$A$300,0))*$I1136/100,0))</f>
        <v>4.8320000000000007</v>
      </c>
      <c r="L1136" s="30">
        <f>IF(OR($F1136="",$I1136=""),0,IFERROR(INDEX(Nutrition!$F$2:$F$300,MATCH($F1136,Nutrition!$A$2:$A$300,0))*$I1136/100,0))</f>
        <v>4.53</v>
      </c>
      <c r="M1136" s="30">
        <f>IF(OR($F1136="",$I1136=""),0,IFERROR(INDEX(Nutrition!$G$2:$G$300,MATCH($F1136,Nutrition!$A$2:$A$300,0))*$I1136/100,0))</f>
        <v>22.045999999999999</v>
      </c>
      <c r="N1136" s="30">
        <f>IF(OR($F1136="",$I1136=""),0,IFERROR(INDEX(Nutrition!$H$2:$H$300,MATCH($F1136,Nutrition!$A$2:$A$300,0))*$I1136/100,0))</f>
        <v>3.02</v>
      </c>
      <c r="O1136" s="30">
        <f>IF(OR($F1136="",$I1136=""),0,IFERROR(INDEX(Nutrition!$I$2:$I$300,MATCH($F1136,Nutrition!$A$2:$A$300,0))*$I1136/100,0))</f>
        <v>288.41000000000003</v>
      </c>
      <c r="P1136" s="30">
        <f>IF(OR($F1136="",$I1136=""),0,IFERROR(INDEX(Nutrition!$J$2:$J$300,MATCH($F1136,Nutrition!$A$2:$A$300,0))*$I1136/100,0))</f>
        <v>0.28689999999999999</v>
      </c>
      <c r="Q1136" s="30">
        <f>IF(OR($F1136="",$I1136=""),0,IFERROR(INDEX(Nutrition!$K$2:$K$300,MATCH($F1136,Nutrition!$A$2:$A$300,0))*$I1136/100,0))</f>
        <v>0.12985999999999998</v>
      </c>
      <c r="R1136" s="30">
        <f>IF(OR($F1136="",$I1136=""),0,IFERROR(INDEX(Nutrition!$L$2:$L$300,MATCH($F1136,Nutrition!$A$2:$A$300,0))*$I1136/100,0))</f>
        <v>10.57</v>
      </c>
      <c r="S1136" s="30">
        <f>IF(OR($F1136="",$I1136=""),0,IFERROR(INDEX(Nutrition!$M$2:$M$300,MATCH($F1136,Nutrition!$A$2:$A$300,0))*$I1136/100,0))</f>
        <v>0.54359999999999997</v>
      </c>
    </row>
    <row r="1137" spans="1:19" ht="15" customHeight="1" x14ac:dyDescent="0.25">
      <c r="A1137" s="22" t="s">
        <v>2385</v>
      </c>
      <c r="B1137" s="33" t="str">
        <f>IFERROR(INDEX(Recipes!$B$2:$B$500,MATCH(A1137,Recipes!$A$2:$A$500,0)),"")</f>
        <v>Filipino-Style Fruit Salad with Cream</v>
      </c>
      <c r="C1137" s="7" t="s">
        <v>110</v>
      </c>
      <c r="D1137" s="34">
        <v>2</v>
      </c>
      <c r="E1137" s="22" t="s">
        <v>2754</v>
      </c>
      <c r="F1137" s="22" t="s">
        <v>109</v>
      </c>
      <c r="G1137" s="22" t="s">
        <v>2755</v>
      </c>
      <c r="H1137" s="7" t="s">
        <v>3050</v>
      </c>
      <c r="I1137" s="35">
        <v>236</v>
      </c>
      <c r="J1137" s="30">
        <f>IF(OR($F1137="",$I1137=""),0,IFERROR(INDEX(Nutrition!$D$2:$D$300,MATCH($F1137,Nutrition!$A$2:$A$300,0))*$I1137/100,0))</f>
        <v>6.1360000000000001</v>
      </c>
      <c r="K1137" s="30">
        <f>IF(OR($F1137="",$I1137=""),0,IFERROR(INDEX(Nutrition!$E$2:$E$300,MATCH($F1137,Nutrition!$A$2:$A$300,0))*$I1137/100,0))</f>
        <v>20.531999999999996</v>
      </c>
      <c r="L1137" s="30">
        <f>IF(OR($F1137="",$I1137=""),0,IFERROR(INDEX(Nutrition!$F$2:$F$300,MATCH($F1137,Nutrition!$A$2:$A$300,0))*$I1137/100,0))</f>
        <v>7.08</v>
      </c>
      <c r="M1137" s="30">
        <f>IF(OR($F1137="",$I1137=""),0,IFERROR(INDEX(Nutrition!$G$2:$G$300,MATCH($F1137,Nutrition!$A$2:$A$300,0))*$I1137/100,0))</f>
        <v>1.18</v>
      </c>
      <c r="N1137" s="30">
        <f>IF(OR($F1137="",$I1137=""),0,IFERROR(INDEX(Nutrition!$H$2:$H$300,MATCH($F1137,Nutrition!$A$2:$A$300,0))*$I1137/100,0))</f>
        <v>47.2</v>
      </c>
      <c r="O1137" s="30">
        <f>IF(OR($F1137="",$I1137=""),0,IFERROR(INDEX(Nutrition!$I$2:$I$300,MATCH($F1137,Nutrition!$A$2:$A$300,0))*$I1137/100,0))</f>
        <v>844.88</v>
      </c>
      <c r="P1137" s="30">
        <f>IF(OR($F1137="",$I1137=""),0,IFERROR(INDEX(Nutrition!$J$2:$J$300,MATCH($F1137,Nutrition!$A$2:$A$300,0))*$I1137/100,0))</f>
        <v>0.23600000000000002</v>
      </c>
      <c r="Q1137" s="30">
        <f>IF(OR($F1137="",$I1137=""),0,IFERROR(INDEX(Nutrition!$K$2:$K$300,MATCH($F1137,Nutrition!$A$2:$A$300,0))*$I1137/100,0))</f>
        <v>0.86612</v>
      </c>
      <c r="R1137" s="30">
        <f>IF(OR($F1137="",$I1137=""),0,IFERROR(INDEX(Nutrition!$L$2:$L$300,MATCH($F1137,Nutrition!$A$2:$A$300,0))*$I1137/100,0))</f>
        <v>63.72</v>
      </c>
      <c r="S1137" s="30">
        <f>IF(OR($F1137="",$I1137=""),0,IFERROR(INDEX(Nutrition!$M$2:$M$300,MATCH($F1137,Nutrition!$A$2:$A$300,0))*$I1137/100,0))</f>
        <v>0.61360000000000003</v>
      </c>
    </row>
    <row r="1138" spans="1:19" ht="15" customHeight="1" x14ac:dyDescent="0.25">
      <c r="A1138" s="22" t="s">
        <v>2385</v>
      </c>
      <c r="B1138" s="33" t="str">
        <f>IFERROR(INDEX(Recipes!$B$2:$B$500,MATCH(A1138,Recipes!$A$2:$A$500,0)),"")</f>
        <v>Filipino-Style Fruit Salad with Cream</v>
      </c>
      <c r="C1138" s="7" t="s">
        <v>262</v>
      </c>
      <c r="D1138" s="34">
        <v>0.5</v>
      </c>
      <c r="E1138" s="22" t="s">
        <v>2748</v>
      </c>
      <c r="F1138" s="22" t="s">
        <v>261</v>
      </c>
      <c r="G1138" s="22" t="s">
        <v>2755</v>
      </c>
      <c r="H1138" s="7" t="s">
        <v>3051</v>
      </c>
      <c r="I1138" s="35">
        <v>40</v>
      </c>
      <c r="J1138" s="30">
        <f>IF(OR($F1138="",$I1138=""),0,IFERROR(INDEX(Nutrition!$D$2:$D$300,MATCH($F1138,Nutrition!$A$2:$A$300,0))*$I1138/100,0))</f>
        <v>3.6</v>
      </c>
      <c r="K1138" s="30">
        <f>IF(OR($F1138="",$I1138=""),0,IFERROR(INDEX(Nutrition!$E$2:$E$300,MATCH($F1138,Nutrition!$A$2:$A$300,0))*$I1138/100,0))</f>
        <v>1.32</v>
      </c>
      <c r="L1138" s="30">
        <f>IF(OR($F1138="",$I1138=""),0,IFERROR(INDEX(Nutrition!$F$2:$F$300,MATCH($F1138,Nutrition!$A$2:$A$300,0))*$I1138/100,0))</f>
        <v>0</v>
      </c>
      <c r="M1138" s="30">
        <f>IF(OR($F1138="",$I1138=""),0,IFERROR(INDEX(Nutrition!$G$2:$G$300,MATCH($F1138,Nutrition!$A$2:$A$300,0))*$I1138/100,0))</f>
        <v>0.08</v>
      </c>
      <c r="N1138" s="30">
        <f>IF(OR($F1138="",$I1138=""),0,IFERROR(INDEX(Nutrition!$H$2:$H$300,MATCH($F1138,Nutrition!$A$2:$A$300,0))*$I1138/100,0))</f>
        <v>10.4</v>
      </c>
      <c r="O1138" s="30">
        <f>IF(OR($F1138="",$I1138=""),0,IFERROR(INDEX(Nutrition!$I$2:$I$300,MATCH($F1138,Nutrition!$A$2:$A$300,0))*$I1138/100,0))</f>
        <v>142.4</v>
      </c>
      <c r="P1138" s="30">
        <f>IF(OR($F1138="",$I1138=""),0,IFERROR(INDEX(Nutrition!$J$2:$J$300,MATCH($F1138,Nutrition!$A$2:$A$300,0))*$I1138/100,0))</f>
        <v>9.6000000000000002E-2</v>
      </c>
      <c r="Q1138" s="30">
        <f>IF(OR($F1138="",$I1138=""),0,IFERROR(INDEX(Nutrition!$K$2:$K$300,MATCH($F1138,Nutrition!$A$2:$A$300,0))*$I1138/100,0))</f>
        <v>2.1600000000000001E-2</v>
      </c>
      <c r="R1138" s="30">
        <f>IF(OR($F1138="",$I1138=""),0,IFERROR(INDEX(Nutrition!$L$2:$L$300,MATCH($F1138,Nutrition!$A$2:$A$300,0))*$I1138/100,0))</f>
        <v>12.8</v>
      </c>
      <c r="S1138" s="30">
        <f>IF(OR($F1138="",$I1138=""),0,IFERROR(INDEX(Nutrition!$M$2:$M$300,MATCH($F1138,Nutrition!$A$2:$A$300,0))*$I1138/100,0))</f>
        <v>0.97199999999999998</v>
      </c>
    </row>
    <row r="1139" spans="1:19" ht="15" customHeight="1" x14ac:dyDescent="0.25">
      <c r="A1139" s="22" t="s">
        <v>2385</v>
      </c>
      <c r="B1139" s="33" t="str">
        <f>IFERROR(INDEX(Recipes!$B$2:$B$500,MATCH(A1139,Recipes!$A$2:$A$500,0)),"")</f>
        <v>Filipino-Style Fruit Salad with Cream</v>
      </c>
      <c r="C1139" s="7" t="s">
        <v>399</v>
      </c>
      <c r="D1139" s="34">
        <v>0.5</v>
      </c>
      <c r="E1139" s="22" t="s">
        <v>2748</v>
      </c>
      <c r="F1139" s="22" t="s">
        <v>398</v>
      </c>
      <c r="G1139" s="22" t="s">
        <v>2755</v>
      </c>
      <c r="H1139" s="7" t="s">
        <v>3052</v>
      </c>
      <c r="I1139" s="35">
        <v>76</v>
      </c>
      <c r="J1139" s="30">
        <f>IF(OR($F1139="",$I1139=""),0,IFERROR(INDEX(Nutrition!$D$2:$D$300,MATCH($F1139,Nutrition!$A$2:$A$300,0))*$I1139/100,0))</f>
        <v>1.52</v>
      </c>
      <c r="K1139" s="30">
        <f>IF(OR($F1139="",$I1139=""),0,IFERROR(INDEX(Nutrition!$E$2:$E$300,MATCH($F1139,Nutrition!$A$2:$A$300,0))*$I1139/100,0))</f>
        <v>44.688000000000002</v>
      </c>
      <c r="L1139" s="30">
        <f>IF(OR($F1139="",$I1139=""),0,IFERROR(INDEX(Nutrition!$F$2:$F$300,MATCH($F1139,Nutrition!$A$2:$A$300,0))*$I1139/100,0))</f>
        <v>0.76</v>
      </c>
      <c r="M1139" s="30">
        <f>IF(OR($F1139="",$I1139=""),0,IFERROR(INDEX(Nutrition!$G$2:$G$300,MATCH($F1139,Nutrition!$A$2:$A$300,0))*$I1139/100,0))</f>
        <v>1.6720000000000002</v>
      </c>
      <c r="N1139" s="30">
        <f>IF(OR($F1139="",$I1139=""),0,IFERROR(INDEX(Nutrition!$H$2:$H$300,MATCH($F1139,Nutrition!$A$2:$A$300,0))*$I1139/100,0))</f>
        <v>18.239999999999998</v>
      </c>
      <c r="O1139" s="30">
        <f>IF(OR($F1139="",$I1139=""),0,IFERROR(INDEX(Nutrition!$I$2:$I$300,MATCH($F1139,Nutrition!$A$2:$A$300,0))*$I1139/100,0))</f>
        <v>116.28</v>
      </c>
      <c r="P1139" s="30">
        <f>IF(OR($F1139="",$I1139=""),0,IFERROR(INDEX(Nutrition!$J$2:$J$300,MATCH($F1139,Nutrition!$A$2:$A$300,0))*$I1139/100,0))</f>
        <v>0.22039999999999998</v>
      </c>
      <c r="Q1139" s="30">
        <f>IF(OR($F1139="",$I1139=""),0,IFERROR(INDEX(Nutrition!$K$2:$K$300,MATCH($F1139,Nutrition!$A$2:$A$300,0))*$I1139/100,0))</f>
        <v>3.5720000000000002E-2</v>
      </c>
      <c r="R1139" s="30">
        <f>IF(OR($F1139="",$I1139=""),0,IFERROR(INDEX(Nutrition!$L$2:$L$300,MATCH($F1139,Nutrition!$A$2:$A$300,0))*$I1139/100,0))</f>
        <v>9.8800000000000008</v>
      </c>
      <c r="S1139" s="30">
        <f>IF(OR($F1139="",$I1139=""),0,IFERROR(INDEX(Nutrition!$M$2:$M$300,MATCH($F1139,Nutrition!$A$2:$A$300,0))*$I1139/100,0))</f>
        <v>0.31159999999999999</v>
      </c>
    </row>
    <row r="1140" spans="1:19" ht="15" customHeight="1" x14ac:dyDescent="0.25">
      <c r="A1140" s="22" t="s">
        <v>2385</v>
      </c>
      <c r="B1140" s="33" t="str">
        <f>IFERROR(INDEX(Recipes!$B$2:$B$500,MATCH(A1140,Recipes!$A$2:$A$500,0)),"")</f>
        <v>Filipino-Style Fruit Salad with Cream</v>
      </c>
      <c r="C1140" s="7" t="s">
        <v>3049</v>
      </c>
      <c r="D1140" s="34">
        <v>0.5</v>
      </c>
      <c r="E1140" s="22" t="s">
        <v>2748</v>
      </c>
      <c r="F1140" s="22"/>
      <c r="G1140" s="22" t="s">
        <v>2749</v>
      </c>
      <c r="H1140" s="7"/>
      <c r="I1140" s="35"/>
      <c r="J1140" s="30">
        <f>IF(OR($F1140="",$I1140=""),0,IFERROR(INDEX(Nutrition!$D$2:$D$300,MATCH($F1140,Nutrition!$A$2:$A$300,0))*$I1140/100,0))</f>
        <v>0</v>
      </c>
      <c r="K1140" s="30">
        <f>IF(OR($F1140="",$I1140=""),0,IFERROR(INDEX(Nutrition!$E$2:$E$300,MATCH($F1140,Nutrition!$A$2:$A$300,0))*$I1140/100,0))</f>
        <v>0</v>
      </c>
      <c r="L1140" s="30">
        <f>IF(OR($F1140="",$I1140=""),0,IFERROR(INDEX(Nutrition!$F$2:$F$300,MATCH($F1140,Nutrition!$A$2:$A$300,0))*$I1140/100,0))</f>
        <v>0</v>
      </c>
      <c r="M1140" s="30">
        <f>IF(OR($F1140="",$I1140=""),0,IFERROR(INDEX(Nutrition!$G$2:$G$300,MATCH($F1140,Nutrition!$A$2:$A$300,0))*$I1140/100,0))</f>
        <v>0</v>
      </c>
      <c r="N1140" s="30">
        <f>IF(OR($F1140="",$I1140=""),0,IFERROR(INDEX(Nutrition!$H$2:$H$300,MATCH($F1140,Nutrition!$A$2:$A$300,0))*$I1140/100,0))</f>
        <v>0</v>
      </c>
      <c r="O1140" s="30">
        <f>IF(OR($F1140="",$I1140=""),0,IFERROR(INDEX(Nutrition!$I$2:$I$300,MATCH($F1140,Nutrition!$A$2:$A$300,0))*$I1140/100,0))</f>
        <v>0</v>
      </c>
      <c r="P1140" s="30">
        <f>IF(OR($F1140="",$I1140=""),0,IFERROR(INDEX(Nutrition!$J$2:$J$300,MATCH($F1140,Nutrition!$A$2:$A$300,0))*$I1140/100,0))</f>
        <v>0</v>
      </c>
      <c r="Q1140" s="30">
        <f>IF(OR($F1140="",$I1140=""),0,IFERROR(INDEX(Nutrition!$K$2:$K$300,MATCH($F1140,Nutrition!$A$2:$A$300,0))*$I1140/100,0))</f>
        <v>0</v>
      </c>
      <c r="R1140" s="30">
        <f>IF(OR($F1140="",$I1140=""),0,IFERROR(INDEX(Nutrition!$L$2:$L$300,MATCH($F1140,Nutrition!$A$2:$A$300,0))*$I1140/100,0))</f>
        <v>0</v>
      </c>
      <c r="S1140" s="30">
        <f>IF(OR($F1140="",$I1140=""),0,IFERROR(INDEX(Nutrition!$M$2:$M$300,MATCH($F1140,Nutrition!$A$2:$A$300,0))*$I1140/100,0))</f>
        <v>0</v>
      </c>
    </row>
    <row r="1141" spans="1:19" ht="15" customHeight="1" x14ac:dyDescent="0.25">
      <c r="A1141" s="22" t="s">
        <v>2385</v>
      </c>
      <c r="B1141" s="33" t="str">
        <f>IFERROR(INDEX(Recipes!$B$2:$B$500,MATCH(A1141,Recipes!$A$2:$A$500,0)),"")</f>
        <v>Filipino-Style Fruit Salad with Cream</v>
      </c>
      <c r="C1141" s="7" t="s">
        <v>3053</v>
      </c>
      <c r="D1141" s="34">
        <v>1</v>
      </c>
      <c r="E1141" s="22" t="s">
        <v>2748</v>
      </c>
      <c r="F1141" s="22"/>
      <c r="G1141" s="22" t="s">
        <v>2749</v>
      </c>
      <c r="H1141" s="7"/>
      <c r="I1141" s="35"/>
      <c r="J1141" s="30">
        <f>IF(OR($F1141="",$I1141=""),0,IFERROR(INDEX(Nutrition!$D$2:$D$300,MATCH($F1141,Nutrition!$A$2:$A$300,0))*$I1141/100,0))</f>
        <v>0</v>
      </c>
      <c r="K1141" s="30">
        <f>IF(OR($F1141="",$I1141=""),0,IFERROR(INDEX(Nutrition!$E$2:$E$300,MATCH($F1141,Nutrition!$A$2:$A$300,0))*$I1141/100,0))</f>
        <v>0</v>
      </c>
      <c r="L1141" s="30">
        <f>IF(OR($F1141="",$I1141=""),0,IFERROR(INDEX(Nutrition!$F$2:$F$300,MATCH($F1141,Nutrition!$A$2:$A$300,0))*$I1141/100,0))</f>
        <v>0</v>
      </c>
      <c r="M1141" s="30">
        <f>IF(OR($F1141="",$I1141=""),0,IFERROR(INDEX(Nutrition!$G$2:$G$300,MATCH($F1141,Nutrition!$A$2:$A$300,0))*$I1141/100,0))</f>
        <v>0</v>
      </c>
      <c r="N1141" s="30">
        <f>IF(OR($F1141="",$I1141=""),0,IFERROR(INDEX(Nutrition!$H$2:$H$300,MATCH($F1141,Nutrition!$A$2:$A$300,0))*$I1141/100,0))</f>
        <v>0</v>
      </c>
      <c r="O1141" s="30">
        <f>IF(OR($F1141="",$I1141=""),0,IFERROR(INDEX(Nutrition!$I$2:$I$300,MATCH($F1141,Nutrition!$A$2:$A$300,0))*$I1141/100,0))</f>
        <v>0</v>
      </c>
      <c r="P1141" s="30">
        <f>IF(OR($F1141="",$I1141=""),0,IFERROR(INDEX(Nutrition!$J$2:$J$300,MATCH($F1141,Nutrition!$A$2:$A$300,0))*$I1141/100,0))</f>
        <v>0</v>
      </c>
      <c r="Q1141" s="30">
        <f>IF(OR($F1141="",$I1141=""),0,IFERROR(INDEX(Nutrition!$K$2:$K$300,MATCH($F1141,Nutrition!$A$2:$A$300,0))*$I1141/100,0))</f>
        <v>0</v>
      </c>
      <c r="R1141" s="30">
        <f>IF(OR($F1141="",$I1141=""),0,IFERROR(INDEX(Nutrition!$L$2:$L$300,MATCH($F1141,Nutrition!$A$2:$A$300,0))*$I1141/100,0))</f>
        <v>0</v>
      </c>
      <c r="S1141" s="30">
        <f>IF(OR($F1141="",$I1141=""),0,IFERROR(INDEX(Nutrition!$M$2:$M$300,MATCH($F1141,Nutrition!$A$2:$A$300,0))*$I1141/100,0))</f>
        <v>0</v>
      </c>
    </row>
    <row r="1142" spans="1:19" ht="15" customHeight="1" x14ac:dyDescent="0.25">
      <c r="A1142" s="22" t="s">
        <v>2397</v>
      </c>
      <c r="B1142" s="33" t="str">
        <f>IFERROR(INDEX(Recipes!$B$2:$B$500,MATCH(A1142,Recipes!$A$2:$A$500,0)),"")</f>
        <v>Bionico (Mexican Fruit Bowl with Sweet Cream)</v>
      </c>
      <c r="C1142" s="7" t="s">
        <v>399</v>
      </c>
      <c r="D1142" s="34">
        <v>1</v>
      </c>
      <c r="E1142" s="22" t="s">
        <v>2748</v>
      </c>
      <c r="F1142" s="22" t="s">
        <v>398</v>
      </c>
      <c r="G1142" s="22" t="s">
        <v>2755</v>
      </c>
      <c r="H1142" s="7" t="s">
        <v>2756</v>
      </c>
      <c r="I1142" s="35">
        <v>152</v>
      </c>
      <c r="J1142" s="30">
        <f>IF(OR($F1142="",$I1142=""),0,IFERROR(INDEX(Nutrition!$D$2:$D$300,MATCH($F1142,Nutrition!$A$2:$A$300,0))*$I1142/100,0))</f>
        <v>3.04</v>
      </c>
      <c r="K1142" s="30">
        <f>IF(OR($F1142="",$I1142=""),0,IFERROR(INDEX(Nutrition!$E$2:$E$300,MATCH($F1142,Nutrition!$A$2:$A$300,0))*$I1142/100,0))</f>
        <v>89.376000000000005</v>
      </c>
      <c r="L1142" s="30">
        <f>IF(OR($F1142="",$I1142=""),0,IFERROR(INDEX(Nutrition!$F$2:$F$300,MATCH($F1142,Nutrition!$A$2:$A$300,0))*$I1142/100,0))</f>
        <v>1.52</v>
      </c>
      <c r="M1142" s="30">
        <f>IF(OR($F1142="",$I1142=""),0,IFERROR(INDEX(Nutrition!$G$2:$G$300,MATCH($F1142,Nutrition!$A$2:$A$300,0))*$I1142/100,0))</f>
        <v>3.3440000000000003</v>
      </c>
      <c r="N1142" s="30">
        <f>IF(OR($F1142="",$I1142=""),0,IFERROR(INDEX(Nutrition!$H$2:$H$300,MATCH($F1142,Nutrition!$A$2:$A$300,0))*$I1142/100,0))</f>
        <v>36.479999999999997</v>
      </c>
      <c r="O1142" s="30">
        <f>IF(OR($F1142="",$I1142=""),0,IFERROR(INDEX(Nutrition!$I$2:$I$300,MATCH($F1142,Nutrition!$A$2:$A$300,0))*$I1142/100,0))</f>
        <v>232.56</v>
      </c>
      <c r="P1142" s="30">
        <f>IF(OR($F1142="",$I1142=""),0,IFERROR(INDEX(Nutrition!$J$2:$J$300,MATCH($F1142,Nutrition!$A$2:$A$300,0))*$I1142/100,0))</f>
        <v>0.44079999999999997</v>
      </c>
      <c r="Q1142" s="30">
        <f>IF(OR($F1142="",$I1142=""),0,IFERROR(INDEX(Nutrition!$K$2:$K$300,MATCH($F1142,Nutrition!$A$2:$A$300,0))*$I1142/100,0))</f>
        <v>7.1440000000000003E-2</v>
      </c>
      <c r="R1142" s="30">
        <f>IF(OR($F1142="",$I1142=""),0,IFERROR(INDEX(Nutrition!$L$2:$L$300,MATCH($F1142,Nutrition!$A$2:$A$300,0))*$I1142/100,0))</f>
        <v>19.760000000000002</v>
      </c>
      <c r="S1142" s="30">
        <f>IF(OR($F1142="",$I1142=""),0,IFERROR(INDEX(Nutrition!$M$2:$M$300,MATCH($F1142,Nutrition!$A$2:$A$300,0))*$I1142/100,0))</f>
        <v>0.62319999999999998</v>
      </c>
    </row>
    <row r="1143" spans="1:19" ht="15" customHeight="1" x14ac:dyDescent="0.25">
      <c r="A1143" s="22" t="s">
        <v>2397</v>
      </c>
      <c r="B1143" s="33" t="str">
        <f>IFERROR(INDEX(Recipes!$B$2:$B$500,MATCH(A1143,Recipes!$A$2:$A$500,0)),"")</f>
        <v>Bionico (Mexican Fruit Bowl with Sweet Cream)</v>
      </c>
      <c r="C1143" s="7" t="s">
        <v>362</v>
      </c>
      <c r="D1143" s="34">
        <v>1</v>
      </c>
      <c r="E1143" s="22" t="s">
        <v>2748</v>
      </c>
      <c r="F1143" s="22" t="s">
        <v>361</v>
      </c>
      <c r="G1143" s="22" t="s">
        <v>2755</v>
      </c>
      <c r="H1143" s="7" t="s">
        <v>2756</v>
      </c>
      <c r="I1143" s="35">
        <v>160</v>
      </c>
      <c r="J1143" s="30">
        <f>IF(OR($F1143="",$I1143=""),0,IFERROR(INDEX(Nutrition!$D$2:$D$300,MATCH($F1143,Nutrition!$A$2:$A$300,0))*$I1143/100,0))</f>
        <v>1.44</v>
      </c>
      <c r="K1143" s="30">
        <f>IF(OR($F1143="",$I1143=""),0,IFERROR(INDEX(Nutrition!$E$2:$E$300,MATCH($F1143,Nutrition!$A$2:$A$300,0))*$I1143/100,0))</f>
        <v>58.72</v>
      </c>
      <c r="L1143" s="30">
        <f>IF(OR($F1143="",$I1143=""),0,IFERROR(INDEX(Nutrition!$F$2:$F$300,MATCH($F1143,Nutrition!$A$2:$A$300,0))*$I1143/100,0))</f>
        <v>270.39999999999998</v>
      </c>
      <c r="M1143" s="30">
        <f>IF(OR($F1143="",$I1143=""),0,IFERROR(INDEX(Nutrition!$G$2:$G$300,MATCH($F1143,Nutrition!$A$2:$A$300,0))*$I1143/100,0))</f>
        <v>4</v>
      </c>
      <c r="N1143" s="30">
        <f>IF(OR($F1143="",$I1143=""),0,IFERROR(INDEX(Nutrition!$H$2:$H$300,MATCH($F1143,Nutrition!$A$2:$A$300,0))*$I1143/100,0))</f>
        <v>33.6</v>
      </c>
      <c r="O1143" s="30">
        <f>IF(OR($F1143="",$I1143=""),0,IFERROR(INDEX(Nutrition!$I$2:$I$300,MATCH($F1143,Nutrition!$A$2:$A$300,0))*$I1143/100,0))</f>
        <v>427.2</v>
      </c>
      <c r="P1143" s="30">
        <f>IF(OR($F1143="",$I1143=""),0,IFERROR(INDEX(Nutrition!$J$2:$J$300,MATCH($F1143,Nutrition!$A$2:$A$300,0))*$I1143/100,0))</f>
        <v>0.08</v>
      </c>
      <c r="Q1143" s="30">
        <f>IF(OR($F1143="",$I1143=""),0,IFERROR(INDEX(Nutrition!$K$2:$K$300,MATCH($F1143,Nutrition!$A$2:$A$300,0))*$I1143/100,0))</f>
        <v>0.1152</v>
      </c>
      <c r="R1143" s="30">
        <f>IF(OR($F1143="",$I1143=""),0,IFERROR(INDEX(Nutrition!$L$2:$L$300,MATCH($F1143,Nutrition!$A$2:$A$300,0))*$I1143/100,0))</f>
        <v>19.2</v>
      </c>
      <c r="S1143" s="30">
        <f>IF(OR($F1143="",$I1143=""),0,IFERROR(INDEX(Nutrition!$M$2:$M$300,MATCH($F1143,Nutrition!$A$2:$A$300,0))*$I1143/100,0))</f>
        <v>0.33600000000000002</v>
      </c>
    </row>
    <row r="1144" spans="1:19" ht="15" customHeight="1" x14ac:dyDescent="0.25">
      <c r="A1144" s="22" t="s">
        <v>2397</v>
      </c>
      <c r="B1144" s="33" t="str">
        <f>IFERROR(INDEX(Recipes!$B$2:$B$500,MATCH(A1144,Recipes!$A$2:$A$500,0)),"")</f>
        <v>Bionico (Mexican Fruit Bowl with Sweet Cream)</v>
      </c>
      <c r="C1144" s="7" t="s">
        <v>160</v>
      </c>
      <c r="D1144" s="34">
        <v>1</v>
      </c>
      <c r="E1144" s="22" t="s">
        <v>2748</v>
      </c>
      <c r="F1144" s="22" t="s">
        <v>159</v>
      </c>
      <c r="G1144" s="22" t="s">
        <v>2755</v>
      </c>
      <c r="H1144" s="7" t="s">
        <v>2756</v>
      </c>
      <c r="I1144" s="35">
        <v>145</v>
      </c>
      <c r="J1144" s="30">
        <f>IF(OR($F1144="",$I1144=""),0,IFERROR(INDEX(Nutrition!$D$2:$D$300,MATCH($F1144,Nutrition!$A$2:$A$300,0))*$I1144/100,0))</f>
        <v>2.4649999999999999</v>
      </c>
      <c r="K1144" s="30">
        <f>IF(OR($F1144="",$I1144=""),0,IFERROR(INDEX(Nutrition!$E$2:$E$300,MATCH($F1144,Nutrition!$A$2:$A$300,0))*$I1144/100,0))</f>
        <v>88.305000000000007</v>
      </c>
      <c r="L1144" s="30">
        <f>IF(OR($F1144="",$I1144=""),0,IFERROR(INDEX(Nutrition!$F$2:$F$300,MATCH($F1144,Nutrition!$A$2:$A$300,0))*$I1144/100,0))</f>
        <v>68.150000000000006</v>
      </c>
      <c r="M1144" s="30">
        <f>IF(OR($F1144="",$I1144=""),0,IFERROR(INDEX(Nutrition!$G$2:$G$300,MATCH($F1144,Nutrition!$A$2:$A$300,0))*$I1144/100,0))</f>
        <v>3.77</v>
      </c>
      <c r="N1144" s="30">
        <f>IF(OR($F1144="",$I1144=""),0,IFERROR(INDEX(Nutrition!$H$2:$H$300,MATCH($F1144,Nutrition!$A$2:$A$300,0))*$I1144/100,0))</f>
        <v>53.65</v>
      </c>
      <c r="O1144" s="30">
        <f>IF(OR($F1144="",$I1144=""),0,IFERROR(INDEX(Nutrition!$I$2:$I$300,MATCH($F1144,Nutrition!$A$2:$A$300,0))*$I1144/100,0))</f>
        <v>263.89999999999998</v>
      </c>
      <c r="P1144" s="30">
        <f>IF(OR($F1144="",$I1144=""),0,IFERROR(INDEX(Nutrition!$J$2:$J$300,MATCH($F1144,Nutrition!$A$2:$A$300,0))*$I1144/100,0))</f>
        <v>0.435</v>
      </c>
      <c r="Q1144" s="30">
        <f>IF(OR($F1144="",$I1144=""),0,IFERROR(INDEX(Nutrition!$K$2:$K$300,MATCH($F1144,Nutrition!$A$2:$A$300,0))*$I1144/100,0))</f>
        <v>5.5099999999999996E-2</v>
      </c>
      <c r="R1144" s="30">
        <f>IF(OR($F1144="",$I1144=""),0,IFERROR(INDEX(Nutrition!$L$2:$L$300,MATCH($F1144,Nutrition!$A$2:$A$300,0))*$I1144/100,0))</f>
        <v>30.45</v>
      </c>
      <c r="S1144" s="30">
        <f>IF(OR($F1144="",$I1144=""),0,IFERROR(INDEX(Nutrition!$M$2:$M$300,MATCH($F1144,Nutrition!$A$2:$A$300,0))*$I1144/100,0))</f>
        <v>0.36249999999999999</v>
      </c>
    </row>
    <row r="1145" spans="1:19" ht="15" customHeight="1" x14ac:dyDescent="0.25">
      <c r="A1145" s="22" t="s">
        <v>2397</v>
      </c>
      <c r="B1145" s="33" t="str">
        <f>IFERROR(INDEX(Recipes!$B$2:$B$500,MATCH(A1145,Recipes!$A$2:$A$500,0)),"")</f>
        <v>Bionico (Mexican Fruit Bowl with Sweet Cream)</v>
      </c>
      <c r="C1145" s="7" t="s">
        <v>139</v>
      </c>
      <c r="D1145" s="34">
        <v>1</v>
      </c>
      <c r="E1145" s="22" t="s">
        <v>2748</v>
      </c>
      <c r="F1145" s="22" t="s">
        <v>138</v>
      </c>
      <c r="G1145" s="22" t="s">
        <v>2755</v>
      </c>
      <c r="H1145" s="7" t="s">
        <v>2756</v>
      </c>
      <c r="I1145" s="35">
        <v>165</v>
      </c>
      <c r="J1145" s="30">
        <f>IF(OR($F1145="",$I1145=""),0,IFERROR(INDEX(Nutrition!$D$2:$D$300,MATCH($F1145,Nutrition!$A$2:$A$300,0))*$I1145/100,0))</f>
        <v>2.3099999999999996</v>
      </c>
      <c r="K1145" s="30">
        <f>IF(OR($F1145="",$I1145=""),0,IFERROR(INDEX(Nutrition!$E$2:$E$300,MATCH($F1145,Nutrition!$A$2:$A$300,0))*$I1145/100,0))</f>
        <v>78.86999999999999</v>
      </c>
      <c r="L1145" s="30">
        <f>IF(OR($F1145="",$I1145=""),0,IFERROR(INDEX(Nutrition!$F$2:$F$300,MATCH($F1145,Nutrition!$A$2:$A$300,0))*$I1145/100,0))</f>
        <v>4.95</v>
      </c>
      <c r="M1145" s="30">
        <f>IF(OR($F1145="",$I1145=""),0,IFERROR(INDEX(Nutrition!$G$2:$G$300,MATCH($F1145,Nutrition!$A$2:$A$300,0))*$I1145/100,0))</f>
        <v>1.1549999999999998</v>
      </c>
      <c r="N1145" s="30">
        <f>IF(OR($F1145="",$I1145=""),0,IFERROR(INDEX(Nutrition!$H$2:$H$300,MATCH($F1145,Nutrition!$A$2:$A$300,0))*$I1145/100,0))</f>
        <v>29.7</v>
      </c>
      <c r="O1145" s="30">
        <f>IF(OR($F1145="",$I1145=""),0,IFERROR(INDEX(Nutrition!$I$2:$I$300,MATCH($F1145,Nutrition!$A$2:$A$300,0))*$I1145/100,0))</f>
        <v>179.85</v>
      </c>
      <c r="P1145" s="30">
        <f>IF(OR($F1145="",$I1145=""),0,IFERROR(INDEX(Nutrition!$J$2:$J$300,MATCH($F1145,Nutrition!$A$2:$A$300,0))*$I1145/100,0))</f>
        <v>3.3000000000000002E-2</v>
      </c>
      <c r="Q1145" s="30">
        <f>IF(OR($F1145="",$I1145=""),0,IFERROR(INDEX(Nutrition!$K$2:$K$300,MATCH($F1145,Nutrition!$A$2:$A$300,0))*$I1145/100,0))</f>
        <v>0.18479999999999999</v>
      </c>
      <c r="R1145" s="30">
        <f>IF(OR($F1145="",$I1145=""),0,IFERROR(INDEX(Nutrition!$L$2:$L$300,MATCH($F1145,Nutrition!$A$2:$A$300,0))*$I1145/100,0))</f>
        <v>19.8</v>
      </c>
      <c r="S1145" s="30">
        <f>IF(OR($F1145="",$I1145=""),0,IFERROR(INDEX(Nutrition!$M$2:$M$300,MATCH($F1145,Nutrition!$A$2:$A$300,0))*$I1145/100,0))</f>
        <v>0.47849999999999993</v>
      </c>
    </row>
    <row r="1146" spans="1:19" ht="15" customHeight="1" x14ac:dyDescent="0.25">
      <c r="A1146" s="22" t="s">
        <v>2397</v>
      </c>
      <c r="B1146" s="33" t="str">
        <f>IFERROR(INDEX(Recipes!$B$2:$B$500,MATCH(A1146,Recipes!$A$2:$A$500,0)),"")</f>
        <v>Bionico (Mexican Fruit Bowl with Sweet Cream)</v>
      </c>
      <c r="C1146" s="7" t="s">
        <v>262</v>
      </c>
      <c r="D1146" s="34">
        <v>0.25</v>
      </c>
      <c r="E1146" s="22" t="s">
        <v>2748</v>
      </c>
      <c r="F1146" s="22" t="s">
        <v>261</v>
      </c>
      <c r="G1146" s="22" t="s">
        <v>2755</v>
      </c>
      <c r="H1146" s="7" t="s">
        <v>3054</v>
      </c>
      <c r="I1146" s="35">
        <v>20</v>
      </c>
      <c r="J1146" s="30">
        <f>IF(OR($F1146="",$I1146=""),0,IFERROR(INDEX(Nutrition!$D$2:$D$300,MATCH($F1146,Nutrition!$A$2:$A$300,0))*$I1146/100,0))</f>
        <v>1.8</v>
      </c>
      <c r="K1146" s="30">
        <f>IF(OR($F1146="",$I1146=""),0,IFERROR(INDEX(Nutrition!$E$2:$E$300,MATCH($F1146,Nutrition!$A$2:$A$300,0))*$I1146/100,0))</f>
        <v>0.66</v>
      </c>
      <c r="L1146" s="30">
        <f>IF(OR($F1146="",$I1146=""),0,IFERROR(INDEX(Nutrition!$F$2:$F$300,MATCH($F1146,Nutrition!$A$2:$A$300,0))*$I1146/100,0))</f>
        <v>0</v>
      </c>
      <c r="M1146" s="30">
        <f>IF(OR($F1146="",$I1146=""),0,IFERROR(INDEX(Nutrition!$G$2:$G$300,MATCH($F1146,Nutrition!$A$2:$A$300,0))*$I1146/100,0))</f>
        <v>0.04</v>
      </c>
      <c r="N1146" s="30">
        <f>IF(OR($F1146="",$I1146=""),0,IFERROR(INDEX(Nutrition!$H$2:$H$300,MATCH($F1146,Nutrition!$A$2:$A$300,0))*$I1146/100,0))</f>
        <v>5.2</v>
      </c>
      <c r="O1146" s="30">
        <f>IF(OR($F1146="",$I1146=""),0,IFERROR(INDEX(Nutrition!$I$2:$I$300,MATCH($F1146,Nutrition!$A$2:$A$300,0))*$I1146/100,0))</f>
        <v>71.2</v>
      </c>
      <c r="P1146" s="30">
        <f>IF(OR($F1146="",$I1146=""),0,IFERROR(INDEX(Nutrition!$J$2:$J$300,MATCH($F1146,Nutrition!$A$2:$A$300,0))*$I1146/100,0))</f>
        <v>4.8000000000000001E-2</v>
      </c>
      <c r="Q1146" s="30">
        <f>IF(OR($F1146="",$I1146=""),0,IFERROR(INDEX(Nutrition!$K$2:$K$300,MATCH($F1146,Nutrition!$A$2:$A$300,0))*$I1146/100,0))</f>
        <v>1.0800000000000001E-2</v>
      </c>
      <c r="R1146" s="30">
        <f>IF(OR($F1146="",$I1146=""),0,IFERROR(INDEX(Nutrition!$L$2:$L$300,MATCH($F1146,Nutrition!$A$2:$A$300,0))*$I1146/100,0))</f>
        <v>6.4</v>
      </c>
      <c r="S1146" s="30">
        <f>IF(OR($F1146="",$I1146=""),0,IFERROR(INDEX(Nutrition!$M$2:$M$300,MATCH($F1146,Nutrition!$A$2:$A$300,0))*$I1146/100,0))</f>
        <v>0.48599999999999999</v>
      </c>
    </row>
    <row r="1147" spans="1:19" ht="15" customHeight="1" x14ac:dyDescent="0.25">
      <c r="A1147" s="22" t="s">
        <v>2397</v>
      </c>
      <c r="B1147" s="33" t="str">
        <f>IFERROR(INDEX(Recipes!$B$2:$B$500,MATCH(A1147,Recipes!$A$2:$A$500,0)),"")</f>
        <v>Bionico (Mexican Fruit Bowl with Sweet Cream)</v>
      </c>
      <c r="C1147" s="7" t="s">
        <v>428</v>
      </c>
      <c r="D1147" s="34">
        <v>0.25</v>
      </c>
      <c r="E1147" s="22" t="s">
        <v>2748</v>
      </c>
      <c r="F1147" s="22" t="s">
        <v>427</v>
      </c>
      <c r="G1147" s="22" t="s">
        <v>2755</v>
      </c>
      <c r="H1147" s="7" t="s">
        <v>3026</v>
      </c>
      <c r="I1147" s="35">
        <v>36</v>
      </c>
      <c r="J1147" s="30">
        <f>IF(OR($F1147="",$I1147=""),0,IFERROR(INDEX(Nutrition!$D$2:$D$300,MATCH($F1147,Nutrition!$A$2:$A$300,0))*$I1147/100,0))</f>
        <v>3.06</v>
      </c>
      <c r="K1147" s="30">
        <f>IF(OR($F1147="",$I1147=""),0,IFERROR(INDEX(Nutrition!$E$2:$E$300,MATCH($F1147,Nutrition!$A$2:$A$300,0))*$I1147/100,0))</f>
        <v>0</v>
      </c>
      <c r="L1147" s="30">
        <f>IF(OR($F1147="",$I1147=""),0,IFERROR(INDEX(Nutrition!$F$2:$F$300,MATCH($F1147,Nutrition!$A$2:$A$300,0))*$I1147/100,0))</f>
        <v>0</v>
      </c>
      <c r="M1147" s="30">
        <f>IF(OR($F1147="",$I1147=""),0,IFERROR(INDEX(Nutrition!$G$2:$G$300,MATCH($F1147,Nutrition!$A$2:$A$300,0))*$I1147/100,0))</f>
        <v>0</v>
      </c>
      <c r="N1147" s="30">
        <f>IF(OR($F1147="",$I1147=""),0,IFERROR(INDEX(Nutrition!$H$2:$H$300,MATCH($F1147,Nutrition!$A$2:$A$300,0))*$I1147/100,0))</f>
        <v>86.4</v>
      </c>
      <c r="O1147" s="30">
        <f>IF(OR($F1147="",$I1147=""),0,IFERROR(INDEX(Nutrition!$I$2:$I$300,MATCH($F1147,Nutrition!$A$2:$A$300,0))*$I1147/100,0))</f>
        <v>253.8</v>
      </c>
      <c r="P1147" s="30">
        <f>IF(OR($F1147="",$I1147=""),0,IFERROR(INDEX(Nutrition!$J$2:$J$300,MATCH($F1147,Nutrition!$A$2:$A$300,0))*$I1147/100,0))</f>
        <v>2.9988000000000001</v>
      </c>
      <c r="Q1147" s="30">
        <f>IF(OR($F1147="",$I1147=""),0,IFERROR(INDEX(Nutrition!$K$2:$K$300,MATCH($F1147,Nutrition!$A$2:$A$300,0))*$I1147/100,0))</f>
        <v>0.12527999999999997</v>
      </c>
      <c r="R1147" s="30">
        <f>IF(OR($F1147="",$I1147=""),0,IFERROR(INDEX(Nutrition!$L$2:$L$300,MATCH($F1147,Nutrition!$A$2:$A$300,0))*$I1147/100,0))</f>
        <v>60.48</v>
      </c>
      <c r="S1147" s="30">
        <f>IF(OR($F1147="",$I1147=""),0,IFERROR(INDEX(Nutrition!$M$2:$M$300,MATCH($F1147,Nutrition!$A$2:$A$300,0))*$I1147/100,0))</f>
        <v>1.6488</v>
      </c>
    </row>
    <row r="1148" spans="1:19" ht="15" customHeight="1" x14ac:dyDescent="0.25">
      <c r="A1148" s="22" t="s">
        <v>2397</v>
      </c>
      <c r="B1148" s="33" t="str">
        <f>IFERROR(INDEX(Recipes!$B$2:$B$500,MATCH(A1148,Recipes!$A$2:$A$500,0)),"")</f>
        <v>Bionico (Mexican Fruit Bowl with Sweet Cream)</v>
      </c>
      <c r="C1148" s="7" t="s">
        <v>2751</v>
      </c>
      <c r="D1148" s="34">
        <v>0.33</v>
      </c>
      <c r="E1148" s="22" t="s">
        <v>2748</v>
      </c>
      <c r="F1148" s="22"/>
      <c r="G1148" s="22" t="s">
        <v>2749</v>
      </c>
      <c r="H1148" s="7"/>
      <c r="I1148" s="35"/>
      <c r="J1148" s="30">
        <f>IF(OR($F1148="",$I1148=""),0,IFERROR(INDEX(Nutrition!$D$2:$D$300,MATCH($F1148,Nutrition!$A$2:$A$300,0))*$I1148/100,0))</f>
        <v>0</v>
      </c>
      <c r="K1148" s="30">
        <f>IF(OR($F1148="",$I1148=""),0,IFERROR(INDEX(Nutrition!$E$2:$E$300,MATCH($F1148,Nutrition!$A$2:$A$300,0))*$I1148/100,0))</f>
        <v>0</v>
      </c>
      <c r="L1148" s="30">
        <f>IF(OR($F1148="",$I1148=""),0,IFERROR(INDEX(Nutrition!$F$2:$F$300,MATCH($F1148,Nutrition!$A$2:$A$300,0))*$I1148/100,0))</f>
        <v>0</v>
      </c>
      <c r="M1148" s="30">
        <f>IF(OR($F1148="",$I1148=""),0,IFERROR(INDEX(Nutrition!$G$2:$G$300,MATCH($F1148,Nutrition!$A$2:$A$300,0))*$I1148/100,0))</f>
        <v>0</v>
      </c>
      <c r="N1148" s="30">
        <f>IF(OR($F1148="",$I1148=""),0,IFERROR(INDEX(Nutrition!$H$2:$H$300,MATCH($F1148,Nutrition!$A$2:$A$300,0))*$I1148/100,0))</f>
        <v>0</v>
      </c>
      <c r="O1148" s="30">
        <f>IF(OR($F1148="",$I1148=""),0,IFERROR(INDEX(Nutrition!$I$2:$I$300,MATCH($F1148,Nutrition!$A$2:$A$300,0))*$I1148/100,0))</f>
        <v>0</v>
      </c>
      <c r="P1148" s="30">
        <f>IF(OR($F1148="",$I1148=""),0,IFERROR(INDEX(Nutrition!$J$2:$J$300,MATCH($F1148,Nutrition!$A$2:$A$300,0))*$I1148/100,0))</f>
        <v>0</v>
      </c>
      <c r="Q1148" s="30">
        <f>IF(OR($F1148="",$I1148=""),0,IFERROR(INDEX(Nutrition!$K$2:$K$300,MATCH($F1148,Nutrition!$A$2:$A$300,0))*$I1148/100,0))</f>
        <v>0</v>
      </c>
      <c r="R1148" s="30">
        <f>IF(OR($F1148="",$I1148=""),0,IFERROR(INDEX(Nutrition!$L$2:$L$300,MATCH($F1148,Nutrition!$A$2:$A$300,0))*$I1148/100,0))</f>
        <v>0</v>
      </c>
      <c r="S1148" s="30">
        <f>IF(OR($F1148="",$I1148=""),0,IFERROR(INDEX(Nutrition!$M$2:$M$300,MATCH($F1148,Nutrition!$A$2:$A$300,0))*$I1148/100,0))</f>
        <v>0</v>
      </c>
    </row>
    <row r="1149" spans="1:19" ht="15" customHeight="1" x14ac:dyDescent="0.25">
      <c r="A1149" s="22" t="s">
        <v>2397</v>
      </c>
      <c r="B1149" s="33" t="str">
        <f>IFERROR(INDEX(Recipes!$B$2:$B$500,MATCH(A1149,Recipes!$A$2:$A$500,0)),"")</f>
        <v>Bionico (Mexican Fruit Bowl with Sweet Cream)</v>
      </c>
      <c r="C1149" s="7" t="s">
        <v>3049</v>
      </c>
      <c r="D1149" s="34">
        <v>3</v>
      </c>
      <c r="E1149" s="22" t="s">
        <v>2753</v>
      </c>
      <c r="F1149" s="22"/>
      <c r="G1149" s="22" t="s">
        <v>2749</v>
      </c>
      <c r="H1149" s="7"/>
      <c r="I1149" s="35"/>
      <c r="J1149" s="30">
        <f>IF(OR($F1149="",$I1149=""),0,IFERROR(INDEX(Nutrition!$D$2:$D$300,MATCH($F1149,Nutrition!$A$2:$A$300,0))*$I1149/100,0))</f>
        <v>0</v>
      </c>
      <c r="K1149" s="30">
        <f>IF(OR($F1149="",$I1149=""),0,IFERROR(INDEX(Nutrition!$E$2:$E$300,MATCH($F1149,Nutrition!$A$2:$A$300,0))*$I1149/100,0))</f>
        <v>0</v>
      </c>
      <c r="L1149" s="30">
        <f>IF(OR($F1149="",$I1149=""),0,IFERROR(INDEX(Nutrition!$F$2:$F$300,MATCH($F1149,Nutrition!$A$2:$A$300,0))*$I1149/100,0))</f>
        <v>0</v>
      </c>
      <c r="M1149" s="30">
        <f>IF(OR($F1149="",$I1149=""),0,IFERROR(INDEX(Nutrition!$G$2:$G$300,MATCH($F1149,Nutrition!$A$2:$A$300,0))*$I1149/100,0))</f>
        <v>0</v>
      </c>
      <c r="N1149" s="30">
        <f>IF(OR($F1149="",$I1149=""),0,IFERROR(INDEX(Nutrition!$H$2:$H$300,MATCH($F1149,Nutrition!$A$2:$A$300,0))*$I1149/100,0))</f>
        <v>0</v>
      </c>
      <c r="O1149" s="30">
        <f>IF(OR($F1149="",$I1149=""),0,IFERROR(INDEX(Nutrition!$I$2:$I$300,MATCH($F1149,Nutrition!$A$2:$A$300,0))*$I1149/100,0))</f>
        <v>0</v>
      </c>
      <c r="P1149" s="30">
        <f>IF(OR($F1149="",$I1149=""),0,IFERROR(INDEX(Nutrition!$J$2:$J$300,MATCH($F1149,Nutrition!$A$2:$A$300,0))*$I1149/100,0))</f>
        <v>0</v>
      </c>
      <c r="Q1149" s="30">
        <f>IF(OR($F1149="",$I1149=""),0,IFERROR(INDEX(Nutrition!$K$2:$K$300,MATCH($F1149,Nutrition!$A$2:$A$300,0))*$I1149/100,0))</f>
        <v>0</v>
      </c>
      <c r="R1149" s="30">
        <f>IF(OR($F1149="",$I1149=""),0,IFERROR(INDEX(Nutrition!$L$2:$L$300,MATCH($F1149,Nutrition!$A$2:$A$300,0))*$I1149/100,0))</f>
        <v>0</v>
      </c>
      <c r="S1149" s="30">
        <f>IF(OR($F1149="",$I1149=""),0,IFERROR(INDEX(Nutrition!$M$2:$M$300,MATCH($F1149,Nutrition!$A$2:$A$300,0))*$I1149/100,0))</f>
        <v>0</v>
      </c>
    </row>
    <row r="1150" spans="1:19" ht="15" customHeight="1" x14ac:dyDescent="0.25">
      <c r="A1150" s="22" t="s">
        <v>2397</v>
      </c>
      <c r="B1150" s="33" t="str">
        <f>IFERROR(INDEX(Recipes!$B$2:$B$500,MATCH(A1150,Recipes!$A$2:$A$500,0)),"")</f>
        <v>Bionico (Mexican Fruit Bowl with Sweet Cream)</v>
      </c>
      <c r="C1150" s="7" t="s">
        <v>3055</v>
      </c>
      <c r="D1150" s="34">
        <v>1</v>
      </c>
      <c r="E1150" s="22" t="s">
        <v>2759</v>
      </c>
      <c r="F1150" s="22"/>
      <c r="G1150" s="22" t="s">
        <v>2749</v>
      </c>
      <c r="H1150" s="7"/>
      <c r="I1150" s="35"/>
      <c r="J1150" s="30">
        <f>IF(OR($F1150="",$I1150=""),0,IFERROR(INDEX(Nutrition!$D$2:$D$300,MATCH($F1150,Nutrition!$A$2:$A$300,0))*$I1150/100,0))</f>
        <v>0</v>
      </c>
      <c r="K1150" s="30">
        <f>IF(OR($F1150="",$I1150=""),0,IFERROR(INDEX(Nutrition!$E$2:$E$300,MATCH($F1150,Nutrition!$A$2:$A$300,0))*$I1150/100,0))</f>
        <v>0</v>
      </c>
      <c r="L1150" s="30">
        <f>IF(OR($F1150="",$I1150=""),0,IFERROR(INDEX(Nutrition!$F$2:$F$300,MATCH($F1150,Nutrition!$A$2:$A$300,0))*$I1150/100,0))</f>
        <v>0</v>
      </c>
      <c r="M1150" s="30">
        <f>IF(OR($F1150="",$I1150=""),0,IFERROR(INDEX(Nutrition!$G$2:$G$300,MATCH($F1150,Nutrition!$A$2:$A$300,0))*$I1150/100,0))</f>
        <v>0</v>
      </c>
      <c r="N1150" s="30">
        <f>IF(OR($F1150="",$I1150=""),0,IFERROR(INDEX(Nutrition!$H$2:$H$300,MATCH($F1150,Nutrition!$A$2:$A$300,0))*$I1150/100,0))</f>
        <v>0</v>
      </c>
      <c r="O1150" s="30">
        <f>IF(OR($F1150="",$I1150=""),0,IFERROR(INDEX(Nutrition!$I$2:$I$300,MATCH($F1150,Nutrition!$A$2:$A$300,0))*$I1150/100,0))</f>
        <v>0</v>
      </c>
      <c r="P1150" s="30">
        <f>IF(OR($F1150="",$I1150=""),0,IFERROR(INDEX(Nutrition!$J$2:$J$300,MATCH($F1150,Nutrition!$A$2:$A$300,0))*$I1150/100,0))</f>
        <v>0</v>
      </c>
      <c r="Q1150" s="30">
        <f>IF(OR($F1150="",$I1150=""),0,IFERROR(INDEX(Nutrition!$K$2:$K$300,MATCH($F1150,Nutrition!$A$2:$A$300,0))*$I1150/100,0))</f>
        <v>0</v>
      </c>
      <c r="R1150" s="30">
        <f>IF(OR($F1150="",$I1150=""),0,IFERROR(INDEX(Nutrition!$L$2:$L$300,MATCH($F1150,Nutrition!$A$2:$A$300,0))*$I1150/100,0))</f>
        <v>0</v>
      </c>
      <c r="S1150" s="30">
        <f>IF(OR($F1150="",$I1150=""),0,IFERROR(INDEX(Nutrition!$M$2:$M$300,MATCH($F1150,Nutrition!$A$2:$A$300,0))*$I1150/100,0))</f>
        <v>0</v>
      </c>
    </row>
    <row r="1151" spans="1:19" ht="15" customHeight="1" x14ac:dyDescent="0.25">
      <c r="A1151" s="22" t="s">
        <v>2408</v>
      </c>
      <c r="B1151" s="33" t="str">
        <f>IFERROR(INDEX(Recipes!$B$2:$B$500,MATCH(A1151,Recipes!$A$2:$A$500,0)),"")</f>
        <v>Indian Fruit Chaat</v>
      </c>
      <c r="C1151" s="7" t="s">
        <v>379</v>
      </c>
      <c r="D1151" s="34">
        <v>2</v>
      </c>
      <c r="E1151" s="22" t="s">
        <v>2754</v>
      </c>
      <c r="F1151" s="22" t="s">
        <v>378</v>
      </c>
      <c r="G1151" s="22" t="s">
        <v>2755</v>
      </c>
      <c r="H1151" s="7" t="s">
        <v>2775</v>
      </c>
      <c r="I1151" s="35">
        <v>364</v>
      </c>
      <c r="J1151" s="30">
        <f>IF(OR($F1151="",$I1151=""),0,IFERROR(INDEX(Nutrition!$D$2:$D$300,MATCH($F1151,Nutrition!$A$2:$A$300,0))*$I1151/100,0))</f>
        <v>8.7360000000000007</v>
      </c>
      <c r="K1151" s="30">
        <f>IF(OR($F1151="",$I1151=""),0,IFERROR(INDEX(Nutrition!$E$2:$E$300,MATCH($F1151,Nutrition!$A$2:$A$300,0))*$I1151/100,0))</f>
        <v>16.744</v>
      </c>
      <c r="L1151" s="30">
        <f>IF(OR($F1151="",$I1151=""),0,IFERROR(INDEX(Nutrition!$F$2:$F$300,MATCH($F1151,Nutrition!$A$2:$A$300,0))*$I1151/100,0))</f>
        <v>10.92</v>
      </c>
      <c r="M1151" s="30">
        <f>IF(OR($F1151="",$I1151=""),0,IFERROR(INDEX(Nutrition!$G$2:$G$300,MATCH($F1151,Nutrition!$A$2:$A$300,0))*$I1151/100,0))</f>
        <v>8.0080000000000009</v>
      </c>
      <c r="N1151" s="30">
        <f>IF(OR($F1151="",$I1151=""),0,IFERROR(INDEX(Nutrition!$H$2:$H$300,MATCH($F1151,Nutrition!$A$2:$A$300,0))*$I1151/100,0))</f>
        <v>10.92</v>
      </c>
      <c r="O1151" s="30">
        <f>IF(OR($F1151="",$I1151=""),0,IFERROR(INDEX(Nutrition!$I$2:$I$300,MATCH($F1151,Nutrition!$A$2:$A$300,0))*$I1151/100,0))</f>
        <v>389.48</v>
      </c>
      <c r="P1151" s="30">
        <f>IF(OR($F1151="",$I1151=""),0,IFERROR(INDEX(Nutrition!$J$2:$J$300,MATCH($F1151,Nutrition!$A$2:$A$300,0))*$I1151/100,0))</f>
        <v>0.6552</v>
      </c>
      <c r="Q1151" s="30">
        <f>IF(OR($F1151="",$I1151=""),0,IFERROR(INDEX(Nutrition!$K$2:$K$300,MATCH($F1151,Nutrition!$A$2:$A$300,0))*$I1151/100,0))</f>
        <v>0.14924000000000001</v>
      </c>
      <c r="R1151" s="30">
        <f>IF(OR($F1151="",$I1151=""),0,IFERROR(INDEX(Nutrition!$L$2:$L$300,MATCH($F1151,Nutrition!$A$2:$A$300,0))*$I1151/100,0))</f>
        <v>18.2</v>
      </c>
      <c r="S1151" s="30">
        <f>IF(OR($F1151="",$I1151=""),0,IFERROR(INDEX(Nutrition!$M$2:$M$300,MATCH($F1151,Nutrition!$A$2:$A$300,0))*$I1151/100,0))</f>
        <v>0.43680000000000002</v>
      </c>
    </row>
    <row r="1152" spans="1:19" ht="15" customHeight="1" x14ac:dyDescent="0.25">
      <c r="A1152" s="22" t="s">
        <v>2408</v>
      </c>
      <c r="B1152" s="33" t="str">
        <f>IFERROR(INDEX(Recipes!$B$2:$B$500,MATCH(A1152,Recipes!$A$2:$A$500,0)),"")</f>
        <v>Indian Fruit Chaat</v>
      </c>
      <c r="C1152" s="7" t="s">
        <v>110</v>
      </c>
      <c r="D1152" s="34">
        <v>2</v>
      </c>
      <c r="E1152" s="22" t="s">
        <v>2754</v>
      </c>
      <c r="F1152" s="22" t="s">
        <v>109</v>
      </c>
      <c r="G1152" s="22" t="s">
        <v>2755</v>
      </c>
      <c r="H1152" s="7" t="s">
        <v>2830</v>
      </c>
      <c r="I1152" s="35">
        <v>236</v>
      </c>
      <c r="J1152" s="30">
        <f>IF(OR($F1152="",$I1152=""),0,IFERROR(INDEX(Nutrition!$D$2:$D$300,MATCH($F1152,Nutrition!$A$2:$A$300,0))*$I1152/100,0))</f>
        <v>6.1360000000000001</v>
      </c>
      <c r="K1152" s="30">
        <f>IF(OR($F1152="",$I1152=""),0,IFERROR(INDEX(Nutrition!$E$2:$E$300,MATCH($F1152,Nutrition!$A$2:$A$300,0))*$I1152/100,0))</f>
        <v>20.531999999999996</v>
      </c>
      <c r="L1152" s="30">
        <f>IF(OR($F1152="",$I1152=""),0,IFERROR(INDEX(Nutrition!$F$2:$F$300,MATCH($F1152,Nutrition!$A$2:$A$300,0))*$I1152/100,0))</f>
        <v>7.08</v>
      </c>
      <c r="M1152" s="30">
        <f>IF(OR($F1152="",$I1152=""),0,IFERROR(INDEX(Nutrition!$G$2:$G$300,MATCH($F1152,Nutrition!$A$2:$A$300,0))*$I1152/100,0))</f>
        <v>1.18</v>
      </c>
      <c r="N1152" s="30">
        <f>IF(OR($F1152="",$I1152=""),0,IFERROR(INDEX(Nutrition!$H$2:$H$300,MATCH($F1152,Nutrition!$A$2:$A$300,0))*$I1152/100,0))</f>
        <v>47.2</v>
      </c>
      <c r="O1152" s="30">
        <f>IF(OR($F1152="",$I1152=""),0,IFERROR(INDEX(Nutrition!$I$2:$I$300,MATCH($F1152,Nutrition!$A$2:$A$300,0))*$I1152/100,0))</f>
        <v>844.88</v>
      </c>
      <c r="P1152" s="30">
        <f>IF(OR($F1152="",$I1152=""),0,IFERROR(INDEX(Nutrition!$J$2:$J$300,MATCH($F1152,Nutrition!$A$2:$A$300,0))*$I1152/100,0))</f>
        <v>0.23600000000000002</v>
      </c>
      <c r="Q1152" s="30">
        <f>IF(OR($F1152="",$I1152=""),0,IFERROR(INDEX(Nutrition!$K$2:$K$300,MATCH($F1152,Nutrition!$A$2:$A$300,0))*$I1152/100,0))</f>
        <v>0.86612</v>
      </c>
      <c r="R1152" s="30">
        <f>IF(OR($F1152="",$I1152=""),0,IFERROR(INDEX(Nutrition!$L$2:$L$300,MATCH($F1152,Nutrition!$A$2:$A$300,0))*$I1152/100,0))</f>
        <v>63.72</v>
      </c>
      <c r="S1152" s="30">
        <f>IF(OR($F1152="",$I1152=""),0,IFERROR(INDEX(Nutrition!$M$2:$M$300,MATCH($F1152,Nutrition!$A$2:$A$300,0))*$I1152/100,0))</f>
        <v>0.61360000000000003</v>
      </c>
    </row>
    <row r="1153" spans="1:19" ht="15" customHeight="1" x14ac:dyDescent="0.25">
      <c r="A1153" s="22" t="s">
        <v>2408</v>
      </c>
      <c r="B1153" s="33" t="str">
        <f>IFERROR(INDEX(Recipes!$B$2:$B$500,MATCH(A1153,Recipes!$A$2:$A$500,0)),"")</f>
        <v>Indian Fruit Chaat</v>
      </c>
      <c r="C1153" s="7" t="s">
        <v>393</v>
      </c>
      <c r="D1153" s="34">
        <v>1</v>
      </c>
      <c r="E1153" s="22" t="s">
        <v>2748</v>
      </c>
      <c r="F1153" s="22" t="s">
        <v>392</v>
      </c>
      <c r="G1153" s="22" t="s">
        <v>2755</v>
      </c>
      <c r="H1153" s="7"/>
      <c r="I1153" s="35">
        <v>151</v>
      </c>
      <c r="J1153" s="30">
        <f>IF(OR($F1153="",$I1153=""),0,IFERROR(INDEX(Nutrition!$D$2:$D$300,MATCH($F1153,Nutrition!$A$2:$A$300,0))*$I1153/100,0))</f>
        <v>1.359</v>
      </c>
      <c r="K1153" s="30">
        <f>IF(OR($F1153="",$I1153=""),0,IFERROR(INDEX(Nutrition!$E$2:$E$300,MATCH($F1153,Nutrition!$A$2:$A$300,0))*$I1153/100,0))</f>
        <v>4.8320000000000007</v>
      </c>
      <c r="L1153" s="30">
        <f>IF(OR($F1153="",$I1153=""),0,IFERROR(INDEX(Nutrition!$F$2:$F$300,MATCH($F1153,Nutrition!$A$2:$A$300,0))*$I1153/100,0))</f>
        <v>4.53</v>
      </c>
      <c r="M1153" s="30">
        <f>IF(OR($F1153="",$I1153=""),0,IFERROR(INDEX(Nutrition!$G$2:$G$300,MATCH($F1153,Nutrition!$A$2:$A$300,0))*$I1153/100,0))</f>
        <v>22.045999999999999</v>
      </c>
      <c r="N1153" s="30">
        <f>IF(OR($F1153="",$I1153=""),0,IFERROR(INDEX(Nutrition!$H$2:$H$300,MATCH($F1153,Nutrition!$A$2:$A$300,0))*$I1153/100,0))</f>
        <v>3.02</v>
      </c>
      <c r="O1153" s="30">
        <f>IF(OR($F1153="",$I1153=""),0,IFERROR(INDEX(Nutrition!$I$2:$I$300,MATCH($F1153,Nutrition!$A$2:$A$300,0))*$I1153/100,0))</f>
        <v>288.41000000000003</v>
      </c>
      <c r="P1153" s="30">
        <f>IF(OR($F1153="",$I1153=""),0,IFERROR(INDEX(Nutrition!$J$2:$J$300,MATCH($F1153,Nutrition!$A$2:$A$300,0))*$I1153/100,0))</f>
        <v>0.28689999999999999</v>
      </c>
      <c r="Q1153" s="30">
        <f>IF(OR($F1153="",$I1153=""),0,IFERROR(INDEX(Nutrition!$K$2:$K$300,MATCH($F1153,Nutrition!$A$2:$A$300,0))*$I1153/100,0))</f>
        <v>0.12985999999999998</v>
      </c>
      <c r="R1153" s="30">
        <f>IF(OR($F1153="",$I1153=""),0,IFERROR(INDEX(Nutrition!$L$2:$L$300,MATCH($F1153,Nutrition!$A$2:$A$300,0))*$I1153/100,0))</f>
        <v>10.57</v>
      </c>
      <c r="S1153" s="30">
        <f>IF(OR($F1153="",$I1153=""),0,IFERROR(INDEX(Nutrition!$M$2:$M$300,MATCH($F1153,Nutrition!$A$2:$A$300,0))*$I1153/100,0))</f>
        <v>0.54359999999999997</v>
      </c>
    </row>
    <row r="1154" spans="1:19" ht="15" customHeight="1" x14ac:dyDescent="0.25">
      <c r="A1154" s="22" t="s">
        <v>2408</v>
      </c>
      <c r="B1154" s="33" t="str">
        <f>IFERROR(INDEX(Recipes!$B$2:$B$500,MATCH(A1154,Recipes!$A$2:$A$500,0)),"")</f>
        <v>Indian Fruit Chaat</v>
      </c>
      <c r="C1154" s="7" t="s">
        <v>160</v>
      </c>
      <c r="D1154" s="34">
        <v>1</v>
      </c>
      <c r="E1154" s="22" t="s">
        <v>2748</v>
      </c>
      <c r="F1154" s="22" t="s">
        <v>159</v>
      </c>
      <c r="G1154" s="22" t="s">
        <v>2755</v>
      </c>
      <c r="H1154" s="7" t="s">
        <v>2775</v>
      </c>
      <c r="I1154" s="35">
        <v>145</v>
      </c>
      <c r="J1154" s="30">
        <f>IF(OR($F1154="",$I1154=""),0,IFERROR(INDEX(Nutrition!$D$2:$D$300,MATCH($F1154,Nutrition!$A$2:$A$300,0))*$I1154/100,0))</f>
        <v>2.4649999999999999</v>
      </c>
      <c r="K1154" s="30">
        <f>IF(OR($F1154="",$I1154=""),0,IFERROR(INDEX(Nutrition!$E$2:$E$300,MATCH($F1154,Nutrition!$A$2:$A$300,0))*$I1154/100,0))</f>
        <v>88.305000000000007</v>
      </c>
      <c r="L1154" s="30">
        <f>IF(OR($F1154="",$I1154=""),0,IFERROR(INDEX(Nutrition!$F$2:$F$300,MATCH($F1154,Nutrition!$A$2:$A$300,0))*$I1154/100,0))</f>
        <v>68.150000000000006</v>
      </c>
      <c r="M1154" s="30">
        <f>IF(OR($F1154="",$I1154=""),0,IFERROR(INDEX(Nutrition!$G$2:$G$300,MATCH($F1154,Nutrition!$A$2:$A$300,0))*$I1154/100,0))</f>
        <v>3.77</v>
      </c>
      <c r="N1154" s="30">
        <f>IF(OR($F1154="",$I1154=""),0,IFERROR(INDEX(Nutrition!$H$2:$H$300,MATCH($F1154,Nutrition!$A$2:$A$300,0))*$I1154/100,0))</f>
        <v>53.65</v>
      </c>
      <c r="O1154" s="30">
        <f>IF(OR($F1154="",$I1154=""),0,IFERROR(INDEX(Nutrition!$I$2:$I$300,MATCH($F1154,Nutrition!$A$2:$A$300,0))*$I1154/100,0))</f>
        <v>263.89999999999998</v>
      </c>
      <c r="P1154" s="30">
        <f>IF(OR($F1154="",$I1154=""),0,IFERROR(INDEX(Nutrition!$J$2:$J$300,MATCH($F1154,Nutrition!$A$2:$A$300,0))*$I1154/100,0))</f>
        <v>0.435</v>
      </c>
      <c r="Q1154" s="30">
        <f>IF(OR($F1154="",$I1154=""),0,IFERROR(INDEX(Nutrition!$K$2:$K$300,MATCH($F1154,Nutrition!$A$2:$A$300,0))*$I1154/100,0))</f>
        <v>5.5099999999999996E-2</v>
      </c>
      <c r="R1154" s="30">
        <f>IF(OR($F1154="",$I1154=""),0,IFERROR(INDEX(Nutrition!$L$2:$L$300,MATCH($F1154,Nutrition!$A$2:$A$300,0))*$I1154/100,0))</f>
        <v>30.45</v>
      </c>
      <c r="S1154" s="30">
        <f>IF(OR($F1154="",$I1154=""),0,IFERROR(INDEX(Nutrition!$M$2:$M$300,MATCH($F1154,Nutrition!$A$2:$A$300,0))*$I1154/100,0))</f>
        <v>0.36249999999999999</v>
      </c>
    </row>
    <row r="1155" spans="1:19" ht="15" customHeight="1" x14ac:dyDescent="0.25">
      <c r="A1155" s="22" t="s">
        <v>2408</v>
      </c>
      <c r="B1155" s="33" t="str">
        <f>IFERROR(INDEX(Recipes!$B$2:$B$500,MATCH(A1155,Recipes!$A$2:$A$500,0)),"")</f>
        <v>Indian Fruit Chaat</v>
      </c>
      <c r="C1155" s="7" t="s">
        <v>213</v>
      </c>
      <c r="D1155" s="34">
        <v>1</v>
      </c>
      <c r="E1155" s="22" t="s">
        <v>2754</v>
      </c>
      <c r="F1155" s="22" t="s">
        <v>212</v>
      </c>
      <c r="G1155" s="22" t="s">
        <v>2755</v>
      </c>
      <c r="H1155" s="7" t="s">
        <v>2912</v>
      </c>
      <c r="I1155" s="35">
        <v>67</v>
      </c>
      <c r="J1155" s="30">
        <f>IF(OR($F1155="",$I1155=""),0,IFERROR(INDEX(Nutrition!$D$2:$D$300,MATCH($F1155,Nutrition!$A$2:$A$300,0))*$I1155/100,0))</f>
        <v>1.8759999999999999</v>
      </c>
      <c r="K1155" s="30">
        <f>IF(OR($F1155="",$I1155=""),0,IFERROR(INDEX(Nutrition!$E$2:$E$300,MATCH($F1155,Nutrition!$A$2:$A$300,0))*$I1155/100,0))</f>
        <v>19.497</v>
      </c>
      <c r="L1155" s="30">
        <f>IF(OR($F1155="",$I1155=""),0,IFERROR(INDEX(Nutrition!$F$2:$F$300,MATCH($F1155,Nutrition!$A$2:$A$300,0))*$I1155/100,0))</f>
        <v>1.34</v>
      </c>
      <c r="M1155" s="30">
        <f>IF(OR($F1155="",$I1155=""),0,IFERROR(INDEX(Nutrition!$G$2:$G$300,MATCH($F1155,Nutrition!$A$2:$A$300,0))*$I1155/100,0))</f>
        <v>0.40199999999999997</v>
      </c>
      <c r="N1155" s="30">
        <f>IF(OR($F1155="",$I1155=""),0,IFERROR(INDEX(Nutrition!$H$2:$H$300,MATCH($F1155,Nutrition!$A$2:$A$300,0))*$I1155/100,0))</f>
        <v>5.36</v>
      </c>
      <c r="O1155" s="30">
        <f>IF(OR($F1155="",$I1155=""),0,IFERROR(INDEX(Nutrition!$I$2:$I$300,MATCH($F1155,Nutrition!$A$2:$A$300,0))*$I1155/100,0))</f>
        <v>68.34</v>
      </c>
      <c r="P1155" s="30">
        <f>IF(OR($F1155="",$I1155=""),0,IFERROR(INDEX(Nutrition!$J$2:$J$300,MATCH($F1155,Nutrition!$A$2:$A$300,0))*$I1155/100,0))</f>
        <v>0.1474</v>
      </c>
      <c r="Q1155" s="30">
        <f>IF(OR($F1155="",$I1155=""),0,IFERROR(INDEX(Nutrition!$K$2:$K$300,MATCH($F1155,Nutrition!$A$2:$A$300,0))*$I1155/100,0))</f>
        <v>2.8809999999999999E-2</v>
      </c>
      <c r="R1155" s="30">
        <f>IF(OR($F1155="",$I1155=""),0,IFERROR(INDEX(Nutrition!$L$2:$L$300,MATCH($F1155,Nutrition!$A$2:$A$300,0))*$I1155/100,0))</f>
        <v>4.0199999999999996</v>
      </c>
      <c r="S1155" s="30">
        <f>IF(OR($F1155="",$I1155=""),0,IFERROR(INDEX(Nutrition!$M$2:$M$300,MATCH($F1155,Nutrition!$A$2:$A$300,0))*$I1155/100,0))</f>
        <v>0.40199999999999997</v>
      </c>
    </row>
    <row r="1156" spans="1:19" ht="15" customHeight="1" x14ac:dyDescent="0.25">
      <c r="A1156" s="22" t="s">
        <v>2408</v>
      </c>
      <c r="B1156" s="33" t="str">
        <f>IFERROR(INDEX(Recipes!$B$2:$B$500,MATCH(A1156,Recipes!$A$2:$A$500,0)),"")</f>
        <v>Indian Fruit Chaat</v>
      </c>
      <c r="C1156" s="7" t="s">
        <v>663</v>
      </c>
      <c r="D1156" s="34">
        <v>6</v>
      </c>
      <c r="E1156" s="22" t="s">
        <v>2840</v>
      </c>
      <c r="F1156" s="22" t="s">
        <v>662</v>
      </c>
      <c r="G1156" s="22" t="s">
        <v>2755</v>
      </c>
      <c r="H1156" s="7" t="s">
        <v>2775</v>
      </c>
      <c r="I1156" s="35">
        <v>6</v>
      </c>
      <c r="J1156" s="30">
        <f>IF(OR($F1156="",$I1156=""),0,IFERROR(INDEX(Nutrition!$D$2:$D$300,MATCH($F1156,Nutrition!$A$2:$A$300,0))*$I1156/100,0))</f>
        <v>0.40799999999999997</v>
      </c>
      <c r="K1156" s="30">
        <f>IF(OR($F1156="",$I1156=""),0,IFERROR(INDEX(Nutrition!$E$2:$E$300,MATCH($F1156,Nutrition!$A$2:$A$300,0))*$I1156/100,0))</f>
        <v>0.79800000000000015</v>
      </c>
      <c r="L1156" s="30">
        <f>IF(OR($F1156="",$I1156=""),0,IFERROR(INDEX(Nutrition!$F$2:$F$300,MATCH($F1156,Nutrition!$A$2:$A$300,0))*$I1156/100,0))</f>
        <v>12.18</v>
      </c>
      <c r="M1156" s="30">
        <f>IF(OR($F1156="",$I1156=""),0,IFERROR(INDEX(Nutrition!$G$2:$G$300,MATCH($F1156,Nutrition!$A$2:$A$300,0))*$I1156/100,0))</f>
        <v>0</v>
      </c>
      <c r="N1156" s="30">
        <f>IF(OR($F1156="",$I1156=""),0,IFERROR(INDEX(Nutrition!$H$2:$H$300,MATCH($F1156,Nutrition!$A$2:$A$300,0))*$I1156/100,0))</f>
        <v>6.3</v>
      </c>
      <c r="O1156" s="30">
        <f>IF(OR($F1156="",$I1156=""),0,IFERROR(INDEX(Nutrition!$I$2:$I$300,MATCH($F1156,Nutrition!$A$2:$A$300,0))*$I1156/100,0))</f>
        <v>27.48</v>
      </c>
      <c r="P1156" s="30">
        <f>IF(OR($F1156="",$I1156=""),0,IFERROR(INDEX(Nutrition!$J$2:$J$300,MATCH($F1156,Nutrition!$A$2:$A$300,0))*$I1156/100,0))</f>
        <v>0</v>
      </c>
      <c r="Q1156" s="30">
        <f>IF(OR($F1156="",$I1156=""),0,IFERROR(INDEX(Nutrition!$K$2:$K$300,MATCH($F1156,Nutrition!$A$2:$A$300,0))*$I1156/100,0))</f>
        <v>9.4799999999999988E-3</v>
      </c>
      <c r="R1156" s="30">
        <f>IF(OR($F1156="",$I1156=""),0,IFERROR(INDEX(Nutrition!$L$2:$L$300,MATCH($F1156,Nutrition!$A$2:$A$300,0))*$I1156/100,0))</f>
        <v>3.78</v>
      </c>
      <c r="S1156" s="30">
        <f>IF(OR($F1156="",$I1156=""),0,IFERROR(INDEX(Nutrition!$M$2:$M$300,MATCH($F1156,Nutrition!$A$2:$A$300,0))*$I1156/100,0))</f>
        <v>0.71219999999999994</v>
      </c>
    </row>
    <row r="1157" spans="1:19" ht="15" customHeight="1" x14ac:dyDescent="0.25">
      <c r="A1157" s="22" t="s">
        <v>2408</v>
      </c>
      <c r="B1157" s="33" t="str">
        <f>IFERROR(INDEX(Recipes!$B$2:$B$500,MATCH(A1157,Recipes!$A$2:$A$500,0)),"")</f>
        <v>Indian Fruit Chaat</v>
      </c>
      <c r="C1157" s="7" t="s">
        <v>2798</v>
      </c>
      <c r="D1157" s="34">
        <v>0.5</v>
      </c>
      <c r="E1157" s="22" t="s">
        <v>2759</v>
      </c>
      <c r="F1157" s="22"/>
      <c r="G1157" s="22" t="s">
        <v>2749</v>
      </c>
      <c r="H1157" s="7"/>
      <c r="I1157" s="35"/>
      <c r="J1157" s="30">
        <f>IF(OR($F1157="",$I1157=""),0,IFERROR(INDEX(Nutrition!$D$2:$D$300,MATCH($F1157,Nutrition!$A$2:$A$300,0))*$I1157/100,0))</f>
        <v>0</v>
      </c>
      <c r="K1157" s="30">
        <f>IF(OR($F1157="",$I1157=""),0,IFERROR(INDEX(Nutrition!$E$2:$E$300,MATCH($F1157,Nutrition!$A$2:$A$300,0))*$I1157/100,0))</f>
        <v>0</v>
      </c>
      <c r="L1157" s="30">
        <f>IF(OR($F1157="",$I1157=""),0,IFERROR(INDEX(Nutrition!$F$2:$F$300,MATCH($F1157,Nutrition!$A$2:$A$300,0))*$I1157/100,0))</f>
        <v>0</v>
      </c>
      <c r="M1157" s="30">
        <f>IF(OR($F1157="",$I1157=""),0,IFERROR(INDEX(Nutrition!$G$2:$G$300,MATCH($F1157,Nutrition!$A$2:$A$300,0))*$I1157/100,0))</f>
        <v>0</v>
      </c>
      <c r="N1157" s="30">
        <f>IF(OR($F1157="",$I1157=""),0,IFERROR(INDEX(Nutrition!$H$2:$H$300,MATCH($F1157,Nutrition!$A$2:$A$300,0))*$I1157/100,0))</f>
        <v>0</v>
      </c>
      <c r="O1157" s="30">
        <f>IF(OR($F1157="",$I1157=""),0,IFERROR(INDEX(Nutrition!$I$2:$I$300,MATCH($F1157,Nutrition!$A$2:$A$300,0))*$I1157/100,0))</f>
        <v>0</v>
      </c>
      <c r="P1157" s="30">
        <f>IF(OR($F1157="",$I1157=""),0,IFERROR(INDEX(Nutrition!$J$2:$J$300,MATCH($F1157,Nutrition!$A$2:$A$300,0))*$I1157/100,0))</f>
        <v>0</v>
      </c>
      <c r="Q1157" s="30">
        <f>IF(OR($F1157="",$I1157=""),0,IFERROR(INDEX(Nutrition!$K$2:$K$300,MATCH($F1157,Nutrition!$A$2:$A$300,0))*$I1157/100,0))</f>
        <v>0</v>
      </c>
      <c r="R1157" s="30">
        <f>IF(OR($F1157="",$I1157=""),0,IFERROR(INDEX(Nutrition!$L$2:$L$300,MATCH($F1157,Nutrition!$A$2:$A$300,0))*$I1157/100,0))</f>
        <v>0</v>
      </c>
      <c r="S1157" s="30">
        <f>IF(OR($F1157="",$I1157=""),0,IFERROR(INDEX(Nutrition!$M$2:$M$300,MATCH($F1157,Nutrition!$A$2:$A$300,0))*$I1157/100,0))</f>
        <v>0</v>
      </c>
    </row>
    <row r="1158" spans="1:19" ht="15" customHeight="1" x14ac:dyDescent="0.25">
      <c r="A1158" s="22" t="s">
        <v>2408</v>
      </c>
      <c r="B1158" s="33" t="str">
        <f>IFERROR(INDEX(Recipes!$B$2:$B$500,MATCH(A1158,Recipes!$A$2:$A$500,0)),"")</f>
        <v>Indian Fruit Chaat</v>
      </c>
      <c r="C1158" s="7" t="s">
        <v>2839</v>
      </c>
      <c r="D1158" s="34">
        <v>0.25</v>
      </c>
      <c r="E1158" s="22" t="s">
        <v>2759</v>
      </c>
      <c r="F1158" s="22"/>
      <c r="G1158" s="22" t="s">
        <v>2749</v>
      </c>
      <c r="H1158" s="7"/>
      <c r="I1158" s="35"/>
      <c r="J1158" s="30">
        <f>IF(OR($F1158="",$I1158=""),0,IFERROR(INDEX(Nutrition!$D$2:$D$300,MATCH($F1158,Nutrition!$A$2:$A$300,0))*$I1158/100,0))</f>
        <v>0</v>
      </c>
      <c r="K1158" s="30">
        <f>IF(OR($F1158="",$I1158=""),0,IFERROR(INDEX(Nutrition!$E$2:$E$300,MATCH($F1158,Nutrition!$A$2:$A$300,0))*$I1158/100,0))</f>
        <v>0</v>
      </c>
      <c r="L1158" s="30">
        <f>IF(OR($F1158="",$I1158=""),0,IFERROR(INDEX(Nutrition!$F$2:$F$300,MATCH($F1158,Nutrition!$A$2:$A$300,0))*$I1158/100,0))</f>
        <v>0</v>
      </c>
      <c r="M1158" s="30">
        <f>IF(OR($F1158="",$I1158=""),0,IFERROR(INDEX(Nutrition!$G$2:$G$300,MATCH($F1158,Nutrition!$A$2:$A$300,0))*$I1158/100,0))</f>
        <v>0</v>
      </c>
      <c r="N1158" s="30">
        <f>IF(OR($F1158="",$I1158=""),0,IFERROR(INDEX(Nutrition!$H$2:$H$300,MATCH($F1158,Nutrition!$A$2:$A$300,0))*$I1158/100,0))</f>
        <v>0</v>
      </c>
      <c r="O1158" s="30">
        <f>IF(OR($F1158="",$I1158=""),0,IFERROR(INDEX(Nutrition!$I$2:$I$300,MATCH($F1158,Nutrition!$A$2:$A$300,0))*$I1158/100,0))</f>
        <v>0</v>
      </c>
      <c r="P1158" s="30">
        <f>IF(OR($F1158="",$I1158=""),0,IFERROR(INDEX(Nutrition!$J$2:$J$300,MATCH($F1158,Nutrition!$A$2:$A$300,0))*$I1158/100,0))</f>
        <v>0</v>
      </c>
      <c r="Q1158" s="30">
        <f>IF(OR($F1158="",$I1158=""),0,IFERROR(INDEX(Nutrition!$K$2:$K$300,MATCH($F1158,Nutrition!$A$2:$A$300,0))*$I1158/100,0))</f>
        <v>0</v>
      </c>
      <c r="R1158" s="30">
        <f>IF(OR($F1158="",$I1158=""),0,IFERROR(INDEX(Nutrition!$L$2:$L$300,MATCH($F1158,Nutrition!$A$2:$A$300,0))*$I1158/100,0))</f>
        <v>0</v>
      </c>
      <c r="S1158" s="30">
        <f>IF(OR($F1158="",$I1158=""),0,IFERROR(INDEX(Nutrition!$M$2:$M$300,MATCH($F1158,Nutrition!$A$2:$A$300,0))*$I1158/100,0))</f>
        <v>0</v>
      </c>
    </row>
    <row r="1159" spans="1:19" ht="15" customHeight="1" x14ac:dyDescent="0.25">
      <c r="A1159" s="22" t="s">
        <v>2408</v>
      </c>
      <c r="B1159" s="33" t="str">
        <f>IFERROR(INDEX(Recipes!$B$2:$B$500,MATCH(A1159,Recipes!$A$2:$A$500,0)),"")</f>
        <v>Indian Fruit Chaat</v>
      </c>
      <c r="C1159" s="7" t="s">
        <v>2781</v>
      </c>
      <c r="D1159" s="34">
        <v>0.25</v>
      </c>
      <c r="E1159" s="22" t="s">
        <v>2759</v>
      </c>
      <c r="F1159" s="22"/>
      <c r="G1159" s="22" t="s">
        <v>2773</v>
      </c>
      <c r="H1159" s="7"/>
      <c r="I1159" s="35"/>
      <c r="J1159" s="30">
        <f>IF(OR($F1159="",$I1159=""),0,IFERROR(INDEX(Nutrition!$D$2:$D$300,MATCH($F1159,Nutrition!$A$2:$A$300,0))*$I1159/100,0))</f>
        <v>0</v>
      </c>
      <c r="K1159" s="30">
        <f>IF(OR($F1159="",$I1159=""),0,IFERROR(INDEX(Nutrition!$E$2:$E$300,MATCH($F1159,Nutrition!$A$2:$A$300,0))*$I1159/100,0))</f>
        <v>0</v>
      </c>
      <c r="L1159" s="30">
        <f>IF(OR($F1159="",$I1159=""),0,IFERROR(INDEX(Nutrition!$F$2:$F$300,MATCH($F1159,Nutrition!$A$2:$A$300,0))*$I1159/100,0))</f>
        <v>0</v>
      </c>
      <c r="M1159" s="30">
        <f>IF(OR($F1159="",$I1159=""),0,IFERROR(INDEX(Nutrition!$G$2:$G$300,MATCH($F1159,Nutrition!$A$2:$A$300,0))*$I1159/100,0))</f>
        <v>0</v>
      </c>
      <c r="N1159" s="30">
        <f>IF(OR($F1159="",$I1159=""),0,IFERROR(INDEX(Nutrition!$H$2:$H$300,MATCH($F1159,Nutrition!$A$2:$A$300,0))*$I1159/100,0))</f>
        <v>0</v>
      </c>
      <c r="O1159" s="30">
        <f>IF(OR($F1159="",$I1159=""),0,IFERROR(INDEX(Nutrition!$I$2:$I$300,MATCH($F1159,Nutrition!$A$2:$A$300,0))*$I1159/100,0))</f>
        <v>0</v>
      </c>
      <c r="P1159" s="30">
        <f>IF(OR($F1159="",$I1159=""),0,IFERROR(INDEX(Nutrition!$J$2:$J$300,MATCH($F1159,Nutrition!$A$2:$A$300,0))*$I1159/100,0))</f>
        <v>0</v>
      </c>
      <c r="Q1159" s="30">
        <f>IF(OR($F1159="",$I1159=""),0,IFERROR(INDEX(Nutrition!$K$2:$K$300,MATCH($F1159,Nutrition!$A$2:$A$300,0))*$I1159/100,0))</f>
        <v>0</v>
      </c>
      <c r="R1159" s="30">
        <f>IF(OR($F1159="",$I1159=""),0,IFERROR(INDEX(Nutrition!$L$2:$L$300,MATCH($F1159,Nutrition!$A$2:$A$300,0))*$I1159/100,0))</f>
        <v>0</v>
      </c>
      <c r="S1159" s="30">
        <f>IF(OR($F1159="",$I1159=""),0,IFERROR(INDEX(Nutrition!$M$2:$M$300,MATCH($F1159,Nutrition!$A$2:$A$300,0))*$I1159/100,0))</f>
        <v>0</v>
      </c>
    </row>
    <row r="1160" spans="1:19" ht="15" customHeight="1" x14ac:dyDescent="0.25">
      <c r="A1160" s="22" t="s">
        <v>2420</v>
      </c>
      <c r="B1160" s="33" t="str">
        <f>IFERROR(INDEX(Recipes!$B$2:$B$500,MATCH(A1160,Recipes!$A$2:$A$500,0)),"")</f>
        <v>Thai Mango with Coconut Cream</v>
      </c>
      <c r="C1160" s="7" t="s">
        <v>168</v>
      </c>
      <c r="D1160" s="34">
        <v>3</v>
      </c>
      <c r="E1160" s="22" t="s">
        <v>2754</v>
      </c>
      <c r="F1160" s="22" t="s">
        <v>167</v>
      </c>
      <c r="G1160" s="22" t="s">
        <v>2755</v>
      </c>
      <c r="H1160" s="7" t="s">
        <v>3011</v>
      </c>
      <c r="I1160" s="35">
        <v>1008</v>
      </c>
      <c r="J1160" s="30">
        <f>IF(OR($F1160="",$I1160=""),0,IFERROR(INDEX(Nutrition!$D$2:$D$300,MATCH($F1160,Nutrition!$A$2:$A$300,0))*$I1160/100,0))</f>
        <v>16.128</v>
      </c>
      <c r="K1160" s="30">
        <f>IF(OR($F1160="",$I1160=""),0,IFERROR(INDEX(Nutrition!$E$2:$E$300,MATCH($F1160,Nutrition!$A$2:$A$300,0))*$I1160/100,0))</f>
        <v>366.91199999999998</v>
      </c>
      <c r="L1160" s="30">
        <f>IF(OR($F1160="",$I1160=""),0,IFERROR(INDEX(Nutrition!$F$2:$F$300,MATCH($F1160,Nutrition!$A$2:$A$300,0))*$I1160/100,0))</f>
        <v>544.32000000000005</v>
      </c>
      <c r="M1160" s="30">
        <f>IF(OR($F1160="",$I1160=""),0,IFERROR(INDEX(Nutrition!$G$2:$G$300,MATCH($F1160,Nutrition!$A$2:$A$300,0))*$I1160/100,0))</f>
        <v>42.336000000000006</v>
      </c>
      <c r="N1160" s="30">
        <f>IF(OR($F1160="",$I1160=""),0,IFERROR(INDEX(Nutrition!$H$2:$H$300,MATCH($F1160,Nutrition!$A$2:$A$300,0))*$I1160/100,0))</f>
        <v>433.44</v>
      </c>
      <c r="O1160" s="30">
        <f>IF(OR($F1160="",$I1160=""),0,IFERROR(INDEX(Nutrition!$I$2:$I$300,MATCH($F1160,Nutrition!$A$2:$A$300,0))*$I1160/100,0))</f>
        <v>1693.44</v>
      </c>
      <c r="P1160" s="30">
        <f>IF(OR($F1160="",$I1160=""),0,IFERROR(INDEX(Nutrition!$J$2:$J$300,MATCH($F1160,Nutrition!$A$2:$A$300,0))*$I1160/100,0))</f>
        <v>9.072000000000001</v>
      </c>
      <c r="Q1160" s="30">
        <f>IF(OR($F1160="",$I1160=""),0,IFERROR(INDEX(Nutrition!$K$2:$K$300,MATCH($F1160,Nutrition!$A$2:$A$300,0))*$I1160/100,0))</f>
        <v>1.1995199999999999</v>
      </c>
      <c r="R1160" s="30">
        <f>IF(OR($F1160="",$I1160=""),0,IFERROR(INDEX(Nutrition!$L$2:$L$300,MATCH($F1160,Nutrition!$A$2:$A$300,0))*$I1160/100,0))</f>
        <v>100.8</v>
      </c>
      <c r="S1160" s="30">
        <f>IF(OR($F1160="",$I1160=""),0,IFERROR(INDEX(Nutrition!$M$2:$M$300,MATCH($F1160,Nutrition!$A$2:$A$300,0))*$I1160/100,0))</f>
        <v>1.6128</v>
      </c>
    </row>
    <row r="1161" spans="1:19" ht="15" customHeight="1" x14ac:dyDescent="0.25">
      <c r="A1161" s="22" t="s">
        <v>2420</v>
      </c>
      <c r="B1161" s="33" t="str">
        <f>IFERROR(INDEX(Recipes!$B$2:$B$500,MATCH(A1161,Recipes!$A$2:$A$500,0)),"")</f>
        <v>Thai Mango with Coconut Cream</v>
      </c>
      <c r="C1161" s="7" t="s">
        <v>262</v>
      </c>
      <c r="D1161" s="34">
        <v>1</v>
      </c>
      <c r="E1161" s="22" t="s">
        <v>2754</v>
      </c>
      <c r="F1161" s="22" t="s">
        <v>261</v>
      </c>
      <c r="G1161" s="22" t="s">
        <v>2755</v>
      </c>
      <c r="H1161" s="7" t="s">
        <v>3056</v>
      </c>
      <c r="I1161" s="35">
        <v>397</v>
      </c>
      <c r="J1161" s="30">
        <f>IF(OR($F1161="",$I1161=""),0,IFERROR(INDEX(Nutrition!$D$2:$D$300,MATCH($F1161,Nutrition!$A$2:$A$300,0))*$I1161/100,0))</f>
        <v>35.729999999999997</v>
      </c>
      <c r="K1161" s="30">
        <f>IF(OR($F1161="",$I1161=""),0,IFERROR(INDEX(Nutrition!$E$2:$E$300,MATCH($F1161,Nutrition!$A$2:$A$300,0))*$I1161/100,0))</f>
        <v>13.100999999999999</v>
      </c>
      <c r="L1161" s="30">
        <f>IF(OR($F1161="",$I1161=""),0,IFERROR(INDEX(Nutrition!$F$2:$F$300,MATCH($F1161,Nutrition!$A$2:$A$300,0))*$I1161/100,0))</f>
        <v>0</v>
      </c>
      <c r="M1161" s="30">
        <f>IF(OR($F1161="",$I1161=""),0,IFERROR(INDEX(Nutrition!$G$2:$G$300,MATCH($F1161,Nutrition!$A$2:$A$300,0))*$I1161/100,0))</f>
        <v>0.79400000000000004</v>
      </c>
      <c r="N1161" s="30">
        <f>IF(OR($F1161="",$I1161=""),0,IFERROR(INDEX(Nutrition!$H$2:$H$300,MATCH($F1161,Nutrition!$A$2:$A$300,0))*$I1161/100,0))</f>
        <v>103.22</v>
      </c>
      <c r="O1161" s="30">
        <f>IF(OR($F1161="",$I1161=""),0,IFERROR(INDEX(Nutrition!$I$2:$I$300,MATCH($F1161,Nutrition!$A$2:$A$300,0))*$I1161/100,0))</f>
        <v>1413.32</v>
      </c>
      <c r="P1161" s="30">
        <f>IF(OR($F1161="",$I1161=""),0,IFERROR(INDEX(Nutrition!$J$2:$J$300,MATCH($F1161,Nutrition!$A$2:$A$300,0))*$I1161/100,0))</f>
        <v>0.95279999999999998</v>
      </c>
      <c r="Q1161" s="30">
        <f>IF(OR($F1161="",$I1161=""),0,IFERROR(INDEX(Nutrition!$K$2:$K$300,MATCH($F1161,Nutrition!$A$2:$A$300,0))*$I1161/100,0))</f>
        <v>0.21437999999999999</v>
      </c>
      <c r="R1161" s="30">
        <f>IF(OR($F1161="",$I1161=""),0,IFERROR(INDEX(Nutrition!$L$2:$L$300,MATCH($F1161,Nutrition!$A$2:$A$300,0))*$I1161/100,0))</f>
        <v>127.04</v>
      </c>
      <c r="S1161" s="30">
        <f>IF(OR($F1161="",$I1161=""),0,IFERROR(INDEX(Nutrition!$M$2:$M$300,MATCH($F1161,Nutrition!$A$2:$A$300,0))*$I1161/100,0))</f>
        <v>9.6471</v>
      </c>
    </row>
    <row r="1162" spans="1:19" ht="15" customHeight="1" x14ac:dyDescent="0.25">
      <c r="A1162" s="22" t="s">
        <v>2420</v>
      </c>
      <c r="B1162" s="33" t="str">
        <f>IFERROR(INDEX(Recipes!$B$2:$B$500,MATCH(A1162,Recipes!$A$2:$A$500,0)),"")</f>
        <v>Thai Mango with Coconut Cream</v>
      </c>
      <c r="C1162" s="7" t="s">
        <v>213</v>
      </c>
      <c r="D1162" s="34">
        <v>0.5</v>
      </c>
      <c r="E1162" s="22" t="s">
        <v>2754</v>
      </c>
      <c r="F1162" s="22" t="s">
        <v>212</v>
      </c>
      <c r="G1162" s="22" t="s">
        <v>2755</v>
      </c>
      <c r="H1162" s="7" t="s">
        <v>2794</v>
      </c>
      <c r="I1162" s="35">
        <v>34</v>
      </c>
      <c r="J1162" s="30">
        <f>IF(OR($F1162="",$I1162=""),0,IFERROR(INDEX(Nutrition!$D$2:$D$300,MATCH($F1162,Nutrition!$A$2:$A$300,0))*$I1162/100,0))</f>
        <v>0.95199999999999985</v>
      </c>
      <c r="K1162" s="30">
        <f>IF(OR($F1162="",$I1162=""),0,IFERROR(INDEX(Nutrition!$E$2:$E$300,MATCH($F1162,Nutrition!$A$2:$A$300,0))*$I1162/100,0))</f>
        <v>9.8940000000000001</v>
      </c>
      <c r="L1162" s="30">
        <f>IF(OR($F1162="",$I1162=""),0,IFERROR(INDEX(Nutrition!$F$2:$F$300,MATCH($F1162,Nutrition!$A$2:$A$300,0))*$I1162/100,0))</f>
        <v>0.68</v>
      </c>
      <c r="M1162" s="30">
        <f>IF(OR($F1162="",$I1162=""),0,IFERROR(INDEX(Nutrition!$G$2:$G$300,MATCH($F1162,Nutrition!$A$2:$A$300,0))*$I1162/100,0))</f>
        <v>0.20399999999999999</v>
      </c>
      <c r="N1162" s="30">
        <f>IF(OR($F1162="",$I1162=""),0,IFERROR(INDEX(Nutrition!$H$2:$H$300,MATCH($F1162,Nutrition!$A$2:$A$300,0))*$I1162/100,0))</f>
        <v>2.72</v>
      </c>
      <c r="O1162" s="30">
        <f>IF(OR($F1162="",$I1162=""),0,IFERROR(INDEX(Nutrition!$I$2:$I$300,MATCH($F1162,Nutrition!$A$2:$A$300,0))*$I1162/100,0))</f>
        <v>34.68</v>
      </c>
      <c r="P1162" s="30">
        <f>IF(OR($F1162="",$I1162=""),0,IFERROR(INDEX(Nutrition!$J$2:$J$300,MATCH($F1162,Nutrition!$A$2:$A$300,0))*$I1162/100,0))</f>
        <v>7.4800000000000005E-2</v>
      </c>
      <c r="Q1162" s="30">
        <f>IF(OR($F1162="",$I1162=""),0,IFERROR(INDEX(Nutrition!$K$2:$K$300,MATCH($F1162,Nutrition!$A$2:$A$300,0))*$I1162/100,0))</f>
        <v>1.4619999999999999E-2</v>
      </c>
      <c r="R1162" s="30">
        <f>IF(OR($F1162="",$I1162=""),0,IFERROR(INDEX(Nutrition!$L$2:$L$300,MATCH($F1162,Nutrition!$A$2:$A$300,0))*$I1162/100,0))</f>
        <v>2.04</v>
      </c>
      <c r="S1162" s="30">
        <f>IF(OR($F1162="",$I1162=""),0,IFERROR(INDEX(Nutrition!$M$2:$M$300,MATCH($F1162,Nutrition!$A$2:$A$300,0))*$I1162/100,0))</f>
        <v>0.20399999999999999</v>
      </c>
    </row>
    <row r="1163" spans="1:19" ht="15" customHeight="1" x14ac:dyDescent="0.25">
      <c r="A1163" s="22" t="s">
        <v>2420</v>
      </c>
      <c r="B1163" s="33" t="str">
        <f>IFERROR(INDEX(Recipes!$B$2:$B$500,MATCH(A1163,Recipes!$A$2:$A$500,0)),"")</f>
        <v>Thai Mango with Coconut Cream</v>
      </c>
      <c r="C1163" s="7" t="s">
        <v>2917</v>
      </c>
      <c r="D1163" s="34">
        <v>2</v>
      </c>
      <c r="E1163" s="22" t="s">
        <v>2753</v>
      </c>
      <c r="F1163" s="22"/>
      <c r="G1163" s="22" t="s">
        <v>2749</v>
      </c>
      <c r="H1163" s="7"/>
      <c r="I1163" s="35"/>
      <c r="J1163" s="30">
        <f>IF(OR($F1163="",$I1163=""),0,IFERROR(INDEX(Nutrition!$D$2:$D$300,MATCH($F1163,Nutrition!$A$2:$A$300,0))*$I1163/100,0))</f>
        <v>0</v>
      </c>
      <c r="K1163" s="30">
        <f>IF(OR($F1163="",$I1163=""),0,IFERROR(INDEX(Nutrition!$E$2:$E$300,MATCH($F1163,Nutrition!$A$2:$A$300,0))*$I1163/100,0))</f>
        <v>0</v>
      </c>
      <c r="L1163" s="30">
        <f>IF(OR($F1163="",$I1163=""),0,IFERROR(INDEX(Nutrition!$F$2:$F$300,MATCH($F1163,Nutrition!$A$2:$A$300,0))*$I1163/100,0))</f>
        <v>0</v>
      </c>
      <c r="M1163" s="30">
        <f>IF(OR($F1163="",$I1163=""),0,IFERROR(INDEX(Nutrition!$G$2:$G$300,MATCH($F1163,Nutrition!$A$2:$A$300,0))*$I1163/100,0))</f>
        <v>0</v>
      </c>
      <c r="N1163" s="30">
        <f>IF(OR($F1163="",$I1163=""),0,IFERROR(INDEX(Nutrition!$H$2:$H$300,MATCH($F1163,Nutrition!$A$2:$A$300,0))*$I1163/100,0))</f>
        <v>0</v>
      </c>
      <c r="O1163" s="30">
        <f>IF(OR($F1163="",$I1163=""),0,IFERROR(INDEX(Nutrition!$I$2:$I$300,MATCH($F1163,Nutrition!$A$2:$A$300,0))*$I1163/100,0))</f>
        <v>0</v>
      </c>
      <c r="P1163" s="30">
        <f>IF(OR($F1163="",$I1163=""),0,IFERROR(INDEX(Nutrition!$J$2:$J$300,MATCH($F1163,Nutrition!$A$2:$A$300,0))*$I1163/100,0))</f>
        <v>0</v>
      </c>
      <c r="Q1163" s="30">
        <f>IF(OR($F1163="",$I1163=""),0,IFERROR(INDEX(Nutrition!$K$2:$K$300,MATCH($F1163,Nutrition!$A$2:$A$300,0))*$I1163/100,0))</f>
        <v>0</v>
      </c>
      <c r="R1163" s="30">
        <f>IF(OR($F1163="",$I1163=""),0,IFERROR(INDEX(Nutrition!$L$2:$L$300,MATCH($F1163,Nutrition!$A$2:$A$300,0))*$I1163/100,0))</f>
        <v>0</v>
      </c>
      <c r="S1163" s="30">
        <f>IF(OR($F1163="",$I1163=""),0,IFERROR(INDEX(Nutrition!$M$2:$M$300,MATCH($F1163,Nutrition!$A$2:$A$300,0))*$I1163/100,0))</f>
        <v>0</v>
      </c>
    </row>
    <row r="1164" spans="1:19" ht="15" customHeight="1" x14ac:dyDescent="0.25">
      <c r="A1164" s="22" t="s">
        <v>2420</v>
      </c>
      <c r="B1164" s="33" t="str">
        <f>IFERROR(INDEX(Recipes!$B$2:$B$500,MATCH(A1164,Recipes!$A$2:$A$500,0)),"")</f>
        <v>Thai Mango with Coconut Cream</v>
      </c>
      <c r="C1164" s="7" t="s">
        <v>2781</v>
      </c>
      <c r="D1164" s="34">
        <v>0.25</v>
      </c>
      <c r="E1164" s="22" t="s">
        <v>2759</v>
      </c>
      <c r="F1164" s="22"/>
      <c r="G1164" s="22" t="s">
        <v>2773</v>
      </c>
      <c r="H1164" s="7"/>
      <c r="I1164" s="35"/>
      <c r="J1164" s="30">
        <f>IF(OR($F1164="",$I1164=""),0,IFERROR(INDEX(Nutrition!$D$2:$D$300,MATCH($F1164,Nutrition!$A$2:$A$300,0))*$I1164/100,0))</f>
        <v>0</v>
      </c>
      <c r="K1164" s="30">
        <f>IF(OR($F1164="",$I1164=""),0,IFERROR(INDEX(Nutrition!$E$2:$E$300,MATCH($F1164,Nutrition!$A$2:$A$300,0))*$I1164/100,0))</f>
        <v>0</v>
      </c>
      <c r="L1164" s="30">
        <f>IF(OR($F1164="",$I1164=""),0,IFERROR(INDEX(Nutrition!$F$2:$F$300,MATCH($F1164,Nutrition!$A$2:$A$300,0))*$I1164/100,0))</f>
        <v>0</v>
      </c>
      <c r="M1164" s="30">
        <f>IF(OR($F1164="",$I1164=""),0,IFERROR(INDEX(Nutrition!$G$2:$G$300,MATCH($F1164,Nutrition!$A$2:$A$300,0))*$I1164/100,0))</f>
        <v>0</v>
      </c>
      <c r="N1164" s="30">
        <f>IF(OR($F1164="",$I1164=""),0,IFERROR(INDEX(Nutrition!$H$2:$H$300,MATCH($F1164,Nutrition!$A$2:$A$300,0))*$I1164/100,0))</f>
        <v>0</v>
      </c>
      <c r="O1164" s="30">
        <f>IF(OR($F1164="",$I1164=""),0,IFERROR(INDEX(Nutrition!$I$2:$I$300,MATCH($F1164,Nutrition!$A$2:$A$300,0))*$I1164/100,0))</f>
        <v>0</v>
      </c>
      <c r="P1164" s="30">
        <f>IF(OR($F1164="",$I1164=""),0,IFERROR(INDEX(Nutrition!$J$2:$J$300,MATCH($F1164,Nutrition!$A$2:$A$300,0))*$I1164/100,0))</f>
        <v>0</v>
      </c>
      <c r="Q1164" s="30">
        <f>IF(OR($F1164="",$I1164=""),0,IFERROR(INDEX(Nutrition!$K$2:$K$300,MATCH($F1164,Nutrition!$A$2:$A$300,0))*$I1164/100,0))</f>
        <v>0</v>
      </c>
      <c r="R1164" s="30">
        <f>IF(OR($F1164="",$I1164=""),0,IFERROR(INDEX(Nutrition!$L$2:$L$300,MATCH($F1164,Nutrition!$A$2:$A$300,0))*$I1164/100,0))</f>
        <v>0</v>
      </c>
      <c r="S1164" s="30">
        <f>IF(OR($F1164="",$I1164=""),0,IFERROR(INDEX(Nutrition!$M$2:$M$300,MATCH($F1164,Nutrition!$A$2:$A$300,0))*$I1164/100,0))</f>
        <v>0</v>
      </c>
    </row>
    <row r="1165" spans="1:19" ht="15" customHeight="1" x14ac:dyDescent="0.25">
      <c r="A1165" s="22" t="s">
        <v>2431</v>
      </c>
      <c r="B1165" s="33" t="str">
        <f>IFERROR(INDEX(Recipes!$B$2:$B$500,MATCH(A1165,Recipes!$A$2:$A$500,0)),"")</f>
        <v>Winter Citrus Salad with Mint &amp; Honey</v>
      </c>
      <c r="C1165" s="7" t="s">
        <v>183</v>
      </c>
      <c r="D1165" s="34">
        <v>2</v>
      </c>
      <c r="E1165" s="22" t="s">
        <v>2754</v>
      </c>
      <c r="F1165" s="22" t="s">
        <v>182</v>
      </c>
      <c r="G1165" s="22" t="s">
        <v>2755</v>
      </c>
      <c r="H1165" s="7" t="s">
        <v>3057</v>
      </c>
      <c r="I1165" s="35">
        <v>262</v>
      </c>
      <c r="J1165" s="30">
        <f>IF(OR($F1165="",$I1165=""),0,IFERROR(INDEX(Nutrition!$D$2:$D$300,MATCH($F1165,Nutrition!$A$2:$A$300,0))*$I1165/100,0))</f>
        <v>6.2879999999999994</v>
      </c>
      <c r="K1165" s="30">
        <f>IF(OR($F1165="",$I1165=""),0,IFERROR(INDEX(Nutrition!$E$2:$E$300,MATCH($F1165,Nutrition!$A$2:$A$300,0))*$I1165/100,0))</f>
        <v>139.38400000000001</v>
      </c>
      <c r="L1165" s="30">
        <f>IF(OR($F1165="",$I1165=""),0,IFERROR(INDEX(Nutrition!$F$2:$F$300,MATCH($F1165,Nutrition!$A$2:$A$300,0))*$I1165/100,0))</f>
        <v>28.82</v>
      </c>
      <c r="M1165" s="30">
        <f>IF(OR($F1165="",$I1165=""),0,IFERROR(INDEX(Nutrition!$G$2:$G$300,MATCH($F1165,Nutrition!$A$2:$A$300,0))*$I1165/100,0))</f>
        <v>0</v>
      </c>
      <c r="N1165" s="30">
        <f>IF(OR($F1165="",$I1165=""),0,IFERROR(INDEX(Nutrition!$H$2:$H$300,MATCH($F1165,Nutrition!$A$2:$A$300,0))*$I1165/100,0))</f>
        <v>78.599999999999994</v>
      </c>
      <c r="O1165" s="30">
        <f>IF(OR($F1165="",$I1165=""),0,IFERROR(INDEX(Nutrition!$I$2:$I$300,MATCH($F1165,Nutrition!$A$2:$A$300,0))*$I1165/100,0))</f>
        <v>474.22</v>
      </c>
      <c r="P1165" s="30">
        <f>IF(OR($F1165="",$I1165=""),0,IFERROR(INDEX(Nutrition!$J$2:$J$300,MATCH($F1165,Nutrition!$A$2:$A$300,0))*$I1165/100,0))</f>
        <v>0.47159999999999996</v>
      </c>
      <c r="Q1165" s="30">
        <f>IF(OR($F1165="",$I1165=""),0,IFERROR(INDEX(Nutrition!$K$2:$K$300,MATCH($F1165,Nutrition!$A$2:$A$300,0))*$I1165/100,0))</f>
        <v>0.15719999999999998</v>
      </c>
      <c r="R1165" s="30">
        <f>IF(OR($F1165="",$I1165=""),0,IFERROR(INDEX(Nutrition!$L$2:$L$300,MATCH($F1165,Nutrition!$A$2:$A$300,0))*$I1165/100,0))</f>
        <v>26.2</v>
      </c>
      <c r="S1165" s="30">
        <f>IF(OR($F1165="",$I1165=""),0,IFERROR(INDEX(Nutrition!$M$2:$M$300,MATCH($F1165,Nutrition!$A$2:$A$300,0))*$I1165/100,0))</f>
        <v>0.26200000000000001</v>
      </c>
    </row>
    <row r="1166" spans="1:19" ht="15" customHeight="1" x14ac:dyDescent="0.25">
      <c r="A1166" s="22" t="s">
        <v>2431</v>
      </c>
      <c r="B1166" s="33" t="str">
        <f>IFERROR(INDEX(Recipes!$B$2:$B$500,MATCH(A1166,Recipes!$A$2:$A$500,0)),"")</f>
        <v>Winter Citrus Salad with Mint &amp; Honey</v>
      </c>
      <c r="C1166" s="7" t="s">
        <v>219</v>
      </c>
      <c r="D1166" s="34">
        <v>1</v>
      </c>
      <c r="E1166" s="22" t="s">
        <v>2754</v>
      </c>
      <c r="F1166" s="22" t="s">
        <v>218</v>
      </c>
      <c r="G1166" s="22" t="s">
        <v>2755</v>
      </c>
      <c r="H1166" s="7" t="s">
        <v>3058</v>
      </c>
      <c r="I1166" s="35">
        <v>246</v>
      </c>
      <c r="J1166" s="30">
        <f>IF(OR($F1166="",$I1166=""),0,IFERROR(INDEX(Nutrition!$D$2:$D$300,MATCH($F1166,Nutrition!$A$2:$A$300,0))*$I1166/100,0))</f>
        <v>3.9360000000000004</v>
      </c>
      <c r="K1166" s="30">
        <f>IF(OR($F1166="",$I1166=""),0,IFERROR(INDEX(Nutrition!$E$2:$E$300,MATCH($F1166,Nutrition!$A$2:$A$300,0))*$I1166/100,0))</f>
        <v>76.751999999999995</v>
      </c>
      <c r="L1166" s="30">
        <f>IF(OR($F1166="",$I1166=""),0,IFERROR(INDEX(Nutrition!$F$2:$F$300,MATCH($F1166,Nutrition!$A$2:$A$300,0))*$I1166/100,0))</f>
        <v>142.68</v>
      </c>
      <c r="M1166" s="30">
        <f>IF(OR($F1166="",$I1166=""),0,IFERROR(INDEX(Nutrition!$G$2:$G$300,MATCH($F1166,Nutrition!$A$2:$A$300,0))*$I1166/100,0))</f>
        <v>0</v>
      </c>
      <c r="N1166" s="30">
        <f>IF(OR($F1166="",$I1166=""),0,IFERROR(INDEX(Nutrition!$H$2:$H$300,MATCH($F1166,Nutrition!$A$2:$A$300,0))*$I1166/100,0))</f>
        <v>31.98</v>
      </c>
      <c r="O1166" s="30">
        <f>IF(OR($F1166="",$I1166=""),0,IFERROR(INDEX(Nutrition!$I$2:$I$300,MATCH($F1166,Nutrition!$A$2:$A$300,0))*$I1166/100,0))</f>
        <v>332.1</v>
      </c>
      <c r="P1166" s="30">
        <f>IF(OR($F1166="",$I1166=""),0,IFERROR(INDEX(Nutrition!$J$2:$J$300,MATCH($F1166,Nutrition!$A$2:$A$300,0))*$I1166/100,0))</f>
        <v>0.31980000000000003</v>
      </c>
      <c r="Q1166" s="30">
        <f>IF(OR($F1166="",$I1166=""),0,IFERROR(INDEX(Nutrition!$K$2:$K$300,MATCH($F1166,Nutrition!$A$2:$A$300,0))*$I1166/100,0))</f>
        <v>0.13038</v>
      </c>
      <c r="R1166" s="30">
        <f>IF(OR($F1166="",$I1166=""),0,IFERROR(INDEX(Nutrition!$L$2:$L$300,MATCH($F1166,Nutrition!$A$2:$A$300,0))*$I1166/100,0))</f>
        <v>22.14</v>
      </c>
      <c r="S1166" s="30">
        <f>IF(OR($F1166="",$I1166=""),0,IFERROR(INDEX(Nutrition!$M$2:$M$300,MATCH($F1166,Nutrition!$A$2:$A$300,0))*$I1166/100,0))</f>
        <v>0.1968</v>
      </c>
    </row>
    <row r="1167" spans="1:19" ht="15" customHeight="1" x14ac:dyDescent="0.25">
      <c r="A1167" s="22" t="s">
        <v>2431</v>
      </c>
      <c r="B1167" s="33" t="str">
        <f>IFERROR(INDEX(Recipes!$B$2:$B$500,MATCH(A1167,Recipes!$A$2:$A$500,0)),"")</f>
        <v>Winter Citrus Salad with Mint &amp; Honey</v>
      </c>
      <c r="C1167" s="7" t="s">
        <v>197</v>
      </c>
      <c r="D1167" s="34">
        <v>2</v>
      </c>
      <c r="E1167" s="22" t="s">
        <v>2754</v>
      </c>
      <c r="F1167" s="22" t="s">
        <v>196</v>
      </c>
      <c r="G1167" s="22" t="s">
        <v>2755</v>
      </c>
      <c r="H1167" s="7" t="s">
        <v>3059</v>
      </c>
      <c r="I1167" s="35">
        <v>176</v>
      </c>
      <c r="J1167" s="30">
        <f>IF(OR($F1167="",$I1167=""),0,IFERROR(INDEX(Nutrition!$D$2:$D$300,MATCH($F1167,Nutrition!$A$2:$A$300,0))*$I1167/100,0))</f>
        <v>3.1680000000000001</v>
      </c>
      <c r="K1167" s="30">
        <f>IF(OR($F1167="",$I1167=""),0,IFERROR(INDEX(Nutrition!$E$2:$E$300,MATCH($F1167,Nutrition!$A$2:$A$300,0))*$I1167/100,0))</f>
        <v>46.991999999999997</v>
      </c>
      <c r="L1167" s="30">
        <f>IF(OR($F1167="",$I1167=""),0,IFERROR(INDEX(Nutrition!$F$2:$F$300,MATCH($F1167,Nutrition!$A$2:$A$300,0))*$I1167/100,0))</f>
        <v>59.84</v>
      </c>
      <c r="M1167" s="30">
        <f>IF(OR($F1167="",$I1167=""),0,IFERROR(INDEX(Nutrition!$G$2:$G$300,MATCH($F1167,Nutrition!$A$2:$A$300,0))*$I1167/100,0))</f>
        <v>0</v>
      </c>
      <c r="N1167" s="30">
        <f>IF(OR($F1167="",$I1167=""),0,IFERROR(INDEX(Nutrition!$H$2:$H$300,MATCH($F1167,Nutrition!$A$2:$A$300,0))*$I1167/100,0))</f>
        <v>28.16</v>
      </c>
      <c r="O1167" s="30">
        <f>IF(OR($F1167="",$I1167=""),0,IFERROR(INDEX(Nutrition!$I$2:$I$300,MATCH($F1167,Nutrition!$A$2:$A$300,0))*$I1167/100,0))</f>
        <v>292.16000000000003</v>
      </c>
      <c r="P1167" s="30">
        <f>IF(OR($F1167="",$I1167=""),0,IFERROR(INDEX(Nutrition!$J$2:$J$300,MATCH($F1167,Nutrition!$A$2:$A$300,0))*$I1167/100,0))</f>
        <v>0.35200000000000004</v>
      </c>
      <c r="Q1167" s="30">
        <f>IF(OR($F1167="",$I1167=""),0,IFERROR(INDEX(Nutrition!$K$2:$K$300,MATCH($F1167,Nutrition!$A$2:$A$300,0))*$I1167/100,0))</f>
        <v>0.13727999999999999</v>
      </c>
      <c r="R1167" s="30">
        <f>IF(OR($F1167="",$I1167=""),0,IFERROR(INDEX(Nutrition!$L$2:$L$300,MATCH($F1167,Nutrition!$A$2:$A$300,0))*$I1167/100,0))</f>
        <v>21.12</v>
      </c>
      <c r="S1167" s="30">
        <f>IF(OR($F1167="",$I1167=""),0,IFERROR(INDEX(Nutrition!$M$2:$M$300,MATCH($F1167,Nutrition!$A$2:$A$300,0))*$I1167/100,0))</f>
        <v>0.26400000000000001</v>
      </c>
    </row>
    <row r="1168" spans="1:19" ht="15" customHeight="1" x14ac:dyDescent="0.25">
      <c r="A1168" s="22" t="s">
        <v>2431</v>
      </c>
      <c r="B1168" s="33" t="str">
        <f>IFERROR(INDEX(Recipes!$B$2:$B$500,MATCH(A1168,Recipes!$A$2:$A$500,0)),"")</f>
        <v>Winter Citrus Salad with Mint &amp; Honey</v>
      </c>
      <c r="C1168" s="7" t="s">
        <v>418</v>
      </c>
      <c r="D1168" s="34">
        <v>0.33</v>
      </c>
      <c r="E1168" s="22" t="s">
        <v>2748</v>
      </c>
      <c r="F1168" s="22" t="s">
        <v>417</v>
      </c>
      <c r="G1168" s="22" t="s">
        <v>2755</v>
      </c>
      <c r="H1168" s="7" t="s">
        <v>3060</v>
      </c>
      <c r="I1168" s="35">
        <v>57</v>
      </c>
      <c r="J1168" s="30">
        <f>IF(OR($F1168="",$I1168=""),0,IFERROR(INDEX(Nutrition!$D$2:$D$300,MATCH($F1168,Nutrition!$A$2:$A$300,0))*$I1168/100,0))</f>
        <v>2.2799999999999998</v>
      </c>
      <c r="K1168" s="30">
        <f>IF(OR($F1168="",$I1168=""),0,IFERROR(INDEX(Nutrition!$E$2:$E$300,MATCH($F1168,Nutrition!$A$2:$A$300,0))*$I1168/100,0))</f>
        <v>5.8140000000000001</v>
      </c>
      <c r="L1168" s="30">
        <f>IF(OR($F1168="",$I1168=""),0,IFERROR(INDEX(Nutrition!$F$2:$F$300,MATCH($F1168,Nutrition!$A$2:$A$300,0))*$I1168/100,0))</f>
        <v>0</v>
      </c>
      <c r="M1168" s="30">
        <f>IF(OR($F1168="",$I1168=""),0,IFERROR(INDEX(Nutrition!$G$2:$G$300,MATCH($F1168,Nutrition!$A$2:$A$300,0))*$I1168/100,0))</f>
        <v>9.347999999999999</v>
      </c>
      <c r="N1168" s="30">
        <f>IF(OR($F1168="",$I1168=""),0,IFERROR(INDEX(Nutrition!$H$2:$H$300,MATCH($F1168,Nutrition!$A$2:$A$300,0))*$I1168/100,0))</f>
        <v>21.66</v>
      </c>
      <c r="O1168" s="30">
        <f>IF(OR($F1168="",$I1168=""),0,IFERROR(INDEX(Nutrition!$I$2:$I$300,MATCH($F1168,Nutrition!$A$2:$A$300,0))*$I1168/100,0))</f>
        <v>134.52000000000001</v>
      </c>
      <c r="P1168" s="30">
        <f>IF(OR($F1168="",$I1168=""),0,IFERROR(INDEX(Nutrition!$J$2:$J$300,MATCH($F1168,Nutrition!$A$2:$A$300,0))*$I1168/100,0))</f>
        <v>0.34199999999999997</v>
      </c>
      <c r="Q1168" s="30">
        <f>IF(OR($F1168="",$I1168=""),0,IFERROR(INDEX(Nutrition!$K$2:$K$300,MATCH($F1168,Nutrition!$A$2:$A$300,0))*$I1168/100,0))</f>
        <v>4.2749999999999996E-2</v>
      </c>
      <c r="R1168" s="30">
        <f>IF(OR($F1168="",$I1168=""),0,IFERROR(INDEX(Nutrition!$L$2:$L$300,MATCH($F1168,Nutrition!$A$2:$A$300,0))*$I1168/100,0))</f>
        <v>6.84</v>
      </c>
      <c r="S1168" s="30">
        <f>IF(OR($F1168="",$I1168=""),0,IFERROR(INDEX(Nutrition!$M$2:$M$300,MATCH($F1168,Nutrition!$A$2:$A$300,0))*$I1168/100,0))</f>
        <v>0.17099999999999999</v>
      </c>
    </row>
    <row r="1169" spans="1:19" ht="15" customHeight="1" x14ac:dyDescent="0.25">
      <c r="A1169" s="22" t="s">
        <v>2431</v>
      </c>
      <c r="B1169" s="33" t="str">
        <f>IFERROR(INDEX(Recipes!$B$2:$B$500,MATCH(A1169,Recipes!$A$2:$A$500,0)),"")</f>
        <v>Winter Citrus Salad with Mint &amp; Honey</v>
      </c>
      <c r="C1169" s="7" t="s">
        <v>663</v>
      </c>
      <c r="D1169" s="34">
        <v>6</v>
      </c>
      <c r="E1169" s="22" t="s">
        <v>2840</v>
      </c>
      <c r="F1169" s="22" t="s">
        <v>662</v>
      </c>
      <c r="G1169" s="22" t="s">
        <v>2755</v>
      </c>
      <c r="H1169" s="7" t="s">
        <v>2830</v>
      </c>
      <c r="I1169" s="35">
        <v>6</v>
      </c>
      <c r="J1169" s="30">
        <f>IF(OR($F1169="",$I1169=""),0,IFERROR(INDEX(Nutrition!$D$2:$D$300,MATCH($F1169,Nutrition!$A$2:$A$300,0))*$I1169/100,0))</f>
        <v>0.40799999999999997</v>
      </c>
      <c r="K1169" s="30">
        <f>IF(OR($F1169="",$I1169=""),0,IFERROR(INDEX(Nutrition!$E$2:$E$300,MATCH($F1169,Nutrition!$A$2:$A$300,0))*$I1169/100,0))</f>
        <v>0.79800000000000015</v>
      </c>
      <c r="L1169" s="30">
        <f>IF(OR($F1169="",$I1169=""),0,IFERROR(INDEX(Nutrition!$F$2:$F$300,MATCH($F1169,Nutrition!$A$2:$A$300,0))*$I1169/100,0))</f>
        <v>12.18</v>
      </c>
      <c r="M1169" s="30">
        <f>IF(OR($F1169="",$I1169=""),0,IFERROR(INDEX(Nutrition!$G$2:$G$300,MATCH($F1169,Nutrition!$A$2:$A$300,0))*$I1169/100,0))</f>
        <v>0</v>
      </c>
      <c r="N1169" s="30">
        <f>IF(OR($F1169="",$I1169=""),0,IFERROR(INDEX(Nutrition!$H$2:$H$300,MATCH($F1169,Nutrition!$A$2:$A$300,0))*$I1169/100,0))</f>
        <v>6.3</v>
      </c>
      <c r="O1169" s="30">
        <f>IF(OR($F1169="",$I1169=""),0,IFERROR(INDEX(Nutrition!$I$2:$I$300,MATCH($F1169,Nutrition!$A$2:$A$300,0))*$I1169/100,0))</f>
        <v>27.48</v>
      </c>
      <c r="P1169" s="30">
        <f>IF(OR($F1169="",$I1169=""),0,IFERROR(INDEX(Nutrition!$J$2:$J$300,MATCH($F1169,Nutrition!$A$2:$A$300,0))*$I1169/100,0))</f>
        <v>0</v>
      </c>
      <c r="Q1169" s="30">
        <f>IF(OR($F1169="",$I1169=""),0,IFERROR(INDEX(Nutrition!$K$2:$K$300,MATCH($F1169,Nutrition!$A$2:$A$300,0))*$I1169/100,0))</f>
        <v>9.4799999999999988E-3</v>
      </c>
      <c r="R1169" s="30">
        <f>IF(OR($F1169="",$I1169=""),0,IFERROR(INDEX(Nutrition!$L$2:$L$300,MATCH($F1169,Nutrition!$A$2:$A$300,0))*$I1169/100,0))</f>
        <v>3.78</v>
      </c>
      <c r="S1169" s="30">
        <f>IF(OR($F1169="",$I1169=""),0,IFERROR(INDEX(Nutrition!$M$2:$M$300,MATCH($F1169,Nutrition!$A$2:$A$300,0))*$I1169/100,0))</f>
        <v>0.71219999999999994</v>
      </c>
    </row>
    <row r="1170" spans="1:19" ht="15" customHeight="1" x14ac:dyDescent="0.25">
      <c r="A1170" s="22" t="s">
        <v>2431</v>
      </c>
      <c r="B1170" s="33" t="str">
        <f>IFERROR(INDEX(Recipes!$B$2:$B$500,MATCH(A1170,Recipes!$A$2:$A$500,0)),"")</f>
        <v>Winter Citrus Salad with Mint &amp; Honey</v>
      </c>
      <c r="C1170" s="7" t="s">
        <v>213</v>
      </c>
      <c r="D1170" s="34">
        <v>0.5</v>
      </c>
      <c r="E1170" s="22" t="s">
        <v>2754</v>
      </c>
      <c r="F1170" s="22" t="s">
        <v>212</v>
      </c>
      <c r="G1170" s="22" t="s">
        <v>2755</v>
      </c>
      <c r="H1170" s="7" t="s">
        <v>2912</v>
      </c>
      <c r="I1170" s="35">
        <v>34</v>
      </c>
      <c r="J1170" s="30">
        <f>IF(OR($F1170="",$I1170=""),0,IFERROR(INDEX(Nutrition!$D$2:$D$300,MATCH($F1170,Nutrition!$A$2:$A$300,0))*$I1170/100,0))</f>
        <v>0.95199999999999985</v>
      </c>
      <c r="K1170" s="30">
        <f>IF(OR($F1170="",$I1170=""),0,IFERROR(INDEX(Nutrition!$E$2:$E$300,MATCH($F1170,Nutrition!$A$2:$A$300,0))*$I1170/100,0))</f>
        <v>9.8940000000000001</v>
      </c>
      <c r="L1170" s="30">
        <f>IF(OR($F1170="",$I1170=""),0,IFERROR(INDEX(Nutrition!$F$2:$F$300,MATCH($F1170,Nutrition!$A$2:$A$300,0))*$I1170/100,0))</f>
        <v>0.68</v>
      </c>
      <c r="M1170" s="30">
        <f>IF(OR($F1170="",$I1170=""),0,IFERROR(INDEX(Nutrition!$G$2:$G$300,MATCH($F1170,Nutrition!$A$2:$A$300,0))*$I1170/100,0))</f>
        <v>0.20399999999999999</v>
      </c>
      <c r="N1170" s="30">
        <f>IF(OR($F1170="",$I1170=""),0,IFERROR(INDEX(Nutrition!$H$2:$H$300,MATCH($F1170,Nutrition!$A$2:$A$300,0))*$I1170/100,0))</f>
        <v>2.72</v>
      </c>
      <c r="O1170" s="30">
        <f>IF(OR($F1170="",$I1170=""),0,IFERROR(INDEX(Nutrition!$I$2:$I$300,MATCH($F1170,Nutrition!$A$2:$A$300,0))*$I1170/100,0))</f>
        <v>34.68</v>
      </c>
      <c r="P1170" s="30">
        <f>IF(OR($F1170="",$I1170=""),0,IFERROR(INDEX(Nutrition!$J$2:$J$300,MATCH($F1170,Nutrition!$A$2:$A$300,0))*$I1170/100,0))</f>
        <v>7.4800000000000005E-2</v>
      </c>
      <c r="Q1170" s="30">
        <f>IF(OR($F1170="",$I1170=""),0,IFERROR(INDEX(Nutrition!$K$2:$K$300,MATCH($F1170,Nutrition!$A$2:$A$300,0))*$I1170/100,0))</f>
        <v>1.4619999999999999E-2</v>
      </c>
      <c r="R1170" s="30">
        <f>IF(OR($F1170="",$I1170=""),0,IFERROR(INDEX(Nutrition!$L$2:$L$300,MATCH($F1170,Nutrition!$A$2:$A$300,0))*$I1170/100,0))</f>
        <v>2.04</v>
      </c>
      <c r="S1170" s="30">
        <f>IF(OR($F1170="",$I1170=""),0,IFERROR(INDEX(Nutrition!$M$2:$M$300,MATCH($F1170,Nutrition!$A$2:$A$300,0))*$I1170/100,0))</f>
        <v>0.20399999999999999</v>
      </c>
    </row>
    <row r="1171" spans="1:19" ht="15" customHeight="1" x14ac:dyDescent="0.25">
      <c r="A1171" s="22" t="s">
        <v>2431</v>
      </c>
      <c r="B1171" s="33" t="str">
        <f>IFERROR(INDEX(Recipes!$B$2:$B$500,MATCH(A1171,Recipes!$A$2:$A$500,0)),"")</f>
        <v>Winter Citrus Salad with Mint &amp; Honey</v>
      </c>
      <c r="C1171" s="7" t="s">
        <v>2758</v>
      </c>
      <c r="D1171" s="34">
        <v>1</v>
      </c>
      <c r="E1171" s="22" t="s">
        <v>2753</v>
      </c>
      <c r="F1171" s="22"/>
      <c r="G1171" s="22" t="s">
        <v>2749</v>
      </c>
      <c r="H1171" s="7"/>
      <c r="I1171" s="35"/>
      <c r="J1171" s="30">
        <f>IF(OR($F1171="",$I1171=""),0,IFERROR(INDEX(Nutrition!$D$2:$D$300,MATCH($F1171,Nutrition!$A$2:$A$300,0))*$I1171/100,0))</f>
        <v>0</v>
      </c>
      <c r="K1171" s="30">
        <f>IF(OR($F1171="",$I1171=""),0,IFERROR(INDEX(Nutrition!$E$2:$E$300,MATCH($F1171,Nutrition!$A$2:$A$300,0))*$I1171/100,0))</f>
        <v>0</v>
      </c>
      <c r="L1171" s="30">
        <f>IF(OR($F1171="",$I1171=""),0,IFERROR(INDEX(Nutrition!$F$2:$F$300,MATCH($F1171,Nutrition!$A$2:$A$300,0))*$I1171/100,0))</f>
        <v>0</v>
      </c>
      <c r="M1171" s="30">
        <f>IF(OR($F1171="",$I1171=""),0,IFERROR(INDEX(Nutrition!$G$2:$G$300,MATCH($F1171,Nutrition!$A$2:$A$300,0))*$I1171/100,0))</f>
        <v>0</v>
      </c>
      <c r="N1171" s="30">
        <f>IF(OR($F1171="",$I1171=""),0,IFERROR(INDEX(Nutrition!$H$2:$H$300,MATCH($F1171,Nutrition!$A$2:$A$300,0))*$I1171/100,0))</f>
        <v>0</v>
      </c>
      <c r="O1171" s="30">
        <f>IF(OR($F1171="",$I1171=""),0,IFERROR(INDEX(Nutrition!$I$2:$I$300,MATCH($F1171,Nutrition!$A$2:$A$300,0))*$I1171/100,0))</f>
        <v>0</v>
      </c>
      <c r="P1171" s="30">
        <f>IF(OR($F1171="",$I1171=""),0,IFERROR(INDEX(Nutrition!$J$2:$J$300,MATCH($F1171,Nutrition!$A$2:$A$300,0))*$I1171/100,0))</f>
        <v>0</v>
      </c>
      <c r="Q1171" s="30">
        <f>IF(OR($F1171="",$I1171=""),0,IFERROR(INDEX(Nutrition!$K$2:$K$300,MATCH($F1171,Nutrition!$A$2:$A$300,0))*$I1171/100,0))</f>
        <v>0</v>
      </c>
      <c r="R1171" s="30">
        <f>IF(OR($F1171="",$I1171=""),0,IFERROR(INDEX(Nutrition!$L$2:$L$300,MATCH($F1171,Nutrition!$A$2:$A$300,0))*$I1171/100,0))</f>
        <v>0</v>
      </c>
      <c r="S1171" s="30">
        <f>IF(OR($F1171="",$I1171=""),0,IFERROR(INDEX(Nutrition!$M$2:$M$300,MATCH($F1171,Nutrition!$A$2:$A$300,0))*$I1171/100,0))</f>
        <v>0</v>
      </c>
    </row>
    <row r="1172" spans="1:19" ht="15" customHeight="1" x14ac:dyDescent="0.25">
      <c r="A1172" s="22" t="s">
        <v>2443</v>
      </c>
      <c r="B1172" s="33" t="str">
        <f>IFERROR(INDEX(Recipes!$B$2:$B$500,MATCH(A1172,Recipes!$A$2:$A$500,0)),"")</f>
        <v>Baked Bananas with Cinnamon &amp; Dark Chocolate</v>
      </c>
      <c r="C1172" s="7" t="s">
        <v>110</v>
      </c>
      <c r="D1172" s="34">
        <v>2</v>
      </c>
      <c r="E1172" s="22" t="s">
        <v>2754</v>
      </c>
      <c r="F1172" s="22" t="s">
        <v>109</v>
      </c>
      <c r="G1172" s="22" t="s">
        <v>2755</v>
      </c>
      <c r="H1172" s="7" t="s">
        <v>2783</v>
      </c>
      <c r="I1172" s="35">
        <v>236</v>
      </c>
      <c r="J1172" s="30">
        <f>IF(OR($F1172="",$I1172=""),0,IFERROR(INDEX(Nutrition!$D$2:$D$300,MATCH($F1172,Nutrition!$A$2:$A$300,0))*$I1172/100,0))</f>
        <v>6.1360000000000001</v>
      </c>
      <c r="K1172" s="30">
        <f>IF(OR($F1172="",$I1172=""),0,IFERROR(INDEX(Nutrition!$E$2:$E$300,MATCH($F1172,Nutrition!$A$2:$A$300,0))*$I1172/100,0))</f>
        <v>20.531999999999996</v>
      </c>
      <c r="L1172" s="30">
        <f>IF(OR($F1172="",$I1172=""),0,IFERROR(INDEX(Nutrition!$F$2:$F$300,MATCH($F1172,Nutrition!$A$2:$A$300,0))*$I1172/100,0))</f>
        <v>7.08</v>
      </c>
      <c r="M1172" s="30">
        <f>IF(OR($F1172="",$I1172=""),0,IFERROR(INDEX(Nutrition!$G$2:$G$300,MATCH($F1172,Nutrition!$A$2:$A$300,0))*$I1172/100,0))</f>
        <v>1.18</v>
      </c>
      <c r="N1172" s="30">
        <f>IF(OR($F1172="",$I1172=""),0,IFERROR(INDEX(Nutrition!$H$2:$H$300,MATCH($F1172,Nutrition!$A$2:$A$300,0))*$I1172/100,0))</f>
        <v>47.2</v>
      </c>
      <c r="O1172" s="30">
        <f>IF(OR($F1172="",$I1172=""),0,IFERROR(INDEX(Nutrition!$I$2:$I$300,MATCH($F1172,Nutrition!$A$2:$A$300,0))*$I1172/100,0))</f>
        <v>844.88</v>
      </c>
      <c r="P1172" s="30">
        <f>IF(OR($F1172="",$I1172=""),0,IFERROR(INDEX(Nutrition!$J$2:$J$300,MATCH($F1172,Nutrition!$A$2:$A$300,0))*$I1172/100,0))</f>
        <v>0.23600000000000002</v>
      </c>
      <c r="Q1172" s="30">
        <f>IF(OR($F1172="",$I1172=""),0,IFERROR(INDEX(Nutrition!$K$2:$K$300,MATCH($F1172,Nutrition!$A$2:$A$300,0))*$I1172/100,0))</f>
        <v>0.86612</v>
      </c>
      <c r="R1172" s="30">
        <f>IF(OR($F1172="",$I1172=""),0,IFERROR(INDEX(Nutrition!$L$2:$L$300,MATCH($F1172,Nutrition!$A$2:$A$300,0))*$I1172/100,0))</f>
        <v>63.72</v>
      </c>
      <c r="S1172" s="30">
        <f>IF(OR($F1172="",$I1172=""),0,IFERROR(INDEX(Nutrition!$M$2:$M$300,MATCH($F1172,Nutrition!$A$2:$A$300,0))*$I1172/100,0))</f>
        <v>0.61360000000000003</v>
      </c>
    </row>
    <row r="1173" spans="1:19" ht="15" customHeight="1" x14ac:dyDescent="0.25">
      <c r="A1173" s="22" t="s">
        <v>2443</v>
      </c>
      <c r="B1173" s="33" t="str">
        <f>IFERROR(INDEX(Recipes!$B$2:$B$500,MATCH(A1173,Recipes!$A$2:$A$500,0)),"")</f>
        <v>Baked Bananas with Cinnamon &amp; Dark Chocolate</v>
      </c>
      <c r="C1173" s="7" t="s">
        <v>428</v>
      </c>
      <c r="D1173" s="34">
        <v>2</v>
      </c>
      <c r="E1173" s="22" t="s">
        <v>2753</v>
      </c>
      <c r="F1173" s="22" t="s">
        <v>427</v>
      </c>
      <c r="G1173" s="22" t="s">
        <v>2755</v>
      </c>
      <c r="H1173" s="7" t="s">
        <v>3026</v>
      </c>
      <c r="I1173" s="35">
        <v>30</v>
      </c>
      <c r="J1173" s="30">
        <f>IF(OR($F1173="",$I1173=""),0,IFERROR(INDEX(Nutrition!$D$2:$D$300,MATCH($F1173,Nutrition!$A$2:$A$300,0))*$I1173/100,0))</f>
        <v>2.5499999999999998</v>
      </c>
      <c r="K1173" s="30">
        <f>IF(OR($F1173="",$I1173=""),0,IFERROR(INDEX(Nutrition!$E$2:$E$300,MATCH($F1173,Nutrition!$A$2:$A$300,0))*$I1173/100,0))</f>
        <v>0</v>
      </c>
      <c r="L1173" s="30">
        <f>IF(OR($F1173="",$I1173=""),0,IFERROR(INDEX(Nutrition!$F$2:$F$300,MATCH($F1173,Nutrition!$A$2:$A$300,0))*$I1173/100,0))</f>
        <v>0</v>
      </c>
      <c r="M1173" s="30">
        <f>IF(OR($F1173="",$I1173=""),0,IFERROR(INDEX(Nutrition!$G$2:$G$300,MATCH($F1173,Nutrition!$A$2:$A$300,0))*$I1173/100,0))</f>
        <v>0</v>
      </c>
      <c r="N1173" s="30">
        <f>IF(OR($F1173="",$I1173=""),0,IFERROR(INDEX(Nutrition!$H$2:$H$300,MATCH($F1173,Nutrition!$A$2:$A$300,0))*$I1173/100,0))</f>
        <v>72</v>
      </c>
      <c r="O1173" s="30">
        <f>IF(OR($F1173="",$I1173=""),0,IFERROR(INDEX(Nutrition!$I$2:$I$300,MATCH($F1173,Nutrition!$A$2:$A$300,0))*$I1173/100,0))</f>
        <v>211.5</v>
      </c>
      <c r="P1173" s="30">
        <f>IF(OR($F1173="",$I1173=""),0,IFERROR(INDEX(Nutrition!$J$2:$J$300,MATCH($F1173,Nutrition!$A$2:$A$300,0))*$I1173/100,0))</f>
        <v>2.4990000000000001</v>
      </c>
      <c r="Q1173" s="30">
        <f>IF(OR($F1173="",$I1173=""),0,IFERROR(INDEX(Nutrition!$K$2:$K$300,MATCH($F1173,Nutrition!$A$2:$A$300,0))*$I1173/100,0))</f>
        <v>0.10439999999999999</v>
      </c>
      <c r="R1173" s="30">
        <f>IF(OR($F1173="",$I1173=""),0,IFERROR(INDEX(Nutrition!$L$2:$L$300,MATCH($F1173,Nutrition!$A$2:$A$300,0))*$I1173/100,0))</f>
        <v>50.4</v>
      </c>
      <c r="S1173" s="30">
        <f>IF(OR($F1173="",$I1173=""),0,IFERROR(INDEX(Nutrition!$M$2:$M$300,MATCH($F1173,Nutrition!$A$2:$A$300,0))*$I1173/100,0))</f>
        <v>1.3740000000000001</v>
      </c>
    </row>
    <row r="1174" spans="1:19" ht="15" customHeight="1" x14ac:dyDescent="0.25">
      <c r="A1174" s="22" t="s">
        <v>2443</v>
      </c>
      <c r="B1174" s="33" t="str">
        <f>IFERROR(INDEX(Recipes!$B$2:$B$500,MATCH(A1174,Recipes!$A$2:$A$500,0)),"")</f>
        <v>Baked Bananas with Cinnamon &amp; Dark Chocolate</v>
      </c>
      <c r="C1174" s="7" t="s">
        <v>2758</v>
      </c>
      <c r="D1174" s="34">
        <v>1</v>
      </c>
      <c r="E1174" s="22" t="s">
        <v>2753</v>
      </c>
      <c r="F1174" s="22"/>
      <c r="G1174" s="22" t="s">
        <v>2749</v>
      </c>
      <c r="H1174" s="7"/>
      <c r="I1174" s="35"/>
      <c r="J1174" s="30">
        <f>IF(OR($F1174="",$I1174=""),0,IFERROR(INDEX(Nutrition!$D$2:$D$300,MATCH($F1174,Nutrition!$A$2:$A$300,0))*$I1174/100,0))</f>
        <v>0</v>
      </c>
      <c r="K1174" s="30">
        <f>IF(OR($F1174="",$I1174=""),0,IFERROR(INDEX(Nutrition!$E$2:$E$300,MATCH($F1174,Nutrition!$A$2:$A$300,0))*$I1174/100,0))</f>
        <v>0</v>
      </c>
      <c r="L1174" s="30">
        <f>IF(OR($F1174="",$I1174=""),0,IFERROR(INDEX(Nutrition!$F$2:$F$300,MATCH($F1174,Nutrition!$A$2:$A$300,0))*$I1174/100,0))</f>
        <v>0</v>
      </c>
      <c r="M1174" s="30">
        <f>IF(OR($F1174="",$I1174=""),0,IFERROR(INDEX(Nutrition!$G$2:$G$300,MATCH($F1174,Nutrition!$A$2:$A$300,0))*$I1174/100,0))</f>
        <v>0</v>
      </c>
      <c r="N1174" s="30">
        <f>IF(OR($F1174="",$I1174=""),0,IFERROR(INDEX(Nutrition!$H$2:$H$300,MATCH($F1174,Nutrition!$A$2:$A$300,0))*$I1174/100,0))</f>
        <v>0</v>
      </c>
      <c r="O1174" s="30">
        <f>IF(OR($F1174="",$I1174=""),0,IFERROR(INDEX(Nutrition!$I$2:$I$300,MATCH($F1174,Nutrition!$A$2:$A$300,0))*$I1174/100,0))</f>
        <v>0</v>
      </c>
      <c r="P1174" s="30">
        <f>IF(OR($F1174="",$I1174=""),0,IFERROR(INDEX(Nutrition!$J$2:$J$300,MATCH($F1174,Nutrition!$A$2:$A$300,0))*$I1174/100,0))</f>
        <v>0</v>
      </c>
      <c r="Q1174" s="30">
        <f>IF(OR($F1174="",$I1174=""),0,IFERROR(INDEX(Nutrition!$K$2:$K$300,MATCH($F1174,Nutrition!$A$2:$A$300,0))*$I1174/100,0))</f>
        <v>0</v>
      </c>
      <c r="R1174" s="30">
        <f>IF(OR($F1174="",$I1174=""),0,IFERROR(INDEX(Nutrition!$L$2:$L$300,MATCH($F1174,Nutrition!$A$2:$A$300,0))*$I1174/100,0))</f>
        <v>0</v>
      </c>
      <c r="S1174" s="30">
        <f>IF(OR($F1174="",$I1174=""),0,IFERROR(INDEX(Nutrition!$M$2:$M$300,MATCH($F1174,Nutrition!$A$2:$A$300,0))*$I1174/100,0))</f>
        <v>0</v>
      </c>
    </row>
    <row r="1175" spans="1:19" ht="15" customHeight="1" x14ac:dyDescent="0.25">
      <c r="A1175" s="22" t="s">
        <v>2443</v>
      </c>
      <c r="B1175" s="33" t="str">
        <f>IFERROR(INDEX(Recipes!$B$2:$B$500,MATCH(A1175,Recipes!$A$2:$A$500,0)),"")</f>
        <v>Baked Bananas with Cinnamon &amp; Dark Chocolate</v>
      </c>
      <c r="C1175" s="7" t="s">
        <v>2770</v>
      </c>
      <c r="D1175" s="34">
        <v>1</v>
      </c>
      <c r="E1175" s="22" t="s">
        <v>2759</v>
      </c>
      <c r="F1175" s="22"/>
      <c r="G1175" s="22" t="s">
        <v>2749</v>
      </c>
      <c r="H1175" s="7"/>
      <c r="I1175" s="35"/>
      <c r="J1175" s="30">
        <f>IF(OR($F1175="",$I1175=""),0,IFERROR(INDEX(Nutrition!$D$2:$D$300,MATCH($F1175,Nutrition!$A$2:$A$300,0))*$I1175/100,0))</f>
        <v>0</v>
      </c>
      <c r="K1175" s="30">
        <f>IF(OR($F1175="",$I1175=""),0,IFERROR(INDEX(Nutrition!$E$2:$E$300,MATCH($F1175,Nutrition!$A$2:$A$300,0))*$I1175/100,0))</f>
        <v>0</v>
      </c>
      <c r="L1175" s="30">
        <f>IF(OR($F1175="",$I1175=""),0,IFERROR(INDEX(Nutrition!$F$2:$F$300,MATCH($F1175,Nutrition!$A$2:$A$300,0))*$I1175/100,0))</f>
        <v>0</v>
      </c>
      <c r="M1175" s="30">
        <f>IF(OR($F1175="",$I1175=""),0,IFERROR(INDEX(Nutrition!$G$2:$G$300,MATCH($F1175,Nutrition!$A$2:$A$300,0))*$I1175/100,0))</f>
        <v>0</v>
      </c>
      <c r="N1175" s="30">
        <f>IF(OR($F1175="",$I1175=""),0,IFERROR(INDEX(Nutrition!$H$2:$H$300,MATCH($F1175,Nutrition!$A$2:$A$300,0))*$I1175/100,0))</f>
        <v>0</v>
      </c>
      <c r="O1175" s="30">
        <f>IF(OR($F1175="",$I1175=""),0,IFERROR(INDEX(Nutrition!$I$2:$I$300,MATCH($F1175,Nutrition!$A$2:$A$300,0))*$I1175/100,0))</f>
        <v>0</v>
      </c>
      <c r="P1175" s="30">
        <f>IF(OR($F1175="",$I1175=""),0,IFERROR(INDEX(Nutrition!$J$2:$J$300,MATCH($F1175,Nutrition!$A$2:$A$300,0))*$I1175/100,0))</f>
        <v>0</v>
      </c>
      <c r="Q1175" s="30">
        <f>IF(OR($F1175="",$I1175=""),0,IFERROR(INDEX(Nutrition!$K$2:$K$300,MATCH($F1175,Nutrition!$A$2:$A$300,0))*$I1175/100,0))</f>
        <v>0</v>
      </c>
      <c r="R1175" s="30">
        <f>IF(OR($F1175="",$I1175=""),0,IFERROR(INDEX(Nutrition!$L$2:$L$300,MATCH($F1175,Nutrition!$A$2:$A$300,0))*$I1175/100,0))</f>
        <v>0</v>
      </c>
      <c r="S1175" s="30">
        <f>IF(OR($F1175="",$I1175=""),0,IFERROR(INDEX(Nutrition!$M$2:$M$300,MATCH($F1175,Nutrition!$A$2:$A$300,0))*$I1175/100,0))</f>
        <v>0</v>
      </c>
    </row>
    <row r="1176" spans="1:19" ht="15" customHeight="1" x14ac:dyDescent="0.25">
      <c r="A1176" s="22" t="s">
        <v>2443</v>
      </c>
      <c r="B1176" s="33" t="str">
        <f>IFERROR(INDEX(Recipes!$B$2:$B$500,MATCH(A1176,Recipes!$A$2:$A$500,0)),"")</f>
        <v>Baked Bananas with Cinnamon &amp; Dark Chocolate</v>
      </c>
      <c r="C1176" s="7" t="s">
        <v>3061</v>
      </c>
      <c r="D1176" s="34">
        <v>4</v>
      </c>
      <c r="E1176" s="22" t="s">
        <v>3062</v>
      </c>
      <c r="F1176" s="22"/>
      <c r="G1176" s="22" t="s">
        <v>2749</v>
      </c>
      <c r="H1176" s="7"/>
      <c r="I1176" s="35"/>
      <c r="J1176" s="30">
        <f>IF(OR($F1176="",$I1176=""),0,IFERROR(INDEX(Nutrition!$D$2:$D$300,MATCH($F1176,Nutrition!$A$2:$A$300,0))*$I1176/100,0))</f>
        <v>0</v>
      </c>
      <c r="K1176" s="30">
        <f>IF(OR($F1176="",$I1176=""),0,IFERROR(INDEX(Nutrition!$E$2:$E$300,MATCH($F1176,Nutrition!$A$2:$A$300,0))*$I1176/100,0))</f>
        <v>0</v>
      </c>
      <c r="L1176" s="30">
        <f>IF(OR($F1176="",$I1176=""),0,IFERROR(INDEX(Nutrition!$F$2:$F$300,MATCH($F1176,Nutrition!$A$2:$A$300,0))*$I1176/100,0))</f>
        <v>0</v>
      </c>
      <c r="M1176" s="30">
        <f>IF(OR($F1176="",$I1176=""),0,IFERROR(INDEX(Nutrition!$G$2:$G$300,MATCH($F1176,Nutrition!$A$2:$A$300,0))*$I1176/100,0))</f>
        <v>0</v>
      </c>
      <c r="N1176" s="30">
        <f>IF(OR($F1176="",$I1176=""),0,IFERROR(INDEX(Nutrition!$H$2:$H$300,MATCH($F1176,Nutrition!$A$2:$A$300,0))*$I1176/100,0))</f>
        <v>0</v>
      </c>
      <c r="O1176" s="30">
        <f>IF(OR($F1176="",$I1176=""),0,IFERROR(INDEX(Nutrition!$I$2:$I$300,MATCH($F1176,Nutrition!$A$2:$A$300,0))*$I1176/100,0))</f>
        <v>0</v>
      </c>
      <c r="P1176" s="30">
        <f>IF(OR($F1176="",$I1176=""),0,IFERROR(INDEX(Nutrition!$J$2:$J$300,MATCH($F1176,Nutrition!$A$2:$A$300,0))*$I1176/100,0))</f>
        <v>0</v>
      </c>
      <c r="Q1176" s="30">
        <f>IF(OR($F1176="",$I1176=""),0,IFERROR(INDEX(Nutrition!$K$2:$K$300,MATCH($F1176,Nutrition!$A$2:$A$300,0))*$I1176/100,0))</f>
        <v>0</v>
      </c>
      <c r="R1176" s="30">
        <f>IF(OR($F1176="",$I1176=""),0,IFERROR(INDEX(Nutrition!$L$2:$L$300,MATCH($F1176,Nutrition!$A$2:$A$300,0))*$I1176/100,0))</f>
        <v>0</v>
      </c>
      <c r="S1176" s="30">
        <f>IF(OR($F1176="",$I1176=""),0,IFERROR(INDEX(Nutrition!$M$2:$M$300,MATCH($F1176,Nutrition!$A$2:$A$300,0))*$I1176/100,0))</f>
        <v>0</v>
      </c>
    </row>
    <row r="1177" spans="1:19" ht="15" customHeight="1" x14ac:dyDescent="0.25">
      <c r="A1177" s="22" t="s">
        <v>2453</v>
      </c>
      <c r="B1177" s="33" t="str">
        <f>IFERROR(INDEX(Recipes!$B$2:$B$500,MATCH(A1177,Recipes!$A$2:$A$500,0)),"")</f>
        <v>Tropical Fruit Salad with Passion Fruit &amp; Guava Dressing</v>
      </c>
      <c r="C1177" s="7" t="s">
        <v>139</v>
      </c>
      <c r="D1177" s="34">
        <v>0.5</v>
      </c>
      <c r="E1177" s="22" t="s">
        <v>2754</v>
      </c>
      <c r="F1177" s="22" t="s">
        <v>138</v>
      </c>
      <c r="G1177" s="22" t="s">
        <v>2755</v>
      </c>
      <c r="H1177" s="7" t="s">
        <v>2756</v>
      </c>
      <c r="I1177" s="35">
        <v>452</v>
      </c>
      <c r="J1177" s="30">
        <f>IF(OR($F1177="",$I1177=""),0,IFERROR(INDEX(Nutrition!$D$2:$D$300,MATCH($F1177,Nutrition!$A$2:$A$300,0))*$I1177/100,0))</f>
        <v>6.3279999999999994</v>
      </c>
      <c r="K1177" s="30">
        <f>IF(OR($F1177="",$I1177=""),0,IFERROR(INDEX(Nutrition!$E$2:$E$300,MATCH($F1177,Nutrition!$A$2:$A$300,0))*$I1177/100,0))</f>
        <v>216.05599999999998</v>
      </c>
      <c r="L1177" s="30">
        <f>IF(OR($F1177="",$I1177=""),0,IFERROR(INDEX(Nutrition!$F$2:$F$300,MATCH($F1177,Nutrition!$A$2:$A$300,0))*$I1177/100,0))</f>
        <v>13.56</v>
      </c>
      <c r="M1177" s="30">
        <f>IF(OR($F1177="",$I1177=""),0,IFERROR(INDEX(Nutrition!$G$2:$G$300,MATCH($F1177,Nutrition!$A$2:$A$300,0))*$I1177/100,0))</f>
        <v>3.1639999999999997</v>
      </c>
      <c r="N1177" s="30">
        <f>IF(OR($F1177="",$I1177=""),0,IFERROR(INDEX(Nutrition!$H$2:$H$300,MATCH($F1177,Nutrition!$A$2:$A$300,0))*$I1177/100,0))</f>
        <v>81.36</v>
      </c>
      <c r="O1177" s="30">
        <f>IF(OR($F1177="",$I1177=""),0,IFERROR(INDEX(Nutrition!$I$2:$I$300,MATCH($F1177,Nutrition!$A$2:$A$300,0))*$I1177/100,0))</f>
        <v>492.68</v>
      </c>
      <c r="P1177" s="30">
        <f>IF(OR($F1177="",$I1177=""),0,IFERROR(INDEX(Nutrition!$J$2:$J$300,MATCH($F1177,Nutrition!$A$2:$A$300,0))*$I1177/100,0))</f>
        <v>9.0400000000000008E-2</v>
      </c>
      <c r="Q1177" s="30">
        <f>IF(OR($F1177="",$I1177=""),0,IFERROR(INDEX(Nutrition!$K$2:$K$300,MATCH($F1177,Nutrition!$A$2:$A$300,0))*$I1177/100,0))</f>
        <v>0.50624000000000002</v>
      </c>
      <c r="R1177" s="30">
        <f>IF(OR($F1177="",$I1177=""),0,IFERROR(INDEX(Nutrition!$L$2:$L$300,MATCH($F1177,Nutrition!$A$2:$A$300,0))*$I1177/100,0))</f>
        <v>54.24</v>
      </c>
      <c r="S1177" s="30">
        <f>IF(OR($F1177="",$I1177=""),0,IFERROR(INDEX(Nutrition!$M$2:$M$300,MATCH($F1177,Nutrition!$A$2:$A$300,0))*$I1177/100,0))</f>
        <v>1.3107999999999997</v>
      </c>
    </row>
    <row r="1178" spans="1:19" ht="15" customHeight="1" x14ac:dyDescent="0.25">
      <c r="A1178" s="22" t="s">
        <v>2453</v>
      </c>
      <c r="B1178" s="33" t="str">
        <f>IFERROR(INDEX(Recipes!$B$2:$B$500,MATCH(A1178,Recipes!$A$2:$A$500,0)),"")</f>
        <v>Tropical Fruit Salad with Passion Fruit &amp; Guava Dressing</v>
      </c>
      <c r="C1178" s="7" t="s">
        <v>168</v>
      </c>
      <c r="D1178" s="34">
        <v>2</v>
      </c>
      <c r="E1178" s="22" t="s">
        <v>2754</v>
      </c>
      <c r="F1178" s="22" t="s">
        <v>167</v>
      </c>
      <c r="G1178" s="22" t="s">
        <v>2755</v>
      </c>
      <c r="H1178" s="7" t="s">
        <v>2756</v>
      </c>
      <c r="I1178" s="35">
        <v>672</v>
      </c>
      <c r="J1178" s="30">
        <f>IF(OR($F1178="",$I1178=""),0,IFERROR(INDEX(Nutrition!$D$2:$D$300,MATCH($F1178,Nutrition!$A$2:$A$300,0))*$I1178/100,0))</f>
        <v>10.752000000000001</v>
      </c>
      <c r="K1178" s="30">
        <f>IF(OR($F1178="",$I1178=""),0,IFERROR(INDEX(Nutrition!$E$2:$E$300,MATCH($F1178,Nutrition!$A$2:$A$300,0))*$I1178/100,0))</f>
        <v>244.608</v>
      </c>
      <c r="L1178" s="30">
        <f>IF(OR($F1178="",$I1178=""),0,IFERROR(INDEX(Nutrition!$F$2:$F$300,MATCH($F1178,Nutrition!$A$2:$A$300,0))*$I1178/100,0))</f>
        <v>362.88</v>
      </c>
      <c r="M1178" s="30">
        <f>IF(OR($F1178="",$I1178=""),0,IFERROR(INDEX(Nutrition!$G$2:$G$300,MATCH($F1178,Nutrition!$A$2:$A$300,0))*$I1178/100,0))</f>
        <v>28.224</v>
      </c>
      <c r="N1178" s="30">
        <f>IF(OR($F1178="",$I1178=""),0,IFERROR(INDEX(Nutrition!$H$2:$H$300,MATCH($F1178,Nutrition!$A$2:$A$300,0))*$I1178/100,0))</f>
        <v>288.95999999999998</v>
      </c>
      <c r="O1178" s="30">
        <f>IF(OR($F1178="",$I1178=""),0,IFERROR(INDEX(Nutrition!$I$2:$I$300,MATCH($F1178,Nutrition!$A$2:$A$300,0))*$I1178/100,0))</f>
        <v>1128.96</v>
      </c>
      <c r="P1178" s="30">
        <f>IF(OR($F1178="",$I1178=""),0,IFERROR(INDEX(Nutrition!$J$2:$J$300,MATCH($F1178,Nutrition!$A$2:$A$300,0))*$I1178/100,0))</f>
        <v>6.0480000000000009</v>
      </c>
      <c r="Q1178" s="30">
        <f>IF(OR($F1178="",$I1178=""),0,IFERROR(INDEX(Nutrition!$K$2:$K$300,MATCH($F1178,Nutrition!$A$2:$A$300,0))*$I1178/100,0))</f>
        <v>0.79967999999999995</v>
      </c>
      <c r="R1178" s="30">
        <f>IF(OR($F1178="",$I1178=""),0,IFERROR(INDEX(Nutrition!$L$2:$L$300,MATCH($F1178,Nutrition!$A$2:$A$300,0))*$I1178/100,0))</f>
        <v>67.2</v>
      </c>
      <c r="S1178" s="30">
        <f>IF(OR($F1178="",$I1178=""),0,IFERROR(INDEX(Nutrition!$M$2:$M$300,MATCH($F1178,Nutrition!$A$2:$A$300,0))*$I1178/100,0))</f>
        <v>1.0751999999999999</v>
      </c>
    </row>
    <row r="1179" spans="1:19" ht="15" customHeight="1" x14ac:dyDescent="0.25">
      <c r="A1179" s="22" t="s">
        <v>2453</v>
      </c>
      <c r="B1179" s="33" t="str">
        <f>IFERROR(INDEX(Recipes!$B$2:$B$500,MATCH(A1179,Recipes!$A$2:$A$500,0)),"")</f>
        <v>Tropical Fruit Salad with Passion Fruit &amp; Guava Dressing</v>
      </c>
      <c r="C1179" s="7" t="s">
        <v>160</v>
      </c>
      <c r="D1179" s="34">
        <v>0.5</v>
      </c>
      <c r="E1179" s="22" t="s">
        <v>2754</v>
      </c>
      <c r="F1179" s="22" t="s">
        <v>159</v>
      </c>
      <c r="G1179" s="22" t="s">
        <v>2755</v>
      </c>
      <c r="H1179" s="7" t="s">
        <v>2756</v>
      </c>
      <c r="I1179" s="35">
        <v>138</v>
      </c>
      <c r="J1179" s="30">
        <f>IF(OR($F1179="",$I1179=""),0,IFERROR(INDEX(Nutrition!$D$2:$D$300,MATCH($F1179,Nutrition!$A$2:$A$300,0))*$I1179/100,0))</f>
        <v>2.3460000000000001</v>
      </c>
      <c r="K1179" s="30">
        <f>IF(OR($F1179="",$I1179=""),0,IFERROR(INDEX(Nutrition!$E$2:$E$300,MATCH($F1179,Nutrition!$A$2:$A$300,0))*$I1179/100,0))</f>
        <v>84.041999999999987</v>
      </c>
      <c r="L1179" s="30">
        <f>IF(OR($F1179="",$I1179=""),0,IFERROR(INDEX(Nutrition!$F$2:$F$300,MATCH($F1179,Nutrition!$A$2:$A$300,0))*$I1179/100,0))</f>
        <v>64.86</v>
      </c>
      <c r="M1179" s="30">
        <f>IF(OR($F1179="",$I1179=""),0,IFERROR(INDEX(Nutrition!$G$2:$G$300,MATCH($F1179,Nutrition!$A$2:$A$300,0))*$I1179/100,0))</f>
        <v>3.5880000000000001</v>
      </c>
      <c r="N1179" s="30">
        <f>IF(OR($F1179="",$I1179=""),0,IFERROR(INDEX(Nutrition!$H$2:$H$300,MATCH($F1179,Nutrition!$A$2:$A$300,0))*$I1179/100,0))</f>
        <v>51.06</v>
      </c>
      <c r="O1179" s="30">
        <f>IF(OR($F1179="",$I1179=""),0,IFERROR(INDEX(Nutrition!$I$2:$I$300,MATCH($F1179,Nutrition!$A$2:$A$300,0))*$I1179/100,0))</f>
        <v>251.16</v>
      </c>
      <c r="P1179" s="30">
        <f>IF(OR($F1179="",$I1179=""),0,IFERROR(INDEX(Nutrition!$J$2:$J$300,MATCH($F1179,Nutrition!$A$2:$A$300,0))*$I1179/100,0))</f>
        <v>0.41399999999999998</v>
      </c>
      <c r="Q1179" s="30">
        <f>IF(OR($F1179="",$I1179=""),0,IFERROR(INDEX(Nutrition!$K$2:$K$300,MATCH($F1179,Nutrition!$A$2:$A$300,0))*$I1179/100,0))</f>
        <v>5.2440000000000001E-2</v>
      </c>
      <c r="R1179" s="30">
        <f>IF(OR($F1179="",$I1179=""),0,IFERROR(INDEX(Nutrition!$L$2:$L$300,MATCH($F1179,Nutrition!$A$2:$A$300,0))*$I1179/100,0))</f>
        <v>28.98</v>
      </c>
      <c r="S1179" s="30">
        <f>IF(OR($F1179="",$I1179=""),0,IFERROR(INDEX(Nutrition!$M$2:$M$300,MATCH($F1179,Nutrition!$A$2:$A$300,0))*$I1179/100,0))</f>
        <v>0.34499999999999997</v>
      </c>
    </row>
    <row r="1180" spans="1:19" ht="15" customHeight="1" x14ac:dyDescent="0.25">
      <c r="A1180" s="22" t="s">
        <v>2453</v>
      </c>
      <c r="B1180" s="33" t="str">
        <f>IFERROR(INDEX(Recipes!$B$2:$B$500,MATCH(A1180,Recipes!$A$2:$A$500,0)),"")</f>
        <v>Tropical Fruit Salad with Passion Fruit &amp; Guava Dressing</v>
      </c>
      <c r="C1180" s="7" t="s">
        <v>414</v>
      </c>
      <c r="D1180" s="34">
        <v>4</v>
      </c>
      <c r="E1180" s="22" t="s">
        <v>2754</v>
      </c>
      <c r="F1180" s="22" t="s">
        <v>413</v>
      </c>
      <c r="G1180" s="22" t="s">
        <v>2755</v>
      </c>
      <c r="H1180" s="7" t="s">
        <v>2756</v>
      </c>
      <c r="I1180" s="35">
        <v>276</v>
      </c>
      <c r="J1180" s="30">
        <f>IF(OR($F1180="",$I1180=""),0,IFERROR(INDEX(Nutrition!$D$2:$D$300,MATCH($F1180,Nutrition!$A$2:$A$300,0))*$I1180/100,0))</f>
        <v>8.2799999999999994</v>
      </c>
      <c r="K1180" s="30">
        <f>IF(OR($F1180="",$I1180=""),0,IFERROR(INDEX(Nutrition!$E$2:$E$300,MATCH($F1180,Nutrition!$A$2:$A$300,0))*$I1180/100,0))</f>
        <v>255.852</v>
      </c>
      <c r="L1180" s="30">
        <f>IF(OR($F1180="",$I1180=""),0,IFERROR(INDEX(Nutrition!$F$2:$F$300,MATCH($F1180,Nutrition!$A$2:$A$300,0))*$I1180/100,0))</f>
        <v>11.04</v>
      </c>
      <c r="M1180" s="30">
        <f>IF(OR($F1180="",$I1180=""),0,IFERROR(INDEX(Nutrition!$G$2:$G$300,MATCH($F1180,Nutrition!$A$2:$A$300,0))*$I1180/100,0))</f>
        <v>111.22799999999999</v>
      </c>
      <c r="N1180" s="30">
        <f>IF(OR($F1180="",$I1180=""),0,IFERROR(INDEX(Nutrition!$H$2:$H$300,MATCH($F1180,Nutrition!$A$2:$A$300,0))*$I1180/100,0))</f>
        <v>69</v>
      </c>
      <c r="O1180" s="30">
        <f>IF(OR($F1180="",$I1180=""),0,IFERROR(INDEX(Nutrition!$I$2:$I$300,MATCH($F1180,Nutrition!$A$2:$A$300,0))*$I1180/100,0))</f>
        <v>861.12</v>
      </c>
      <c r="P1180" s="30">
        <f>IF(OR($F1180="",$I1180=""),0,IFERROR(INDEX(Nutrition!$J$2:$J$300,MATCH($F1180,Nutrition!$A$2:$A$300,0))*$I1180/100,0))</f>
        <v>4.0295999999999994</v>
      </c>
      <c r="Q1180" s="30">
        <f>IF(OR($F1180="",$I1180=""),0,IFERROR(INDEX(Nutrition!$K$2:$K$300,MATCH($F1180,Nutrition!$A$2:$A$300,0))*$I1180/100,0))</f>
        <v>0.17388000000000001</v>
      </c>
      <c r="R1180" s="30">
        <f>IF(OR($F1180="",$I1180=""),0,IFERROR(INDEX(Nutrition!$L$2:$L$300,MATCH($F1180,Nutrition!$A$2:$A$300,0))*$I1180/100,0))</f>
        <v>46.92</v>
      </c>
      <c r="S1180" s="30">
        <f>IF(OR($F1180="",$I1180=""),0,IFERROR(INDEX(Nutrition!$M$2:$M$300,MATCH($F1180,Nutrition!$A$2:$A$300,0))*$I1180/100,0))</f>
        <v>0.85560000000000003</v>
      </c>
    </row>
    <row r="1181" spans="1:19" ht="15" customHeight="1" x14ac:dyDescent="0.25">
      <c r="A1181" s="22" t="s">
        <v>2453</v>
      </c>
      <c r="B1181" s="33" t="str">
        <f>IFERROR(INDEX(Recipes!$B$2:$B$500,MATCH(A1181,Recipes!$A$2:$A$500,0)),"")</f>
        <v>Tropical Fruit Salad with Passion Fruit &amp; Guava Dressing</v>
      </c>
      <c r="C1181" s="7" t="s">
        <v>252</v>
      </c>
      <c r="D1181" s="34">
        <v>4</v>
      </c>
      <c r="E1181" s="22" t="s">
        <v>2754</v>
      </c>
      <c r="F1181" s="22" t="s">
        <v>251</v>
      </c>
      <c r="G1181" s="22" t="s">
        <v>2755</v>
      </c>
      <c r="H1181" s="7" t="s">
        <v>2757</v>
      </c>
      <c r="I1181" s="35">
        <v>72</v>
      </c>
      <c r="J1181" s="30">
        <f>IF(OR($F1181="",$I1181=""),0,IFERROR(INDEX(Nutrition!$D$2:$D$300,MATCH($F1181,Nutrition!$A$2:$A$300,0))*$I1181/100,0))</f>
        <v>7.4880000000000004</v>
      </c>
      <c r="K1181" s="30">
        <f>IF(OR($F1181="",$I1181=""),0,IFERROR(INDEX(Nutrition!$E$2:$E$300,MATCH($F1181,Nutrition!$A$2:$A$300,0))*$I1181/100,0))</f>
        <v>21.6</v>
      </c>
      <c r="L1181" s="30">
        <f>IF(OR($F1181="",$I1181=""),0,IFERROR(INDEX(Nutrition!$F$2:$F$300,MATCH($F1181,Nutrition!$A$2:$A$300,0))*$I1181/100,0))</f>
        <v>46.08</v>
      </c>
      <c r="M1181" s="30">
        <f>IF(OR($F1181="",$I1181=""),0,IFERROR(INDEX(Nutrition!$G$2:$G$300,MATCH($F1181,Nutrition!$A$2:$A$300,0))*$I1181/100,0))</f>
        <v>0.504</v>
      </c>
      <c r="N1181" s="30">
        <f>IF(OR($F1181="",$I1181=""),0,IFERROR(INDEX(Nutrition!$H$2:$H$300,MATCH($F1181,Nutrition!$A$2:$A$300,0))*$I1181/100,0))</f>
        <v>10.08</v>
      </c>
      <c r="O1181" s="30">
        <f>IF(OR($F1181="",$I1181=""),0,IFERROR(INDEX(Nutrition!$I$2:$I$300,MATCH($F1181,Nutrition!$A$2:$A$300,0))*$I1181/100,0))</f>
        <v>250.56</v>
      </c>
      <c r="P1181" s="30">
        <f>IF(OR($F1181="",$I1181=""),0,IFERROR(INDEX(Nutrition!$J$2:$J$300,MATCH($F1181,Nutrition!$A$2:$A$300,0))*$I1181/100,0))</f>
        <v>1.44E-2</v>
      </c>
      <c r="Q1181" s="30">
        <f>IF(OR($F1181="",$I1181=""),0,IFERROR(INDEX(Nutrition!$K$2:$K$300,MATCH($F1181,Nutrition!$A$2:$A$300,0))*$I1181/100,0))</f>
        <v>7.2000000000000008E-2</v>
      </c>
      <c r="R1181" s="30">
        <f>IF(OR($F1181="",$I1181=""),0,IFERROR(INDEX(Nutrition!$L$2:$L$300,MATCH($F1181,Nutrition!$A$2:$A$300,0))*$I1181/100,0))</f>
        <v>20.88</v>
      </c>
      <c r="S1181" s="30">
        <f>IF(OR($F1181="",$I1181=""),0,IFERROR(INDEX(Nutrition!$M$2:$M$300,MATCH($F1181,Nutrition!$A$2:$A$300,0))*$I1181/100,0))</f>
        <v>1.1520000000000001</v>
      </c>
    </row>
    <row r="1182" spans="1:19" ht="15" customHeight="1" x14ac:dyDescent="0.25">
      <c r="A1182" s="22" t="s">
        <v>2453</v>
      </c>
      <c r="B1182" s="33" t="str">
        <f>IFERROR(INDEX(Recipes!$B$2:$B$500,MATCH(A1182,Recipes!$A$2:$A$500,0)),"")</f>
        <v>Tropical Fruit Salad with Passion Fruit &amp; Guava Dressing</v>
      </c>
      <c r="C1182" s="7" t="s">
        <v>237</v>
      </c>
      <c r="D1182" s="34">
        <v>2</v>
      </c>
      <c r="E1182" s="22" t="s">
        <v>2754</v>
      </c>
      <c r="F1182" s="22" t="s">
        <v>236</v>
      </c>
      <c r="G1182" s="22" t="s">
        <v>2755</v>
      </c>
      <c r="H1182" s="7" t="s">
        <v>3063</v>
      </c>
      <c r="I1182" s="35">
        <v>110</v>
      </c>
      <c r="J1182" s="30">
        <f>IF(OR($F1182="",$I1182=""),0,IFERROR(INDEX(Nutrition!$D$2:$D$300,MATCH($F1182,Nutrition!$A$2:$A$300,0))*$I1182/100,0))</f>
        <v>5.94</v>
      </c>
      <c r="K1182" s="30">
        <f>IF(OR($F1182="",$I1182=""),0,IFERROR(INDEX(Nutrition!$E$2:$E$300,MATCH($F1182,Nutrition!$A$2:$A$300,0))*$I1182/100,0))</f>
        <v>251.13</v>
      </c>
      <c r="L1182" s="30">
        <f>IF(OR($F1182="",$I1182=""),0,IFERROR(INDEX(Nutrition!$F$2:$F$300,MATCH($F1182,Nutrition!$A$2:$A$300,0))*$I1182/100,0))</f>
        <v>34.1</v>
      </c>
      <c r="M1182" s="30">
        <f>IF(OR($F1182="",$I1182=""),0,IFERROR(INDEX(Nutrition!$G$2:$G$300,MATCH($F1182,Nutrition!$A$2:$A$300,0))*$I1182/100,0))</f>
        <v>2.86</v>
      </c>
      <c r="N1182" s="30">
        <f>IF(OR($F1182="",$I1182=""),0,IFERROR(INDEX(Nutrition!$H$2:$H$300,MATCH($F1182,Nutrition!$A$2:$A$300,0))*$I1182/100,0))</f>
        <v>53.9</v>
      </c>
      <c r="O1182" s="30">
        <f>IF(OR($F1182="",$I1182=""),0,IFERROR(INDEX(Nutrition!$I$2:$I$300,MATCH($F1182,Nutrition!$A$2:$A$300,0))*$I1182/100,0))</f>
        <v>458.7</v>
      </c>
      <c r="P1182" s="30">
        <f>IF(OR($F1182="",$I1182=""),0,IFERROR(INDEX(Nutrition!$J$2:$J$300,MATCH($F1182,Nutrition!$A$2:$A$300,0))*$I1182/100,0))</f>
        <v>0.80299999999999994</v>
      </c>
      <c r="Q1182" s="30">
        <f>IF(OR($F1182="",$I1182=""),0,IFERROR(INDEX(Nutrition!$K$2:$K$300,MATCH($F1182,Nutrition!$A$2:$A$300,0))*$I1182/100,0))</f>
        <v>0.121</v>
      </c>
      <c r="R1182" s="30">
        <f>IF(OR($F1182="",$I1182=""),0,IFERROR(INDEX(Nutrition!$L$2:$L$300,MATCH($F1182,Nutrition!$A$2:$A$300,0))*$I1182/100,0))</f>
        <v>24.2</v>
      </c>
      <c r="S1182" s="30">
        <f>IF(OR($F1182="",$I1182=""),0,IFERROR(INDEX(Nutrition!$M$2:$M$300,MATCH($F1182,Nutrition!$A$2:$A$300,0))*$I1182/100,0))</f>
        <v>0.28600000000000003</v>
      </c>
    </row>
    <row r="1183" spans="1:19" ht="15" customHeight="1" x14ac:dyDescent="0.25">
      <c r="A1183" s="22" t="s">
        <v>2453</v>
      </c>
      <c r="B1183" s="33" t="str">
        <f>IFERROR(INDEX(Recipes!$B$2:$B$500,MATCH(A1183,Recipes!$A$2:$A$500,0)),"")</f>
        <v>Tropical Fruit Salad with Passion Fruit &amp; Guava Dressing</v>
      </c>
      <c r="C1183" s="7" t="s">
        <v>213</v>
      </c>
      <c r="D1183" s="34">
        <v>0.5</v>
      </c>
      <c r="E1183" s="22" t="s">
        <v>2754</v>
      </c>
      <c r="F1183" s="22" t="s">
        <v>212</v>
      </c>
      <c r="G1183" s="22" t="s">
        <v>2755</v>
      </c>
      <c r="H1183" s="7" t="s">
        <v>2912</v>
      </c>
      <c r="I1183" s="35">
        <v>34</v>
      </c>
      <c r="J1183" s="30">
        <f>IF(OR($F1183="",$I1183=""),0,IFERROR(INDEX(Nutrition!$D$2:$D$300,MATCH($F1183,Nutrition!$A$2:$A$300,0))*$I1183/100,0))</f>
        <v>0.95199999999999985</v>
      </c>
      <c r="K1183" s="30">
        <f>IF(OR($F1183="",$I1183=""),0,IFERROR(INDEX(Nutrition!$E$2:$E$300,MATCH($F1183,Nutrition!$A$2:$A$300,0))*$I1183/100,0))</f>
        <v>9.8940000000000001</v>
      </c>
      <c r="L1183" s="30">
        <f>IF(OR($F1183="",$I1183=""),0,IFERROR(INDEX(Nutrition!$F$2:$F$300,MATCH($F1183,Nutrition!$A$2:$A$300,0))*$I1183/100,0))</f>
        <v>0.68</v>
      </c>
      <c r="M1183" s="30">
        <f>IF(OR($F1183="",$I1183=""),0,IFERROR(INDEX(Nutrition!$G$2:$G$300,MATCH($F1183,Nutrition!$A$2:$A$300,0))*$I1183/100,0))</f>
        <v>0.20399999999999999</v>
      </c>
      <c r="N1183" s="30">
        <f>IF(OR($F1183="",$I1183=""),0,IFERROR(INDEX(Nutrition!$H$2:$H$300,MATCH($F1183,Nutrition!$A$2:$A$300,0))*$I1183/100,0))</f>
        <v>2.72</v>
      </c>
      <c r="O1183" s="30">
        <f>IF(OR($F1183="",$I1183=""),0,IFERROR(INDEX(Nutrition!$I$2:$I$300,MATCH($F1183,Nutrition!$A$2:$A$300,0))*$I1183/100,0))</f>
        <v>34.68</v>
      </c>
      <c r="P1183" s="30">
        <f>IF(OR($F1183="",$I1183=""),0,IFERROR(INDEX(Nutrition!$J$2:$J$300,MATCH($F1183,Nutrition!$A$2:$A$300,0))*$I1183/100,0))</f>
        <v>7.4800000000000005E-2</v>
      </c>
      <c r="Q1183" s="30">
        <f>IF(OR($F1183="",$I1183=""),0,IFERROR(INDEX(Nutrition!$K$2:$K$300,MATCH($F1183,Nutrition!$A$2:$A$300,0))*$I1183/100,0))</f>
        <v>1.4619999999999999E-2</v>
      </c>
      <c r="R1183" s="30">
        <f>IF(OR($F1183="",$I1183=""),0,IFERROR(INDEX(Nutrition!$L$2:$L$300,MATCH($F1183,Nutrition!$A$2:$A$300,0))*$I1183/100,0))</f>
        <v>2.04</v>
      </c>
      <c r="S1183" s="30">
        <f>IF(OR($F1183="",$I1183=""),0,IFERROR(INDEX(Nutrition!$M$2:$M$300,MATCH($F1183,Nutrition!$A$2:$A$300,0))*$I1183/100,0))</f>
        <v>0.20399999999999999</v>
      </c>
    </row>
    <row r="1184" spans="1:19" ht="15" customHeight="1" x14ac:dyDescent="0.25">
      <c r="A1184" s="22" t="s">
        <v>2453</v>
      </c>
      <c r="B1184" s="33" t="str">
        <f>IFERROR(INDEX(Recipes!$B$2:$B$500,MATCH(A1184,Recipes!$A$2:$A$500,0)),"")</f>
        <v>Tropical Fruit Salad with Passion Fruit &amp; Guava Dressing</v>
      </c>
      <c r="C1184" s="7" t="s">
        <v>206</v>
      </c>
      <c r="D1184" s="34">
        <v>0.5</v>
      </c>
      <c r="E1184" s="22" t="s">
        <v>2754</v>
      </c>
      <c r="F1184" s="22" t="s">
        <v>205</v>
      </c>
      <c r="G1184" s="22" t="s">
        <v>2755</v>
      </c>
      <c r="H1184" s="7" t="s">
        <v>2912</v>
      </c>
      <c r="I1184" s="35">
        <v>29</v>
      </c>
      <c r="J1184" s="30">
        <f>IF(OR($F1184="",$I1184=""),0,IFERROR(INDEX(Nutrition!$D$2:$D$300,MATCH($F1184,Nutrition!$A$2:$A$300,0))*$I1184/100,0))</f>
        <v>0.81199999999999983</v>
      </c>
      <c r="K1184" s="30">
        <f>IF(OR($F1184="",$I1184=""),0,IFERROR(INDEX(Nutrition!$E$2:$E$300,MATCH($F1184,Nutrition!$A$2:$A$300,0))*$I1184/100,0))</f>
        <v>15.37</v>
      </c>
      <c r="L1184" s="30">
        <f>IF(OR($F1184="",$I1184=""),0,IFERROR(INDEX(Nutrition!$F$2:$F$300,MATCH($F1184,Nutrition!$A$2:$A$300,0))*$I1184/100,0))</f>
        <v>0.28999999999999998</v>
      </c>
      <c r="M1184" s="30">
        <f>IF(OR($F1184="",$I1184=""),0,IFERROR(INDEX(Nutrition!$G$2:$G$300,MATCH($F1184,Nutrition!$A$2:$A$300,0))*$I1184/100,0))</f>
        <v>0</v>
      </c>
      <c r="N1184" s="30">
        <f>IF(OR($F1184="",$I1184=""),0,IFERROR(INDEX(Nutrition!$H$2:$H$300,MATCH($F1184,Nutrition!$A$2:$A$300,0))*$I1184/100,0))</f>
        <v>3.19</v>
      </c>
      <c r="O1184" s="30">
        <f>IF(OR($F1184="",$I1184=""),0,IFERROR(INDEX(Nutrition!$I$2:$I$300,MATCH($F1184,Nutrition!$A$2:$A$300,0))*$I1184/100,0))</f>
        <v>40.020000000000003</v>
      </c>
      <c r="P1184" s="30">
        <f>IF(OR($F1184="",$I1184=""),0,IFERROR(INDEX(Nutrition!$J$2:$J$300,MATCH($F1184,Nutrition!$A$2:$A$300,0))*$I1184/100,0))</f>
        <v>4.3499999999999997E-2</v>
      </c>
      <c r="Q1184" s="30">
        <f>IF(OR($F1184="",$I1184=""),0,IFERROR(INDEX(Nutrition!$K$2:$K$300,MATCH($F1184,Nutrition!$A$2:$A$300,0))*$I1184/100,0))</f>
        <v>2.3199999999999998E-2</v>
      </c>
      <c r="R1184" s="30">
        <f>IF(OR($F1184="",$I1184=""),0,IFERROR(INDEX(Nutrition!$L$2:$L$300,MATCH($F1184,Nutrition!$A$2:$A$300,0))*$I1184/100,0))</f>
        <v>2.3199999999999998</v>
      </c>
      <c r="S1184" s="30">
        <f>IF(OR($F1184="",$I1184=""),0,IFERROR(INDEX(Nutrition!$M$2:$M$300,MATCH($F1184,Nutrition!$A$2:$A$300,0))*$I1184/100,0))</f>
        <v>0.17399999999999999</v>
      </c>
    </row>
    <row r="1185" spans="1:19" ht="15" customHeight="1" x14ac:dyDescent="0.25">
      <c r="A1185" s="22" t="s">
        <v>2466</v>
      </c>
      <c r="B1185" s="33" t="str">
        <f>IFERROR(INDEX(Recipes!$B$2:$B$500,MATCH(A1185,Recipes!$A$2:$A$500,0)),"")</f>
        <v>Vitamin A Plate: Mango, Pawpaw &amp; Carrot</v>
      </c>
      <c r="C1185" s="7" t="s">
        <v>168</v>
      </c>
      <c r="D1185" s="34">
        <v>1</v>
      </c>
      <c r="E1185" s="22" t="s">
        <v>2754</v>
      </c>
      <c r="F1185" s="22" t="s">
        <v>167</v>
      </c>
      <c r="G1185" s="22" t="s">
        <v>2755</v>
      </c>
      <c r="H1185" s="7" t="s">
        <v>3064</v>
      </c>
      <c r="I1185" s="35">
        <v>336</v>
      </c>
      <c r="J1185" s="30">
        <f>IF(OR($F1185="",$I1185=""),0,IFERROR(INDEX(Nutrition!$D$2:$D$300,MATCH($F1185,Nutrition!$A$2:$A$300,0))*$I1185/100,0))</f>
        <v>5.3760000000000003</v>
      </c>
      <c r="K1185" s="30">
        <f>IF(OR($F1185="",$I1185=""),0,IFERROR(INDEX(Nutrition!$E$2:$E$300,MATCH($F1185,Nutrition!$A$2:$A$300,0))*$I1185/100,0))</f>
        <v>122.304</v>
      </c>
      <c r="L1185" s="30">
        <f>IF(OR($F1185="",$I1185=""),0,IFERROR(INDEX(Nutrition!$F$2:$F$300,MATCH($F1185,Nutrition!$A$2:$A$300,0))*$I1185/100,0))</f>
        <v>181.44</v>
      </c>
      <c r="M1185" s="30">
        <f>IF(OR($F1185="",$I1185=""),0,IFERROR(INDEX(Nutrition!$G$2:$G$300,MATCH($F1185,Nutrition!$A$2:$A$300,0))*$I1185/100,0))</f>
        <v>14.112</v>
      </c>
      <c r="N1185" s="30">
        <f>IF(OR($F1185="",$I1185=""),0,IFERROR(INDEX(Nutrition!$H$2:$H$300,MATCH($F1185,Nutrition!$A$2:$A$300,0))*$I1185/100,0))</f>
        <v>144.47999999999999</v>
      </c>
      <c r="O1185" s="30">
        <f>IF(OR($F1185="",$I1185=""),0,IFERROR(INDEX(Nutrition!$I$2:$I$300,MATCH($F1185,Nutrition!$A$2:$A$300,0))*$I1185/100,0))</f>
        <v>564.48</v>
      </c>
      <c r="P1185" s="30">
        <f>IF(OR($F1185="",$I1185=""),0,IFERROR(INDEX(Nutrition!$J$2:$J$300,MATCH($F1185,Nutrition!$A$2:$A$300,0))*$I1185/100,0))</f>
        <v>3.0240000000000005</v>
      </c>
      <c r="Q1185" s="30">
        <f>IF(OR($F1185="",$I1185=""),0,IFERROR(INDEX(Nutrition!$K$2:$K$300,MATCH($F1185,Nutrition!$A$2:$A$300,0))*$I1185/100,0))</f>
        <v>0.39983999999999997</v>
      </c>
      <c r="R1185" s="30">
        <f>IF(OR($F1185="",$I1185=""),0,IFERROR(INDEX(Nutrition!$L$2:$L$300,MATCH($F1185,Nutrition!$A$2:$A$300,0))*$I1185/100,0))</f>
        <v>33.6</v>
      </c>
      <c r="S1185" s="30">
        <f>IF(OR($F1185="",$I1185=""),0,IFERROR(INDEX(Nutrition!$M$2:$M$300,MATCH($F1185,Nutrition!$A$2:$A$300,0))*$I1185/100,0))</f>
        <v>0.53759999999999997</v>
      </c>
    </row>
    <row r="1186" spans="1:19" ht="15" customHeight="1" x14ac:dyDescent="0.25">
      <c r="A1186" s="22" t="s">
        <v>2466</v>
      </c>
      <c r="B1186" s="33" t="str">
        <f>IFERROR(INDEX(Recipes!$B$2:$B$500,MATCH(A1186,Recipes!$A$2:$A$500,0)),"")</f>
        <v>Vitamin A Plate: Mango, Pawpaw &amp; Carrot</v>
      </c>
      <c r="C1186" s="7" t="s">
        <v>160</v>
      </c>
      <c r="D1186" s="34">
        <v>0.5</v>
      </c>
      <c r="E1186" s="22" t="s">
        <v>2754</v>
      </c>
      <c r="F1186" s="22" t="s">
        <v>159</v>
      </c>
      <c r="G1186" s="22" t="s">
        <v>2755</v>
      </c>
      <c r="H1186" s="7" t="s">
        <v>3064</v>
      </c>
      <c r="I1186" s="35">
        <v>138</v>
      </c>
      <c r="J1186" s="30">
        <f>IF(OR($F1186="",$I1186=""),0,IFERROR(INDEX(Nutrition!$D$2:$D$300,MATCH($F1186,Nutrition!$A$2:$A$300,0))*$I1186/100,0))</f>
        <v>2.3460000000000001</v>
      </c>
      <c r="K1186" s="30">
        <f>IF(OR($F1186="",$I1186=""),0,IFERROR(INDEX(Nutrition!$E$2:$E$300,MATCH($F1186,Nutrition!$A$2:$A$300,0))*$I1186/100,0))</f>
        <v>84.041999999999987</v>
      </c>
      <c r="L1186" s="30">
        <f>IF(OR($F1186="",$I1186=""),0,IFERROR(INDEX(Nutrition!$F$2:$F$300,MATCH($F1186,Nutrition!$A$2:$A$300,0))*$I1186/100,0))</f>
        <v>64.86</v>
      </c>
      <c r="M1186" s="30">
        <f>IF(OR($F1186="",$I1186=""),0,IFERROR(INDEX(Nutrition!$G$2:$G$300,MATCH($F1186,Nutrition!$A$2:$A$300,0))*$I1186/100,0))</f>
        <v>3.5880000000000001</v>
      </c>
      <c r="N1186" s="30">
        <f>IF(OR($F1186="",$I1186=""),0,IFERROR(INDEX(Nutrition!$H$2:$H$300,MATCH($F1186,Nutrition!$A$2:$A$300,0))*$I1186/100,0))</f>
        <v>51.06</v>
      </c>
      <c r="O1186" s="30">
        <f>IF(OR($F1186="",$I1186=""),0,IFERROR(INDEX(Nutrition!$I$2:$I$300,MATCH($F1186,Nutrition!$A$2:$A$300,0))*$I1186/100,0))</f>
        <v>251.16</v>
      </c>
      <c r="P1186" s="30">
        <f>IF(OR($F1186="",$I1186=""),0,IFERROR(INDEX(Nutrition!$J$2:$J$300,MATCH($F1186,Nutrition!$A$2:$A$300,0))*$I1186/100,0))</f>
        <v>0.41399999999999998</v>
      </c>
      <c r="Q1186" s="30">
        <f>IF(OR($F1186="",$I1186=""),0,IFERROR(INDEX(Nutrition!$K$2:$K$300,MATCH($F1186,Nutrition!$A$2:$A$300,0))*$I1186/100,0))</f>
        <v>5.2440000000000001E-2</v>
      </c>
      <c r="R1186" s="30">
        <f>IF(OR($F1186="",$I1186=""),0,IFERROR(INDEX(Nutrition!$L$2:$L$300,MATCH($F1186,Nutrition!$A$2:$A$300,0))*$I1186/100,0))</f>
        <v>28.98</v>
      </c>
      <c r="S1186" s="30">
        <f>IF(OR($F1186="",$I1186=""),0,IFERROR(INDEX(Nutrition!$M$2:$M$300,MATCH($F1186,Nutrition!$A$2:$A$300,0))*$I1186/100,0))</f>
        <v>0.34499999999999997</v>
      </c>
    </row>
    <row r="1187" spans="1:19" ht="15" customHeight="1" x14ac:dyDescent="0.25">
      <c r="A1187" s="22" t="s">
        <v>2466</v>
      </c>
      <c r="B1187" s="33" t="str">
        <f>IFERROR(INDEX(Recipes!$B$2:$B$500,MATCH(A1187,Recipes!$A$2:$A$500,0)),"")</f>
        <v>Vitamin A Plate: Mango, Pawpaw &amp; Carrot</v>
      </c>
      <c r="C1187" s="7" t="s">
        <v>529</v>
      </c>
      <c r="D1187" s="34">
        <v>1</v>
      </c>
      <c r="E1187" s="22" t="s">
        <v>2754</v>
      </c>
      <c r="F1187" s="22" t="s">
        <v>528</v>
      </c>
      <c r="G1187" s="22" t="s">
        <v>2755</v>
      </c>
      <c r="H1187" s="7" t="s">
        <v>3065</v>
      </c>
      <c r="I1187" s="35">
        <v>61</v>
      </c>
      <c r="J1187" s="30">
        <f>IF(OR($F1187="",$I1187=""),0,IFERROR(INDEX(Nutrition!$D$2:$D$300,MATCH($F1187,Nutrition!$A$2:$A$300,0))*$I1187/100,0))</f>
        <v>1.7079999999999997</v>
      </c>
      <c r="K1187" s="30">
        <f>IF(OR($F1187="",$I1187=""),0,IFERROR(INDEX(Nutrition!$E$2:$E$300,MATCH($F1187,Nutrition!$A$2:$A$300,0))*$I1187/100,0))</f>
        <v>3.5990000000000002</v>
      </c>
      <c r="L1187" s="30">
        <f>IF(OR($F1187="",$I1187=""),0,IFERROR(INDEX(Nutrition!$F$2:$F$300,MATCH($F1187,Nutrition!$A$2:$A$300,0))*$I1187/100,0))</f>
        <v>509.35</v>
      </c>
      <c r="M1187" s="30">
        <f>IF(OR($F1187="",$I1187=""),0,IFERROR(INDEX(Nutrition!$G$2:$G$300,MATCH($F1187,Nutrition!$A$2:$A$300,0))*$I1187/100,0))</f>
        <v>8.0519999999999996</v>
      </c>
      <c r="N1187" s="30">
        <f>IF(OR($F1187="",$I1187=""),0,IFERROR(INDEX(Nutrition!$H$2:$H$300,MATCH($F1187,Nutrition!$A$2:$A$300,0))*$I1187/100,0))</f>
        <v>11.59</v>
      </c>
      <c r="O1187" s="30">
        <f>IF(OR($F1187="",$I1187=""),0,IFERROR(INDEX(Nutrition!$I$2:$I$300,MATCH($F1187,Nutrition!$A$2:$A$300,0))*$I1187/100,0))</f>
        <v>195.2</v>
      </c>
      <c r="P1187" s="30">
        <f>IF(OR($F1187="",$I1187=""),0,IFERROR(INDEX(Nutrition!$J$2:$J$300,MATCH($F1187,Nutrition!$A$2:$A$300,0))*$I1187/100,0))</f>
        <v>0.40260000000000007</v>
      </c>
      <c r="Q1187" s="30">
        <f>IF(OR($F1187="",$I1187=""),0,IFERROR(INDEX(Nutrition!$K$2:$K$300,MATCH($F1187,Nutrition!$A$2:$A$300,0))*$I1187/100,0))</f>
        <v>8.4180000000000005E-2</v>
      </c>
      <c r="R1187" s="30">
        <f>IF(OR($F1187="",$I1187=""),0,IFERROR(INDEX(Nutrition!$L$2:$L$300,MATCH($F1187,Nutrition!$A$2:$A$300,0))*$I1187/100,0))</f>
        <v>7.32</v>
      </c>
      <c r="S1187" s="30">
        <f>IF(OR($F1187="",$I1187=""),0,IFERROR(INDEX(Nutrition!$M$2:$M$300,MATCH($F1187,Nutrition!$A$2:$A$300,0))*$I1187/100,0))</f>
        <v>0.183</v>
      </c>
    </row>
    <row r="1188" spans="1:19" ht="15" customHeight="1" x14ac:dyDescent="0.25">
      <c r="A1188" s="22" t="s">
        <v>2466</v>
      </c>
      <c r="B1188" s="33" t="str">
        <f>IFERROR(INDEX(Recipes!$B$2:$B$500,MATCH(A1188,Recipes!$A$2:$A$500,0)),"")</f>
        <v>Vitamin A Plate: Mango, Pawpaw &amp; Carrot</v>
      </c>
      <c r="C1188" s="7" t="s">
        <v>213</v>
      </c>
      <c r="D1188" s="34">
        <v>2</v>
      </c>
      <c r="E1188" s="22" t="s">
        <v>2754</v>
      </c>
      <c r="F1188" s="22" t="s">
        <v>212</v>
      </c>
      <c r="G1188" s="22" t="s">
        <v>2755</v>
      </c>
      <c r="H1188" s="7" t="s">
        <v>2764</v>
      </c>
      <c r="I1188" s="35">
        <v>134</v>
      </c>
      <c r="J1188" s="30">
        <f>IF(OR($F1188="",$I1188=""),0,IFERROR(INDEX(Nutrition!$D$2:$D$300,MATCH($F1188,Nutrition!$A$2:$A$300,0))*$I1188/100,0))</f>
        <v>3.7519999999999998</v>
      </c>
      <c r="K1188" s="30">
        <f>IF(OR($F1188="",$I1188=""),0,IFERROR(INDEX(Nutrition!$E$2:$E$300,MATCH($F1188,Nutrition!$A$2:$A$300,0))*$I1188/100,0))</f>
        <v>38.994</v>
      </c>
      <c r="L1188" s="30">
        <f>IF(OR($F1188="",$I1188=""),0,IFERROR(INDEX(Nutrition!$F$2:$F$300,MATCH($F1188,Nutrition!$A$2:$A$300,0))*$I1188/100,0))</f>
        <v>2.68</v>
      </c>
      <c r="M1188" s="30">
        <f>IF(OR($F1188="",$I1188=""),0,IFERROR(INDEX(Nutrition!$G$2:$G$300,MATCH($F1188,Nutrition!$A$2:$A$300,0))*$I1188/100,0))</f>
        <v>0.80399999999999994</v>
      </c>
      <c r="N1188" s="30">
        <f>IF(OR($F1188="",$I1188=""),0,IFERROR(INDEX(Nutrition!$H$2:$H$300,MATCH($F1188,Nutrition!$A$2:$A$300,0))*$I1188/100,0))</f>
        <v>10.72</v>
      </c>
      <c r="O1188" s="30">
        <f>IF(OR($F1188="",$I1188=""),0,IFERROR(INDEX(Nutrition!$I$2:$I$300,MATCH($F1188,Nutrition!$A$2:$A$300,0))*$I1188/100,0))</f>
        <v>136.68</v>
      </c>
      <c r="P1188" s="30">
        <f>IF(OR($F1188="",$I1188=""),0,IFERROR(INDEX(Nutrition!$J$2:$J$300,MATCH($F1188,Nutrition!$A$2:$A$300,0))*$I1188/100,0))</f>
        <v>0.29480000000000001</v>
      </c>
      <c r="Q1188" s="30">
        <f>IF(OR($F1188="",$I1188=""),0,IFERROR(INDEX(Nutrition!$K$2:$K$300,MATCH($F1188,Nutrition!$A$2:$A$300,0))*$I1188/100,0))</f>
        <v>5.7619999999999998E-2</v>
      </c>
      <c r="R1188" s="30">
        <f>IF(OR($F1188="",$I1188=""),0,IFERROR(INDEX(Nutrition!$L$2:$L$300,MATCH($F1188,Nutrition!$A$2:$A$300,0))*$I1188/100,0))</f>
        <v>8.0399999999999991</v>
      </c>
      <c r="S1188" s="30">
        <f>IF(OR($F1188="",$I1188=""),0,IFERROR(INDEX(Nutrition!$M$2:$M$300,MATCH($F1188,Nutrition!$A$2:$A$300,0))*$I1188/100,0))</f>
        <v>0.80399999999999994</v>
      </c>
    </row>
    <row r="1189" spans="1:19" ht="15" customHeight="1" x14ac:dyDescent="0.25">
      <c r="A1189" s="22" t="s">
        <v>2466</v>
      </c>
      <c r="B1189" s="33" t="str">
        <f>IFERROR(INDEX(Recipes!$B$2:$B$500,MATCH(A1189,Recipes!$A$2:$A$500,0)),"")</f>
        <v>Vitamin A Plate: Mango, Pawpaw &amp; Carrot</v>
      </c>
      <c r="C1189" s="7" t="s">
        <v>663</v>
      </c>
      <c r="D1189" s="34">
        <v>6</v>
      </c>
      <c r="E1189" s="22" t="s">
        <v>2840</v>
      </c>
      <c r="F1189" s="22" t="s">
        <v>662</v>
      </c>
      <c r="G1189" s="22" t="s">
        <v>2755</v>
      </c>
      <c r="H1189" s="7" t="s">
        <v>2760</v>
      </c>
      <c r="I1189" s="35">
        <v>6</v>
      </c>
      <c r="J1189" s="30">
        <f>IF(OR($F1189="",$I1189=""),0,IFERROR(INDEX(Nutrition!$D$2:$D$300,MATCH($F1189,Nutrition!$A$2:$A$300,0))*$I1189/100,0))</f>
        <v>0.40799999999999997</v>
      </c>
      <c r="K1189" s="30">
        <f>IF(OR($F1189="",$I1189=""),0,IFERROR(INDEX(Nutrition!$E$2:$E$300,MATCH($F1189,Nutrition!$A$2:$A$300,0))*$I1189/100,0))</f>
        <v>0.79800000000000015</v>
      </c>
      <c r="L1189" s="30">
        <f>IF(OR($F1189="",$I1189=""),0,IFERROR(INDEX(Nutrition!$F$2:$F$300,MATCH($F1189,Nutrition!$A$2:$A$300,0))*$I1189/100,0))</f>
        <v>12.18</v>
      </c>
      <c r="M1189" s="30">
        <f>IF(OR($F1189="",$I1189=""),0,IFERROR(INDEX(Nutrition!$G$2:$G$300,MATCH($F1189,Nutrition!$A$2:$A$300,0))*$I1189/100,0))</f>
        <v>0</v>
      </c>
      <c r="N1189" s="30">
        <f>IF(OR($F1189="",$I1189=""),0,IFERROR(INDEX(Nutrition!$H$2:$H$300,MATCH($F1189,Nutrition!$A$2:$A$300,0))*$I1189/100,0))</f>
        <v>6.3</v>
      </c>
      <c r="O1189" s="30">
        <f>IF(OR($F1189="",$I1189=""),0,IFERROR(INDEX(Nutrition!$I$2:$I$300,MATCH($F1189,Nutrition!$A$2:$A$300,0))*$I1189/100,0))</f>
        <v>27.48</v>
      </c>
      <c r="P1189" s="30">
        <f>IF(OR($F1189="",$I1189=""),0,IFERROR(INDEX(Nutrition!$J$2:$J$300,MATCH($F1189,Nutrition!$A$2:$A$300,0))*$I1189/100,0))</f>
        <v>0</v>
      </c>
      <c r="Q1189" s="30">
        <f>IF(OR($F1189="",$I1189=""),0,IFERROR(INDEX(Nutrition!$K$2:$K$300,MATCH($F1189,Nutrition!$A$2:$A$300,0))*$I1189/100,0))</f>
        <v>9.4799999999999988E-3</v>
      </c>
      <c r="R1189" s="30">
        <f>IF(OR($F1189="",$I1189=""),0,IFERROR(INDEX(Nutrition!$L$2:$L$300,MATCH($F1189,Nutrition!$A$2:$A$300,0))*$I1189/100,0))</f>
        <v>3.78</v>
      </c>
      <c r="S1189" s="30">
        <f>IF(OR($F1189="",$I1189=""),0,IFERROR(INDEX(Nutrition!$M$2:$M$300,MATCH($F1189,Nutrition!$A$2:$A$300,0))*$I1189/100,0))</f>
        <v>0.71219999999999994</v>
      </c>
    </row>
    <row r="1190" spans="1:19" ht="15" customHeight="1" x14ac:dyDescent="0.25">
      <c r="A1190" s="22" t="s">
        <v>2466</v>
      </c>
      <c r="B1190" s="33" t="str">
        <f>IFERROR(INDEX(Recipes!$B$2:$B$500,MATCH(A1190,Recipes!$A$2:$A$500,0)),"")</f>
        <v>Vitamin A Plate: Mango, Pawpaw &amp; Carrot</v>
      </c>
      <c r="C1190" s="7" t="s">
        <v>2758</v>
      </c>
      <c r="D1190" s="34">
        <v>1</v>
      </c>
      <c r="E1190" s="22" t="s">
        <v>2753</v>
      </c>
      <c r="F1190" s="22"/>
      <c r="G1190" s="22" t="s">
        <v>2749</v>
      </c>
      <c r="H1190" s="7"/>
      <c r="I1190" s="35"/>
      <c r="J1190" s="30">
        <f>IF(OR($F1190="",$I1190=""),0,IFERROR(INDEX(Nutrition!$D$2:$D$300,MATCH($F1190,Nutrition!$A$2:$A$300,0))*$I1190/100,0))</f>
        <v>0</v>
      </c>
      <c r="K1190" s="30">
        <f>IF(OR($F1190="",$I1190=""),0,IFERROR(INDEX(Nutrition!$E$2:$E$300,MATCH($F1190,Nutrition!$A$2:$A$300,0))*$I1190/100,0))</f>
        <v>0</v>
      </c>
      <c r="L1190" s="30">
        <f>IF(OR($F1190="",$I1190=""),0,IFERROR(INDEX(Nutrition!$F$2:$F$300,MATCH($F1190,Nutrition!$A$2:$A$300,0))*$I1190/100,0))</f>
        <v>0</v>
      </c>
      <c r="M1190" s="30">
        <f>IF(OR($F1190="",$I1190=""),0,IFERROR(INDEX(Nutrition!$G$2:$G$300,MATCH($F1190,Nutrition!$A$2:$A$300,0))*$I1190/100,0))</f>
        <v>0</v>
      </c>
      <c r="N1190" s="30">
        <f>IF(OR($F1190="",$I1190=""),0,IFERROR(INDEX(Nutrition!$H$2:$H$300,MATCH($F1190,Nutrition!$A$2:$A$300,0))*$I1190/100,0))</f>
        <v>0</v>
      </c>
      <c r="O1190" s="30">
        <f>IF(OR($F1190="",$I1190=""),0,IFERROR(INDEX(Nutrition!$I$2:$I$300,MATCH($F1190,Nutrition!$A$2:$A$300,0))*$I1190/100,0))</f>
        <v>0</v>
      </c>
      <c r="P1190" s="30">
        <f>IF(OR($F1190="",$I1190=""),0,IFERROR(INDEX(Nutrition!$J$2:$J$300,MATCH($F1190,Nutrition!$A$2:$A$300,0))*$I1190/100,0))</f>
        <v>0</v>
      </c>
      <c r="Q1190" s="30">
        <f>IF(OR($F1190="",$I1190=""),0,IFERROR(INDEX(Nutrition!$K$2:$K$300,MATCH($F1190,Nutrition!$A$2:$A$300,0))*$I1190/100,0))</f>
        <v>0</v>
      </c>
      <c r="R1190" s="30">
        <f>IF(OR($F1190="",$I1190=""),0,IFERROR(INDEX(Nutrition!$L$2:$L$300,MATCH($F1190,Nutrition!$A$2:$A$300,0))*$I1190/100,0))</f>
        <v>0</v>
      </c>
      <c r="S1190" s="30">
        <f>IF(OR($F1190="",$I1190=""),0,IFERROR(INDEX(Nutrition!$M$2:$M$300,MATCH($F1190,Nutrition!$A$2:$A$300,0))*$I1190/100,0))</f>
        <v>0</v>
      </c>
    </row>
    <row r="1191" spans="1:19" ht="15" customHeight="1" x14ac:dyDescent="0.25">
      <c r="A1191" s="22" t="s">
        <v>2478</v>
      </c>
      <c r="B1191" s="33" t="str">
        <f>IFERROR(INDEX(Recipes!$B$2:$B$500,MATCH(A1191,Recipes!$A$2:$A$500,0)),"")</f>
        <v>Vitamin C Plate: Orange, Kiwi &amp; Strawberry</v>
      </c>
      <c r="C1191" s="7" t="s">
        <v>183</v>
      </c>
      <c r="D1191" s="34">
        <v>2</v>
      </c>
      <c r="E1191" s="22" t="s">
        <v>2754</v>
      </c>
      <c r="F1191" s="22" t="s">
        <v>182</v>
      </c>
      <c r="G1191" s="22" t="s">
        <v>2755</v>
      </c>
      <c r="H1191" s="7" t="s">
        <v>3059</v>
      </c>
      <c r="I1191" s="35">
        <v>262</v>
      </c>
      <c r="J1191" s="30">
        <f>IF(OR($F1191="",$I1191=""),0,IFERROR(INDEX(Nutrition!$D$2:$D$300,MATCH($F1191,Nutrition!$A$2:$A$300,0))*$I1191/100,0))</f>
        <v>6.2879999999999994</v>
      </c>
      <c r="K1191" s="30">
        <f>IF(OR($F1191="",$I1191=""),0,IFERROR(INDEX(Nutrition!$E$2:$E$300,MATCH($F1191,Nutrition!$A$2:$A$300,0))*$I1191/100,0))</f>
        <v>139.38400000000001</v>
      </c>
      <c r="L1191" s="30">
        <f>IF(OR($F1191="",$I1191=""),0,IFERROR(INDEX(Nutrition!$F$2:$F$300,MATCH($F1191,Nutrition!$A$2:$A$300,0))*$I1191/100,0))</f>
        <v>28.82</v>
      </c>
      <c r="M1191" s="30">
        <f>IF(OR($F1191="",$I1191=""),0,IFERROR(INDEX(Nutrition!$G$2:$G$300,MATCH($F1191,Nutrition!$A$2:$A$300,0))*$I1191/100,0))</f>
        <v>0</v>
      </c>
      <c r="N1191" s="30">
        <f>IF(OR($F1191="",$I1191=""),0,IFERROR(INDEX(Nutrition!$H$2:$H$300,MATCH($F1191,Nutrition!$A$2:$A$300,0))*$I1191/100,0))</f>
        <v>78.599999999999994</v>
      </c>
      <c r="O1191" s="30">
        <f>IF(OR($F1191="",$I1191=""),0,IFERROR(INDEX(Nutrition!$I$2:$I$300,MATCH($F1191,Nutrition!$A$2:$A$300,0))*$I1191/100,0))</f>
        <v>474.22</v>
      </c>
      <c r="P1191" s="30">
        <f>IF(OR($F1191="",$I1191=""),0,IFERROR(INDEX(Nutrition!$J$2:$J$300,MATCH($F1191,Nutrition!$A$2:$A$300,0))*$I1191/100,0))</f>
        <v>0.47159999999999996</v>
      </c>
      <c r="Q1191" s="30">
        <f>IF(OR($F1191="",$I1191=""),0,IFERROR(INDEX(Nutrition!$K$2:$K$300,MATCH($F1191,Nutrition!$A$2:$A$300,0))*$I1191/100,0))</f>
        <v>0.15719999999999998</v>
      </c>
      <c r="R1191" s="30">
        <f>IF(OR($F1191="",$I1191=""),0,IFERROR(INDEX(Nutrition!$L$2:$L$300,MATCH($F1191,Nutrition!$A$2:$A$300,0))*$I1191/100,0))</f>
        <v>26.2</v>
      </c>
      <c r="S1191" s="30">
        <f>IF(OR($F1191="",$I1191=""),0,IFERROR(INDEX(Nutrition!$M$2:$M$300,MATCH($F1191,Nutrition!$A$2:$A$300,0))*$I1191/100,0))</f>
        <v>0.26200000000000001</v>
      </c>
    </row>
    <row r="1192" spans="1:19" ht="15" customHeight="1" x14ac:dyDescent="0.25">
      <c r="A1192" s="22" t="s">
        <v>2478</v>
      </c>
      <c r="B1192" s="33" t="str">
        <f>IFERROR(INDEX(Recipes!$B$2:$B$500,MATCH(A1192,Recipes!$A$2:$A$500,0)),"")</f>
        <v>Vitamin C Plate: Orange, Kiwi &amp; Strawberry</v>
      </c>
      <c r="C1192" s="7" t="s">
        <v>414</v>
      </c>
      <c r="D1192" s="34">
        <v>2</v>
      </c>
      <c r="E1192" s="22" t="s">
        <v>2754</v>
      </c>
      <c r="F1192" s="22" t="s">
        <v>413</v>
      </c>
      <c r="G1192" s="22" t="s">
        <v>2755</v>
      </c>
      <c r="H1192" s="7" t="s">
        <v>2756</v>
      </c>
      <c r="I1192" s="35">
        <v>138</v>
      </c>
      <c r="J1192" s="30">
        <f>IF(OR($F1192="",$I1192=""),0,IFERROR(INDEX(Nutrition!$D$2:$D$300,MATCH($F1192,Nutrition!$A$2:$A$300,0))*$I1192/100,0))</f>
        <v>4.1399999999999997</v>
      </c>
      <c r="K1192" s="30">
        <f>IF(OR($F1192="",$I1192=""),0,IFERROR(INDEX(Nutrition!$E$2:$E$300,MATCH($F1192,Nutrition!$A$2:$A$300,0))*$I1192/100,0))</f>
        <v>127.926</v>
      </c>
      <c r="L1192" s="30">
        <f>IF(OR($F1192="",$I1192=""),0,IFERROR(INDEX(Nutrition!$F$2:$F$300,MATCH($F1192,Nutrition!$A$2:$A$300,0))*$I1192/100,0))</f>
        <v>5.52</v>
      </c>
      <c r="M1192" s="30">
        <f>IF(OR($F1192="",$I1192=""),0,IFERROR(INDEX(Nutrition!$G$2:$G$300,MATCH($F1192,Nutrition!$A$2:$A$300,0))*$I1192/100,0))</f>
        <v>55.613999999999997</v>
      </c>
      <c r="N1192" s="30">
        <f>IF(OR($F1192="",$I1192=""),0,IFERROR(INDEX(Nutrition!$H$2:$H$300,MATCH($F1192,Nutrition!$A$2:$A$300,0))*$I1192/100,0))</f>
        <v>34.5</v>
      </c>
      <c r="O1192" s="30">
        <f>IF(OR($F1192="",$I1192=""),0,IFERROR(INDEX(Nutrition!$I$2:$I$300,MATCH($F1192,Nutrition!$A$2:$A$300,0))*$I1192/100,0))</f>
        <v>430.56</v>
      </c>
      <c r="P1192" s="30">
        <f>IF(OR($F1192="",$I1192=""),0,IFERROR(INDEX(Nutrition!$J$2:$J$300,MATCH($F1192,Nutrition!$A$2:$A$300,0))*$I1192/100,0))</f>
        <v>2.0147999999999997</v>
      </c>
      <c r="Q1192" s="30">
        <f>IF(OR($F1192="",$I1192=""),0,IFERROR(INDEX(Nutrition!$K$2:$K$300,MATCH($F1192,Nutrition!$A$2:$A$300,0))*$I1192/100,0))</f>
        <v>8.6940000000000003E-2</v>
      </c>
      <c r="R1192" s="30">
        <f>IF(OR($F1192="",$I1192=""),0,IFERROR(INDEX(Nutrition!$L$2:$L$300,MATCH($F1192,Nutrition!$A$2:$A$300,0))*$I1192/100,0))</f>
        <v>23.46</v>
      </c>
      <c r="S1192" s="30">
        <f>IF(OR($F1192="",$I1192=""),0,IFERROR(INDEX(Nutrition!$M$2:$M$300,MATCH($F1192,Nutrition!$A$2:$A$300,0))*$I1192/100,0))</f>
        <v>0.42780000000000001</v>
      </c>
    </row>
    <row r="1193" spans="1:19" ht="15" customHeight="1" x14ac:dyDescent="0.25">
      <c r="A1193" s="22" t="s">
        <v>2478</v>
      </c>
      <c r="B1193" s="33" t="str">
        <f>IFERROR(INDEX(Recipes!$B$2:$B$500,MATCH(A1193,Recipes!$A$2:$A$500,0)),"")</f>
        <v>Vitamin C Plate: Orange, Kiwi &amp; Strawberry</v>
      </c>
      <c r="C1193" s="7" t="s">
        <v>399</v>
      </c>
      <c r="D1193" s="34">
        <v>1</v>
      </c>
      <c r="E1193" s="22" t="s">
        <v>2748</v>
      </c>
      <c r="F1193" s="22" t="s">
        <v>398</v>
      </c>
      <c r="G1193" s="22" t="s">
        <v>2755</v>
      </c>
      <c r="H1193" s="7" t="s">
        <v>2907</v>
      </c>
      <c r="I1193" s="35">
        <v>152</v>
      </c>
      <c r="J1193" s="30">
        <f>IF(OR($F1193="",$I1193=""),0,IFERROR(INDEX(Nutrition!$D$2:$D$300,MATCH($F1193,Nutrition!$A$2:$A$300,0))*$I1193/100,0))</f>
        <v>3.04</v>
      </c>
      <c r="K1193" s="30">
        <f>IF(OR($F1193="",$I1193=""),0,IFERROR(INDEX(Nutrition!$E$2:$E$300,MATCH($F1193,Nutrition!$A$2:$A$300,0))*$I1193/100,0))</f>
        <v>89.376000000000005</v>
      </c>
      <c r="L1193" s="30">
        <f>IF(OR($F1193="",$I1193=""),0,IFERROR(INDEX(Nutrition!$F$2:$F$300,MATCH($F1193,Nutrition!$A$2:$A$300,0))*$I1193/100,0))</f>
        <v>1.52</v>
      </c>
      <c r="M1193" s="30">
        <f>IF(OR($F1193="",$I1193=""),0,IFERROR(INDEX(Nutrition!$G$2:$G$300,MATCH($F1193,Nutrition!$A$2:$A$300,0))*$I1193/100,0))</f>
        <v>3.3440000000000003</v>
      </c>
      <c r="N1193" s="30">
        <f>IF(OR($F1193="",$I1193=""),0,IFERROR(INDEX(Nutrition!$H$2:$H$300,MATCH($F1193,Nutrition!$A$2:$A$300,0))*$I1193/100,0))</f>
        <v>36.479999999999997</v>
      </c>
      <c r="O1193" s="30">
        <f>IF(OR($F1193="",$I1193=""),0,IFERROR(INDEX(Nutrition!$I$2:$I$300,MATCH($F1193,Nutrition!$A$2:$A$300,0))*$I1193/100,0))</f>
        <v>232.56</v>
      </c>
      <c r="P1193" s="30">
        <f>IF(OR($F1193="",$I1193=""),0,IFERROR(INDEX(Nutrition!$J$2:$J$300,MATCH($F1193,Nutrition!$A$2:$A$300,0))*$I1193/100,0))</f>
        <v>0.44079999999999997</v>
      </c>
      <c r="Q1193" s="30">
        <f>IF(OR($F1193="",$I1193=""),0,IFERROR(INDEX(Nutrition!$K$2:$K$300,MATCH($F1193,Nutrition!$A$2:$A$300,0))*$I1193/100,0))</f>
        <v>7.1440000000000003E-2</v>
      </c>
      <c r="R1193" s="30">
        <f>IF(OR($F1193="",$I1193=""),0,IFERROR(INDEX(Nutrition!$L$2:$L$300,MATCH($F1193,Nutrition!$A$2:$A$300,0))*$I1193/100,0))</f>
        <v>19.760000000000002</v>
      </c>
      <c r="S1193" s="30">
        <f>IF(OR($F1193="",$I1193=""),0,IFERROR(INDEX(Nutrition!$M$2:$M$300,MATCH($F1193,Nutrition!$A$2:$A$300,0))*$I1193/100,0))</f>
        <v>0.62319999999999998</v>
      </c>
    </row>
    <row r="1194" spans="1:19" ht="15" customHeight="1" x14ac:dyDescent="0.25">
      <c r="A1194" s="22" t="s">
        <v>2478</v>
      </c>
      <c r="B1194" s="33" t="str">
        <f>IFERROR(INDEX(Recipes!$B$2:$B$500,MATCH(A1194,Recipes!$A$2:$A$500,0)),"")</f>
        <v>Vitamin C Plate: Orange, Kiwi &amp; Strawberry</v>
      </c>
      <c r="C1194" s="7" t="s">
        <v>379</v>
      </c>
      <c r="D1194" s="34">
        <v>1</v>
      </c>
      <c r="E1194" s="22" t="s">
        <v>2754</v>
      </c>
      <c r="F1194" s="22" t="s">
        <v>378</v>
      </c>
      <c r="G1194" s="22" t="s">
        <v>2755</v>
      </c>
      <c r="H1194" s="7" t="s">
        <v>2901</v>
      </c>
      <c r="I1194" s="35">
        <v>182</v>
      </c>
      <c r="J1194" s="30">
        <f>IF(OR($F1194="",$I1194=""),0,IFERROR(INDEX(Nutrition!$D$2:$D$300,MATCH($F1194,Nutrition!$A$2:$A$300,0))*$I1194/100,0))</f>
        <v>4.3680000000000003</v>
      </c>
      <c r="K1194" s="30">
        <f>IF(OR($F1194="",$I1194=""),0,IFERROR(INDEX(Nutrition!$E$2:$E$300,MATCH($F1194,Nutrition!$A$2:$A$300,0))*$I1194/100,0))</f>
        <v>8.3719999999999999</v>
      </c>
      <c r="L1194" s="30">
        <f>IF(OR($F1194="",$I1194=""),0,IFERROR(INDEX(Nutrition!$F$2:$F$300,MATCH($F1194,Nutrition!$A$2:$A$300,0))*$I1194/100,0))</f>
        <v>5.46</v>
      </c>
      <c r="M1194" s="30">
        <f>IF(OR($F1194="",$I1194=""),0,IFERROR(INDEX(Nutrition!$G$2:$G$300,MATCH($F1194,Nutrition!$A$2:$A$300,0))*$I1194/100,0))</f>
        <v>4.0040000000000004</v>
      </c>
      <c r="N1194" s="30">
        <f>IF(OR($F1194="",$I1194=""),0,IFERROR(INDEX(Nutrition!$H$2:$H$300,MATCH($F1194,Nutrition!$A$2:$A$300,0))*$I1194/100,0))</f>
        <v>5.46</v>
      </c>
      <c r="O1194" s="30">
        <f>IF(OR($F1194="",$I1194=""),0,IFERROR(INDEX(Nutrition!$I$2:$I$300,MATCH($F1194,Nutrition!$A$2:$A$300,0))*$I1194/100,0))</f>
        <v>194.74</v>
      </c>
      <c r="P1194" s="30">
        <f>IF(OR($F1194="",$I1194=""),0,IFERROR(INDEX(Nutrition!$J$2:$J$300,MATCH($F1194,Nutrition!$A$2:$A$300,0))*$I1194/100,0))</f>
        <v>0.3276</v>
      </c>
      <c r="Q1194" s="30">
        <f>IF(OR($F1194="",$I1194=""),0,IFERROR(INDEX(Nutrition!$K$2:$K$300,MATCH($F1194,Nutrition!$A$2:$A$300,0))*$I1194/100,0))</f>
        <v>7.4620000000000006E-2</v>
      </c>
      <c r="R1194" s="30">
        <f>IF(OR($F1194="",$I1194=""),0,IFERROR(INDEX(Nutrition!$L$2:$L$300,MATCH($F1194,Nutrition!$A$2:$A$300,0))*$I1194/100,0))</f>
        <v>9.1</v>
      </c>
      <c r="S1194" s="30">
        <f>IF(OR($F1194="",$I1194=""),0,IFERROR(INDEX(Nutrition!$M$2:$M$300,MATCH($F1194,Nutrition!$A$2:$A$300,0))*$I1194/100,0))</f>
        <v>0.21840000000000001</v>
      </c>
    </row>
    <row r="1195" spans="1:19" ht="15" customHeight="1" x14ac:dyDescent="0.25">
      <c r="A1195" s="22" t="s">
        <v>2478</v>
      </c>
      <c r="B1195" s="33" t="str">
        <f>IFERROR(INDEX(Recipes!$B$2:$B$500,MATCH(A1195,Recipes!$A$2:$A$500,0)),"")</f>
        <v>Vitamin C Plate: Orange, Kiwi &amp; Strawberry</v>
      </c>
      <c r="C1195" s="7" t="s">
        <v>237</v>
      </c>
      <c r="D1195" s="34">
        <v>1</v>
      </c>
      <c r="E1195" s="22" t="s">
        <v>2754</v>
      </c>
      <c r="F1195" s="22" t="s">
        <v>236</v>
      </c>
      <c r="G1195" s="22" t="s">
        <v>2755</v>
      </c>
      <c r="H1195" s="7" t="s">
        <v>3066</v>
      </c>
      <c r="I1195" s="35">
        <v>55</v>
      </c>
      <c r="J1195" s="30">
        <f>IF(OR($F1195="",$I1195=""),0,IFERROR(INDEX(Nutrition!$D$2:$D$300,MATCH($F1195,Nutrition!$A$2:$A$300,0))*$I1195/100,0))</f>
        <v>2.97</v>
      </c>
      <c r="K1195" s="30">
        <f>IF(OR($F1195="",$I1195=""),0,IFERROR(INDEX(Nutrition!$E$2:$E$300,MATCH($F1195,Nutrition!$A$2:$A$300,0))*$I1195/100,0))</f>
        <v>125.565</v>
      </c>
      <c r="L1195" s="30">
        <f>IF(OR($F1195="",$I1195=""),0,IFERROR(INDEX(Nutrition!$F$2:$F$300,MATCH($F1195,Nutrition!$A$2:$A$300,0))*$I1195/100,0))</f>
        <v>17.05</v>
      </c>
      <c r="M1195" s="30">
        <f>IF(OR($F1195="",$I1195=""),0,IFERROR(INDEX(Nutrition!$G$2:$G$300,MATCH($F1195,Nutrition!$A$2:$A$300,0))*$I1195/100,0))</f>
        <v>1.43</v>
      </c>
      <c r="N1195" s="30">
        <f>IF(OR($F1195="",$I1195=""),0,IFERROR(INDEX(Nutrition!$H$2:$H$300,MATCH($F1195,Nutrition!$A$2:$A$300,0))*$I1195/100,0))</f>
        <v>26.95</v>
      </c>
      <c r="O1195" s="30">
        <f>IF(OR($F1195="",$I1195=""),0,IFERROR(INDEX(Nutrition!$I$2:$I$300,MATCH($F1195,Nutrition!$A$2:$A$300,0))*$I1195/100,0))</f>
        <v>229.35</v>
      </c>
      <c r="P1195" s="30">
        <f>IF(OR($F1195="",$I1195=""),0,IFERROR(INDEX(Nutrition!$J$2:$J$300,MATCH($F1195,Nutrition!$A$2:$A$300,0))*$I1195/100,0))</f>
        <v>0.40149999999999997</v>
      </c>
      <c r="Q1195" s="30">
        <f>IF(OR($F1195="",$I1195=""),0,IFERROR(INDEX(Nutrition!$K$2:$K$300,MATCH($F1195,Nutrition!$A$2:$A$300,0))*$I1195/100,0))</f>
        <v>6.0499999999999998E-2</v>
      </c>
      <c r="R1195" s="30">
        <f>IF(OR($F1195="",$I1195=""),0,IFERROR(INDEX(Nutrition!$L$2:$L$300,MATCH($F1195,Nutrition!$A$2:$A$300,0))*$I1195/100,0))</f>
        <v>12.1</v>
      </c>
      <c r="S1195" s="30">
        <f>IF(OR($F1195="",$I1195=""),0,IFERROR(INDEX(Nutrition!$M$2:$M$300,MATCH($F1195,Nutrition!$A$2:$A$300,0))*$I1195/100,0))</f>
        <v>0.14300000000000002</v>
      </c>
    </row>
    <row r="1196" spans="1:19" ht="15" customHeight="1" x14ac:dyDescent="0.25">
      <c r="A1196" s="22" t="s">
        <v>2478</v>
      </c>
      <c r="B1196" s="33" t="str">
        <f>IFERROR(INDEX(Recipes!$B$2:$B$500,MATCH(A1196,Recipes!$A$2:$A$500,0)),"")</f>
        <v>Vitamin C Plate: Orange, Kiwi &amp; Strawberry</v>
      </c>
      <c r="C1196" s="7" t="s">
        <v>213</v>
      </c>
      <c r="D1196" s="34">
        <v>1</v>
      </c>
      <c r="E1196" s="22" t="s">
        <v>2753</v>
      </c>
      <c r="F1196" s="22" t="s">
        <v>212</v>
      </c>
      <c r="G1196" s="22" t="s">
        <v>2755</v>
      </c>
      <c r="H1196" s="7" t="s">
        <v>2912</v>
      </c>
      <c r="I1196" s="35">
        <v>15</v>
      </c>
      <c r="J1196" s="30">
        <f>IF(OR($F1196="",$I1196=""),0,IFERROR(INDEX(Nutrition!$D$2:$D$300,MATCH($F1196,Nutrition!$A$2:$A$300,0))*$I1196/100,0))</f>
        <v>0.42</v>
      </c>
      <c r="K1196" s="30">
        <f>IF(OR($F1196="",$I1196=""),0,IFERROR(INDEX(Nutrition!$E$2:$E$300,MATCH($F1196,Nutrition!$A$2:$A$300,0))*$I1196/100,0))</f>
        <v>4.3650000000000002</v>
      </c>
      <c r="L1196" s="30">
        <f>IF(OR($F1196="",$I1196=""),0,IFERROR(INDEX(Nutrition!$F$2:$F$300,MATCH($F1196,Nutrition!$A$2:$A$300,0))*$I1196/100,0))</f>
        <v>0.3</v>
      </c>
      <c r="M1196" s="30">
        <f>IF(OR($F1196="",$I1196=""),0,IFERROR(INDEX(Nutrition!$G$2:$G$300,MATCH($F1196,Nutrition!$A$2:$A$300,0))*$I1196/100,0))</f>
        <v>0.09</v>
      </c>
      <c r="N1196" s="30">
        <f>IF(OR($F1196="",$I1196=""),0,IFERROR(INDEX(Nutrition!$H$2:$H$300,MATCH($F1196,Nutrition!$A$2:$A$300,0))*$I1196/100,0))</f>
        <v>1.2</v>
      </c>
      <c r="O1196" s="30">
        <f>IF(OR($F1196="",$I1196=""),0,IFERROR(INDEX(Nutrition!$I$2:$I$300,MATCH($F1196,Nutrition!$A$2:$A$300,0))*$I1196/100,0))</f>
        <v>15.3</v>
      </c>
      <c r="P1196" s="30">
        <f>IF(OR($F1196="",$I1196=""),0,IFERROR(INDEX(Nutrition!$J$2:$J$300,MATCH($F1196,Nutrition!$A$2:$A$300,0))*$I1196/100,0))</f>
        <v>3.3000000000000002E-2</v>
      </c>
      <c r="Q1196" s="30">
        <f>IF(OR($F1196="",$I1196=""),0,IFERROR(INDEX(Nutrition!$K$2:$K$300,MATCH($F1196,Nutrition!$A$2:$A$300,0))*$I1196/100,0))</f>
        <v>6.4499999999999991E-3</v>
      </c>
      <c r="R1196" s="30">
        <f>IF(OR($F1196="",$I1196=""),0,IFERROR(INDEX(Nutrition!$L$2:$L$300,MATCH($F1196,Nutrition!$A$2:$A$300,0))*$I1196/100,0))</f>
        <v>0.9</v>
      </c>
      <c r="S1196" s="30">
        <f>IF(OR($F1196="",$I1196=""),0,IFERROR(INDEX(Nutrition!$M$2:$M$300,MATCH($F1196,Nutrition!$A$2:$A$300,0))*$I1196/100,0))</f>
        <v>0.09</v>
      </c>
    </row>
    <row r="1197" spans="1:19" ht="15" customHeight="1" x14ac:dyDescent="0.25">
      <c r="A1197" s="22" t="s">
        <v>2478</v>
      </c>
      <c r="B1197" s="33" t="str">
        <f>IFERROR(INDEX(Recipes!$B$2:$B$500,MATCH(A1197,Recipes!$A$2:$A$500,0)),"")</f>
        <v>Vitamin C Plate: Orange, Kiwi &amp; Strawberry</v>
      </c>
      <c r="C1197" s="7" t="s">
        <v>663</v>
      </c>
      <c r="D1197" s="34">
        <v>1</v>
      </c>
      <c r="E1197" s="22" t="s">
        <v>2753</v>
      </c>
      <c r="F1197" s="22" t="s">
        <v>662</v>
      </c>
      <c r="G1197" s="22" t="s">
        <v>2755</v>
      </c>
      <c r="H1197" s="7" t="s">
        <v>2775</v>
      </c>
      <c r="I1197" s="35">
        <v>4</v>
      </c>
      <c r="J1197" s="30">
        <f>IF(OR($F1197="",$I1197=""),0,IFERROR(INDEX(Nutrition!$D$2:$D$300,MATCH($F1197,Nutrition!$A$2:$A$300,0))*$I1197/100,0))</f>
        <v>0.27200000000000002</v>
      </c>
      <c r="K1197" s="30">
        <f>IF(OR($F1197="",$I1197=""),0,IFERROR(INDEX(Nutrition!$E$2:$E$300,MATCH($F1197,Nutrition!$A$2:$A$300,0))*$I1197/100,0))</f>
        <v>0.53200000000000003</v>
      </c>
      <c r="L1197" s="30">
        <f>IF(OR($F1197="",$I1197=""),0,IFERROR(INDEX(Nutrition!$F$2:$F$300,MATCH($F1197,Nutrition!$A$2:$A$300,0))*$I1197/100,0))</f>
        <v>8.1199999999999992</v>
      </c>
      <c r="M1197" s="30">
        <f>IF(OR($F1197="",$I1197=""),0,IFERROR(INDEX(Nutrition!$G$2:$G$300,MATCH($F1197,Nutrition!$A$2:$A$300,0))*$I1197/100,0))</f>
        <v>0</v>
      </c>
      <c r="N1197" s="30">
        <f>IF(OR($F1197="",$I1197=""),0,IFERROR(INDEX(Nutrition!$H$2:$H$300,MATCH($F1197,Nutrition!$A$2:$A$300,0))*$I1197/100,0))</f>
        <v>4.2</v>
      </c>
      <c r="O1197" s="30">
        <f>IF(OR($F1197="",$I1197=""),0,IFERROR(INDEX(Nutrition!$I$2:$I$300,MATCH($F1197,Nutrition!$A$2:$A$300,0))*$I1197/100,0))</f>
        <v>18.32</v>
      </c>
      <c r="P1197" s="30">
        <f>IF(OR($F1197="",$I1197=""),0,IFERROR(INDEX(Nutrition!$J$2:$J$300,MATCH($F1197,Nutrition!$A$2:$A$300,0))*$I1197/100,0))</f>
        <v>0</v>
      </c>
      <c r="Q1197" s="30">
        <f>IF(OR($F1197="",$I1197=""),0,IFERROR(INDEX(Nutrition!$K$2:$K$300,MATCH($F1197,Nutrition!$A$2:$A$300,0))*$I1197/100,0))</f>
        <v>6.3200000000000001E-3</v>
      </c>
      <c r="R1197" s="30">
        <f>IF(OR($F1197="",$I1197=""),0,IFERROR(INDEX(Nutrition!$L$2:$L$300,MATCH($F1197,Nutrition!$A$2:$A$300,0))*$I1197/100,0))</f>
        <v>2.52</v>
      </c>
      <c r="S1197" s="30">
        <f>IF(OR($F1197="",$I1197=""),0,IFERROR(INDEX(Nutrition!$M$2:$M$300,MATCH($F1197,Nutrition!$A$2:$A$300,0))*$I1197/100,0))</f>
        <v>0.47479999999999994</v>
      </c>
    </row>
    <row r="1198" spans="1:19" ht="15" customHeight="1" x14ac:dyDescent="0.25">
      <c r="A1198" s="22" t="s">
        <v>2478</v>
      </c>
      <c r="B1198" s="33" t="str">
        <f>IFERROR(INDEX(Recipes!$B$2:$B$500,MATCH(A1198,Recipes!$A$2:$A$500,0)),"")</f>
        <v>Vitamin C Plate: Orange, Kiwi &amp; Strawberry</v>
      </c>
      <c r="C1198" s="7" t="s">
        <v>2758</v>
      </c>
      <c r="D1198" s="34">
        <v>1</v>
      </c>
      <c r="E1198" s="22" t="s">
        <v>2753</v>
      </c>
      <c r="F1198" s="22"/>
      <c r="G1198" s="22" t="s">
        <v>2749</v>
      </c>
      <c r="H1198" s="7"/>
      <c r="I1198" s="35"/>
      <c r="J1198" s="30">
        <f>IF(OR($F1198="",$I1198=""),0,IFERROR(INDEX(Nutrition!$D$2:$D$300,MATCH($F1198,Nutrition!$A$2:$A$300,0))*$I1198/100,0))</f>
        <v>0</v>
      </c>
      <c r="K1198" s="30">
        <f>IF(OR($F1198="",$I1198=""),0,IFERROR(INDEX(Nutrition!$E$2:$E$300,MATCH($F1198,Nutrition!$A$2:$A$300,0))*$I1198/100,0))</f>
        <v>0</v>
      </c>
      <c r="L1198" s="30">
        <f>IF(OR($F1198="",$I1198=""),0,IFERROR(INDEX(Nutrition!$F$2:$F$300,MATCH($F1198,Nutrition!$A$2:$A$300,0))*$I1198/100,0))</f>
        <v>0</v>
      </c>
      <c r="M1198" s="30">
        <f>IF(OR($F1198="",$I1198=""),0,IFERROR(INDEX(Nutrition!$G$2:$G$300,MATCH($F1198,Nutrition!$A$2:$A$300,0))*$I1198/100,0))</f>
        <v>0</v>
      </c>
      <c r="N1198" s="30">
        <f>IF(OR($F1198="",$I1198=""),0,IFERROR(INDEX(Nutrition!$H$2:$H$300,MATCH($F1198,Nutrition!$A$2:$A$300,0))*$I1198/100,0))</f>
        <v>0</v>
      </c>
      <c r="O1198" s="30">
        <f>IF(OR($F1198="",$I1198=""),0,IFERROR(INDEX(Nutrition!$I$2:$I$300,MATCH($F1198,Nutrition!$A$2:$A$300,0))*$I1198/100,0))</f>
        <v>0</v>
      </c>
      <c r="P1198" s="30">
        <f>IF(OR($F1198="",$I1198=""),0,IFERROR(INDEX(Nutrition!$J$2:$J$300,MATCH($F1198,Nutrition!$A$2:$A$300,0))*$I1198/100,0))</f>
        <v>0</v>
      </c>
      <c r="Q1198" s="30">
        <f>IF(OR($F1198="",$I1198=""),0,IFERROR(INDEX(Nutrition!$K$2:$K$300,MATCH($F1198,Nutrition!$A$2:$A$300,0))*$I1198/100,0))</f>
        <v>0</v>
      </c>
      <c r="R1198" s="30">
        <f>IF(OR($F1198="",$I1198=""),0,IFERROR(INDEX(Nutrition!$L$2:$L$300,MATCH($F1198,Nutrition!$A$2:$A$300,0))*$I1198/100,0))</f>
        <v>0</v>
      </c>
      <c r="S1198" s="30">
        <f>IF(OR($F1198="",$I1198=""),0,IFERROR(INDEX(Nutrition!$M$2:$M$300,MATCH($F1198,Nutrition!$A$2:$A$300,0))*$I1198/100,0))</f>
        <v>0</v>
      </c>
    </row>
    <row r="1199" spans="1:19" ht="15" customHeight="1" x14ac:dyDescent="0.25">
      <c r="A1199" s="22" t="s">
        <v>2489</v>
      </c>
      <c r="B1199" s="33" t="str">
        <f>IFERROR(INDEX(Recipes!$B$2:$B$500,MATCH(A1199,Recipes!$A$2:$A$500,0)),"")</f>
        <v>Potassium Plate: Banana, Dates &amp; Coconut</v>
      </c>
      <c r="C1199" s="7" t="s">
        <v>110</v>
      </c>
      <c r="D1199" s="34">
        <v>2</v>
      </c>
      <c r="E1199" s="22" t="s">
        <v>2754</v>
      </c>
      <c r="F1199" s="22" t="s">
        <v>109</v>
      </c>
      <c r="G1199" s="22" t="s">
        <v>2755</v>
      </c>
      <c r="H1199" s="7" t="s">
        <v>2830</v>
      </c>
      <c r="I1199" s="35">
        <v>236</v>
      </c>
      <c r="J1199" s="30">
        <f>IF(OR($F1199="",$I1199=""),0,IFERROR(INDEX(Nutrition!$D$2:$D$300,MATCH($F1199,Nutrition!$A$2:$A$300,0))*$I1199/100,0))</f>
        <v>6.1360000000000001</v>
      </c>
      <c r="K1199" s="30">
        <f>IF(OR($F1199="",$I1199=""),0,IFERROR(INDEX(Nutrition!$E$2:$E$300,MATCH($F1199,Nutrition!$A$2:$A$300,0))*$I1199/100,0))</f>
        <v>20.531999999999996</v>
      </c>
      <c r="L1199" s="30">
        <f>IF(OR($F1199="",$I1199=""),0,IFERROR(INDEX(Nutrition!$F$2:$F$300,MATCH($F1199,Nutrition!$A$2:$A$300,0))*$I1199/100,0))</f>
        <v>7.08</v>
      </c>
      <c r="M1199" s="30">
        <f>IF(OR($F1199="",$I1199=""),0,IFERROR(INDEX(Nutrition!$G$2:$G$300,MATCH($F1199,Nutrition!$A$2:$A$300,0))*$I1199/100,0))</f>
        <v>1.18</v>
      </c>
      <c r="N1199" s="30">
        <f>IF(OR($F1199="",$I1199=""),0,IFERROR(INDEX(Nutrition!$H$2:$H$300,MATCH($F1199,Nutrition!$A$2:$A$300,0))*$I1199/100,0))</f>
        <v>47.2</v>
      </c>
      <c r="O1199" s="30">
        <f>IF(OR($F1199="",$I1199=""),0,IFERROR(INDEX(Nutrition!$I$2:$I$300,MATCH($F1199,Nutrition!$A$2:$A$300,0))*$I1199/100,0))</f>
        <v>844.88</v>
      </c>
      <c r="P1199" s="30">
        <f>IF(OR($F1199="",$I1199=""),0,IFERROR(INDEX(Nutrition!$J$2:$J$300,MATCH($F1199,Nutrition!$A$2:$A$300,0))*$I1199/100,0))</f>
        <v>0.23600000000000002</v>
      </c>
      <c r="Q1199" s="30">
        <f>IF(OR($F1199="",$I1199=""),0,IFERROR(INDEX(Nutrition!$K$2:$K$300,MATCH($F1199,Nutrition!$A$2:$A$300,0))*$I1199/100,0))</f>
        <v>0.86612</v>
      </c>
      <c r="R1199" s="30">
        <f>IF(OR($F1199="",$I1199=""),0,IFERROR(INDEX(Nutrition!$L$2:$L$300,MATCH($F1199,Nutrition!$A$2:$A$300,0))*$I1199/100,0))</f>
        <v>63.72</v>
      </c>
      <c r="S1199" s="30">
        <f>IF(OR($F1199="",$I1199=""),0,IFERROR(INDEX(Nutrition!$M$2:$M$300,MATCH($F1199,Nutrition!$A$2:$A$300,0))*$I1199/100,0))</f>
        <v>0.61360000000000003</v>
      </c>
    </row>
    <row r="1200" spans="1:19" ht="15" customHeight="1" x14ac:dyDescent="0.25">
      <c r="A1200" s="22" t="s">
        <v>2489</v>
      </c>
      <c r="B1200" s="33" t="str">
        <f>IFERROR(INDEX(Recipes!$B$2:$B$500,MATCH(A1200,Recipes!$A$2:$A$500,0)),"")</f>
        <v>Potassium Plate: Banana, Dates &amp; Coconut</v>
      </c>
      <c r="C1200" s="7" t="s">
        <v>370</v>
      </c>
      <c r="D1200" s="34">
        <v>6</v>
      </c>
      <c r="E1200" s="22" t="s">
        <v>2754</v>
      </c>
      <c r="F1200" s="22" t="s">
        <v>369</v>
      </c>
      <c r="G1200" s="22" t="s">
        <v>2755</v>
      </c>
      <c r="H1200" s="7" t="s">
        <v>2967</v>
      </c>
      <c r="I1200" s="35">
        <v>42</v>
      </c>
      <c r="J1200" s="30">
        <f>IF(OR($F1200="",$I1200=""),0,IFERROR(INDEX(Nutrition!$D$2:$D$300,MATCH($F1200,Nutrition!$A$2:$A$300,0))*$I1200/100,0))</f>
        <v>3.36</v>
      </c>
      <c r="K1200" s="30">
        <f>IF(OR($F1200="",$I1200=""),0,IFERROR(INDEX(Nutrition!$E$2:$E$300,MATCH($F1200,Nutrition!$A$2:$A$300,0))*$I1200/100,0))</f>
        <v>0.16800000000000001</v>
      </c>
      <c r="L1200" s="30">
        <f>IF(OR($F1200="",$I1200=""),0,IFERROR(INDEX(Nutrition!$F$2:$F$300,MATCH($F1200,Nutrition!$A$2:$A$300,0))*$I1200/100,0))</f>
        <v>0</v>
      </c>
      <c r="M1200" s="30">
        <f>IF(OR($F1200="",$I1200=""),0,IFERROR(INDEX(Nutrition!$G$2:$G$300,MATCH($F1200,Nutrition!$A$2:$A$300,0))*$I1200/100,0))</f>
        <v>1.1340000000000001</v>
      </c>
      <c r="N1200" s="30">
        <f>IF(OR($F1200="",$I1200=""),0,IFERROR(INDEX(Nutrition!$H$2:$H$300,MATCH($F1200,Nutrition!$A$2:$A$300,0))*$I1200/100,0))</f>
        <v>7.98</v>
      </c>
      <c r="O1200" s="30">
        <f>IF(OR($F1200="",$I1200=""),0,IFERROR(INDEX(Nutrition!$I$2:$I$300,MATCH($F1200,Nutrition!$A$2:$A$300,0))*$I1200/100,0))</f>
        <v>275.52</v>
      </c>
      <c r="P1200" s="30">
        <f>IF(OR($F1200="",$I1200=""),0,IFERROR(INDEX(Nutrition!$J$2:$J$300,MATCH($F1200,Nutrition!$A$2:$A$300,0))*$I1200/100,0))</f>
        <v>2.1000000000000001E-2</v>
      </c>
      <c r="Q1200" s="30">
        <f>IF(OR($F1200="",$I1200=""),0,IFERROR(INDEX(Nutrition!$K$2:$K$300,MATCH($F1200,Nutrition!$A$2:$A$300,0))*$I1200/100,0))</f>
        <v>6.93E-2</v>
      </c>
      <c r="R1200" s="30">
        <f>IF(OR($F1200="",$I1200=""),0,IFERROR(INDEX(Nutrition!$L$2:$L$300,MATCH($F1200,Nutrition!$A$2:$A$300,0))*$I1200/100,0))</f>
        <v>18.059999999999999</v>
      </c>
      <c r="S1200" s="30">
        <f>IF(OR($F1200="",$I1200=""),0,IFERROR(INDEX(Nutrition!$M$2:$M$300,MATCH($F1200,Nutrition!$A$2:$A$300,0))*$I1200/100,0))</f>
        <v>0.42840000000000006</v>
      </c>
    </row>
    <row r="1201" spans="1:19" ht="15" customHeight="1" x14ac:dyDescent="0.25">
      <c r="A1201" s="22" t="s">
        <v>2489</v>
      </c>
      <c r="B1201" s="33" t="str">
        <f>IFERROR(INDEX(Recipes!$B$2:$B$500,MATCH(A1201,Recipes!$A$2:$A$500,0)),"")</f>
        <v>Potassium Plate: Banana, Dates &amp; Coconut</v>
      </c>
      <c r="C1201" s="7" t="s">
        <v>262</v>
      </c>
      <c r="D1201" s="34">
        <v>0.25</v>
      </c>
      <c r="E1201" s="22" t="s">
        <v>2748</v>
      </c>
      <c r="F1201" s="22" t="s">
        <v>261</v>
      </c>
      <c r="G1201" s="22" t="s">
        <v>2755</v>
      </c>
      <c r="H1201" s="7" t="s">
        <v>3067</v>
      </c>
      <c r="I1201" s="35">
        <v>20</v>
      </c>
      <c r="J1201" s="30">
        <f>IF(OR($F1201="",$I1201=""),0,IFERROR(INDEX(Nutrition!$D$2:$D$300,MATCH($F1201,Nutrition!$A$2:$A$300,0))*$I1201/100,0))</f>
        <v>1.8</v>
      </c>
      <c r="K1201" s="30">
        <f>IF(OR($F1201="",$I1201=""),0,IFERROR(INDEX(Nutrition!$E$2:$E$300,MATCH($F1201,Nutrition!$A$2:$A$300,0))*$I1201/100,0))</f>
        <v>0.66</v>
      </c>
      <c r="L1201" s="30">
        <f>IF(OR($F1201="",$I1201=""),0,IFERROR(INDEX(Nutrition!$F$2:$F$300,MATCH($F1201,Nutrition!$A$2:$A$300,0))*$I1201/100,0))</f>
        <v>0</v>
      </c>
      <c r="M1201" s="30">
        <f>IF(OR($F1201="",$I1201=""),0,IFERROR(INDEX(Nutrition!$G$2:$G$300,MATCH($F1201,Nutrition!$A$2:$A$300,0))*$I1201/100,0))</f>
        <v>0.04</v>
      </c>
      <c r="N1201" s="30">
        <f>IF(OR($F1201="",$I1201=""),0,IFERROR(INDEX(Nutrition!$H$2:$H$300,MATCH($F1201,Nutrition!$A$2:$A$300,0))*$I1201/100,0))</f>
        <v>5.2</v>
      </c>
      <c r="O1201" s="30">
        <f>IF(OR($F1201="",$I1201=""),0,IFERROR(INDEX(Nutrition!$I$2:$I$300,MATCH($F1201,Nutrition!$A$2:$A$300,0))*$I1201/100,0))</f>
        <v>71.2</v>
      </c>
      <c r="P1201" s="30">
        <f>IF(OR($F1201="",$I1201=""),0,IFERROR(INDEX(Nutrition!$J$2:$J$300,MATCH($F1201,Nutrition!$A$2:$A$300,0))*$I1201/100,0))</f>
        <v>4.8000000000000001E-2</v>
      </c>
      <c r="Q1201" s="30">
        <f>IF(OR($F1201="",$I1201=""),0,IFERROR(INDEX(Nutrition!$K$2:$K$300,MATCH($F1201,Nutrition!$A$2:$A$300,0))*$I1201/100,0))</f>
        <v>1.0800000000000001E-2</v>
      </c>
      <c r="R1201" s="30">
        <f>IF(OR($F1201="",$I1201=""),0,IFERROR(INDEX(Nutrition!$L$2:$L$300,MATCH($F1201,Nutrition!$A$2:$A$300,0))*$I1201/100,0))</f>
        <v>6.4</v>
      </c>
      <c r="S1201" s="30">
        <f>IF(OR($F1201="",$I1201=""),0,IFERROR(INDEX(Nutrition!$M$2:$M$300,MATCH($F1201,Nutrition!$A$2:$A$300,0))*$I1201/100,0))</f>
        <v>0.48599999999999999</v>
      </c>
    </row>
    <row r="1202" spans="1:19" ht="15" customHeight="1" x14ac:dyDescent="0.25">
      <c r="A1202" s="22" t="s">
        <v>2489</v>
      </c>
      <c r="B1202" s="33" t="str">
        <f>IFERROR(INDEX(Recipes!$B$2:$B$500,MATCH(A1202,Recipes!$A$2:$A$500,0)),"")</f>
        <v>Potassium Plate: Banana, Dates &amp; Coconut</v>
      </c>
      <c r="C1202" s="7" t="s">
        <v>428</v>
      </c>
      <c r="D1202" s="34">
        <v>2</v>
      </c>
      <c r="E1202" s="22" t="s">
        <v>2753</v>
      </c>
      <c r="F1202" s="22" t="s">
        <v>427</v>
      </c>
      <c r="G1202" s="22" t="s">
        <v>2755</v>
      </c>
      <c r="H1202" s="7" t="s">
        <v>3026</v>
      </c>
      <c r="I1202" s="35">
        <v>30</v>
      </c>
      <c r="J1202" s="30">
        <f>IF(OR($F1202="",$I1202=""),0,IFERROR(INDEX(Nutrition!$D$2:$D$300,MATCH($F1202,Nutrition!$A$2:$A$300,0))*$I1202/100,0))</f>
        <v>2.5499999999999998</v>
      </c>
      <c r="K1202" s="30">
        <f>IF(OR($F1202="",$I1202=""),0,IFERROR(INDEX(Nutrition!$E$2:$E$300,MATCH($F1202,Nutrition!$A$2:$A$300,0))*$I1202/100,0))</f>
        <v>0</v>
      </c>
      <c r="L1202" s="30">
        <f>IF(OR($F1202="",$I1202=""),0,IFERROR(INDEX(Nutrition!$F$2:$F$300,MATCH($F1202,Nutrition!$A$2:$A$300,0))*$I1202/100,0))</f>
        <v>0</v>
      </c>
      <c r="M1202" s="30">
        <f>IF(OR($F1202="",$I1202=""),0,IFERROR(INDEX(Nutrition!$G$2:$G$300,MATCH($F1202,Nutrition!$A$2:$A$300,0))*$I1202/100,0))</f>
        <v>0</v>
      </c>
      <c r="N1202" s="30">
        <f>IF(OR($F1202="",$I1202=""),0,IFERROR(INDEX(Nutrition!$H$2:$H$300,MATCH($F1202,Nutrition!$A$2:$A$300,0))*$I1202/100,0))</f>
        <v>72</v>
      </c>
      <c r="O1202" s="30">
        <f>IF(OR($F1202="",$I1202=""),0,IFERROR(INDEX(Nutrition!$I$2:$I$300,MATCH($F1202,Nutrition!$A$2:$A$300,0))*$I1202/100,0))</f>
        <v>211.5</v>
      </c>
      <c r="P1202" s="30">
        <f>IF(OR($F1202="",$I1202=""),0,IFERROR(INDEX(Nutrition!$J$2:$J$300,MATCH($F1202,Nutrition!$A$2:$A$300,0))*$I1202/100,0))</f>
        <v>2.4990000000000001</v>
      </c>
      <c r="Q1202" s="30">
        <f>IF(OR($F1202="",$I1202=""),0,IFERROR(INDEX(Nutrition!$K$2:$K$300,MATCH($F1202,Nutrition!$A$2:$A$300,0))*$I1202/100,0))</f>
        <v>0.10439999999999999</v>
      </c>
      <c r="R1202" s="30">
        <f>IF(OR($F1202="",$I1202=""),0,IFERROR(INDEX(Nutrition!$L$2:$L$300,MATCH($F1202,Nutrition!$A$2:$A$300,0))*$I1202/100,0))</f>
        <v>50.4</v>
      </c>
      <c r="S1202" s="30">
        <f>IF(OR($F1202="",$I1202=""),0,IFERROR(INDEX(Nutrition!$M$2:$M$300,MATCH($F1202,Nutrition!$A$2:$A$300,0))*$I1202/100,0))</f>
        <v>1.3740000000000001</v>
      </c>
    </row>
    <row r="1203" spans="1:19" ht="15" customHeight="1" x14ac:dyDescent="0.25">
      <c r="A1203" s="22" t="s">
        <v>2489</v>
      </c>
      <c r="B1203" s="33" t="str">
        <f>IFERROR(INDEX(Recipes!$B$2:$B$500,MATCH(A1203,Recipes!$A$2:$A$500,0)),"")</f>
        <v>Potassium Plate: Banana, Dates &amp; Coconut</v>
      </c>
      <c r="C1203" s="7" t="s">
        <v>213</v>
      </c>
      <c r="D1203" s="34">
        <v>0.5</v>
      </c>
      <c r="E1203" s="22" t="s">
        <v>2754</v>
      </c>
      <c r="F1203" s="22" t="s">
        <v>212</v>
      </c>
      <c r="G1203" s="22" t="s">
        <v>2755</v>
      </c>
      <c r="H1203" s="7" t="s">
        <v>2912</v>
      </c>
      <c r="I1203" s="35">
        <v>34</v>
      </c>
      <c r="J1203" s="30">
        <f>IF(OR($F1203="",$I1203=""),0,IFERROR(INDEX(Nutrition!$D$2:$D$300,MATCH($F1203,Nutrition!$A$2:$A$300,0))*$I1203/100,0))</f>
        <v>0.95199999999999985</v>
      </c>
      <c r="K1203" s="30">
        <f>IF(OR($F1203="",$I1203=""),0,IFERROR(INDEX(Nutrition!$E$2:$E$300,MATCH($F1203,Nutrition!$A$2:$A$300,0))*$I1203/100,0))</f>
        <v>9.8940000000000001</v>
      </c>
      <c r="L1203" s="30">
        <f>IF(OR($F1203="",$I1203=""),0,IFERROR(INDEX(Nutrition!$F$2:$F$300,MATCH($F1203,Nutrition!$A$2:$A$300,0))*$I1203/100,0))</f>
        <v>0.68</v>
      </c>
      <c r="M1203" s="30">
        <f>IF(OR($F1203="",$I1203=""),0,IFERROR(INDEX(Nutrition!$G$2:$G$300,MATCH($F1203,Nutrition!$A$2:$A$300,0))*$I1203/100,0))</f>
        <v>0.20399999999999999</v>
      </c>
      <c r="N1203" s="30">
        <f>IF(OR($F1203="",$I1203=""),0,IFERROR(INDEX(Nutrition!$H$2:$H$300,MATCH($F1203,Nutrition!$A$2:$A$300,0))*$I1203/100,0))</f>
        <v>2.72</v>
      </c>
      <c r="O1203" s="30">
        <f>IF(OR($F1203="",$I1203=""),0,IFERROR(INDEX(Nutrition!$I$2:$I$300,MATCH($F1203,Nutrition!$A$2:$A$300,0))*$I1203/100,0))</f>
        <v>34.68</v>
      </c>
      <c r="P1203" s="30">
        <f>IF(OR($F1203="",$I1203=""),0,IFERROR(INDEX(Nutrition!$J$2:$J$300,MATCH($F1203,Nutrition!$A$2:$A$300,0))*$I1203/100,0))</f>
        <v>7.4800000000000005E-2</v>
      </c>
      <c r="Q1203" s="30">
        <f>IF(OR($F1203="",$I1203=""),0,IFERROR(INDEX(Nutrition!$K$2:$K$300,MATCH($F1203,Nutrition!$A$2:$A$300,0))*$I1203/100,0))</f>
        <v>1.4619999999999999E-2</v>
      </c>
      <c r="R1203" s="30">
        <f>IF(OR($F1203="",$I1203=""),0,IFERROR(INDEX(Nutrition!$L$2:$L$300,MATCH($F1203,Nutrition!$A$2:$A$300,0))*$I1203/100,0))</f>
        <v>2.04</v>
      </c>
      <c r="S1203" s="30">
        <f>IF(OR($F1203="",$I1203=""),0,IFERROR(INDEX(Nutrition!$M$2:$M$300,MATCH($F1203,Nutrition!$A$2:$A$300,0))*$I1203/100,0))</f>
        <v>0.20399999999999999</v>
      </c>
    </row>
    <row r="1204" spans="1:19" ht="15" customHeight="1" x14ac:dyDescent="0.25">
      <c r="A1204" s="22" t="s">
        <v>2500</v>
      </c>
      <c r="B1204" s="33" t="str">
        <f>IFERROR(INDEX(Recipes!$B$2:$B$500,MATCH(A1204,Recipes!$A$2:$A$500,0)),"")</f>
        <v>Chocolate Avocado Mousse</v>
      </c>
      <c r="C1204" s="7" t="s">
        <v>227</v>
      </c>
      <c r="D1204" s="34">
        <v>2</v>
      </c>
      <c r="E1204" s="22" t="s">
        <v>2754</v>
      </c>
      <c r="F1204" s="22" t="s">
        <v>226</v>
      </c>
      <c r="G1204" s="22" t="s">
        <v>2755</v>
      </c>
      <c r="H1204" s="7" t="s">
        <v>3068</v>
      </c>
      <c r="I1204" s="35">
        <v>402</v>
      </c>
      <c r="J1204" s="30">
        <f>IF(OR($F1204="",$I1204=""),0,IFERROR(INDEX(Nutrition!$D$2:$D$300,MATCH($F1204,Nutrition!$A$2:$A$300,0))*$I1204/100,0))</f>
        <v>26.934000000000001</v>
      </c>
      <c r="K1204" s="30">
        <f>IF(OR($F1204="",$I1204=""),0,IFERROR(INDEX(Nutrition!$E$2:$E$300,MATCH($F1204,Nutrition!$A$2:$A$300,0))*$I1204/100,0))</f>
        <v>40.200000000000003</v>
      </c>
      <c r="L1204" s="30">
        <f>IF(OR($F1204="",$I1204=""),0,IFERROR(INDEX(Nutrition!$F$2:$F$300,MATCH($F1204,Nutrition!$A$2:$A$300,0))*$I1204/100,0))</f>
        <v>28.14</v>
      </c>
      <c r="M1204" s="30">
        <f>IF(OR($F1204="",$I1204=""),0,IFERROR(INDEX(Nutrition!$G$2:$G$300,MATCH($F1204,Nutrition!$A$2:$A$300,0))*$I1204/100,0))</f>
        <v>84.42</v>
      </c>
      <c r="N1204" s="30">
        <f>IF(OR($F1204="",$I1204=""),0,IFERROR(INDEX(Nutrition!$H$2:$H$300,MATCH($F1204,Nutrition!$A$2:$A$300,0))*$I1204/100,0))</f>
        <v>325.62</v>
      </c>
      <c r="O1204" s="30">
        <f>IF(OR($F1204="",$I1204=""),0,IFERROR(INDEX(Nutrition!$I$2:$I$300,MATCH($F1204,Nutrition!$A$2:$A$300,0))*$I1204/100,0))</f>
        <v>1949.7</v>
      </c>
      <c r="P1204" s="30">
        <f>IF(OR($F1204="",$I1204=""),0,IFERROR(INDEX(Nutrition!$J$2:$J$300,MATCH($F1204,Nutrition!$A$2:$A$300,0))*$I1204/100,0))</f>
        <v>8.3214000000000006</v>
      </c>
      <c r="Q1204" s="30">
        <f>IF(OR($F1204="",$I1204=""),0,IFERROR(INDEX(Nutrition!$K$2:$K$300,MATCH($F1204,Nutrition!$A$2:$A$300,0))*$I1204/100,0))</f>
        <v>1.0331400000000002</v>
      </c>
      <c r="R1204" s="30">
        <f>IF(OR($F1204="",$I1204=""),0,IFERROR(INDEX(Nutrition!$L$2:$L$300,MATCH($F1204,Nutrition!$A$2:$A$300,0))*$I1204/100,0))</f>
        <v>116.58</v>
      </c>
      <c r="S1204" s="30">
        <f>IF(OR($F1204="",$I1204=""),0,IFERROR(INDEX(Nutrition!$M$2:$M$300,MATCH($F1204,Nutrition!$A$2:$A$300,0))*$I1204/100,0))</f>
        <v>2.2110000000000003</v>
      </c>
    </row>
    <row r="1205" spans="1:19" ht="15" customHeight="1" x14ac:dyDescent="0.25">
      <c r="A1205" s="22" t="s">
        <v>2500</v>
      </c>
      <c r="B1205" s="33" t="str">
        <f>IFERROR(INDEX(Recipes!$B$2:$B$500,MATCH(A1205,Recipes!$A$2:$A$500,0)),"")</f>
        <v>Chocolate Avocado Mousse</v>
      </c>
      <c r="C1205" s="7" t="s">
        <v>262</v>
      </c>
      <c r="D1205" s="34">
        <v>0.5</v>
      </c>
      <c r="E1205" s="22" t="s">
        <v>2748</v>
      </c>
      <c r="F1205" s="22" t="s">
        <v>261</v>
      </c>
      <c r="G1205" s="22" t="s">
        <v>2755</v>
      </c>
      <c r="H1205" s="7" t="s">
        <v>3069</v>
      </c>
      <c r="I1205" s="35">
        <v>40</v>
      </c>
      <c r="J1205" s="30">
        <f>IF(OR($F1205="",$I1205=""),0,IFERROR(INDEX(Nutrition!$D$2:$D$300,MATCH($F1205,Nutrition!$A$2:$A$300,0))*$I1205/100,0))</f>
        <v>3.6</v>
      </c>
      <c r="K1205" s="30">
        <f>IF(OR($F1205="",$I1205=""),0,IFERROR(INDEX(Nutrition!$E$2:$E$300,MATCH($F1205,Nutrition!$A$2:$A$300,0))*$I1205/100,0))</f>
        <v>1.32</v>
      </c>
      <c r="L1205" s="30">
        <f>IF(OR($F1205="",$I1205=""),0,IFERROR(INDEX(Nutrition!$F$2:$F$300,MATCH($F1205,Nutrition!$A$2:$A$300,0))*$I1205/100,0))</f>
        <v>0</v>
      </c>
      <c r="M1205" s="30">
        <f>IF(OR($F1205="",$I1205=""),0,IFERROR(INDEX(Nutrition!$G$2:$G$300,MATCH($F1205,Nutrition!$A$2:$A$300,0))*$I1205/100,0))</f>
        <v>0.08</v>
      </c>
      <c r="N1205" s="30">
        <f>IF(OR($F1205="",$I1205=""),0,IFERROR(INDEX(Nutrition!$H$2:$H$300,MATCH($F1205,Nutrition!$A$2:$A$300,0))*$I1205/100,0))</f>
        <v>10.4</v>
      </c>
      <c r="O1205" s="30">
        <f>IF(OR($F1205="",$I1205=""),0,IFERROR(INDEX(Nutrition!$I$2:$I$300,MATCH($F1205,Nutrition!$A$2:$A$300,0))*$I1205/100,0))</f>
        <v>142.4</v>
      </c>
      <c r="P1205" s="30">
        <f>IF(OR($F1205="",$I1205=""),0,IFERROR(INDEX(Nutrition!$J$2:$J$300,MATCH($F1205,Nutrition!$A$2:$A$300,0))*$I1205/100,0))</f>
        <v>9.6000000000000002E-2</v>
      </c>
      <c r="Q1205" s="30">
        <f>IF(OR($F1205="",$I1205=""),0,IFERROR(INDEX(Nutrition!$K$2:$K$300,MATCH($F1205,Nutrition!$A$2:$A$300,0))*$I1205/100,0))</f>
        <v>2.1600000000000001E-2</v>
      </c>
      <c r="R1205" s="30">
        <f>IF(OR($F1205="",$I1205=""),0,IFERROR(INDEX(Nutrition!$L$2:$L$300,MATCH($F1205,Nutrition!$A$2:$A$300,0))*$I1205/100,0))</f>
        <v>12.8</v>
      </c>
      <c r="S1205" s="30">
        <f>IF(OR($F1205="",$I1205=""),0,IFERROR(INDEX(Nutrition!$M$2:$M$300,MATCH($F1205,Nutrition!$A$2:$A$300,0))*$I1205/100,0))</f>
        <v>0.97199999999999998</v>
      </c>
    </row>
    <row r="1206" spans="1:19" ht="15" customHeight="1" x14ac:dyDescent="0.25">
      <c r="A1206" s="22" t="s">
        <v>2500</v>
      </c>
      <c r="B1206" s="33" t="str">
        <f>IFERROR(INDEX(Recipes!$B$2:$B$500,MATCH(A1206,Recipes!$A$2:$A$500,0)),"")</f>
        <v>Chocolate Avocado Mousse</v>
      </c>
      <c r="C1206" s="7" t="s">
        <v>370</v>
      </c>
      <c r="D1206" s="34">
        <v>6</v>
      </c>
      <c r="E1206" s="22" t="s">
        <v>2754</v>
      </c>
      <c r="F1206" s="22" t="s">
        <v>369</v>
      </c>
      <c r="G1206" s="22" t="s">
        <v>2755</v>
      </c>
      <c r="H1206" s="7" t="s">
        <v>3070</v>
      </c>
      <c r="I1206" s="35">
        <v>42</v>
      </c>
      <c r="J1206" s="30">
        <f>IF(OR($F1206="",$I1206=""),0,IFERROR(INDEX(Nutrition!$D$2:$D$300,MATCH($F1206,Nutrition!$A$2:$A$300,0))*$I1206/100,0))</f>
        <v>3.36</v>
      </c>
      <c r="K1206" s="30">
        <f>IF(OR($F1206="",$I1206=""),0,IFERROR(INDEX(Nutrition!$E$2:$E$300,MATCH($F1206,Nutrition!$A$2:$A$300,0))*$I1206/100,0))</f>
        <v>0.16800000000000001</v>
      </c>
      <c r="L1206" s="30">
        <f>IF(OR($F1206="",$I1206=""),0,IFERROR(INDEX(Nutrition!$F$2:$F$300,MATCH($F1206,Nutrition!$A$2:$A$300,0))*$I1206/100,0))</f>
        <v>0</v>
      </c>
      <c r="M1206" s="30">
        <f>IF(OR($F1206="",$I1206=""),0,IFERROR(INDEX(Nutrition!$G$2:$G$300,MATCH($F1206,Nutrition!$A$2:$A$300,0))*$I1206/100,0))</f>
        <v>1.1340000000000001</v>
      </c>
      <c r="N1206" s="30">
        <f>IF(OR($F1206="",$I1206=""),0,IFERROR(INDEX(Nutrition!$H$2:$H$300,MATCH($F1206,Nutrition!$A$2:$A$300,0))*$I1206/100,0))</f>
        <v>7.98</v>
      </c>
      <c r="O1206" s="30">
        <f>IF(OR($F1206="",$I1206=""),0,IFERROR(INDEX(Nutrition!$I$2:$I$300,MATCH($F1206,Nutrition!$A$2:$A$300,0))*$I1206/100,0))</f>
        <v>275.52</v>
      </c>
      <c r="P1206" s="30">
        <f>IF(OR($F1206="",$I1206=""),0,IFERROR(INDEX(Nutrition!$J$2:$J$300,MATCH($F1206,Nutrition!$A$2:$A$300,0))*$I1206/100,0))</f>
        <v>2.1000000000000001E-2</v>
      </c>
      <c r="Q1206" s="30">
        <f>IF(OR($F1206="",$I1206=""),0,IFERROR(INDEX(Nutrition!$K$2:$K$300,MATCH($F1206,Nutrition!$A$2:$A$300,0))*$I1206/100,0))</f>
        <v>6.93E-2</v>
      </c>
      <c r="R1206" s="30">
        <f>IF(OR($F1206="",$I1206=""),0,IFERROR(INDEX(Nutrition!$L$2:$L$300,MATCH($F1206,Nutrition!$A$2:$A$300,0))*$I1206/100,0))</f>
        <v>18.059999999999999</v>
      </c>
      <c r="S1206" s="30">
        <f>IF(OR($F1206="",$I1206=""),0,IFERROR(INDEX(Nutrition!$M$2:$M$300,MATCH($F1206,Nutrition!$A$2:$A$300,0))*$I1206/100,0))</f>
        <v>0.42840000000000006</v>
      </c>
    </row>
    <row r="1207" spans="1:19" ht="15" customHeight="1" x14ac:dyDescent="0.25">
      <c r="A1207" s="22" t="s">
        <v>2500</v>
      </c>
      <c r="B1207" s="33" t="str">
        <f>IFERROR(INDEX(Recipes!$B$2:$B$500,MATCH(A1207,Recipes!$A$2:$A$500,0)),"")</f>
        <v>Chocolate Avocado Mousse</v>
      </c>
      <c r="C1207" s="7" t="s">
        <v>399</v>
      </c>
      <c r="D1207" s="34">
        <v>0.5</v>
      </c>
      <c r="E1207" s="22" t="s">
        <v>2748</v>
      </c>
      <c r="F1207" s="22" t="s">
        <v>398</v>
      </c>
      <c r="G1207" s="22" t="s">
        <v>2755</v>
      </c>
      <c r="H1207" s="7" t="s">
        <v>3071</v>
      </c>
      <c r="I1207" s="35">
        <v>76</v>
      </c>
      <c r="J1207" s="30">
        <f>IF(OR($F1207="",$I1207=""),0,IFERROR(INDEX(Nutrition!$D$2:$D$300,MATCH($F1207,Nutrition!$A$2:$A$300,0))*$I1207/100,0))</f>
        <v>1.52</v>
      </c>
      <c r="K1207" s="30">
        <f>IF(OR($F1207="",$I1207=""),0,IFERROR(INDEX(Nutrition!$E$2:$E$300,MATCH($F1207,Nutrition!$A$2:$A$300,0))*$I1207/100,0))</f>
        <v>44.688000000000002</v>
      </c>
      <c r="L1207" s="30">
        <f>IF(OR($F1207="",$I1207=""),0,IFERROR(INDEX(Nutrition!$F$2:$F$300,MATCH($F1207,Nutrition!$A$2:$A$300,0))*$I1207/100,0))</f>
        <v>0.76</v>
      </c>
      <c r="M1207" s="30">
        <f>IF(OR($F1207="",$I1207=""),0,IFERROR(INDEX(Nutrition!$G$2:$G$300,MATCH($F1207,Nutrition!$A$2:$A$300,0))*$I1207/100,0))</f>
        <v>1.6720000000000002</v>
      </c>
      <c r="N1207" s="30">
        <f>IF(OR($F1207="",$I1207=""),0,IFERROR(INDEX(Nutrition!$H$2:$H$300,MATCH($F1207,Nutrition!$A$2:$A$300,0))*$I1207/100,0))</f>
        <v>18.239999999999998</v>
      </c>
      <c r="O1207" s="30">
        <f>IF(OR($F1207="",$I1207=""),0,IFERROR(INDEX(Nutrition!$I$2:$I$300,MATCH($F1207,Nutrition!$A$2:$A$300,0))*$I1207/100,0))</f>
        <v>116.28</v>
      </c>
      <c r="P1207" s="30">
        <f>IF(OR($F1207="",$I1207=""),0,IFERROR(INDEX(Nutrition!$J$2:$J$300,MATCH($F1207,Nutrition!$A$2:$A$300,0))*$I1207/100,0))</f>
        <v>0.22039999999999998</v>
      </c>
      <c r="Q1207" s="30">
        <f>IF(OR($F1207="",$I1207=""),0,IFERROR(INDEX(Nutrition!$K$2:$K$300,MATCH($F1207,Nutrition!$A$2:$A$300,0))*$I1207/100,0))</f>
        <v>3.5720000000000002E-2</v>
      </c>
      <c r="R1207" s="30">
        <f>IF(OR($F1207="",$I1207=""),0,IFERROR(INDEX(Nutrition!$L$2:$L$300,MATCH($F1207,Nutrition!$A$2:$A$300,0))*$I1207/100,0))</f>
        <v>9.8800000000000008</v>
      </c>
      <c r="S1207" s="30">
        <f>IF(OR($F1207="",$I1207=""),0,IFERROR(INDEX(Nutrition!$M$2:$M$300,MATCH($F1207,Nutrition!$A$2:$A$300,0))*$I1207/100,0))</f>
        <v>0.31159999999999999</v>
      </c>
    </row>
    <row r="1208" spans="1:19" ht="15" customHeight="1" x14ac:dyDescent="0.25">
      <c r="A1208" s="22" t="s">
        <v>2500</v>
      </c>
      <c r="B1208" s="33" t="str">
        <f>IFERROR(INDEX(Recipes!$B$2:$B$500,MATCH(A1208,Recipes!$A$2:$A$500,0)),"")</f>
        <v>Chocolate Avocado Mousse</v>
      </c>
      <c r="C1208" s="7" t="s">
        <v>428</v>
      </c>
      <c r="D1208" s="34">
        <v>2</v>
      </c>
      <c r="E1208" s="22" t="s">
        <v>2753</v>
      </c>
      <c r="F1208" s="22" t="s">
        <v>427</v>
      </c>
      <c r="G1208" s="22" t="s">
        <v>2755</v>
      </c>
      <c r="H1208" s="7" t="s">
        <v>3026</v>
      </c>
      <c r="I1208" s="35">
        <v>30</v>
      </c>
      <c r="J1208" s="30">
        <f>IF(OR($F1208="",$I1208=""),0,IFERROR(INDEX(Nutrition!$D$2:$D$300,MATCH($F1208,Nutrition!$A$2:$A$300,0))*$I1208/100,0))</f>
        <v>2.5499999999999998</v>
      </c>
      <c r="K1208" s="30">
        <f>IF(OR($F1208="",$I1208=""),0,IFERROR(INDEX(Nutrition!$E$2:$E$300,MATCH($F1208,Nutrition!$A$2:$A$300,0))*$I1208/100,0))</f>
        <v>0</v>
      </c>
      <c r="L1208" s="30">
        <f>IF(OR($F1208="",$I1208=""),0,IFERROR(INDEX(Nutrition!$F$2:$F$300,MATCH($F1208,Nutrition!$A$2:$A$300,0))*$I1208/100,0))</f>
        <v>0</v>
      </c>
      <c r="M1208" s="30">
        <f>IF(OR($F1208="",$I1208=""),0,IFERROR(INDEX(Nutrition!$G$2:$G$300,MATCH($F1208,Nutrition!$A$2:$A$300,0))*$I1208/100,0))</f>
        <v>0</v>
      </c>
      <c r="N1208" s="30">
        <f>IF(OR($F1208="",$I1208=""),0,IFERROR(INDEX(Nutrition!$H$2:$H$300,MATCH($F1208,Nutrition!$A$2:$A$300,0))*$I1208/100,0))</f>
        <v>72</v>
      </c>
      <c r="O1208" s="30">
        <f>IF(OR($F1208="",$I1208=""),0,IFERROR(INDEX(Nutrition!$I$2:$I$300,MATCH($F1208,Nutrition!$A$2:$A$300,0))*$I1208/100,0))</f>
        <v>211.5</v>
      </c>
      <c r="P1208" s="30">
        <f>IF(OR($F1208="",$I1208=""),0,IFERROR(INDEX(Nutrition!$J$2:$J$300,MATCH($F1208,Nutrition!$A$2:$A$300,0))*$I1208/100,0))</f>
        <v>2.4990000000000001</v>
      </c>
      <c r="Q1208" s="30">
        <f>IF(OR($F1208="",$I1208=""),0,IFERROR(INDEX(Nutrition!$K$2:$K$300,MATCH($F1208,Nutrition!$A$2:$A$300,0))*$I1208/100,0))</f>
        <v>0.10439999999999999</v>
      </c>
      <c r="R1208" s="30">
        <f>IF(OR($F1208="",$I1208=""),0,IFERROR(INDEX(Nutrition!$L$2:$L$300,MATCH($F1208,Nutrition!$A$2:$A$300,0))*$I1208/100,0))</f>
        <v>50.4</v>
      </c>
      <c r="S1208" s="30">
        <f>IF(OR($F1208="",$I1208=""),0,IFERROR(INDEX(Nutrition!$M$2:$M$300,MATCH($F1208,Nutrition!$A$2:$A$300,0))*$I1208/100,0))</f>
        <v>1.3740000000000001</v>
      </c>
    </row>
    <row r="1209" spans="1:19" ht="15" customHeight="1" x14ac:dyDescent="0.25">
      <c r="A1209" s="22" t="s">
        <v>2500</v>
      </c>
      <c r="B1209" s="33" t="str">
        <f>IFERROR(INDEX(Recipes!$B$2:$B$500,MATCH(A1209,Recipes!$A$2:$A$500,0)),"")</f>
        <v>Chocolate Avocado Mousse</v>
      </c>
      <c r="C1209" s="7" t="s">
        <v>3072</v>
      </c>
      <c r="D1209" s="34">
        <v>0.33</v>
      </c>
      <c r="E1209" s="22" t="s">
        <v>2748</v>
      </c>
      <c r="F1209" s="22"/>
      <c r="G1209" s="22" t="s">
        <v>2749</v>
      </c>
      <c r="H1209" s="7"/>
      <c r="I1209" s="35"/>
      <c r="J1209" s="30">
        <f>IF(OR($F1209="",$I1209=""),0,IFERROR(INDEX(Nutrition!$D$2:$D$300,MATCH($F1209,Nutrition!$A$2:$A$300,0))*$I1209/100,0))</f>
        <v>0</v>
      </c>
      <c r="K1209" s="30">
        <f>IF(OR($F1209="",$I1209=""),0,IFERROR(INDEX(Nutrition!$E$2:$E$300,MATCH($F1209,Nutrition!$A$2:$A$300,0))*$I1209/100,0))</f>
        <v>0</v>
      </c>
      <c r="L1209" s="30">
        <f>IF(OR($F1209="",$I1209=""),0,IFERROR(INDEX(Nutrition!$F$2:$F$300,MATCH($F1209,Nutrition!$A$2:$A$300,0))*$I1209/100,0))</f>
        <v>0</v>
      </c>
      <c r="M1209" s="30">
        <f>IF(OR($F1209="",$I1209=""),0,IFERROR(INDEX(Nutrition!$G$2:$G$300,MATCH($F1209,Nutrition!$A$2:$A$300,0))*$I1209/100,0))</f>
        <v>0</v>
      </c>
      <c r="N1209" s="30">
        <f>IF(OR($F1209="",$I1209=""),0,IFERROR(INDEX(Nutrition!$H$2:$H$300,MATCH($F1209,Nutrition!$A$2:$A$300,0))*$I1209/100,0))</f>
        <v>0</v>
      </c>
      <c r="O1209" s="30">
        <f>IF(OR($F1209="",$I1209=""),0,IFERROR(INDEX(Nutrition!$I$2:$I$300,MATCH($F1209,Nutrition!$A$2:$A$300,0))*$I1209/100,0))</f>
        <v>0</v>
      </c>
      <c r="P1209" s="30">
        <f>IF(OR($F1209="",$I1209=""),0,IFERROR(INDEX(Nutrition!$J$2:$J$300,MATCH($F1209,Nutrition!$A$2:$A$300,0))*$I1209/100,0))</f>
        <v>0</v>
      </c>
      <c r="Q1209" s="30">
        <f>IF(OR($F1209="",$I1209=""),0,IFERROR(INDEX(Nutrition!$K$2:$K$300,MATCH($F1209,Nutrition!$A$2:$A$300,0))*$I1209/100,0))</f>
        <v>0</v>
      </c>
      <c r="R1209" s="30">
        <f>IF(OR($F1209="",$I1209=""),0,IFERROR(INDEX(Nutrition!$L$2:$L$300,MATCH($F1209,Nutrition!$A$2:$A$300,0))*$I1209/100,0))</f>
        <v>0</v>
      </c>
      <c r="S1209" s="30">
        <f>IF(OR($F1209="",$I1209=""),0,IFERROR(INDEX(Nutrition!$M$2:$M$300,MATCH($F1209,Nutrition!$A$2:$A$300,0))*$I1209/100,0))</f>
        <v>0</v>
      </c>
    </row>
    <row r="1210" spans="1:19" ht="15" customHeight="1" x14ac:dyDescent="0.25">
      <c r="A1210" s="22" t="s">
        <v>2500</v>
      </c>
      <c r="B1210" s="33" t="str">
        <f>IFERROR(INDEX(Recipes!$B$2:$B$500,MATCH(A1210,Recipes!$A$2:$A$500,0)),"")</f>
        <v>Chocolate Avocado Mousse</v>
      </c>
      <c r="C1210" s="7" t="s">
        <v>3055</v>
      </c>
      <c r="D1210" s="34">
        <v>2</v>
      </c>
      <c r="E1210" s="22" t="s">
        <v>2759</v>
      </c>
      <c r="F1210" s="22"/>
      <c r="G1210" s="22" t="s">
        <v>2749</v>
      </c>
      <c r="H1210" s="7"/>
      <c r="I1210" s="35"/>
      <c r="J1210" s="30">
        <f>IF(OR($F1210="",$I1210=""),0,IFERROR(INDEX(Nutrition!$D$2:$D$300,MATCH($F1210,Nutrition!$A$2:$A$300,0))*$I1210/100,0))</f>
        <v>0</v>
      </c>
      <c r="K1210" s="30">
        <f>IF(OR($F1210="",$I1210=""),0,IFERROR(INDEX(Nutrition!$E$2:$E$300,MATCH($F1210,Nutrition!$A$2:$A$300,0))*$I1210/100,0))</f>
        <v>0</v>
      </c>
      <c r="L1210" s="30">
        <f>IF(OR($F1210="",$I1210=""),0,IFERROR(INDEX(Nutrition!$F$2:$F$300,MATCH($F1210,Nutrition!$A$2:$A$300,0))*$I1210/100,0))</f>
        <v>0</v>
      </c>
      <c r="M1210" s="30">
        <f>IF(OR($F1210="",$I1210=""),0,IFERROR(INDEX(Nutrition!$G$2:$G$300,MATCH($F1210,Nutrition!$A$2:$A$300,0))*$I1210/100,0))</f>
        <v>0</v>
      </c>
      <c r="N1210" s="30">
        <f>IF(OR($F1210="",$I1210=""),0,IFERROR(INDEX(Nutrition!$H$2:$H$300,MATCH($F1210,Nutrition!$A$2:$A$300,0))*$I1210/100,0))</f>
        <v>0</v>
      </c>
      <c r="O1210" s="30">
        <f>IF(OR($F1210="",$I1210=""),0,IFERROR(INDEX(Nutrition!$I$2:$I$300,MATCH($F1210,Nutrition!$A$2:$A$300,0))*$I1210/100,0))</f>
        <v>0</v>
      </c>
      <c r="P1210" s="30">
        <f>IF(OR($F1210="",$I1210=""),0,IFERROR(INDEX(Nutrition!$J$2:$J$300,MATCH($F1210,Nutrition!$A$2:$A$300,0))*$I1210/100,0))</f>
        <v>0</v>
      </c>
      <c r="Q1210" s="30">
        <f>IF(OR($F1210="",$I1210=""),0,IFERROR(INDEX(Nutrition!$K$2:$K$300,MATCH($F1210,Nutrition!$A$2:$A$300,0))*$I1210/100,0))</f>
        <v>0</v>
      </c>
      <c r="R1210" s="30">
        <f>IF(OR($F1210="",$I1210=""),0,IFERROR(INDEX(Nutrition!$L$2:$L$300,MATCH($F1210,Nutrition!$A$2:$A$300,0))*$I1210/100,0))</f>
        <v>0</v>
      </c>
      <c r="S1210" s="30">
        <f>IF(OR($F1210="",$I1210=""),0,IFERROR(INDEX(Nutrition!$M$2:$M$300,MATCH($F1210,Nutrition!$A$2:$A$300,0))*$I1210/100,0))</f>
        <v>0</v>
      </c>
    </row>
    <row r="1211" spans="1:19" ht="15" customHeight="1" x14ac:dyDescent="0.25">
      <c r="A1211" s="22" t="s">
        <v>2500</v>
      </c>
      <c r="B1211" s="33" t="str">
        <f>IFERROR(INDEX(Recipes!$B$2:$B$500,MATCH(A1211,Recipes!$A$2:$A$500,0)),"")</f>
        <v>Chocolate Avocado Mousse</v>
      </c>
      <c r="C1211" s="7" t="s">
        <v>2781</v>
      </c>
      <c r="D1211" s="34">
        <v>1</v>
      </c>
      <c r="E1211" s="22" t="s">
        <v>2782</v>
      </c>
      <c r="F1211" s="22"/>
      <c r="G1211" s="22" t="s">
        <v>2773</v>
      </c>
      <c r="H1211" s="7"/>
      <c r="I1211" s="35"/>
      <c r="J1211" s="30">
        <f>IF(OR($F1211="",$I1211=""),0,IFERROR(INDEX(Nutrition!$D$2:$D$300,MATCH($F1211,Nutrition!$A$2:$A$300,0))*$I1211/100,0))</f>
        <v>0</v>
      </c>
      <c r="K1211" s="30">
        <f>IF(OR($F1211="",$I1211=""),0,IFERROR(INDEX(Nutrition!$E$2:$E$300,MATCH($F1211,Nutrition!$A$2:$A$300,0))*$I1211/100,0))</f>
        <v>0</v>
      </c>
      <c r="L1211" s="30">
        <f>IF(OR($F1211="",$I1211=""),0,IFERROR(INDEX(Nutrition!$F$2:$F$300,MATCH($F1211,Nutrition!$A$2:$A$300,0))*$I1211/100,0))</f>
        <v>0</v>
      </c>
      <c r="M1211" s="30">
        <f>IF(OR($F1211="",$I1211=""),0,IFERROR(INDEX(Nutrition!$G$2:$G$300,MATCH($F1211,Nutrition!$A$2:$A$300,0))*$I1211/100,0))</f>
        <v>0</v>
      </c>
      <c r="N1211" s="30">
        <f>IF(OR($F1211="",$I1211=""),0,IFERROR(INDEX(Nutrition!$H$2:$H$300,MATCH($F1211,Nutrition!$A$2:$A$300,0))*$I1211/100,0))</f>
        <v>0</v>
      </c>
      <c r="O1211" s="30">
        <f>IF(OR($F1211="",$I1211=""),0,IFERROR(INDEX(Nutrition!$I$2:$I$300,MATCH($F1211,Nutrition!$A$2:$A$300,0))*$I1211/100,0))</f>
        <v>0</v>
      </c>
      <c r="P1211" s="30">
        <f>IF(OR($F1211="",$I1211=""),0,IFERROR(INDEX(Nutrition!$J$2:$J$300,MATCH($F1211,Nutrition!$A$2:$A$300,0))*$I1211/100,0))</f>
        <v>0</v>
      </c>
      <c r="Q1211" s="30">
        <f>IF(OR($F1211="",$I1211=""),0,IFERROR(INDEX(Nutrition!$K$2:$K$300,MATCH($F1211,Nutrition!$A$2:$A$300,0))*$I1211/100,0))</f>
        <v>0</v>
      </c>
      <c r="R1211" s="30">
        <f>IF(OR($F1211="",$I1211=""),0,IFERROR(INDEX(Nutrition!$L$2:$L$300,MATCH($F1211,Nutrition!$A$2:$A$300,0))*$I1211/100,0))</f>
        <v>0</v>
      </c>
      <c r="S1211" s="30">
        <f>IF(OR($F1211="",$I1211=""),0,IFERROR(INDEX(Nutrition!$M$2:$M$300,MATCH($F1211,Nutrition!$A$2:$A$300,0))*$I1211/100,0))</f>
        <v>0</v>
      </c>
    </row>
    <row r="1212" spans="1:19" ht="15" customHeight="1" x14ac:dyDescent="0.25">
      <c r="A1212" s="22" t="s">
        <v>2511</v>
      </c>
      <c r="B1212" s="33" t="str">
        <f>IFERROR(INDEX(Recipes!$B$2:$B$500,MATCH(A1212,Recipes!$A$2:$A$500,0)),"")</f>
        <v>Fruit Skewers with Yoghurt Dip</v>
      </c>
      <c r="C1212" s="7" t="s">
        <v>399</v>
      </c>
      <c r="D1212" s="34">
        <v>1</v>
      </c>
      <c r="E1212" s="22" t="s">
        <v>2748</v>
      </c>
      <c r="F1212" s="22" t="s">
        <v>398</v>
      </c>
      <c r="G1212" s="22" t="s">
        <v>2755</v>
      </c>
      <c r="H1212" s="7"/>
      <c r="I1212" s="35">
        <v>152</v>
      </c>
      <c r="J1212" s="30">
        <f>IF(OR($F1212="",$I1212=""),0,IFERROR(INDEX(Nutrition!$D$2:$D$300,MATCH($F1212,Nutrition!$A$2:$A$300,0))*$I1212/100,0))</f>
        <v>3.04</v>
      </c>
      <c r="K1212" s="30">
        <f>IF(OR($F1212="",$I1212=""),0,IFERROR(INDEX(Nutrition!$E$2:$E$300,MATCH($F1212,Nutrition!$A$2:$A$300,0))*$I1212/100,0))</f>
        <v>89.376000000000005</v>
      </c>
      <c r="L1212" s="30">
        <f>IF(OR($F1212="",$I1212=""),0,IFERROR(INDEX(Nutrition!$F$2:$F$300,MATCH($F1212,Nutrition!$A$2:$A$300,0))*$I1212/100,0))</f>
        <v>1.52</v>
      </c>
      <c r="M1212" s="30">
        <f>IF(OR($F1212="",$I1212=""),0,IFERROR(INDEX(Nutrition!$G$2:$G$300,MATCH($F1212,Nutrition!$A$2:$A$300,0))*$I1212/100,0))</f>
        <v>3.3440000000000003</v>
      </c>
      <c r="N1212" s="30">
        <f>IF(OR($F1212="",$I1212=""),0,IFERROR(INDEX(Nutrition!$H$2:$H$300,MATCH($F1212,Nutrition!$A$2:$A$300,0))*$I1212/100,0))</f>
        <v>36.479999999999997</v>
      </c>
      <c r="O1212" s="30">
        <f>IF(OR($F1212="",$I1212=""),0,IFERROR(INDEX(Nutrition!$I$2:$I$300,MATCH($F1212,Nutrition!$A$2:$A$300,0))*$I1212/100,0))</f>
        <v>232.56</v>
      </c>
      <c r="P1212" s="30">
        <f>IF(OR($F1212="",$I1212=""),0,IFERROR(INDEX(Nutrition!$J$2:$J$300,MATCH($F1212,Nutrition!$A$2:$A$300,0))*$I1212/100,0))</f>
        <v>0.44079999999999997</v>
      </c>
      <c r="Q1212" s="30">
        <f>IF(OR($F1212="",$I1212=""),0,IFERROR(INDEX(Nutrition!$K$2:$K$300,MATCH($F1212,Nutrition!$A$2:$A$300,0))*$I1212/100,0))</f>
        <v>7.1440000000000003E-2</v>
      </c>
      <c r="R1212" s="30">
        <f>IF(OR($F1212="",$I1212=""),0,IFERROR(INDEX(Nutrition!$L$2:$L$300,MATCH($F1212,Nutrition!$A$2:$A$300,0))*$I1212/100,0))</f>
        <v>19.760000000000002</v>
      </c>
      <c r="S1212" s="30">
        <f>IF(OR($F1212="",$I1212=""),0,IFERROR(INDEX(Nutrition!$M$2:$M$300,MATCH($F1212,Nutrition!$A$2:$A$300,0))*$I1212/100,0))</f>
        <v>0.62319999999999998</v>
      </c>
    </row>
    <row r="1213" spans="1:19" ht="15" customHeight="1" x14ac:dyDescent="0.25">
      <c r="A1213" s="22" t="s">
        <v>2511</v>
      </c>
      <c r="B1213" s="33" t="str">
        <f>IFERROR(INDEX(Recipes!$B$2:$B$500,MATCH(A1213,Recipes!$A$2:$A$500,0)),"")</f>
        <v>Fruit Skewers with Yoghurt Dip</v>
      </c>
      <c r="C1213" s="7" t="s">
        <v>139</v>
      </c>
      <c r="D1213" s="34">
        <v>1</v>
      </c>
      <c r="E1213" s="22" t="s">
        <v>2748</v>
      </c>
      <c r="F1213" s="22" t="s">
        <v>138</v>
      </c>
      <c r="G1213" s="22" t="s">
        <v>2755</v>
      </c>
      <c r="H1213" s="7" t="s">
        <v>3073</v>
      </c>
      <c r="I1213" s="35">
        <v>165</v>
      </c>
      <c r="J1213" s="30">
        <f>IF(OR($F1213="",$I1213=""),0,IFERROR(INDEX(Nutrition!$D$2:$D$300,MATCH($F1213,Nutrition!$A$2:$A$300,0))*$I1213/100,0))</f>
        <v>2.3099999999999996</v>
      </c>
      <c r="K1213" s="30">
        <f>IF(OR($F1213="",$I1213=""),0,IFERROR(INDEX(Nutrition!$E$2:$E$300,MATCH($F1213,Nutrition!$A$2:$A$300,0))*$I1213/100,0))</f>
        <v>78.86999999999999</v>
      </c>
      <c r="L1213" s="30">
        <f>IF(OR($F1213="",$I1213=""),0,IFERROR(INDEX(Nutrition!$F$2:$F$300,MATCH($F1213,Nutrition!$A$2:$A$300,0))*$I1213/100,0))</f>
        <v>4.95</v>
      </c>
      <c r="M1213" s="30">
        <f>IF(OR($F1213="",$I1213=""),0,IFERROR(INDEX(Nutrition!$G$2:$G$300,MATCH($F1213,Nutrition!$A$2:$A$300,0))*$I1213/100,0))</f>
        <v>1.1549999999999998</v>
      </c>
      <c r="N1213" s="30">
        <f>IF(OR($F1213="",$I1213=""),0,IFERROR(INDEX(Nutrition!$H$2:$H$300,MATCH($F1213,Nutrition!$A$2:$A$300,0))*$I1213/100,0))</f>
        <v>29.7</v>
      </c>
      <c r="O1213" s="30">
        <f>IF(OR($F1213="",$I1213=""),0,IFERROR(INDEX(Nutrition!$I$2:$I$300,MATCH($F1213,Nutrition!$A$2:$A$300,0))*$I1213/100,0))</f>
        <v>179.85</v>
      </c>
      <c r="P1213" s="30">
        <f>IF(OR($F1213="",$I1213=""),0,IFERROR(INDEX(Nutrition!$J$2:$J$300,MATCH($F1213,Nutrition!$A$2:$A$300,0))*$I1213/100,0))</f>
        <v>3.3000000000000002E-2</v>
      </c>
      <c r="Q1213" s="30">
        <f>IF(OR($F1213="",$I1213=""),0,IFERROR(INDEX(Nutrition!$K$2:$K$300,MATCH($F1213,Nutrition!$A$2:$A$300,0))*$I1213/100,0))</f>
        <v>0.18479999999999999</v>
      </c>
      <c r="R1213" s="30">
        <f>IF(OR($F1213="",$I1213=""),0,IFERROR(INDEX(Nutrition!$L$2:$L$300,MATCH($F1213,Nutrition!$A$2:$A$300,0))*$I1213/100,0))</f>
        <v>19.8</v>
      </c>
      <c r="S1213" s="30">
        <f>IF(OR($F1213="",$I1213=""),0,IFERROR(INDEX(Nutrition!$M$2:$M$300,MATCH($F1213,Nutrition!$A$2:$A$300,0))*$I1213/100,0))</f>
        <v>0.47849999999999993</v>
      </c>
    </row>
    <row r="1214" spans="1:19" ht="15" customHeight="1" x14ac:dyDescent="0.25">
      <c r="A1214" s="22" t="s">
        <v>2511</v>
      </c>
      <c r="B1214" s="33" t="str">
        <f>IFERROR(INDEX(Recipes!$B$2:$B$500,MATCH(A1214,Recipes!$A$2:$A$500,0)),"")</f>
        <v>Fruit Skewers with Yoghurt Dip</v>
      </c>
      <c r="C1214" s="7" t="s">
        <v>110</v>
      </c>
      <c r="D1214" s="34">
        <v>1</v>
      </c>
      <c r="E1214" s="22" t="s">
        <v>2754</v>
      </c>
      <c r="F1214" s="22" t="s">
        <v>109</v>
      </c>
      <c r="G1214" s="22" t="s">
        <v>2755</v>
      </c>
      <c r="H1214" s="7" t="s">
        <v>3074</v>
      </c>
      <c r="I1214" s="35">
        <v>118</v>
      </c>
      <c r="J1214" s="30">
        <f>IF(OR($F1214="",$I1214=""),0,IFERROR(INDEX(Nutrition!$D$2:$D$300,MATCH($F1214,Nutrition!$A$2:$A$300,0))*$I1214/100,0))</f>
        <v>3.0680000000000001</v>
      </c>
      <c r="K1214" s="30">
        <f>IF(OR($F1214="",$I1214=""),0,IFERROR(INDEX(Nutrition!$E$2:$E$300,MATCH($F1214,Nutrition!$A$2:$A$300,0))*$I1214/100,0))</f>
        <v>10.265999999999998</v>
      </c>
      <c r="L1214" s="30">
        <f>IF(OR($F1214="",$I1214=""),0,IFERROR(INDEX(Nutrition!$F$2:$F$300,MATCH($F1214,Nutrition!$A$2:$A$300,0))*$I1214/100,0))</f>
        <v>3.54</v>
      </c>
      <c r="M1214" s="30">
        <f>IF(OR($F1214="",$I1214=""),0,IFERROR(INDEX(Nutrition!$G$2:$G$300,MATCH($F1214,Nutrition!$A$2:$A$300,0))*$I1214/100,0))</f>
        <v>0.59</v>
      </c>
      <c r="N1214" s="30">
        <f>IF(OR($F1214="",$I1214=""),0,IFERROR(INDEX(Nutrition!$H$2:$H$300,MATCH($F1214,Nutrition!$A$2:$A$300,0))*$I1214/100,0))</f>
        <v>23.6</v>
      </c>
      <c r="O1214" s="30">
        <f>IF(OR($F1214="",$I1214=""),0,IFERROR(INDEX(Nutrition!$I$2:$I$300,MATCH($F1214,Nutrition!$A$2:$A$300,0))*$I1214/100,0))</f>
        <v>422.44</v>
      </c>
      <c r="P1214" s="30">
        <f>IF(OR($F1214="",$I1214=""),0,IFERROR(INDEX(Nutrition!$J$2:$J$300,MATCH($F1214,Nutrition!$A$2:$A$300,0))*$I1214/100,0))</f>
        <v>0.11800000000000001</v>
      </c>
      <c r="Q1214" s="30">
        <f>IF(OR($F1214="",$I1214=""),0,IFERROR(INDEX(Nutrition!$K$2:$K$300,MATCH($F1214,Nutrition!$A$2:$A$300,0))*$I1214/100,0))</f>
        <v>0.43306</v>
      </c>
      <c r="R1214" s="30">
        <f>IF(OR($F1214="",$I1214=""),0,IFERROR(INDEX(Nutrition!$L$2:$L$300,MATCH($F1214,Nutrition!$A$2:$A$300,0))*$I1214/100,0))</f>
        <v>31.86</v>
      </c>
      <c r="S1214" s="30">
        <f>IF(OR($F1214="",$I1214=""),0,IFERROR(INDEX(Nutrition!$M$2:$M$300,MATCH($F1214,Nutrition!$A$2:$A$300,0))*$I1214/100,0))</f>
        <v>0.30680000000000002</v>
      </c>
    </row>
    <row r="1215" spans="1:19" ht="15" customHeight="1" x14ac:dyDescent="0.25">
      <c r="A1215" s="22" t="s">
        <v>2511</v>
      </c>
      <c r="B1215" s="33" t="str">
        <f>IFERROR(INDEX(Recipes!$B$2:$B$500,MATCH(A1215,Recipes!$A$2:$A$500,0)),"")</f>
        <v>Fruit Skewers with Yoghurt Dip</v>
      </c>
      <c r="C1215" s="7" t="s">
        <v>393</v>
      </c>
      <c r="D1215" s="34">
        <v>1</v>
      </c>
      <c r="E1215" s="22" t="s">
        <v>2748</v>
      </c>
      <c r="F1215" s="22" t="s">
        <v>392</v>
      </c>
      <c r="G1215" s="22" t="s">
        <v>2755</v>
      </c>
      <c r="H1215" s="7"/>
      <c r="I1215" s="35">
        <v>151</v>
      </c>
      <c r="J1215" s="30">
        <f>IF(OR($F1215="",$I1215=""),0,IFERROR(INDEX(Nutrition!$D$2:$D$300,MATCH($F1215,Nutrition!$A$2:$A$300,0))*$I1215/100,0))</f>
        <v>1.359</v>
      </c>
      <c r="K1215" s="30">
        <f>IF(OR($F1215="",$I1215=""),0,IFERROR(INDEX(Nutrition!$E$2:$E$300,MATCH($F1215,Nutrition!$A$2:$A$300,0))*$I1215/100,0))</f>
        <v>4.8320000000000007</v>
      </c>
      <c r="L1215" s="30">
        <f>IF(OR($F1215="",$I1215=""),0,IFERROR(INDEX(Nutrition!$F$2:$F$300,MATCH($F1215,Nutrition!$A$2:$A$300,0))*$I1215/100,0))</f>
        <v>4.53</v>
      </c>
      <c r="M1215" s="30">
        <f>IF(OR($F1215="",$I1215=""),0,IFERROR(INDEX(Nutrition!$G$2:$G$300,MATCH($F1215,Nutrition!$A$2:$A$300,0))*$I1215/100,0))</f>
        <v>22.045999999999999</v>
      </c>
      <c r="N1215" s="30">
        <f>IF(OR($F1215="",$I1215=""),0,IFERROR(INDEX(Nutrition!$H$2:$H$300,MATCH($F1215,Nutrition!$A$2:$A$300,0))*$I1215/100,0))</f>
        <v>3.02</v>
      </c>
      <c r="O1215" s="30">
        <f>IF(OR($F1215="",$I1215=""),0,IFERROR(INDEX(Nutrition!$I$2:$I$300,MATCH($F1215,Nutrition!$A$2:$A$300,0))*$I1215/100,0))</f>
        <v>288.41000000000003</v>
      </c>
      <c r="P1215" s="30">
        <f>IF(OR($F1215="",$I1215=""),0,IFERROR(INDEX(Nutrition!$J$2:$J$300,MATCH($F1215,Nutrition!$A$2:$A$300,0))*$I1215/100,0))</f>
        <v>0.28689999999999999</v>
      </c>
      <c r="Q1215" s="30">
        <f>IF(OR($F1215="",$I1215=""),0,IFERROR(INDEX(Nutrition!$K$2:$K$300,MATCH($F1215,Nutrition!$A$2:$A$300,0))*$I1215/100,0))</f>
        <v>0.12985999999999998</v>
      </c>
      <c r="R1215" s="30">
        <f>IF(OR($F1215="",$I1215=""),0,IFERROR(INDEX(Nutrition!$L$2:$L$300,MATCH($F1215,Nutrition!$A$2:$A$300,0))*$I1215/100,0))</f>
        <v>10.57</v>
      </c>
      <c r="S1215" s="30">
        <f>IF(OR($F1215="",$I1215=""),0,IFERROR(INDEX(Nutrition!$M$2:$M$300,MATCH($F1215,Nutrition!$A$2:$A$300,0))*$I1215/100,0))</f>
        <v>0.54359999999999997</v>
      </c>
    </row>
    <row r="1216" spans="1:19" ht="15" customHeight="1" x14ac:dyDescent="0.25">
      <c r="A1216" s="22" t="s">
        <v>2511</v>
      </c>
      <c r="B1216" s="33" t="str">
        <f>IFERROR(INDEX(Recipes!$B$2:$B$500,MATCH(A1216,Recipes!$A$2:$A$500,0)),"")</f>
        <v>Fruit Skewers with Yoghurt Dip</v>
      </c>
      <c r="C1216" s="7" t="s">
        <v>414</v>
      </c>
      <c r="D1216" s="34">
        <v>2</v>
      </c>
      <c r="E1216" s="22" t="s">
        <v>2754</v>
      </c>
      <c r="F1216" s="22" t="s">
        <v>413</v>
      </c>
      <c r="G1216" s="22" t="s">
        <v>2755</v>
      </c>
      <c r="H1216" s="7" t="s">
        <v>3051</v>
      </c>
      <c r="I1216" s="35">
        <v>138</v>
      </c>
      <c r="J1216" s="30">
        <f>IF(OR($F1216="",$I1216=""),0,IFERROR(INDEX(Nutrition!$D$2:$D$300,MATCH($F1216,Nutrition!$A$2:$A$300,0))*$I1216/100,0))</f>
        <v>4.1399999999999997</v>
      </c>
      <c r="K1216" s="30">
        <f>IF(OR($F1216="",$I1216=""),0,IFERROR(INDEX(Nutrition!$E$2:$E$300,MATCH($F1216,Nutrition!$A$2:$A$300,0))*$I1216/100,0))</f>
        <v>127.926</v>
      </c>
      <c r="L1216" s="30">
        <f>IF(OR($F1216="",$I1216=""),0,IFERROR(INDEX(Nutrition!$F$2:$F$300,MATCH($F1216,Nutrition!$A$2:$A$300,0))*$I1216/100,0))</f>
        <v>5.52</v>
      </c>
      <c r="M1216" s="30">
        <f>IF(OR($F1216="",$I1216=""),0,IFERROR(INDEX(Nutrition!$G$2:$G$300,MATCH($F1216,Nutrition!$A$2:$A$300,0))*$I1216/100,0))</f>
        <v>55.613999999999997</v>
      </c>
      <c r="N1216" s="30">
        <f>IF(OR($F1216="",$I1216=""),0,IFERROR(INDEX(Nutrition!$H$2:$H$300,MATCH($F1216,Nutrition!$A$2:$A$300,0))*$I1216/100,0))</f>
        <v>34.5</v>
      </c>
      <c r="O1216" s="30">
        <f>IF(OR($F1216="",$I1216=""),0,IFERROR(INDEX(Nutrition!$I$2:$I$300,MATCH($F1216,Nutrition!$A$2:$A$300,0))*$I1216/100,0))</f>
        <v>430.56</v>
      </c>
      <c r="P1216" s="30">
        <f>IF(OR($F1216="",$I1216=""),0,IFERROR(INDEX(Nutrition!$J$2:$J$300,MATCH($F1216,Nutrition!$A$2:$A$300,0))*$I1216/100,0))</f>
        <v>2.0147999999999997</v>
      </c>
      <c r="Q1216" s="30">
        <f>IF(OR($F1216="",$I1216=""),0,IFERROR(INDEX(Nutrition!$K$2:$K$300,MATCH($F1216,Nutrition!$A$2:$A$300,0))*$I1216/100,0))</f>
        <v>8.6940000000000003E-2</v>
      </c>
      <c r="R1216" s="30">
        <f>IF(OR($F1216="",$I1216=""),0,IFERROR(INDEX(Nutrition!$L$2:$L$300,MATCH($F1216,Nutrition!$A$2:$A$300,0))*$I1216/100,0))</f>
        <v>23.46</v>
      </c>
      <c r="S1216" s="30">
        <f>IF(OR($F1216="",$I1216=""),0,IFERROR(INDEX(Nutrition!$M$2:$M$300,MATCH($F1216,Nutrition!$A$2:$A$300,0))*$I1216/100,0))</f>
        <v>0.42780000000000001</v>
      </c>
    </row>
    <row r="1217" spans="1:19" ht="15" customHeight="1" x14ac:dyDescent="0.25">
      <c r="A1217" s="22" t="s">
        <v>2511</v>
      </c>
      <c r="B1217" s="33" t="str">
        <f>IFERROR(INDEX(Recipes!$B$2:$B$500,MATCH(A1217,Recipes!$A$2:$A$500,0)),"")</f>
        <v>Fruit Skewers with Yoghurt Dip</v>
      </c>
      <c r="C1217" s="7" t="s">
        <v>168</v>
      </c>
      <c r="D1217" s="34">
        <v>1</v>
      </c>
      <c r="E1217" s="22" t="s">
        <v>2754</v>
      </c>
      <c r="F1217" s="22" t="s">
        <v>167</v>
      </c>
      <c r="G1217" s="22" t="s">
        <v>2755</v>
      </c>
      <c r="H1217" s="7" t="s">
        <v>3073</v>
      </c>
      <c r="I1217" s="35">
        <v>336</v>
      </c>
      <c r="J1217" s="30">
        <f>IF(OR($F1217="",$I1217=""),0,IFERROR(INDEX(Nutrition!$D$2:$D$300,MATCH($F1217,Nutrition!$A$2:$A$300,0))*$I1217/100,0))</f>
        <v>5.3760000000000003</v>
      </c>
      <c r="K1217" s="30">
        <f>IF(OR($F1217="",$I1217=""),0,IFERROR(INDEX(Nutrition!$E$2:$E$300,MATCH($F1217,Nutrition!$A$2:$A$300,0))*$I1217/100,0))</f>
        <v>122.304</v>
      </c>
      <c r="L1217" s="30">
        <f>IF(OR($F1217="",$I1217=""),0,IFERROR(INDEX(Nutrition!$F$2:$F$300,MATCH($F1217,Nutrition!$A$2:$A$300,0))*$I1217/100,0))</f>
        <v>181.44</v>
      </c>
      <c r="M1217" s="30">
        <f>IF(OR($F1217="",$I1217=""),0,IFERROR(INDEX(Nutrition!$G$2:$G$300,MATCH($F1217,Nutrition!$A$2:$A$300,0))*$I1217/100,0))</f>
        <v>14.112</v>
      </c>
      <c r="N1217" s="30">
        <f>IF(OR($F1217="",$I1217=""),0,IFERROR(INDEX(Nutrition!$H$2:$H$300,MATCH($F1217,Nutrition!$A$2:$A$300,0))*$I1217/100,0))</f>
        <v>144.47999999999999</v>
      </c>
      <c r="O1217" s="30">
        <f>IF(OR($F1217="",$I1217=""),0,IFERROR(INDEX(Nutrition!$I$2:$I$300,MATCH($F1217,Nutrition!$A$2:$A$300,0))*$I1217/100,0))</f>
        <v>564.48</v>
      </c>
      <c r="P1217" s="30">
        <f>IF(OR($F1217="",$I1217=""),0,IFERROR(INDEX(Nutrition!$J$2:$J$300,MATCH($F1217,Nutrition!$A$2:$A$300,0))*$I1217/100,0))</f>
        <v>3.0240000000000005</v>
      </c>
      <c r="Q1217" s="30">
        <f>IF(OR($F1217="",$I1217=""),0,IFERROR(INDEX(Nutrition!$K$2:$K$300,MATCH($F1217,Nutrition!$A$2:$A$300,0))*$I1217/100,0))</f>
        <v>0.39983999999999997</v>
      </c>
      <c r="R1217" s="30">
        <f>IF(OR($F1217="",$I1217=""),0,IFERROR(INDEX(Nutrition!$L$2:$L$300,MATCH($F1217,Nutrition!$A$2:$A$300,0))*$I1217/100,0))</f>
        <v>33.6</v>
      </c>
      <c r="S1217" s="30">
        <f>IF(OR($F1217="",$I1217=""),0,IFERROR(INDEX(Nutrition!$M$2:$M$300,MATCH($F1217,Nutrition!$A$2:$A$300,0))*$I1217/100,0))</f>
        <v>0.53759999999999997</v>
      </c>
    </row>
    <row r="1218" spans="1:19" ht="15" customHeight="1" x14ac:dyDescent="0.25">
      <c r="A1218" s="22" t="s">
        <v>2511</v>
      </c>
      <c r="B1218" s="33" t="str">
        <f>IFERROR(INDEX(Recipes!$B$2:$B$500,MATCH(A1218,Recipes!$A$2:$A$500,0)),"")</f>
        <v>Fruit Skewers with Yoghurt Dip</v>
      </c>
      <c r="C1218" s="7" t="s">
        <v>2762</v>
      </c>
      <c r="D1218" s="34">
        <v>1</v>
      </c>
      <c r="E1218" s="22" t="s">
        <v>2748</v>
      </c>
      <c r="F1218" s="22"/>
      <c r="G1218" s="22" t="s">
        <v>2749</v>
      </c>
      <c r="H1218" s="7"/>
      <c r="I1218" s="35"/>
      <c r="J1218" s="30">
        <f>IF(OR($F1218="",$I1218=""),0,IFERROR(INDEX(Nutrition!$D$2:$D$300,MATCH($F1218,Nutrition!$A$2:$A$300,0))*$I1218/100,0))</f>
        <v>0</v>
      </c>
      <c r="K1218" s="30">
        <f>IF(OR($F1218="",$I1218=""),0,IFERROR(INDEX(Nutrition!$E$2:$E$300,MATCH($F1218,Nutrition!$A$2:$A$300,0))*$I1218/100,0))</f>
        <v>0</v>
      </c>
      <c r="L1218" s="30">
        <f>IF(OR($F1218="",$I1218=""),0,IFERROR(INDEX(Nutrition!$F$2:$F$300,MATCH($F1218,Nutrition!$A$2:$A$300,0))*$I1218/100,0))</f>
        <v>0</v>
      </c>
      <c r="M1218" s="30">
        <f>IF(OR($F1218="",$I1218=""),0,IFERROR(INDEX(Nutrition!$G$2:$G$300,MATCH($F1218,Nutrition!$A$2:$A$300,0))*$I1218/100,0))</f>
        <v>0</v>
      </c>
      <c r="N1218" s="30">
        <f>IF(OR($F1218="",$I1218=""),0,IFERROR(INDEX(Nutrition!$H$2:$H$300,MATCH($F1218,Nutrition!$A$2:$A$300,0))*$I1218/100,0))</f>
        <v>0</v>
      </c>
      <c r="O1218" s="30">
        <f>IF(OR($F1218="",$I1218=""),0,IFERROR(INDEX(Nutrition!$I$2:$I$300,MATCH($F1218,Nutrition!$A$2:$A$300,0))*$I1218/100,0))</f>
        <v>0</v>
      </c>
      <c r="P1218" s="30">
        <f>IF(OR($F1218="",$I1218=""),0,IFERROR(INDEX(Nutrition!$J$2:$J$300,MATCH($F1218,Nutrition!$A$2:$A$300,0))*$I1218/100,0))</f>
        <v>0</v>
      </c>
      <c r="Q1218" s="30">
        <f>IF(OR($F1218="",$I1218=""),0,IFERROR(INDEX(Nutrition!$K$2:$K$300,MATCH($F1218,Nutrition!$A$2:$A$300,0))*$I1218/100,0))</f>
        <v>0</v>
      </c>
      <c r="R1218" s="30">
        <f>IF(OR($F1218="",$I1218=""),0,IFERROR(INDEX(Nutrition!$L$2:$L$300,MATCH($F1218,Nutrition!$A$2:$A$300,0))*$I1218/100,0))</f>
        <v>0</v>
      </c>
      <c r="S1218" s="30">
        <f>IF(OR($F1218="",$I1218=""),0,IFERROR(INDEX(Nutrition!$M$2:$M$300,MATCH($F1218,Nutrition!$A$2:$A$300,0))*$I1218/100,0))</f>
        <v>0</v>
      </c>
    </row>
    <row r="1219" spans="1:19" ht="15" customHeight="1" x14ac:dyDescent="0.25">
      <c r="A1219" s="22" t="s">
        <v>2511</v>
      </c>
      <c r="B1219" s="33" t="str">
        <f>IFERROR(INDEX(Recipes!$B$2:$B$500,MATCH(A1219,Recipes!$A$2:$A$500,0)),"")</f>
        <v>Fruit Skewers with Yoghurt Dip</v>
      </c>
      <c r="C1219" s="7" t="s">
        <v>2758</v>
      </c>
      <c r="D1219" s="34">
        <v>2</v>
      </c>
      <c r="E1219" s="22" t="s">
        <v>2753</v>
      </c>
      <c r="F1219" s="22"/>
      <c r="G1219" s="22" t="s">
        <v>2749</v>
      </c>
      <c r="H1219" s="7"/>
      <c r="I1219" s="35"/>
      <c r="J1219" s="30">
        <f>IF(OR($F1219="",$I1219=""),0,IFERROR(INDEX(Nutrition!$D$2:$D$300,MATCH($F1219,Nutrition!$A$2:$A$300,0))*$I1219/100,0))</f>
        <v>0</v>
      </c>
      <c r="K1219" s="30">
        <f>IF(OR($F1219="",$I1219=""),0,IFERROR(INDEX(Nutrition!$E$2:$E$300,MATCH($F1219,Nutrition!$A$2:$A$300,0))*$I1219/100,0))</f>
        <v>0</v>
      </c>
      <c r="L1219" s="30">
        <f>IF(OR($F1219="",$I1219=""),0,IFERROR(INDEX(Nutrition!$F$2:$F$300,MATCH($F1219,Nutrition!$A$2:$A$300,0))*$I1219/100,0))</f>
        <v>0</v>
      </c>
      <c r="M1219" s="30">
        <f>IF(OR($F1219="",$I1219=""),0,IFERROR(INDEX(Nutrition!$G$2:$G$300,MATCH($F1219,Nutrition!$A$2:$A$300,0))*$I1219/100,0))</f>
        <v>0</v>
      </c>
      <c r="N1219" s="30">
        <f>IF(OR($F1219="",$I1219=""),0,IFERROR(INDEX(Nutrition!$H$2:$H$300,MATCH($F1219,Nutrition!$A$2:$A$300,0))*$I1219/100,0))</f>
        <v>0</v>
      </c>
      <c r="O1219" s="30">
        <f>IF(OR($F1219="",$I1219=""),0,IFERROR(INDEX(Nutrition!$I$2:$I$300,MATCH($F1219,Nutrition!$A$2:$A$300,0))*$I1219/100,0))</f>
        <v>0</v>
      </c>
      <c r="P1219" s="30">
        <f>IF(OR($F1219="",$I1219=""),0,IFERROR(INDEX(Nutrition!$J$2:$J$300,MATCH($F1219,Nutrition!$A$2:$A$300,0))*$I1219/100,0))</f>
        <v>0</v>
      </c>
      <c r="Q1219" s="30">
        <f>IF(OR($F1219="",$I1219=""),0,IFERROR(INDEX(Nutrition!$K$2:$K$300,MATCH($F1219,Nutrition!$A$2:$A$300,0))*$I1219/100,0))</f>
        <v>0</v>
      </c>
      <c r="R1219" s="30">
        <f>IF(OR($F1219="",$I1219=""),0,IFERROR(INDEX(Nutrition!$L$2:$L$300,MATCH($F1219,Nutrition!$A$2:$A$300,0))*$I1219/100,0))</f>
        <v>0</v>
      </c>
      <c r="S1219" s="30">
        <f>IF(OR($F1219="",$I1219=""),0,IFERROR(INDEX(Nutrition!$M$2:$M$300,MATCH($F1219,Nutrition!$A$2:$A$300,0))*$I1219/100,0))</f>
        <v>0</v>
      </c>
    </row>
    <row r="1220" spans="1:19" ht="15" customHeight="1" x14ac:dyDescent="0.25">
      <c r="A1220" s="22" t="s">
        <v>2511</v>
      </c>
      <c r="B1220" s="33" t="str">
        <f>IFERROR(INDEX(Recipes!$B$2:$B$500,MATCH(A1220,Recipes!$A$2:$A$500,0)),"")</f>
        <v>Fruit Skewers with Yoghurt Dip</v>
      </c>
      <c r="C1220" s="7" t="s">
        <v>3075</v>
      </c>
      <c r="D1220" s="34">
        <v>1</v>
      </c>
      <c r="E1220" s="22" t="s">
        <v>2753</v>
      </c>
      <c r="F1220" s="22"/>
      <c r="G1220" s="22" t="s">
        <v>2749</v>
      </c>
      <c r="H1220" s="7"/>
      <c r="I1220" s="35"/>
      <c r="J1220" s="30">
        <f>IF(OR($F1220="",$I1220=""),0,IFERROR(INDEX(Nutrition!$D$2:$D$300,MATCH($F1220,Nutrition!$A$2:$A$300,0))*$I1220/100,0))</f>
        <v>0</v>
      </c>
      <c r="K1220" s="30">
        <f>IF(OR($F1220="",$I1220=""),0,IFERROR(INDEX(Nutrition!$E$2:$E$300,MATCH($F1220,Nutrition!$A$2:$A$300,0))*$I1220/100,0))</f>
        <v>0</v>
      </c>
      <c r="L1220" s="30">
        <f>IF(OR($F1220="",$I1220=""),0,IFERROR(INDEX(Nutrition!$F$2:$F$300,MATCH($F1220,Nutrition!$A$2:$A$300,0))*$I1220/100,0))</f>
        <v>0</v>
      </c>
      <c r="M1220" s="30">
        <f>IF(OR($F1220="",$I1220=""),0,IFERROR(INDEX(Nutrition!$G$2:$G$300,MATCH($F1220,Nutrition!$A$2:$A$300,0))*$I1220/100,0))</f>
        <v>0</v>
      </c>
      <c r="N1220" s="30">
        <f>IF(OR($F1220="",$I1220=""),0,IFERROR(INDEX(Nutrition!$H$2:$H$300,MATCH($F1220,Nutrition!$A$2:$A$300,0))*$I1220/100,0))</f>
        <v>0</v>
      </c>
      <c r="O1220" s="30">
        <f>IF(OR($F1220="",$I1220=""),0,IFERROR(INDEX(Nutrition!$I$2:$I$300,MATCH($F1220,Nutrition!$A$2:$A$300,0))*$I1220/100,0))</f>
        <v>0</v>
      </c>
      <c r="P1220" s="30">
        <f>IF(OR($F1220="",$I1220=""),0,IFERROR(INDEX(Nutrition!$J$2:$J$300,MATCH($F1220,Nutrition!$A$2:$A$300,0))*$I1220/100,0))</f>
        <v>0</v>
      </c>
      <c r="Q1220" s="30">
        <f>IF(OR($F1220="",$I1220=""),0,IFERROR(INDEX(Nutrition!$K$2:$K$300,MATCH($F1220,Nutrition!$A$2:$A$300,0))*$I1220/100,0))</f>
        <v>0</v>
      </c>
      <c r="R1220" s="30">
        <f>IF(OR($F1220="",$I1220=""),0,IFERROR(INDEX(Nutrition!$L$2:$L$300,MATCH($F1220,Nutrition!$A$2:$A$300,0))*$I1220/100,0))</f>
        <v>0</v>
      </c>
      <c r="S1220" s="30">
        <f>IF(OR($F1220="",$I1220=""),0,IFERROR(INDEX(Nutrition!$M$2:$M$300,MATCH($F1220,Nutrition!$A$2:$A$300,0))*$I1220/100,0))</f>
        <v>0</v>
      </c>
    </row>
    <row r="1221" spans="1:19" ht="15" customHeight="1" x14ac:dyDescent="0.25">
      <c r="A1221" s="22" t="s">
        <v>2511</v>
      </c>
      <c r="B1221" s="33" t="str">
        <f>IFERROR(INDEX(Recipes!$B$2:$B$500,MATCH(A1221,Recipes!$A$2:$A$500,0)),"")</f>
        <v>Fruit Skewers with Yoghurt Dip</v>
      </c>
      <c r="C1221" s="7" t="s">
        <v>2770</v>
      </c>
      <c r="D1221" s="34">
        <v>0.25</v>
      </c>
      <c r="E1221" s="22" t="s">
        <v>2759</v>
      </c>
      <c r="F1221" s="22"/>
      <c r="G1221" s="22" t="s">
        <v>2749</v>
      </c>
      <c r="H1221" s="7"/>
      <c r="I1221" s="35"/>
      <c r="J1221" s="30">
        <f>IF(OR($F1221="",$I1221=""),0,IFERROR(INDEX(Nutrition!$D$2:$D$300,MATCH($F1221,Nutrition!$A$2:$A$300,0))*$I1221/100,0))</f>
        <v>0</v>
      </c>
      <c r="K1221" s="30">
        <f>IF(OR($F1221="",$I1221=""),0,IFERROR(INDEX(Nutrition!$E$2:$E$300,MATCH($F1221,Nutrition!$A$2:$A$300,0))*$I1221/100,0))</f>
        <v>0</v>
      </c>
      <c r="L1221" s="30">
        <f>IF(OR($F1221="",$I1221=""),0,IFERROR(INDEX(Nutrition!$F$2:$F$300,MATCH($F1221,Nutrition!$A$2:$A$300,0))*$I1221/100,0))</f>
        <v>0</v>
      </c>
      <c r="M1221" s="30">
        <f>IF(OR($F1221="",$I1221=""),0,IFERROR(INDEX(Nutrition!$G$2:$G$300,MATCH($F1221,Nutrition!$A$2:$A$300,0))*$I1221/100,0))</f>
        <v>0</v>
      </c>
      <c r="N1221" s="30">
        <f>IF(OR($F1221="",$I1221=""),0,IFERROR(INDEX(Nutrition!$H$2:$H$300,MATCH($F1221,Nutrition!$A$2:$A$300,0))*$I1221/100,0))</f>
        <v>0</v>
      </c>
      <c r="O1221" s="30">
        <f>IF(OR($F1221="",$I1221=""),0,IFERROR(INDEX(Nutrition!$I$2:$I$300,MATCH($F1221,Nutrition!$A$2:$A$300,0))*$I1221/100,0))</f>
        <v>0</v>
      </c>
      <c r="P1221" s="30">
        <f>IF(OR($F1221="",$I1221=""),0,IFERROR(INDEX(Nutrition!$J$2:$J$300,MATCH($F1221,Nutrition!$A$2:$A$300,0))*$I1221/100,0))</f>
        <v>0</v>
      </c>
      <c r="Q1221" s="30">
        <f>IF(OR($F1221="",$I1221=""),0,IFERROR(INDEX(Nutrition!$K$2:$K$300,MATCH($F1221,Nutrition!$A$2:$A$300,0))*$I1221/100,0))</f>
        <v>0</v>
      </c>
      <c r="R1221" s="30">
        <f>IF(OR($F1221="",$I1221=""),0,IFERROR(INDEX(Nutrition!$L$2:$L$300,MATCH($F1221,Nutrition!$A$2:$A$300,0))*$I1221/100,0))</f>
        <v>0</v>
      </c>
      <c r="S1221" s="30">
        <f>IF(OR($F1221="",$I1221=""),0,IFERROR(INDEX(Nutrition!$M$2:$M$300,MATCH($F1221,Nutrition!$A$2:$A$300,0))*$I1221/100,0))</f>
        <v>0</v>
      </c>
    </row>
    <row r="1222" spans="1:19" ht="15" customHeight="1" x14ac:dyDescent="0.25">
      <c r="A1222" s="22" t="s">
        <v>2522</v>
      </c>
      <c r="B1222" s="33" t="str">
        <f>IFERROR(INDEX(Recipes!$B$2:$B$500,MATCH(A1222,Recipes!$A$2:$A$500,0)),"")</f>
        <v>Pineapple Carpaccio with Mint &amp; Lime</v>
      </c>
      <c r="C1222" s="7" t="s">
        <v>139</v>
      </c>
      <c r="D1222" s="34">
        <v>1</v>
      </c>
      <c r="E1222" s="22" t="s">
        <v>2754</v>
      </c>
      <c r="F1222" s="22" t="s">
        <v>138</v>
      </c>
      <c r="G1222" s="22" t="s">
        <v>2755</v>
      </c>
      <c r="H1222" s="7" t="s">
        <v>2783</v>
      </c>
      <c r="I1222" s="35">
        <v>905</v>
      </c>
      <c r="J1222" s="30">
        <f>IF(OR($F1222="",$I1222=""),0,IFERROR(INDEX(Nutrition!$D$2:$D$300,MATCH($F1222,Nutrition!$A$2:$A$300,0))*$I1222/100,0))</f>
        <v>12.67</v>
      </c>
      <c r="K1222" s="30">
        <f>IF(OR($F1222="",$I1222=""),0,IFERROR(INDEX(Nutrition!$E$2:$E$300,MATCH($F1222,Nutrition!$A$2:$A$300,0))*$I1222/100,0))</f>
        <v>432.59</v>
      </c>
      <c r="L1222" s="30">
        <f>IF(OR($F1222="",$I1222=""),0,IFERROR(INDEX(Nutrition!$F$2:$F$300,MATCH($F1222,Nutrition!$A$2:$A$300,0))*$I1222/100,0))</f>
        <v>27.15</v>
      </c>
      <c r="M1222" s="30">
        <f>IF(OR($F1222="",$I1222=""),0,IFERROR(INDEX(Nutrition!$G$2:$G$300,MATCH($F1222,Nutrition!$A$2:$A$300,0))*$I1222/100,0))</f>
        <v>6.335</v>
      </c>
      <c r="N1222" s="30">
        <f>IF(OR($F1222="",$I1222=""),0,IFERROR(INDEX(Nutrition!$H$2:$H$300,MATCH($F1222,Nutrition!$A$2:$A$300,0))*$I1222/100,0))</f>
        <v>162.9</v>
      </c>
      <c r="O1222" s="30">
        <f>IF(OR($F1222="",$I1222=""),0,IFERROR(INDEX(Nutrition!$I$2:$I$300,MATCH($F1222,Nutrition!$A$2:$A$300,0))*$I1222/100,0))</f>
        <v>986.45</v>
      </c>
      <c r="P1222" s="30">
        <f>IF(OR($F1222="",$I1222=""),0,IFERROR(INDEX(Nutrition!$J$2:$J$300,MATCH($F1222,Nutrition!$A$2:$A$300,0))*$I1222/100,0))</f>
        <v>0.18100000000000002</v>
      </c>
      <c r="Q1222" s="30">
        <f>IF(OR($F1222="",$I1222=""),0,IFERROR(INDEX(Nutrition!$K$2:$K$300,MATCH($F1222,Nutrition!$A$2:$A$300,0))*$I1222/100,0))</f>
        <v>1.0136000000000001</v>
      </c>
      <c r="R1222" s="30">
        <f>IF(OR($F1222="",$I1222=""),0,IFERROR(INDEX(Nutrition!$L$2:$L$300,MATCH($F1222,Nutrition!$A$2:$A$300,0))*$I1222/100,0))</f>
        <v>108.6</v>
      </c>
      <c r="S1222" s="30">
        <f>IF(OR($F1222="",$I1222=""),0,IFERROR(INDEX(Nutrition!$M$2:$M$300,MATCH($F1222,Nutrition!$A$2:$A$300,0))*$I1222/100,0))</f>
        <v>2.6244999999999998</v>
      </c>
    </row>
    <row r="1223" spans="1:19" ht="15" customHeight="1" x14ac:dyDescent="0.25">
      <c r="A1223" s="22" t="s">
        <v>2522</v>
      </c>
      <c r="B1223" s="33" t="str">
        <f>IFERROR(INDEX(Recipes!$B$2:$B$500,MATCH(A1223,Recipes!$A$2:$A$500,0)),"")</f>
        <v>Pineapple Carpaccio with Mint &amp; Lime</v>
      </c>
      <c r="C1223" s="7" t="s">
        <v>663</v>
      </c>
      <c r="D1223" s="34">
        <v>1</v>
      </c>
      <c r="E1223" s="22" t="s">
        <v>2811</v>
      </c>
      <c r="F1223" s="22" t="s">
        <v>662</v>
      </c>
      <c r="G1223" s="22" t="s">
        <v>2755</v>
      </c>
      <c r="H1223" s="7" t="s">
        <v>3076</v>
      </c>
      <c r="I1223" s="35">
        <v>30</v>
      </c>
      <c r="J1223" s="30">
        <f>IF(OR($F1223="",$I1223=""),0,IFERROR(INDEX(Nutrition!$D$2:$D$300,MATCH($F1223,Nutrition!$A$2:$A$300,0))*$I1223/100,0))</f>
        <v>2.04</v>
      </c>
      <c r="K1223" s="30">
        <f>IF(OR($F1223="",$I1223=""),0,IFERROR(INDEX(Nutrition!$E$2:$E$300,MATCH($F1223,Nutrition!$A$2:$A$300,0))*$I1223/100,0))</f>
        <v>3.99</v>
      </c>
      <c r="L1223" s="30">
        <f>IF(OR($F1223="",$I1223=""),0,IFERROR(INDEX(Nutrition!$F$2:$F$300,MATCH($F1223,Nutrition!$A$2:$A$300,0))*$I1223/100,0))</f>
        <v>60.9</v>
      </c>
      <c r="M1223" s="30">
        <f>IF(OR($F1223="",$I1223=""),0,IFERROR(INDEX(Nutrition!$G$2:$G$300,MATCH($F1223,Nutrition!$A$2:$A$300,0))*$I1223/100,0))</f>
        <v>0</v>
      </c>
      <c r="N1223" s="30">
        <f>IF(OR($F1223="",$I1223=""),0,IFERROR(INDEX(Nutrition!$H$2:$H$300,MATCH($F1223,Nutrition!$A$2:$A$300,0))*$I1223/100,0))</f>
        <v>31.5</v>
      </c>
      <c r="O1223" s="30">
        <f>IF(OR($F1223="",$I1223=""),0,IFERROR(INDEX(Nutrition!$I$2:$I$300,MATCH($F1223,Nutrition!$A$2:$A$300,0))*$I1223/100,0))</f>
        <v>137.4</v>
      </c>
      <c r="P1223" s="30">
        <f>IF(OR($F1223="",$I1223=""),0,IFERROR(INDEX(Nutrition!$J$2:$J$300,MATCH($F1223,Nutrition!$A$2:$A$300,0))*$I1223/100,0))</f>
        <v>0</v>
      </c>
      <c r="Q1223" s="30">
        <f>IF(OR($F1223="",$I1223=""),0,IFERROR(INDEX(Nutrition!$K$2:$K$300,MATCH($F1223,Nutrition!$A$2:$A$300,0))*$I1223/100,0))</f>
        <v>4.7400000000000005E-2</v>
      </c>
      <c r="R1223" s="30">
        <f>IF(OR($F1223="",$I1223=""),0,IFERROR(INDEX(Nutrition!$L$2:$L$300,MATCH($F1223,Nutrition!$A$2:$A$300,0))*$I1223/100,0))</f>
        <v>18.899999999999999</v>
      </c>
      <c r="S1223" s="30">
        <f>IF(OR($F1223="",$I1223=""),0,IFERROR(INDEX(Nutrition!$M$2:$M$300,MATCH($F1223,Nutrition!$A$2:$A$300,0))*$I1223/100,0))</f>
        <v>3.5609999999999995</v>
      </c>
    </row>
    <row r="1224" spans="1:19" ht="15" customHeight="1" x14ac:dyDescent="0.25">
      <c r="A1224" s="22" t="s">
        <v>2522</v>
      </c>
      <c r="B1224" s="33" t="str">
        <f>IFERROR(INDEX(Recipes!$B$2:$B$500,MATCH(A1224,Recipes!$A$2:$A$500,0)),"")</f>
        <v>Pineapple Carpaccio with Mint &amp; Lime</v>
      </c>
      <c r="C1224" s="7" t="s">
        <v>410</v>
      </c>
      <c r="D1224" s="34">
        <v>100</v>
      </c>
      <c r="E1224" s="22" t="s">
        <v>2813</v>
      </c>
      <c r="F1224" s="22" t="s">
        <v>409</v>
      </c>
      <c r="G1224" s="22" t="s">
        <v>2755</v>
      </c>
      <c r="H1224" s="7" t="s">
        <v>3077</v>
      </c>
      <c r="I1224" s="35">
        <v>100</v>
      </c>
      <c r="J1224" s="30">
        <f>IF(OR($F1224="",$I1224=""),0,IFERROR(INDEX(Nutrition!$D$2:$D$300,MATCH($F1224,Nutrition!$A$2:$A$300,0))*$I1224/100,0))</f>
        <v>2.4</v>
      </c>
      <c r="K1224" s="30">
        <f>IF(OR($F1224="",$I1224=""),0,IFERROR(INDEX(Nutrition!$E$2:$E$300,MATCH($F1224,Nutrition!$A$2:$A$300,0))*$I1224/100,0))</f>
        <v>9.6999999999999993</v>
      </c>
      <c r="L1224" s="30">
        <f>IF(OR($F1224="",$I1224=""),0,IFERROR(INDEX(Nutrition!$F$2:$F$300,MATCH($F1224,Nutrition!$A$2:$A$300,0))*$I1224/100,0))</f>
        <v>3</v>
      </c>
      <c r="M1224" s="30">
        <f>IF(OR($F1224="",$I1224=""),0,IFERROR(INDEX(Nutrition!$G$2:$G$300,MATCH($F1224,Nutrition!$A$2:$A$300,0))*$I1224/100,0))</f>
        <v>19.3</v>
      </c>
      <c r="N1224" s="30">
        <f>IF(OR($F1224="",$I1224=""),0,IFERROR(INDEX(Nutrition!$H$2:$H$300,MATCH($F1224,Nutrition!$A$2:$A$300,0))*$I1224/100,0))</f>
        <v>6</v>
      </c>
      <c r="O1224" s="30">
        <f>IF(OR($F1224="",$I1224=""),0,IFERROR(INDEX(Nutrition!$I$2:$I$300,MATCH($F1224,Nutrition!$A$2:$A$300,0))*$I1224/100,0))</f>
        <v>77</v>
      </c>
      <c r="P1224" s="30">
        <f>IF(OR($F1224="",$I1224=""),0,IFERROR(INDEX(Nutrition!$J$2:$J$300,MATCH($F1224,Nutrition!$A$2:$A$300,0))*$I1224/100,0))</f>
        <v>0.56999999999999995</v>
      </c>
      <c r="Q1224" s="30">
        <f>IF(OR($F1224="",$I1224=""),0,IFERROR(INDEX(Nutrition!$K$2:$K$300,MATCH($F1224,Nutrition!$A$2:$A$300,0))*$I1224/100,0))</f>
        <v>5.2000000000000005E-2</v>
      </c>
      <c r="R1224" s="30">
        <f>IF(OR($F1224="",$I1224=""),0,IFERROR(INDEX(Nutrition!$L$2:$L$300,MATCH($F1224,Nutrition!$A$2:$A$300,0))*$I1224/100,0))</f>
        <v>6</v>
      </c>
      <c r="S1224" s="30">
        <f>IF(OR($F1224="",$I1224=""),0,IFERROR(INDEX(Nutrition!$M$2:$M$300,MATCH($F1224,Nutrition!$A$2:$A$300,0))*$I1224/100,0))</f>
        <v>0.28000000000000003</v>
      </c>
    </row>
    <row r="1225" spans="1:19" ht="15" customHeight="1" x14ac:dyDescent="0.25">
      <c r="A1225" s="22" t="s">
        <v>2522</v>
      </c>
      <c r="B1225" s="33" t="str">
        <f>IFERROR(INDEX(Recipes!$B$2:$B$500,MATCH(A1225,Recipes!$A$2:$A$500,0)),"")</f>
        <v>Pineapple Carpaccio with Mint &amp; Lime</v>
      </c>
      <c r="C1225" s="7" t="s">
        <v>213</v>
      </c>
      <c r="D1225" s="34">
        <v>1</v>
      </c>
      <c r="E1225" s="22" t="s">
        <v>2754</v>
      </c>
      <c r="F1225" s="22" t="s">
        <v>212</v>
      </c>
      <c r="G1225" s="22" t="s">
        <v>2755</v>
      </c>
      <c r="H1225" s="7" t="s">
        <v>2764</v>
      </c>
      <c r="I1225" s="35">
        <v>67</v>
      </c>
      <c r="J1225" s="30">
        <f>IF(OR($F1225="",$I1225=""),0,IFERROR(INDEX(Nutrition!$D$2:$D$300,MATCH($F1225,Nutrition!$A$2:$A$300,0))*$I1225/100,0))</f>
        <v>1.8759999999999999</v>
      </c>
      <c r="K1225" s="30">
        <f>IF(OR($F1225="",$I1225=""),0,IFERROR(INDEX(Nutrition!$E$2:$E$300,MATCH($F1225,Nutrition!$A$2:$A$300,0))*$I1225/100,0))</f>
        <v>19.497</v>
      </c>
      <c r="L1225" s="30">
        <f>IF(OR($F1225="",$I1225=""),0,IFERROR(INDEX(Nutrition!$F$2:$F$300,MATCH($F1225,Nutrition!$A$2:$A$300,0))*$I1225/100,0))</f>
        <v>1.34</v>
      </c>
      <c r="M1225" s="30">
        <f>IF(OR($F1225="",$I1225=""),0,IFERROR(INDEX(Nutrition!$G$2:$G$300,MATCH($F1225,Nutrition!$A$2:$A$300,0))*$I1225/100,0))</f>
        <v>0.40199999999999997</v>
      </c>
      <c r="N1225" s="30">
        <f>IF(OR($F1225="",$I1225=""),0,IFERROR(INDEX(Nutrition!$H$2:$H$300,MATCH($F1225,Nutrition!$A$2:$A$300,0))*$I1225/100,0))</f>
        <v>5.36</v>
      </c>
      <c r="O1225" s="30">
        <f>IF(OR($F1225="",$I1225=""),0,IFERROR(INDEX(Nutrition!$I$2:$I$300,MATCH($F1225,Nutrition!$A$2:$A$300,0))*$I1225/100,0))</f>
        <v>68.34</v>
      </c>
      <c r="P1225" s="30">
        <f>IF(OR($F1225="",$I1225=""),0,IFERROR(INDEX(Nutrition!$J$2:$J$300,MATCH($F1225,Nutrition!$A$2:$A$300,0))*$I1225/100,0))</f>
        <v>0.1474</v>
      </c>
      <c r="Q1225" s="30">
        <f>IF(OR($F1225="",$I1225=""),0,IFERROR(INDEX(Nutrition!$K$2:$K$300,MATCH($F1225,Nutrition!$A$2:$A$300,0))*$I1225/100,0))</f>
        <v>2.8809999999999999E-2</v>
      </c>
      <c r="R1225" s="30">
        <f>IF(OR($F1225="",$I1225=""),0,IFERROR(INDEX(Nutrition!$L$2:$L$300,MATCH($F1225,Nutrition!$A$2:$A$300,0))*$I1225/100,0))</f>
        <v>4.0199999999999996</v>
      </c>
      <c r="S1225" s="30">
        <f>IF(OR($F1225="",$I1225=""),0,IFERROR(INDEX(Nutrition!$M$2:$M$300,MATCH($F1225,Nutrition!$A$2:$A$300,0))*$I1225/100,0))</f>
        <v>0.40199999999999997</v>
      </c>
    </row>
    <row r="1226" spans="1:19" ht="15" customHeight="1" x14ac:dyDescent="0.25">
      <c r="A1226" s="22" t="s">
        <v>2522</v>
      </c>
      <c r="B1226" s="33" t="str">
        <f>IFERROR(INDEX(Recipes!$B$2:$B$500,MATCH(A1226,Recipes!$A$2:$A$500,0)),"")</f>
        <v>Pineapple Carpaccio with Mint &amp; Lime</v>
      </c>
      <c r="C1226" s="7" t="s">
        <v>2751</v>
      </c>
      <c r="D1226" s="34">
        <v>4</v>
      </c>
      <c r="E1226" s="22" t="s">
        <v>2753</v>
      </c>
      <c r="F1226" s="22"/>
      <c r="G1226" s="22" t="s">
        <v>2749</v>
      </c>
      <c r="H1226" s="7" t="s">
        <v>3078</v>
      </c>
      <c r="I1226" s="35"/>
      <c r="J1226" s="30">
        <f>IF(OR($F1226="",$I1226=""),0,IFERROR(INDEX(Nutrition!$D$2:$D$300,MATCH($F1226,Nutrition!$A$2:$A$300,0))*$I1226/100,0))</f>
        <v>0</v>
      </c>
      <c r="K1226" s="30">
        <f>IF(OR($F1226="",$I1226=""),0,IFERROR(INDEX(Nutrition!$E$2:$E$300,MATCH($F1226,Nutrition!$A$2:$A$300,0))*$I1226/100,0))</f>
        <v>0</v>
      </c>
      <c r="L1226" s="30">
        <f>IF(OR($F1226="",$I1226=""),0,IFERROR(INDEX(Nutrition!$F$2:$F$300,MATCH($F1226,Nutrition!$A$2:$A$300,0))*$I1226/100,0))</f>
        <v>0</v>
      </c>
      <c r="M1226" s="30">
        <f>IF(OR($F1226="",$I1226=""),0,IFERROR(INDEX(Nutrition!$G$2:$G$300,MATCH($F1226,Nutrition!$A$2:$A$300,0))*$I1226/100,0))</f>
        <v>0</v>
      </c>
      <c r="N1226" s="30">
        <f>IF(OR($F1226="",$I1226=""),0,IFERROR(INDEX(Nutrition!$H$2:$H$300,MATCH($F1226,Nutrition!$A$2:$A$300,0))*$I1226/100,0))</f>
        <v>0</v>
      </c>
      <c r="O1226" s="30">
        <f>IF(OR($F1226="",$I1226=""),0,IFERROR(INDEX(Nutrition!$I$2:$I$300,MATCH($F1226,Nutrition!$A$2:$A$300,0))*$I1226/100,0))</f>
        <v>0</v>
      </c>
      <c r="P1226" s="30">
        <f>IF(OR($F1226="",$I1226=""),0,IFERROR(INDEX(Nutrition!$J$2:$J$300,MATCH($F1226,Nutrition!$A$2:$A$300,0))*$I1226/100,0))</f>
        <v>0</v>
      </c>
      <c r="Q1226" s="30">
        <f>IF(OR($F1226="",$I1226=""),0,IFERROR(INDEX(Nutrition!$K$2:$K$300,MATCH($F1226,Nutrition!$A$2:$A$300,0))*$I1226/100,0))</f>
        <v>0</v>
      </c>
      <c r="R1226" s="30">
        <f>IF(OR($F1226="",$I1226=""),0,IFERROR(INDEX(Nutrition!$L$2:$L$300,MATCH($F1226,Nutrition!$A$2:$A$300,0))*$I1226/100,0))</f>
        <v>0</v>
      </c>
      <c r="S1226" s="30">
        <f>IF(OR($F1226="",$I1226=""),0,IFERROR(INDEX(Nutrition!$M$2:$M$300,MATCH($F1226,Nutrition!$A$2:$A$300,0))*$I1226/100,0))</f>
        <v>0</v>
      </c>
    </row>
    <row r="1227" spans="1:19" ht="15" customHeight="1" x14ac:dyDescent="0.25">
      <c r="A1227" s="22" t="s">
        <v>2522</v>
      </c>
      <c r="B1227" s="33" t="str">
        <f>IFERROR(INDEX(Recipes!$B$2:$B$500,MATCH(A1227,Recipes!$A$2:$A$500,0)),"")</f>
        <v>Pineapple Carpaccio with Mint &amp; Lime</v>
      </c>
      <c r="C1227" s="7" t="s">
        <v>2805</v>
      </c>
      <c r="D1227" s="34">
        <v>1</v>
      </c>
      <c r="E1227" s="22" t="s">
        <v>2753</v>
      </c>
      <c r="F1227" s="22"/>
      <c r="G1227" s="22" t="s">
        <v>2773</v>
      </c>
      <c r="H1227" s="7"/>
      <c r="I1227" s="35"/>
      <c r="J1227" s="30">
        <f>IF(OR($F1227="",$I1227=""),0,IFERROR(INDEX(Nutrition!$D$2:$D$300,MATCH($F1227,Nutrition!$A$2:$A$300,0))*$I1227/100,0))</f>
        <v>0</v>
      </c>
      <c r="K1227" s="30">
        <f>IF(OR($F1227="",$I1227=""),0,IFERROR(INDEX(Nutrition!$E$2:$E$300,MATCH($F1227,Nutrition!$A$2:$A$300,0))*$I1227/100,0))</f>
        <v>0</v>
      </c>
      <c r="L1227" s="30">
        <f>IF(OR($F1227="",$I1227=""),0,IFERROR(INDEX(Nutrition!$F$2:$F$300,MATCH($F1227,Nutrition!$A$2:$A$300,0))*$I1227/100,0))</f>
        <v>0</v>
      </c>
      <c r="M1227" s="30">
        <f>IF(OR($F1227="",$I1227=""),0,IFERROR(INDEX(Nutrition!$G$2:$G$300,MATCH($F1227,Nutrition!$A$2:$A$300,0))*$I1227/100,0))</f>
        <v>0</v>
      </c>
      <c r="N1227" s="30">
        <f>IF(OR($F1227="",$I1227=""),0,IFERROR(INDEX(Nutrition!$H$2:$H$300,MATCH($F1227,Nutrition!$A$2:$A$300,0))*$I1227/100,0))</f>
        <v>0</v>
      </c>
      <c r="O1227" s="30">
        <f>IF(OR($F1227="",$I1227=""),0,IFERROR(INDEX(Nutrition!$I$2:$I$300,MATCH($F1227,Nutrition!$A$2:$A$300,0))*$I1227/100,0))</f>
        <v>0</v>
      </c>
      <c r="P1227" s="30">
        <f>IF(OR($F1227="",$I1227=""),0,IFERROR(INDEX(Nutrition!$J$2:$J$300,MATCH($F1227,Nutrition!$A$2:$A$300,0))*$I1227/100,0))</f>
        <v>0</v>
      </c>
      <c r="Q1227" s="30">
        <f>IF(OR($F1227="",$I1227=""),0,IFERROR(INDEX(Nutrition!$K$2:$K$300,MATCH($F1227,Nutrition!$A$2:$A$300,0))*$I1227/100,0))</f>
        <v>0</v>
      </c>
      <c r="R1227" s="30">
        <f>IF(OR($F1227="",$I1227=""),0,IFERROR(INDEX(Nutrition!$L$2:$L$300,MATCH($F1227,Nutrition!$A$2:$A$300,0))*$I1227/100,0))</f>
        <v>0</v>
      </c>
      <c r="S1227" s="30">
        <f>IF(OR($F1227="",$I1227=""),0,IFERROR(INDEX(Nutrition!$M$2:$M$300,MATCH($F1227,Nutrition!$A$2:$A$300,0))*$I1227/100,0))</f>
        <v>0</v>
      </c>
    </row>
    <row r="1228" spans="1:19" ht="15" customHeight="1" x14ac:dyDescent="0.25">
      <c r="A1228" s="22" t="s">
        <v>2535</v>
      </c>
      <c r="B1228" s="33" t="str">
        <f>IFERROR(INDEX(Recipes!$B$2:$B$500,MATCH(A1228,Recipes!$A$2:$A$500,0)),"")</f>
        <v>Strawberries with Balsamic &amp; Black Pepper</v>
      </c>
      <c r="C1228" s="7" t="s">
        <v>399</v>
      </c>
      <c r="D1228" s="34">
        <v>500</v>
      </c>
      <c r="E1228" s="22" t="s">
        <v>2813</v>
      </c>
      <c r="F1228" s="22" t="s">
        <v>398</v>
      </c>
      <c r="G1228" s="22" t="s">
        <v>2755</v>
      </c>
      <c r="H1228" s="7" t="s">
        <v>3079</v>
      </c>
      <c r="I1228" s="35">
        <v>500</v>
      </c>
      <c r="J1228" s="30">
        <f>IF(OR($F1228="",$I1228=""),0,IFERROR(INDEX(Nutrition!$D$2:$D$300,MATCH($F1228,Nutrition!$A$2:$A$300,0))*$I1228/100,0))</f>
        <v>10</v>
      </c>
      <c r="K1228" s="30">
        <f>IF(OR($F1228="",$I1228=""),0,IFERROR(INDEX(Nutrition!$E$2:$E$300,MATCH($F1228,Nutrition!$A$2:$A$300,0))*$I1228/100,0))</f>
        <v>294</v>
      </c>
      <c r="L1228" s="30">
        <f>IF(OR($F1228="",$I1228=""),0,IFERROR(INDEX(Nutrition!$F$2:$F$300,MATCH($F1228,Nutrition!$A$2:$A$300,0))*$I1228/100,0))</f>
        <v>5</v>
      </c>
      <c r="M1228" s="30">
        <f>IF(OR($F1228="",$I1228=""),0,IFERROR(INDEX(Nutrition!$G$2:$G$300,MATCH($F1228,Nutrition!$A$2:$A$300,0))*$I1228/100,0))</f>
        <v>11</v>
      </c>
      <c r="N1228" s="30">
        <f>IF(OR($F1228="",$I1228=""),0,IFERROR(INDEX(Nutrition!$H$2:$H$300,MATCH($F1228,Nutrition!$A$2:$A$300,0))*$I1228/100,0))</f>
        <v>120</v>
      </c>
      <c r="O1228" s="30">
        <f>IF(OR($F1228="",$I1228=""),0,IFERROR(INDEX(Nutrition!$I$2:$I$300,MATCH($F1228,Nutrition!$A$2:$A$300,0))*$I1228/100,0))</f>
        <v>765</v>
      </c>
      <c r="P1228" s="30">
        <f>IF(OR($F1228="",$I1228=""),0,IFERROR(INDEX(Nutrition!$J$2:$J$300,MATCH($F1228,Nutrition!$A$2:$A$300,0))*$I1228/100,0))</f>
        <v>1.45</v>
      </c>
      <c r="Q1228" s="30">
        <f>IF(OR($F1228="",$I1228=""),0,IFERROR(INDEX(Nutrition!$K$2:$K$300,MATCH($F1228,Nutrition!$A$2:$A$300,0))*$I1228/100,0))</f>
        <v>0.23499999999999999</v>
      </c>
      <c r="R1228" s="30">
        <f>IF(OR($F1228="",$I1228=""),0,IFERROR(INDEX(Nutrition!$L$2:$L$300,MATCH($F1228,Nutrition!$A$2:$A$300,0))*$I1228/100,0))</f>
        <v>65</v>
      </c>
      <c r="S1228" s="30">
        <f>IF(OR($F1228="",$I1228=""),0,IFERROR(INDEX(Nutrition!$M$2:$M$300,MATCH($F1228,Nutrition!$A$2:$A$300,0))*$I1228/100,0))</f>
        <v>2.0499999999999998</v>
      </c>
    </row>
    <row r="1229" spans="1:19" ht="15" customHeight="1" x14ac:dyDescent="0.25">
      <c r="A1229" s="22" t="s">
        <v>2535</v>
      </c>
      <c r="B1229" s="33" t="str">
        <f>IFERROR(INDEX(Recipes!$B$2:$B$500,MATCH(A1229,Recipes!$A$2:$A$500,0)),"")</f>
        <v>Strawberries with Balsamic &amp; Black Pepper</v>
      </c>
      <c r="C1229" s="7" t="s">
        <v>183</v>
      </c>
      <c r="D1229" s="34">
        <v>0.5</v>
      </c>
      <c r="E1229" s="22" t="s">
        <v>2754</v>
      </c>
      <c r="F1229" s="22" t="s">
        <v>182</v>
      </c>
      <c r="G1229" s="22" t="s">
        <v>2755</v>
      </c>
      <c r="H1229" s="7" t="s">
        <v>3080</v>
      </c>
      <c r="I1229" s="35">
        <v>66</v>
      </c>
      <c r="J1229" s="30">
        <f>IF(OR($F1229="",$I1229=""),0,IFERROR(INDEX(Nutrition!$D$2:$D$300,MATCH($F1229,Nutrition!$A$2:$A$300,0))*$I1229/100,0))</f>
        <v>1.5840000000000001</v>
      </c>
      <c r="K1229" s="30">
        <f>IF(OR($F1229="",$I1229=""),0,IFERROR(INDEX(Nutrition!$E$2:$E$300,MATCH($F1229,Nutrition!$A$2:$A$300,0))*$I1229/100,0))</f>
        <v>35.112000000000002</v>
      </c>
      <c r="L1229" s="30">
        <f>IF(OR($F1229="",$I1229=""),0,IFERROR(INDEX(Nutrition!$F$2:$F$300,MATCH($F1229,Nutrition!$A$2:$A$300,0))*$I1229/100,0))</f>
        <v>7.26</v>
      </c>
      <c r="M1229" s="30">
        <f>IF(OR($F1229="",$I1229=""),0,IFERROR(INDEX(Nutrition!$G$2:$G$300,MATCH($F1229,Nutrition!$A$2:$A$300,0))*$I1229/100,0))</f>
        <v>0</v>
      </c>
      <c r="N1229" s="30">
        <f>IF(OR($F1229="",$I1229=""),0,IFERROR(INDEX(Nutrition!$H$2:$H$300,MATCH($F1229,Nutrition!$A$2:$A$300,0))*$I1229/100,0))</f>
        <v>19.8</v>
      </c>
      <c r="O1229" s="30">
        <f>IF(OR($F1229="",$I1229=""),0,IFERROR(INDEX(Nutrition!$I$2:$I$300,MATCH($F1229,Nutrition!$A$2:$A$300,0))*$I1229/100,0))</f>
        <v>119.46</v>
      </c>
      <c r="P1229" s="30">
        <f>IF(OR($F1229="",$I1229=""),0,IFERROR(INDEX(Nutrition!$J$2:$J$300,MATCH($F1229,Nutrition!$A$2:$A$300,0))*$I1229/100,0))</f>
        <v>0.11879999999999999</v>
      </c>
      <c r="Q1229" s="30">
        <f>IF(OR($F1229="",$I1229=""),0,IFERROR(INDEX(Nutrition!$K$2:$K$300,MATCH($F1229,Nutrition!$A$2:$A$300,0))*$I1229/100,0))</f>
        <v>3.9599999999999996E-2</v>
      </c>
      <c r="R1229" s="30">
        <f>IF(OR($F1229="",$I1229=""),0,IFERROR(INDEX(Nutrition!$L$2:$L$300,MATCH($F1229,Nutrition!$A$2:$A$300,0))*$I1229/100,0))</f>
        <v>6.6</v>
      </c>
      <c r="S1229" s="30">
        <f>IF(OR($F1229="",$I1229=""),0,IFERROR(INDEX(Nutrition!$M$2:$M$300,MATCH($F1229,Nutrition!$A$2:$A$300,0))*$I1229/100,0))</f>
        <v>6.6000000000000003E-2</v>
      </c>
    </row>
    <row r="1230" spans="1:19" ht="15" customHeight="1" x14ac:dyDescent="0.25">
      <c r="A1230" s="22" t="s">
        <v>2535</v>
      </c>
      <c r="B1230" s="33" t="str">
        <f>IFERROR(INDEX(Recipes!$B$2:$B$500,MATCH(A1230,Recipes!$A$2:$A$500,0)),"")</f>
        <v>Strawberries with Balsamic &amp; Black Pepper</v>
      </c>
      <c r="C1230" s="7" t="s">
        <v>206</v>
      </c>
      <c r="D1230" s="34">
        <v>0.5</v>
      </c>
      <c r="E1230" s="22" t="s">
        <v>2754</v>
      </c>
      <c r="F1230" s="22" t="s">
        <v>205</v>
      </c>
      <c r="G1230" s="22" t="s">
        <v>2755</v>
      </c>
      <c r="H1230" s="7" t="s">
        <v>3080</v>
      </c>
      <c r="I1230" s="35">
        <v>29</v>
      </c>
      <c r="J1230" s="30">
        <f>IF(OR($F1230="",$I1230=""),0,IFERROR(INDEX(Nutrition!$D$2:$D$300,MATCH($F1230,Nutrition!$A$2:$A$300,0))*$I1230/100,0))</f>
        <v>0.81199999999999983</v>
      </c>
      <c r="K1230" s="30">
        <f>IF(OR($F1230="",$I1230=""),0,IFERROR(INDEX(Nutrition!$E$2:$E$300,MATCH($F1230,Nutrition!$A$2:$A$300,0))*$I1230/100,0))</f>
        <v>15.37</v>
      </c>
      <c r="L1230" s="30">
        <f>IF(OR($F1230="",$I1230=""),0,IFERROR(INDEX(Nutrition!$F$2:$F$300,MATCH($F1230,Nutrition!$A$2:$A$300,0))*$I1230/100,0))</f>
        <v>0.28999999999999998</v>
      </c>
      <c r="M1230" s="30">
        <f>IF(OR($F1230="",$I1230=""),0,IFERROR(INDEX(Nutrition!$G$2:$G$300,MATCH($F1230,Nutrition!$A$2:$A$300,0))*$I1230/100,0))</f>
        <v>0</v>
      </c>
      <c r="N1230" s="30">
        <f>IF(OR($F1230="",$I1230=""),0,IFERROR(INDEX(Nutrition!$H$2:$H$300,MATCH($F1230,Nutrition!$A$2:$A$300,0))*$I1230/100,0))</f>
        <v>3.19</v>
      </c>
      <c r="O1230" s="30">
        <f>IF(OR($F1230="",$I1230=""),0,IFERROR(INDEX(Nutrition!$I$2:$I$300,MATCH($F1230,Nutrition!$A$2:$A$300,0))*$I1230/100,0))</f>
        <v>40.020000000000003</v>
      </c>
      <c r="P1230" s="30">
        <f>IF(OR($F1230="",$I1230=""),0,IFERROR(INDEX(Nutrition!$J$2:$J$300,MATCH($F1230,Nutrition!$A$2:$A$300,0))*$I1230/100,0))</f>
        <v>4.3499999999999997E-2</v>
      </c>
      <c r="Q1230" s="30">
        <f>IF(OR($F1230="",$I1230=""),0,IFERROR(INDEX(Nutrition!$K$2:$K$300,MATCH($F1230,Nutrition!$A$2:$A$300,0))*$I1230/100,0))</f>
        <v>2.3199999999999998E-2</v>
      </c>
      <c r="R1230" s="30">
        <f>IF(OR($F1230="",$I1230=""),0,IFERROR(INDEX(Nutrition!$L$2:$L$300,MATCH($F1230,Nutrition!$A$2:$A$300,0))*$I1230/100,0))</f>
        <v>2.3199999999999998</v>
      </c>
      <c r="S1230" s="30">
        <f>IF(OR($F1230="",$I1230=""),0,IFERROR(INDEX(Nutrition!$M$2:$M$300,MATCH($F1230,Nutrition!$A$2:$A$300,0))*$I1230/100,0))</f>
        <v>0.17399999999999999</v>
      </c>
    </row>
    <row r="1231" spans="1:19" ht="15" customHeight="1" x14ac:dyDescent="0.25">
      <c r="A1231" s="22" t="s">
        <v>2535</v>
      </c>
      <c r="B1231" s="33" t="str">
        <f>IFERROR(INDEX(Recipes!$B$2:$B$500,MATCH(A1231,Recipes!$A$2:$A$500,0)),"")</f>
        <v>Strawberries with Balsamic &amp; Black Pepper</v>
      </c>
      <c r="C1231" s="7" t="s">
        <v>3081</v>
      </c>
      <c r="D1231" s="34">
        <v>2</v>
      </c>
      <c r="E1231" s="22" t="s">
        <v>2753</v>
      </c>
      <c r="F1231" s="22"/>
      <c r="G1231" s="22" t="s">
        <v>2749</v>
      </c>
      <c r="H1231" s="7"/>
      <c r="I1231" s="35"/>
      <c r="J1231" s="30">
        <f>IF(OR($F1231="",$I1231=""),0,IFERROR(INDEX(Nutrition!$D$2:$D$300,MATCH($F1231,Nutrition!$A$2:$A$300,0))*$I1231/100,0))</f>
        <v>0</v>
      </c>
      <c r="K1231" s="30">
        <f>IF(OR($F1231="",$I1231=""),0,IFERROR(INDEX(Nutrition!$E$2:$E$300,MATCH($F1231,Nutrition!$A$2:$A$300,0))*$I1231/100,0))</f>
        <v>0</v>
      </c>
      <c r="L1231" s="30">
        <f>IF(OR($F1231="",$I1231=""),0,IFERROR(INDEX(Nutrition!$F$2:$F$300,MATCH($F1231,Nutrition!$A$2:$A$300,0))*$I1231/100,0))</f>
        <v>0</v>
      </c>
      <c r="M1231" s="30">
        <f>IF(OR($F1231="",$I1231=""),0,IFERROR(INDEX(Nutrition!$G$2:$G$300,MATCH($F1231,Nutrition!$A$2:$A$300,0))*$I1231/100,0))</f>
        <v>0</v>
      </c>
      <c r="N1231" s="30">
        <f>IF(OR($F1231="",$I1231=""),0,IFERROR(INDEX(Nutrition!$H$2:$H$300,MATCH($F1231,Nutrition!$A$2:$A$300,0))*$I1231/100,0))</f>
        <v>0</v>
      </c>
      <c r="O1231" s="30">
        <f>IF(OR($F1231="",$I1231=""),0,IFERROR(INDEX(Nutrition!$I$2:$I$300,MATCH($F1231,Nutrition!$A$2:$A$300,0))*$I1231/100,0))</f>
        <v>0</v>
      </c>
      <c r="P1231" s="30">
        <f>IF(OR($F1231="",$I1231=""),0,IFERROR(INDEX(Nutrition!$J$2:$J$300,MATCH($F1231,Nutrition!$A$2:$A$300,0))*$I1231/100,0))</f>
        <v>0</v>
      </c>
      <c r="Q1231" s="30">
        <f>IF(OR($F1231="",$I1231=""),0,IFERROR(INDEX(Nutrition!$K$2:$K$300,MATCH($F1231,Nutrition!$A$2:$A$300,0))*$I1231/100,0))</f>
        <v>0</v>
      </c>
      <c r="R1231" s="30">
        <f>IF(OR($F1231="",$I1231=""),0,IFERROR(INDEX(Nutrition!$L$2:$L$300,MATCH($F1231,Nutrition!$A$2:$A$300,0))*$I1231/100,0))</f>
        <v>0</v>
      </c>
      <c r="S1231" s="30">
        <f>IF(OR($F1231="",$I1231=""),0,IFERROR(INDEX(Nutrition!$M$2:$M$300,MATCH($F1231,Nutrition!$A$2:$A$300,0))*$I1231/100,0))</f>
        <v>0</v>
      </c>
    </row>
    <row r="1232" spans="1:19" ht="15" customHeight="1" x14ac:dyDescent="0.25">
      <c r="A1232" s="22" t="s">
        <v>2535</v>
      </c>
      <c r="B1232" s="33" t="str">
        <f>IFERROR(INDEX(Recipes!$B$2:$B$500,MATCH(A1232,Recipes!$A$2:$A$500,0)),"")</f>
        <v>Strawberries with Balsamic &amp; Black Pepper</v>
      </c>
      <c r="C1232" s="7" t="s">
        <v>3082</v>
      </c>
      <c r="D1232" s="34">
        <v>1</v>
      </c>
      <c r="E1232" s="22" t="s">
        <v>2753</v>
      </c>
      <c r="F1232" s="22"/>
      <c r="G1232" s="22" t="s">
        <v>2749</v>
      </c>
      <c r="H1232" s="7" t="s">
        <v>3083</v>
      </c>
      <c r="I1232" s="35"/>
      <c r="J1232" s="30">
        <f>IF(OR($F1232="",$I1232=""),0,IFERROR(INDEX(Nutrition!$D$2:$D$300,MATCH($F1232,Nutrition!$A$2:$A$300,0))*$I1232/100,0))</f>
        <v>0</v>
      </c>
      <c r="K1232" s="30">
        <f>IF(OR($F1232="",$I1232=""),0,IFERROR(INDEX(Nutrition!$E$2:$E$300,MATCH($F1232,Nutrition!$A$2:$A$300,0))*$I1232/100,0))</f>
        <v>0</v>
      </c>
      <c r="L1232" s="30">
        <f>IF(OR($F1232="",$I1232=""),0,IFERROR(INDEX(Nutrition!$F$2:$F$300,MATCH($F1232,Nutrition!$A$2:$A$300,0))*$I1232/100,0))</f>
        <v>0</v>
      </c>
      <c r="M1232" s="30">
        <f>IF(OR($F1232="",$I1232=""),0,IFERROR(INDEX(Nutrition!$G$2:$G$300,MATCH($F1232,Nutrition!$A$2:$A$300,0))*$I1232/100,0))</f>
        <v>0</v>
      </c>
      <c r="N1232" s="30">
        <f>IF(OR($F1232="",$I1232=""),0,IFERROR(INDEX(Nutrition!$H$2:$H$300,MATCH($F1232,Nutrition!$A$2:$A$300,0))*$I1232/100,0))</f>
        <v>0</v>
      </c>
      <c r="O1232" s="30">
        <f>IF(OR($F1232="",$I1232=""),0,IFERROR(INDEX(Nutrition!$I$2:$I$300,MATCH($F1232,Nutrition!$A$2:$A$300,0))*$I1232/100,0))</f>
        <v>0</v>
      </c>
      <c r="P1232" s="30">
        <f>IF(OR($F1232="",$I1232=""),0,IFERROR(INDEX(Nutrition!$J$2:$J$300,MATCH($F1232,Nutrition!$A$2:$A$300,0))*$I1232/100,0))</f>
        <v>0</v>
      </c>
      <c r="Q1232" s="30">
        <f>IF(OR($F1232="",$I1232=""),0,IFERROR(INDEX(Nutrition!$K$2:$K$300,MATCH($F1232,Nutrition!$A$2:$A$300,0))*$I1232/100,0))</f>
        <v>0</v>
      </c>
      <c r="R1232" s="30">
        <f>IF(OR($F1232="",$I1232=""),0,IFERROR(INDEX(Nutrition!$L$2:$L$300,MATCH($F1232,Nutrition!$A$2:$A$300,0))*$I1232/100,0))</f>
        <v>0</v>
      </c>
      <c r="S1232" s="30">
        <f>IF(OR($F1232="",$I1232=""),0,IFERROR(INDEX(Nutrition!$M$2:$M$300,MATCH($F1232,Nutrition!$A$2:$A$300,0))*$I1232/100,0))</f>
        <v>0</v>
      </c>
    </row>
    <row r="1233" spans="1:19" ht="15" customHeight="1" x14ac:dyDescent="0.25">
      <c r="A1233" s="22" t="s">
        <v>2535</v>
      </c>
      <c r="B1233" s="33" t="str">
        <f>IFERROR(INDEX(Recipes!$B$2:$B$500,MATCH(A1233,Recipes!$A$2:$A$500,0)),"")</f>
        <v>Strawberries with Balsamic &amp; Black Pepper</v>
      </c>
      <c r="C1233" s="7" t="s">
        <v>3084</v>
      </c>
      <c r="D1233" s="34">
        <v>1</v>
      </c>
      <c r="E1233" s="22" t="s">
        <v>2782</v>
      </c>
      <c r="F1233" s="22"/>
      <c r="G1233" s="22" t="s">
        <v>2773</v>
      </c>
      <c r="H1233" s="7"/>
      <c r="I1233" s="35"/>
      <c r="J1233" s="30">
        <f>IF(OR($F1233="",$I1233=""),0,IFERROR(INDEX(Nutrition!$D$2:$D$300,MATCH($F1233,Nutrition!$A$2:$A$300,0))*$I1233/100,0))</f>
        <v>0</v>
      </c>
      <c r="K1233" s="30">
        <f>IF(OR($F1233="",$I1233=""),0,IFERROR(INDEX(Nutrition!$E$2:$E$300,MATCH($F1233,Nutrition!$A$2:$A$300,0))*$I1233/100,0))</f>
        <v>0</v>
      </c>
      <c r="L1233" s="30">
        <f>IF(OR($F1233="",$I1233=""),0,IFERROR(INDEX(Nutrition!$F$2:$F$300,MATCH($F1233,Nutrition!$A$2:$A$300,0))*$I1233/100,0))</f>
        <v>0</v>
      </c>
      <c r="M1233" s="30">
        <f>IF(OR($F1233="",$I1233=""),0,IFERROR(INDEX(Nutrition!$G$2:$G$300,MATCH($F1233,Nutrition!$A$2:$A$300,0))*$I1233/100,0))</f>
        <v>0</v>
      </c>
      <c r="N1233" s="30">
        <f>IF(OR($F1233="",$I1233=""),0,IFERROR(INDEX(Nutrition!$H$2:$H$300,MATCH($F1233,Nutrition!$A$2:$A$300,0))*$I1233/100,0))</f>
        <v>0</v>
      </c>
      <c r="O1233" s="30">
        <f>IF(OR($F1233="",$I1233=""),0,IFERROR(INDEX(Nutrition!$I$2:$I$300,MATCH($F1233,Nutrition!$A$2:$A$300,0))*$I1233/100,0))</f>
        <v>0</v>
      </c>
      <c r="P1233" s="30">
        <f>IF(OR($F1233="",$I1233=""),0,IFERROR(INDEX(Nutrition!$J$2:$J$300,MATCH($F1233,Nutrition!$A$2:$A$300,0))*$I1233/100,0))</f>
        <v>0</v>
      </c>
      <c r="Q1233" s="30">
        <f>IF(OR($F1233="",$I1233=""),0,IFERROR(INDEX(Nutrition!$K$2:$K$300,MATCH($F1233,Nutrition!$A$2:$A$300,0))*$I1233/100,0))</f>
        <v>0</v>
      </c>
      <c r="R1233" s="30">
        <f>IF(OR($F1233="",$I1233=""),0,IFERROR(INDEX(Nutrition!$L$2:$L$300,MATCH($F1233,Nutrition!$A$2:$A$300,0))*$I1233/100,0))</f>
        <v>0</v>
      </c>
      <c r="S1233" s="30">
        <f>IF(OR($F1233="",$I1233=""),0,IFERROR(INDEX(Nutrition!$M$2:$M$300,MATCH($F1233,Nutrition!$A$2:$A$300,0))*$I1233/100,0))</f>
        <v>0</v>
      </c>
    </row>
    <row r="1234" spans="1:19" ht="15" customHeight="1" x14ac:dyDescent="0.25">
      <c r="A1234" s="22" t="s">
        <v>2545</v>
      </c>
      <c r="B1234" s="33" t="str">
        <f>IFERROR(INDEX(Recipes!$B$2:$B$500,MATCH(A1234,Recipes!$A$2:$A$500,0)),"")</f>
        <v>Oranges with Dark Chocolate &amp; Sea Salt</v>
      </c>
      <c r="C1234" s="7" t="s">
        <v>183</v>
      </c>
      <c r="D1234" s="34">
        <v>3</v>
      </c>
      <c r="E1234" s="22" t="s">
        <v>2754</v>
      </c>
      <c r="F1234" s="22" t="s">
        <v>182</v>
      </c>
      <c r="G1234" s="22" t="s">
        <v>2755</v>
      </c>
      <c r="H1234" s="7" t="s">
        <v>3058</v>
      </c>
      <c r="I1234" s="35">
        <v>393</v>
      </c>
      <c r="J1234" s="30">
        <f>IF(OR($F1234="",$I1234=""),0,IFERROR(INDEX(Nutrition!$D$2:$D$300,MATCH($F1234,Nutrition!$A$2:$A$300,0))*$I1234/100,0))</f>
        <v>9.4319999999999986</v>
      </c>
      <c r="K1234" s="30">
        <f>IF(OR($F1234="",$I1234=""),0,IFERROR(INDEX(Nutrition!$E$2:$E$300,MATCH($F1234,Nutrition!$A$2:$A$300,0))*$I1234/100,0))</f>
        <v>209.07600000000002</v>
      </c>
      <c r="L1234" s="30">
        <f>IF(OR($F1234="",$I1234=""),0,IFERROR(INDEX(Nutrition!$F$2:$F$300,MATCH($F1234,Nutrition!$A$2:$A$300,0))*$I1234/100,0))</f>
        <v>43.23</v>
      </c>
      <c r="M1234" s="30">
        <f>IF(OR($F1234="",$I1234=""),0,IFERROR(INDEX(Nutrition!$G$2:$G$300,MATCH($F1234,Nutrition!$A$2:$A$300,0))*$I1234/100,0))</f>
        <v>0</v>
      </c>
      <c r="N1234" s="30">
        <f>IF(OR($F1234="",$I1234=""),0,IFERROR(INDEX(Nutrition!$H$2:$H$300,MATCH($F1234,Nutrition!$A$2:$A$300,0))*$I1234/100,0))</f>
        <v>117.9</v>
      </c>
      <c r="O1234" s="30">
        <f>IF(OR($F1234="",$I1234=""),0,IFERROR(INDEX(Nutrition!$I$2:$I$300,MATCH($F1234,Nutrition!$A$2:$A$300,0))*$I1234/100,0))</f>
        <v>711.33</v>
      </c>
      <c r="P1234" s="30">
        <f>IF(OR($F1234="",$I1234=""),0,IFERROR(INDEX(Nutrition!$J$2:$J$300,MATCH($F1234,Nutrition!$A$2:$A$300,0))*$I1234/100,0))</f>
        <v>0.70739999999999992</v>
      </c>
      <c r="Q1234" s="30">
        <f>IF(OR($F1234="",$I1234=""),0,IFERROR(INDEX(Nutrition!$K$2:$K$300,MATCH($F1234,Nutrition!$A$2:$A$300,0))*$I1234/100,0))</f>
        <v>0.23579999999999998</v>
      </c>
      <c r="R1234" s="30">
        <f>IF(OR($F1234="",$I1234=""),0,IFERROR(INDEX(Nutrition!$L$2:$L$300,MATCH($F1234,Nutrition!$A$2:$A$300,0))*$I1234/100,0))</f>
        <v>39.299999999999997</v>
      </c>
      <c r="S1234" s="30">
        <f>IF(OR($F1234="",$I1234=""),0,IFERROR(INDEX(Nutrition!$M$2:$M$300,MATCH($F1234,Nutrition!$A$2:$A$300,0))*$I1234/100,0))</f>
        <v>0.39300000000000002</v>
      </c>
    </row>
    <row r="1235" spans="1:19" ht="15" customHeight="1" x14ac:dyDescent="0.25">
      <c r="A1235" s="22" t="s">
        <v>2545</v>
      </c>
      <c r="B1235" s="33" t="str">
        <f>IFERROR(INDEX(Recipes!$B$2:$B$500,MATCH(A1235,Recipes!$A$2:$A$500,0)),"")</f>
        <v>Oranges with Dark Chocolate &amp; Sea Salt</v>
      </c>
      <c r="C1235" s="7" t="s">
        <v>197</v>
      </c>
      <c r="D1235" s="34">
        <v>2</v>
      </c>
      <c r="E1235" s="22" t="s">
        <v>2754</v>
      </c>
      <c r="F1235" s="22" t="s">
        <v>196</v>
      </c>
      <c r="G1235" s="22" t="s">
        <v>2755</v>
      </c>
      <c r="H1235" s="7" t="s">
        <v>3058</v>
      </c>
      <c r="I1235" s="35">
        <v>176</v>
      </c>
      <c r="J1235" s="30">
        <f>IF(OR($F1235="",$I1235=""),0,IFERROR(INDEX(Nutrition!$D$2:$D$300,MATCH($F1235,Nutrition!$A$2:$A$300,0))*$I1235/100,0))</f>
        <v>3.1680000000000001</v>
      </c>
      <c r="K1235" s="30">
        <f>IF(OR($F1235="",$I1235=""),0,IFERROR(INDEX(Nutrition!$E$2:$E$300,MATCH($F1235,Nutrition!$A$2:$A$300,0))*$I1235/100,0))</f>
        <v>46.991999999999997</v>
      </c>
      <c r="L1235" s="30">
        <f>IF(OR($F1235="",$I1235=""),0,IFERROR(INDEX(Nutrition!$F$2:$F$300,MATCH($F1235,Nutrition!$A$2:$A$300,0))*$I1235/100,0))</f>
        <v>59.84</v>
      </c>
      <c r="M1235" s="30">
        <f>IF(OR($F1235="",$I1235=""),0,IFERROR(INDEX(Nutrition!$G$2:$G$300,MATCH($F1235,Nutrition!$A$2:$A$300,0))*$I1235/100,0))</f>
        <v>0</v>
      </c>
      <c r="N1235" s="30">
        <f>IF(OR($F1235="",$I1235=""),0,IFERROR(INDEX(Nutrition!$H$2:$H$300,MATCH($F1235,Nutrition!$A$2:$A$300,0))*$I1235/100,0))</f>
        <v>28.16</v>
      </c>
      <c r="O1235" s="30">
        <f>IF(OR($F1235="",$I1235=""),0,IFERROR(INDEX(Nutrition!$I$2:$I$300,MATCH($F1235,Nutrition!$A$2:$A$300,0))*$I1235/100,0))</f>
        <v>292.16000000000003</v>
      </c>
      <c r="P1235" s="30">
        <f>IF(OR($F1235="",$I1235=""),0,IFERROR(INDEX(Nutrition!$J$2:$J$300,MATCH($F1235,Nutrition!$A$2:$A$300,0))*$I1235/100,0))</f>
        <v>0.35200000000000004</v>
      </c>
      <c r="Q1235" s="30">
        <f>IF(OR($F1235="",$I1235=""),0,IFERROR(INDEX(Nutrition!$K$2:$K$300,MATCH($F1235,Nutrition!$A$2:$A$300,0))*$I1235/100,0))</f>
        <v>0.13727999999999999</v>
      </c>
      <c r="R1235" s="30">
        <f>IF(OR($F1235="",$I1235=""),0,IFERROR(INDEX(Nutrition!$L$2:$L$300,MATCH($F1235,Nutrition!$A$2:$A$300,0))*$I1235/100,0))</f>
        <v>21.12</v>
      </c>
      <c r="S1235" s="30">
        <f>IF(OR($F1235="",$I1235=""),0,IFERROR(INDEX(Nutrition!$M$2:$M$300,MATCH($F1235,Nutrition!$A$2:$A$300,0))*$I1235/100,0))</f>
        <v>0.26400000000000001</v>
      </c>
    </row>
    <row r="1236" spans="1:19" ht="15" customHeight="1" x14ac:dyDescent="0.25">
      <c r="A1236" s="22" t="s">
        <v>2545</v>
      </c>
      <c r="B1236" s="33" t="str">
        <f>IFERROR(INDEX(Recipes!$B$2:$B$500,MATCH(A1236,Recipes!$A$2:$A$500,0)),"")</f>
        <v>Oranges with Dark Chocolate &amp; Sea Salt</v>
      </c>
      <c r="C1236" s="7" t="s">
        <v>219</v>
      </c>
      <c r="D1236" s="34">
        <v>0.5</v>
      </c>
      <c r="E1236" s="22" t="s">
        <v>2754</v>
      </c>
      <c r="F1236" s="22" t="s">
        <v>218</v>
      </c>
      <c r="G1236" s="22" t="s">
        <v>2755</v>
      </c>
      <c r="H1236" s="7" t="s">
        <v>3058</v>
      </c>
      <c r="I1236" s="35">
        <v>123</v>
      </c>
      <c r="J1236" s="30">
        <f>IF(OR($F1236="",$I1236=""),0,IFERROR(INDEX(Nutrition!$D$2:$D$300,MATCH($F1236,Nutrition!$A$2:$A$300,0))*$I1236/100,0))</f>
        <v>1.9680000000000002</v>
      </c>
      <c r="K1236" s="30">
        <f>IF(OR($F1236="",$I1236=""),0,IFERROR(INDEX(Nutrition!$E$2:$E$300,MATCH($F1236,Nutrition!$A$2:$A$300,0))*$I1236/100,0))</f>
        <v>38.375999999999998</v>
      </c>
      <c r="L1236" s="30">
        <f>IF(OR($F1236="",$I1236=""),0,IFERROR(INDEX(Nutrition!$F$2:$F$300,MATCH($F1236,Nutrition!$A$2:$A$300,0))*$I1236/100,0))</f>
        <v>71.34</v>
      </c>
      <c r="M1236" s="30">
        <f>IF(OR($F1236="",$I1236=""),0,IFERROR(INDEX(Nutrition!$G$2:$G$300,MATCH($F1236,Nutrition!$A$2:$A$300,0))*$I1236/100,0))</f>
        <v>0</v>
      </c>
      <c r="N1236" s="30">
        <f>IF(OR($F1236="",$I1236=""),0,IFERROR(INDEX(Nutrition!$H$2:$H$300,MATCH($F1236,Nutrition!$A$2:$A$300,0))*$I1236/100,0))</f>
        <v>15.99</v>
      </c>
      <c r="O1236" s="30">
        <f>IF(OR($F1236="",$I1236=""),0,IFERROR(INDEX(Nutrition!$I$2:$I$300,MATCH($F1236,Nutrition!$A$2:$A$300,0))*$I1236/100,0))</f>
        <v>166.05</v>
      </c>
      <c r="P1236" s="30">
        <f>IF(OR($F1236="",$I1236=""),0,IFERROR(INDEX(Nutrition!$J$2:$J$300,MATCH($F1236,Nutrition!$A$2:$A$300,0))*$I1236/100,0))</f>
        <v>0.15990000000000001</v>
      </c>
      <c r="Q1236" s="30">
        <f>IF(OR($F1236="",$I1236=""),0,IFERROR(INDEX(Nutrition!$K$2:$K$300,MATCH($F1236,Nutrition!$A$2:$A$300,0))*$I1236/100,0))</f>
        <v>6.5189999999999998E-2</v>
      </c>
      <c r="R1236" s="30">
        <f>IF(OR($F1236="",$I1236=""),0,IFERROR(INDEX(Nutrition!$L$2:$L$300,MATCH($F1236,Nutrition!$A$2:$A$300,0))*$I1236/100,0))</f>
        <v>11.07</v>
      </c>
      <c r="S1236" s="30">
        <f>IF(OR($F1236="",$I1236=""),0,IFERROR(INDEX(Nutrition!$M$2:$M$300,MATCH($F1236,Nutrition!$A$2:$A$300,0))*$I1236/100,0))</f>
        <v>9.8400000000000001E-2</v>
      </c>
    </row>
    <row r="1237" spans="1:19" ht="15" customHeight="1" x14ac:dyDescent="0.25">
      <c r="A1237" s="22" t="s">
        <v>2545</v>
      </c>
      <c r="B1237" s="33" t="str">
        <f>IFERROR(INDEX(Recipes!$B$2:$B$500,MATCH(A1237,Recipes!$A$2:$A$500,0)),"")</f>
        <v>Oranges with Dark Chocolate &amp; Sea Salt</v>
      </c>
      <c r="C1237" s="7" t="s">
        <v>663</v>
      </c>
      <c r="D1237" s="34">
        <v>6</v>
      </c>
      <c r="E1237" s="22" t="s">
        <v>2840</v>
      </c>
      <c r="F1237" s="22" t="s">
        <v>662</v>
      </c>
      <c r="G1237" s="22" t="s">
        <v>2755</v>
      </c>
      <c r="H1237" s="7"/>
      <c r="I1237" s="35">
        <v>6</v>
      </c>
      <c r="J1237" s="30">
        <f>IF(OR($F1237="",$I1237=""),0,IFERROR(INDEX(Nutrition!$D$2:$D$300,MATCH($F1237,Nutrition!$A$2:$A$300,0))*$I1237/100,0))</f>
        <v>0.40799999999999997</v>
      </c>
      <c r="K1237" s="30">
        <f>IF(OR($F1237="",$I1237=""),0,IFERROR(INDEX(Nutrition!$E$2:$E$300,MATCH($F1237,Nutrition!$A$2:$A$300,0))*$I1237/100,0))</f>
        <v>0.79800000000000015</v>
      </c>
      <c r="L1237" s="30">
        <f>IF(OR($F1237="",$I1237=""),0,IFERROR(INDEX(Nutrition!$F$2:$F$300,MATCH($F1237,Nutrition!$A$2:$A$300,0))*$I1237/100,0))</f>
        <v>12.18</v>
      </c>
      <c r="M1237" s="30">
        <f>IF(OR($F1237="",$I1237=""),0,IFERROR(INDEX(Nutrition!$G$2:$G$300,MATCH($F1237,Nutrition!$A$2:$A$300,0))*$I1237/100,0))</f>
        <v>0</v>
      </c>
      <c r="N1237" s="30">
        <f>IF(OR($F1237="",$I1237=""),0,IFERROR(INDEX(Nutrition!$H$2:$H$300,MATCH($F1237,Nutrition!$A$2:$A$300,0))*$I1237/100,0))</f>
        <v>6.3</v>
      </c>
      <c r="O1237" s="30">
        <f>IF(OR($F1237="",$I1237=""),0,IFERROR(INDEX(Nutrition!$I$2:$I$300,MATCH($F1237,Nutrition!$A$2:$A$300,0))*$I1237/100,0))</f>
        <v>27.48</v>
      </c>
      <c r="P1237" s="30">
        <f>IF(OR($F1237="",$I1237=""),0,IFERROR(INDEX(Nutrition!$J$2:$J$300,MATCH($F1237,Nutrition!$A$2:$A$300,0))*$I1237/100,0))</f>
        <v>0</v>
      </c>
      <c r="Q1237" s="30">
        <f>IF(OR($F1237="",$I1237=""),0,IFERROR(INDEX(Nutrition!$K$2:$K$300,MATCH($F1237,Nutrition!$A$2:$A$300,0))*$I1237/100,0))</f>
        <v>9.4799999999999988E-3</v>
      </c>
      <c r="R1237" s="30">
        <f>IF(OR($F1237="",$I1237=""),0,IFERROR(INDEX(Nutrition!$L$2:$L$300,MATCH($F1237,Nutrition!$A$2:$A$300,0))*$I1237/100,0))</f>
        <v>3.78</v>
      </c>
      <c r="S1237" s="30">
        <f>IF(OR($F1237="",$I1237=""),0,IFERROR(INDEX(Nutrition!$M$2:$M$300,MATCH($F1237,Nutrition!$A$2:$A$300,0))*$I1237/100,0))</f>
        <v>0.71219999999999994</v>
      </c>
    </row>
    <row r="1238" spans="1:19" ht="15" customHeight="1" x14ac:dyDescent="0.25">
      <c r="A1238" s="22" t="s">
        <v>2545</v>
      </c>
      <c r="B1238" s="33" t="str">
        <f>IFERROR(INDEX(Recipes!$B$2:$B$500,MATCH(A1238,Recipes!$A$2:$A$500,0)),"")</f>
        <v>Oranges with Dark Chocolate &amp; Sea Salt</v>
      </c>
      <c r="C1238" s="7" t="s">
        <v>3061</v>
      </c>
      <c r="D1238" s="34">
        <v>30</v>
      </c>
      <c r="E1238" s="22" t="s">
        <v>2813</v>
      </c>
      <c r="F1238" s="22"/>
      <c r="G1238" s="22" t="s">
        <v>2749</v>
      </c>
      <c r="H1238" s="7" t="s">
        <v>3085</v>
      </c>
      <c r="I1238" s="35"/>
      <c r="J1238" s="30">
        <f>IF(OR($F1238="",$I1238=""),0,IFERROR(INDEX(Nutrition!$D$2:$D$300,MATCH($F1238,Nutrition!$A$2:$A$300,0))*$I1238/100,0))</f>
        <v>0</v>
      </c>
      <c r="K1238" s="30">
        <f>IF(OR($F1238="",$I1238=""),0,IFERROR(INDEX(Nutrition!$E$2:$E$300,MATCH($F1238,Nutrition!$A$2:$A$300,0))*$I1238/100,0))</f>
        <v>0</v>
      </c>
      <c r="L1238" s="30">
        <f>IF(OR($F1238="",$I1238=""),0,IFERROR(INDEX(Nutrition!$F$2:$F$300,MATCH($F1238,Nutrition!$A$2:$A$300,0))*$I1238/100,0))</f>
        <v>0</v>
      </c>
      <c r="M1238" s="30">
        <f>IF(OR($F1238="",$I1238=""),0,IFERROR(INDEX(Nutrition!$G$2:$G$300,MATCH($F1238,Nutrition!$A$2:$A$300,0))*$I1238/100,0))</f>
        <v>0</v>
      </c>
      <c r="N1238" s="30">
        <f>IF(OR($F1238="",$I1238=""),0,IFERROR(INDEX(Nutrition!$H$2:$H$300,MATCH($F1238,Nutrition!$A$2:$A$300,0))*$I1238/100,0))</f>
        <v>0</v>
      </c>
      <c r="O1238" s="30">
        <f>IF(OR($F1238="",$I1238=""),0,IFERROR(INDEX(Nutrition!$I$2:$I$300,MATCH($F1238,Nutrition!$A$2:$A$300,0))*$I1238/100,0))</f>
        <v>0</v>
      </c>
      <c r="P1238" s="30">
        <f>IF(OR($F1238="",$I1238=""),0,IFERROR(INDEX(Nutrition!$J$2:$J$300,MATCH($F1238,Nutrition!$A$2:$A$300,0))*$I1238/100,0))</f>
        <v>0</v>
      </c>
      <c r="Q1238" s="30">
        <f>IF(OR($F1238="",$I1238=""),0,IFERROR(INDEX(Nutrition!$K$2:$K$300,MATCH($F1238,Nutrition!$A$2:$A$300,0))*$I1238/100,0))</f>
        <v>0</v>
      </c>
      <c r="R1238" s="30">
        <f>IF(OR($F1238="",$I1238=""),0,IFERROR(INDEX(Nutrition!$L$2:$L$300,MATCH($F1238,Nutrition!$A$2:$A$300,0))*$I1238/100,0))</f>
        <v>0</v>
      </c>
      <c r="S1238" s="30">
        <f>IF(OR($F1238="",$I1238=""),0,IFERROR(INDEX(Nutrition!$M$2:$M$300,MATCH($F1238,Nutrition!$A$2:$A$300,0))*$I1238/100,0))</f>
        <v>0</v>
      </c>
    </row>
    <row r="1239" spans="1:19" ht="15" customHeight="1" x14ac:dyDescent="0.25">
      <c r="A1239" s="22" t="s">
        <v>2545</v>
      </c>
      <c r="B1239" s="33" t="str">
        <f>IFERROR(INDEX(Recipes!$B$2:$B$500,MATCH(A1239,Recipes!$A$2:$A$500,0)),"")</f>
        <v>Oranges with Dark Chocolate &amp; Sea Salt</v>
      </c>
      <c r="C1239" s="7" t="s">
        <v>2805</v>
      </c>
      <c r="D1239" s="34">
        <v>2</v>
      </c>
      <c r="E1239" s="22" t="s">
        <v>2753</v>
      </c>
      <c r="F1239" s="22"/>
      <c r="G1239" s="22" t="s">
        <v>2773</v>
      </c>
      <c r="H1239" s="7"/>
      <c r="I1239" s="35"/>
      <c r="J1239" s="30">
        <f>IF(OR($F1239="",$I1239=""),0,IFERROR(INDEX(Nutrition!$D$2:$D$300,MATCH($F1239,Nutrition!$A$2:$A$300,0))*$I1239/100,0))</f>
        <v>0</v>
      </c>
      <c r="K1239" s="30">
        <f>IF(OR($F1239="",$I1239=""),0,IFERROR(INDEX(Nutrition!$E$2:$E$300,MATCH($F1239,Nutrition!$A$2:$A$300,0))*$I1239/100,0))</f>
        <v>0</v>
      </c>
      <c r="L1239" s="30">
        <f>IF(OR($F1239="",$I1239=""),0,IFERROR(INDEX(Nutrition!$F$2:$F$300,MATCH($F1239,Nutrition!$A$2:$A$300,0))*$I1239/100,0))</f>
        <v>0</v>
      </c>
      <c r="M1239" s="30">
        <f>IF(OR($F1239="",$I1239=""),0,IFERROR(INDEX(Nutrition!$G$2:$G$300,MATCH($F1239,Nutrition!$A$2:$A$300,0))*$I1239/100,0))</f>
        <v>0</v>
      </c>
      <c r="N1239" s="30">
        <f>IF(OR($F1239="",$I1239=""),0,IFERROR(INDEX(Nutrition!$H$2:$H$300,MATCH($F1239,Nutrition!$A$2:$A$300,0))*$I1239/100,0))</f>
        <v>0</v>
      </c>
      <c r="O1239" s="30">
        <f>IF(OR($F1239="",$I1239=""),0,IFERROR(INDEX(Nutrition!$I$2:$I$300,MATCH($F1239,Nutrition!$A$2:$A$300,0))*$I1239/100,0))</f>
        <v>0</v>
      </c>
      <c r="P1239" s="30">
        <f>IF(OR($F1239="",$I1239=""),0,IFERROR(INDEX(Nutrition!$J$2:$J$300,MATCH($F1239,Nutrition!$A$2:$A$300,0))*$I1239/100,0))</f>
        <v>0</v>
      </c>
      <c r="Q1239" s="30">
        <f>IF(OR($F1239="",$I1239=""),0,IFERROR(INDEX(Nutrition!$K$2:$K$300,MATCH($F1239,Nutrition!$A$2:$A$300,0))*$I1239/100,0))</f>
        <v>0</v>
      </c>
      <c r="R1239" s="30">
        <f>IF(OR($F1239="",$I1239=""),0,IFERROR(INDEX(Nutrition!$L$2:$L$300,MATCH($F1239,Nutrition!$A$2:$A$300,0))*$I1239/100,0))</f>
        <v>0</v>
      </c>
      <c r="S1239" s="30">
        <f>IF(OR($F1239="",$I1239=""),0,IFERROR(INDEX(Nutrition!$M$2:$M$300,MATCH($F1239,Nutrition!$A$2:$A$300,0))*$I1239/100,0))</f>
        <v>0</v>
      </c>
    </row>
    <row r="1240" spans="1:19" ht="15" customHeight="1" x14ac:dyDescent="0.25">
      <c r="A1240" s="22" t="s">
        <v>2545</v>
      </c>
      <c r="B1240" s="33" t="str">
        <f>IFERROR(INDEX(Recipes!$B$2:$B$500,MATCH(A1240,Recipes!$A$2:$A$500,0)),"")</f>
        <v>Oranges with Dark Chocolate &amp; Sea Salt</v>
      </c>
      <c r="C1240" s="7" t="s">
        <v>3086</v>
      </c>
      <c r="D1240" s="34">
        <v>1</v>
      </c>
      <c r="E1240" s="22" t="s">
        <v>2782</v>
      </c>
      <c r="F1240" s="22"/>
      <c r="G1240" s="22" t="s">
        <v>2773</v>
      </c>
      <c r="H1240" s="7"/>
      <c r="I1240" s="35"/>
      <c r="J1240" s="30">
        <f>IF(OR($F1240="",$I1240=""),0,IFERROR(INDEX(Nutrition!$D$2:$D$300,MATCH($F1240,Nutrition!$A$2:$A$300,0))*$I1240/100,0))</f>
        <v>0</v>
      </c>
      <c r="K1240" s="30">
        <f>IF(OR($F1240="",$I1240=""),0,IFERROR(INDEX(Nutrition!$E$2:$E$300,MATCH($F1240,Nutrition!$A$2:$A$300,0))*$I1240/100,0))</f>
        <v>0</v>
      </c>
      <c r="L1240" s="30">
        <f>IF(OR($F1240="",$I1240=""),0,IFERROR(INDEX(Nutrition!$F$2:$F$300,MATCH($F1240,Nutrition!$A$2:$A$300,0))*$I1240/100,0))</f>
        <v>0</v>
      </c>
      <c r="M1240" s="30">
        <f>IF(OR($F1240="",$I1240=""),0,IFERROR(INDEX(Nutrition!$G$2:$G$300,MATCH($F1240,Nutrition!$A$2:$A$300,0))*$I1240/100,0))</f>
        <v>0</v>
      </c>
      <c r="N1240" s="30">
        <f>IF(OR($F1240="",$I1240=""),0,IFERROR(INDEX(Nutrition!$H$2:$H$300,MATCH($F1240,Nutrition!$A$2:$A$300,0))*$I1240/100,0))</f>
        <v>0</v>
      </c>
      <c r="O1240" s="30">
        <f>IF(OR($F1240="",$I1240=""),0,IFERROR(INDEX(Nutrition!$I$2:$I$300,MATCH($F1240,Nutrition!$A$2:$A$300,0))*$I1240/100,0))</f>
        <v>0</v>
      </c>
      <c r="P1240" s="30">
        <f>IF(OR($F1240="",$I1240=""),0,IFERROR(INDEX(Nutrition!$J$2:$J$300,MATCH($F1240,Nutrition!$A$2:$A$300,0))*$I1240/100,0))</f>
        <v>0</v>
      </c>
      <c r="Q1240" s="30">
        <f>IF(OR($F1240="",$I1240=""),0,IFERROR(INDEX(Nutrition!$K$2:$K$300,MATCH($F1240,Nutrition!$A$2:$A$300,0))*$I1240/100,0))</f>
        <v>0</v>
      </c>
      <c r="R1240" s="30">
        <f>IF(OR($F1240="",$I1240=""),0,IFERROR(INDEX(Nutrition!$L$2:$L$300,MATCH($F1240,Nutrition!$A$2:$A$300,0))*$I1240/100,0))</f>
        <v>0</v>
      </c>
      <c r="S1240" s="30">
        <f>IF(OR($F1240="",$I1240=""),0,IFERROR(INDEX(Nutrition!$M$2:$M$300,MATCH($F1240,Nutrition!$A$2:$A$300,0))*$I1240/100,0))</f>
        <v>0</v>
      </c>
    </row>
    <row r="1241" spans="1:19" ht="15" customHeight="1" x14ac:dyDescent="0.25">
      <c r="A1241" s="22" t="s">
        <v>2555</v>
      </c>
      <c r="B1241" s="33" t="str">
        <f>IFERROR(INDEX(Recipes!$B$2:$B$500,MATCH(A1241,Recipes!$A$2:$A$500,0)),"")</f>
        <v>Watermelon Pizza with Yoghurt &amp; Mint</v>
      </c>
      <c r="C1241" s="7" t="s">
        <v>150</v>
      </c>
      <c r="D1241" s="34">
        <v>1</v>
      </c>
      <c r="E1241" s="22" t="s">
        <v>2988</v>
      </c>
      <c r="F1241" s="22" t="s">
        <v>149</v>
      </c>
      <c r="G1241" s="22" t="s">
        <v>2755</v>
      </c>
      <c r="H1241" s="7" t="s">
        <v>3087</v>
      </c>
      <c r="I1241" s="35">
        <v>900</v>
      </c>
      <c r="J1241" s="30">
        <f>IF(OR($F1241="",$I1241=""),0,IFERROR(INDEX(Nutrition!$D$2:$D$300,MATCH($F1241,Nutrition!$A$2:$A$300,0))*$I1241/100,0))</f>
        <v>3.6</v>
      </c>
      <c r="K1241" s="30">
        <f>IF(OR($F1241="",$I1241=""),0,IFERROR(INDEX(Nutrition!$E$2:$E$300,MATCH($F1241,Nutrition!$A$2:$A$300,0))*$I1241/100,0))</f>
        <v>72.900000000000006</v>
      </c>
      <c r="L1241" s="30">
        <f>IF(OR($F1241="",$I1241=""),0,IFERROR(INDEX(Nutrition!$F$2:$F$300,MATCH($F1241,Nutrition!$A$2:$A$300,0))*$I1241/100,0))</f>
        <v>252</v>
      </c>
      <c r="M1241" s="30">
        <f>IF(OR($F1241="",$I1241=""),0,IFERROR(INDEX(Nutrition!$G$2:$G$300,MATCH($F1241,Nutrition!$A$2:$A$300,0))*$I1241/100,0))</f>
        <v>0.9</v>
      </c>
      <c r="N1241" s="30">
        <f>IF(OR($F1241="",$I1241=""),0,IFERROR(INDEX(Nutrition!$H$2:$H$300,MATCH($F1241,Nutrition!$A$2:$A$300,0))*$I1241/100,0))</f>
        <v>27</v>
      </c>
      <c r="O1241" s="30">
        <f>IF(OR($F1241="",$I1241=""),0,IFERROR(INDEX(Nutrition!$I$2:$I$300,MATCH($F1241,Nutrition!$A$2:$A$300,0))*$I1241/100,0))</f>
        <v>1008</v>
      </c>
      <c r="P1241" s="30">
        <f>IF(OR($F1241="",$I1241=""),0,IFERROR(INDEX(Nutrition!$J$2:$J$300,MATCH($F1241,Nutrition!$A$2:$A$300,0))*$I1241/100,0))</f>
        <v>0.45</v>
      </c>
      <c r="Q1241" s="30">
        <f>IF(OR($F1241="",$I1241=""),0,IFERROR(INDEX(Nutrition!$K$2:$K$300,MATCH($F1241,Nutrition!$A$2:$A$300,0))*$I1241/100,0))</f>
        <v>0.40500000000000003</v>
      </c>
      <c r="R1241" s="30">
        <f>IF(OR($F1241="",$I1241=""),0,IFERROR(INDEX(Nutrition!$L$2:$L$300,MATCH($F1241,Nutrition!$A$2:$A$300,0))*$I1241/100,0))</f>
        <v>90</v>
      </c>
      <c r="S1241" s="30">
        <f>IF(OR($F1241="",$I1241=""),0,IFERROR(INDEX(Nutrition!$M$2:$M$300,MATCH($F1241,Nutrition!$A$2:$A$300,0))*$I1241/100,0))</f>
        <v>2.16</v>
      </c>
    </row>
    <row r="1242" spans="1:19" ht="15" customHeight="1" x14ac:dyDescent="0.25">
      <c r="A1242" s="22" t="s">
        <v>2555</v>
      </c>
      <c r="B1242" s="33" t="str">
        <f>IFERROR(INDEX(Recipes!$B$2:$B$500,MATCH(A1242,Recipes!$A$2:$A$500,0)),"")</f>
        <v>Watermelon Pizza with Yoghurt &amp; Mint</v>
      </c>
      <c r="C1242" s="7" t="s">
        <v>399</v>
      </c>
      <c r="D1242" s="34">
        <v>0.5</v>
      </c>
      <c r="E1242" s="22" t="s">
        <v>2748</v>
      </c>
      <c r="F1242" s="22" t="s">
        <v>398</v>
      </c>
      <c r="G1242" s="22" t="s">
        <v>2755</v>
      </c>
      <c r="H1242" s="7" t="s">
        <v>2830</v>
      </c>
      <c r="I1242" s="35">
        <v>76</v>
      </c>
      <c r="J1242" s="30">
        <f>IF(OR($F1242="",$I1242=""),0,IFERROR(INDEX(Nutrition!$D$2:$D$300,MATCH($F1242,Nutrition!$A$2:$A$300,0))*$I1242/100,0))</f>
        <v>1.52</v>
      </c>
      <c r="K1242" s="30">
        <f>IF(OR($F1242="",$I1242=""),0,IFERROR(INDEX(Nutrition!$E$2:$E$300,MATCH($F1242,Nutrition!$A$2:$A$300,0))*$I1242/100,0))</f>
        <v>44.688000000000002</v>
      </c>
      <c r="L1242" s="30">
        <f>IF(OR($F1242="",$I1242=""),0,IFERROR(INDEX(Nutrition!$F$2:$F$300,MATCH($F1242,Nutrition!$A$2:$A$300,0))*$I1242/100,0))</f>
        <v>0.76</v>
      </c>
      <c r="M1242" s="30">
        <f>IF(OR($F1242="",$I1242=""),0,IFERROR(INDEX(Nutrition!$G$2:$G$300,MATCH($F1242,Nutrition!$A$2:$A$300,0))*$I1242/100,0))</f>
        <v>1.6720000000000002</v>
      </c>
      <c r="N1242" s="30">
        <f>IF(OR($F1242="",$I1242=""),0,IFERROR(INDEX(Nutrition!$H$2:$H$300,MATCH($F1242,Nutrition!$A$2:$A$300,0))*$I1242/100,0))</f>
        <v>18.239999999999998</v>
      </c>
      <c r="O1242" s="30">
        <f>IF(OR($F1242="",$I1242=""),0,IFERROR(INDEX(Nutrition!$I$2:$I$300,MATCH($F1242,Nutrition!$A$2:$A$300,0))*$I1242/100,0))</f>
        <v>116.28</v>
      </c>
      <c r="P1242" s="30">
        <f>IF(OR($F1242="",$I1242=""),0,IFERROR(INDEX(Nutrition!$J$2:$J$300,MATCH($F1242,Nutrition!$A$2:$A$300,0))*$I1242/100,0))</f>
        <v>0.22039999999999998</v>
      </c>
      <c r="Q1242" s="30">
        <f>IF(OR($F1242="",$I1242=""),0,IFERROR(INDEX(Nutrition!$K$2:$K$300,MATCH($F1242,Nutrition!$A$2:$A$300,0))*$I1242/100,0))</f>
        <v>3.5720000000000002E-2</v>
      </c>
      <c r="R1242" s="30">
        <f>IF(OR($F1242="",$I1242=""),0,IFERROR(INDEX(Nutrition!$L$2:$L$300,MATCH($F1242,Nutrition!$A$2:$A$300,0))*$I1242/100,0))</f>
        <v>9.8800000000000008</v>
      </c>
      <c r="S1242" s="30">
        <f>IF(OR($F1242="",$I1242=""),0,IFERROR(INDEX(Nutrition!$M$2:$M$300,MATCH($F1242,Nutrition!$A$2:$A$300,0))*$I1242/100,0))</f>
        <v>0.31159999999999999</v>
      </c>
    </row>
    <row r="1243" spans="1:19" ht="15" customHeight="1" x14ac:dyDescent="0.25">
      <c r="A1243" s="22" t="s">
        <v>2555</v>
      </c>
      <c r="B1243" s="33" t="str">
        <f>IFERROR(INDEX(Recipes!$B$2:$B$500,MATCH(A1243,Recipes!$A$2:$A$500,0)),"")</f>
        <v>Watermelon Pizza with Yoghurt &amp; Mint</v>
      </c>
      <c r="C1243" s="7" t="s">
        <v>414</v>
      </c>
      <c r="D1243" s="34">
        <v>1</v>
      </c>
      <c r="E1243" s="22" t="s">
        <v>2754</v>
      </c>
      <c r="F1243" s="22" t="s">
        <v>413</v>
      </c>
      <c r="G1243" s="22" t="s">
        <v>2755</v>
      </c>
      <c r="H1243" s="7" t="s">
        <v>2830</v>
      </c>
      <c r="I1243" s="35">
        <v>69</v>
      </c>
      <c r="J1243" s="30">
        <f>IF(OR($F1243="",$I1243=""),0,IFERROR(INDEX(Nutrition!$D$2:$D$300,MATCH($F1243,Nutrition!$A$2:$A$300,0))*$I1243/100,0))</f>
        <v>2.0699999999999998</v>
      </c>
      <c r="K1243" s="30">
        <f>IF(OR($F1243="",$I1243=""),0,IFERROR(INDEX(Nutrition!$E$2:$E$300,MATCH($F1243,Nutrition!$A$2:$A$300,0))*$I1243/100,0))</f>
        <v>63.963000000000001</v>
      </c>
      <c r="L1243" s="30">
        <f>IF(OR($F1243="",$I1243=""),0,IFERROR(INDEX(Nutrition!$F$2:$F$300,MATCH($F1243,Nutrition!$A$2:$A$300,0))*$I1243/100,0))</f>
        <v>2.76</v>
      </c>
      <c r="M1243" s="30">
        <f>IF(OR($F1243="",$I1243=""),0,IFERROR(INDEX(Nutrition!$G$2:$G$300,MATCH($F1243,Nutrition!$A$2:$A$300,0))*$I1243/100,0))</f>
        <v>27.806999999999999</v>
      </c>
      <c r="N1243" s="30">
        <f>IF(OR($F1243="",$I1243=""),0,IFERROR(INDEX(Nutrition!$H$2:$H$300,MATCH($F1243,Nutrition!$A$2:$A$300,0))*$I1243/100,0))</f>
        <v>17.25</v>
      </c>
      <c r="O1243" s="30">
        <f>IF(OR($F1243="",$I1243=""),0,IFERROR(INDEX(Nutrition!$I$2:$I$300,MATCH($F1243,Nutrition!$A$2:$A$300,0))*$I1243/100,0))</f>
        <v>215.28</v>
      </c>
      <c r="P1243" s="30">
        <f>IF(OR($F1243="",$I1243=""),0,IFERROR(INDEX(Nutrition!$J$2:$J$300,MATCH($F1243,Nutrition!$A$2:$A$300,0))*$I1243/100,0))</f>
        <v>1.0073999999999999</v>
      </c>
      <c r="Q1243" s="30">
        <f>IF(OR($F1243="",$I1243=""),0,IFERROR(INDEX(Nutrition!$K$2:$K$300,MATCH($F1243,Nutrition!$A$2:$A$300,0))*$I1243/100,0))</f>
        <v>4.3470000000000002E-2</v>
      </c>
      <c r="R1243" s="30">
        <f>IF(OR($F1243="",$I1243=""),0,IFERROR(INDEX(Nutrition!$L$2:$L$300,MATCH($F1243,Nutrition!$A$2:$A$300,0))*$I1243/100,0))</f>
        <v>11.73</v>
      </c>
      <c r="S1243" s="30">
        <f>IF(OR($F1243="",$I1243=""),0,IFERROR(INDEX(Nutrition!$M$2:$M$300,MATCH($F1243,Nutrition!$A$2:$A$300,0))*$I1243/100,0))</f>
        <v>0.21390000000000001</v>
      </c>
    </row>
    <row r="1244" spans="1:19" ht="15" customHeight="1" x14ac:dyDescent="0.25">
      <c r="A1244" s="22" t="s">
        <v>2555</v>
      </c>
      <c r="B1244" s="33" t="str">
        <f>IFERROR(INDEX(Recipes!$B$2:$B$500,MATCH(A1244,Recipes!$A$2:$A$500,0)),"")</f>
        <v>Watermelon Pizza with Yoghurt &amp; Mint</v>
      </c>
      <c r="C1244" s="7" t="s">
        <v>168</v>
      </c>
      <c r="D1244" s="34">
        <v>0.5</v>
      </c>
      <c r="E1244" s="22" t="s">
        <v>2748</v>
      </c>
      <c r="F1244" s="22" t="s">
        <v>167</v>
      </c>
      <c r="G1244" s="22" t="s">
        <v>2755</v>
      </c>
      <c r="H1244" s="7" t="s">
        <v>3073</v>
      </c>
      <c r="I1244" s="35">
        <v>82</v>
      </c>
      <c r="J1244" s="30">
        <f>IF(OR($F1244="",$I1244=""),0,IFERROR(INDEX(Nutrition!$D$2:$D$300,MATCH($F1244,Nutrition!$A$2:$A$300,0))*$I1244/100,0))</f>
        <v>1.3120000000000003</v>
      </c>
      <c r="K1244" s="30">
        <f>IF(OR($F1244="",$I1244=""),0,IFERROR(INDEX(Nutrition!$E$2:$E$300,MATCH($F1244,Nutrition!$A$2:$A$300,0))*$I1244/100,0))</f>
        <v>29.847999999999999</v>
      </c>
      <c r="L1244" s="30">
        <f>IF(OR($F1244="",$I1244=""),0,IFERROR(INDEX(Nutrition!$F$2:$F$300,MATCH($F1244,Nutrition!$A$2:$A$300,0))*$I1244/100,0))</f>
        <v>44.28</v>
      </c>
      <c r="M1244" s="30">
        <f>IF(OR($F1244="",$I1244=""),0,IFERROR(INDEX(Nutrition!$G$2:$G$300,MATCH($F1244,Nutrition!$A$2:$A$300,0))*$I1244/100,0))</f>
        <v>3.4440000000000004</v>
      </c>
      <c r="N1244" s="30">
        <f>IF(OR($F1244="",$I1244=""),0,IFERROR(INDEX(Nutrition!$H$2:$H$300,MATCH($F1244,Nutrition!$A$2:$A$300,0))*$I1244/100,0))</f>
        <v>35.26</v>
      </c>
      <c r="O1244" s="30">
        <f>IF(OR($F1244="",$I1244=""),0,IFERROR(INDEX(Nutrition!$I$2:$I$300,MATCH($F1244,Nutrition!$A$2:$A$300,0))*$I1244/100,0))</f>
        <v>137.76</v>
      </c>
      <c r="P1244" s="30">
        <f>IF(OR($F1244="",$I1244=""),0,IFERROR(INDEX(Nutrition!$J$2:$J$300,MATCH($F1244,Nutrition!$A$2:$A$300,0))*$I1244/100,0))</f>
        <v>0.73799999999999999</v>
      </c>
      <c r="Q1244" s="30">
        <f>IF(OR($F1244="",$I1244=""),0,IFERROR(INDEX(Nutrition!$K$2:$K$300,MATCH($F1244,Nutrition!$A$2:$A$300,0))*$I1244/100,0))</f>
        <v>9.7579999999999986E-2</v>
      </c>
      <c r="R1244" s="30">
        <f>IF(OR($F1244="",$I1244=""),0,IFERROR(INDEX(Nutrition!$L$2:$L$300,MATCH($F1244,Nutrition!$A$2:$A$300,0))*$I1244/100,0))</f>
        <v>8.1999999999999993</v>
      </c>
      <c r="S1244" s="30">
        <f>IF(OR($F1244="",$I1244=""),0,IFERROR(INDEX(Nutrition!$M$2:$M$300,MATCH($F1244,Nutrition!$A$2:$A$300,0))*$I1244/100,0))</f>
        <v>0.13120000000000001</v>
      </c>
    </row>
    <row r="1245" spans="1:19" ht="15" customHeight="1" x14ac:dyDescent="0.25">
      <c r="A1245" s="22" t="s">
        <v>2555</v>
      </c>
      <c r="B1245" s="33" t="str">
        <f>IFERROR(INDEX(Recipes!$B$2:$B$500,MATCH(A1245,Recipes!$A$2:$A$500,0)),"")</f>
        <v>Watermelon Pizza with Yoghurt &amp; Mint</v>
      </c>
      <c r="C1245" s="7" t="s">
        <v>326</v>
      </c>
      <c r="D1245" s="34">
        <v>2</v>
      </c>
      <c r="E1245" s="22" t="s">
        <v>2753</v>
      </c>
      <c r="F1245" s="22" t="s">
        <v>325</v>
      </c>
      <c r="G1245" s="22" t="s">
        <v>2755</v>
      </c>
      <c r="H1245" s="7" t="s">
        <v>2915</v>
      </c>
      <c r="I1245" s="35">
        <v>30</v>
      </c>
      <c r="J1245" s="30">
        <f>IF(OR($F1245="",$I1245=""),0,IFERROR(INDEX(Nutrition!$D$2:$D$300,MATCH($F1245,Nutrition!$A$2:$A$300,0))*$I1245/100,0))</f>
        <v>3.6</v>
      </c>
      <c r="K1245" s="30">
        <f>IF(OR($F1245="",$I1245=""),0,IFERROR(INDEX(Nutrition!$E$2:$E$300,MATCH($F1245,Nutrition!$A$2:$A$300,0))*$I1245/100,0))</f>
        <v>1.8</v>
      </c>
      <c r="L1245" s="30">
        <f>IF(OR($F1245="",$I1245=""),0,IFERROR(INDEX(Nutrition!$F$2:$F$300,MATCH($F1245,Nutrition!$A$2:$A$300,0))*$I1245/100,0))</f>
        <v>0</v>
      </c>
      <c r="M1245" s="30">
        <f>IF(OR($F1245="",$I1245=""),0,IFERROR(INDEX(Nutrition!$G$2:$G$300,MATCH($F1245,Nutrition!$A$2:$A$300,0))*$I1245/100,0))</f>
        <v>0</v>
      </c>
      <c r="N1245" s="30">
        <f>IF(OR($F1245="",$I1245=""),0,IFERROR(INDEX(Nutrition!$H$2:$H$300,MATCH($F1245,Nutrition!$A$2:$A$300,0))*$I1245/100,0))</f>
        <v>0</v>
      </c>
      <c r="O1245" s="30">
        <f>IF(OR($F1245="",$I1245=""),0,IFERROR(INDEX(Nutrition!$I$2:$I$300,MATCH($F1245,Nutrition!$A$2:$A$300,0))*$I1245/100,0))</f>
        <v>213</v>
      </c>
      <c r="P1245" s="30">
        <f>IF(OR($F1245="",$I1245=""),0,IFERROR(INDEX(Nutrition!$J$2:$J$300,MATCH($F1245,Nutrition!$A$2:$A$300,0))*$I1245/100,0))</f>
        <v>1.56</v>
      </c>
      <c r="Q1245" s="30">
        <f>IF(OR($F1245="",$I1245=""),0,IFERROR(INDEX(Nutrition!$K$2:$K$300,MATCH($F1245,Nutrition!$A$2:$A$300,0))*$I1245/100,0))</f>
        <v>0</v>
      </c>
      <c r="R1245" s="30">
        <f>IF(OR($F1245="",$I1245=""),0,IFERROR(INDEX(Nutrition!$L$2:$L$300,MATCH($F1245,Nutrition!$A$2:$A$300,0))*$I1245/100,0))</f>
        <v>28.5</v>
      </c>
      <c r="S1245" s="30">
        <f>IF(OR($F1245="",$I1245=""),0,IFERROR(INDEX(Nutrition!$M$2:$M$300,MATCH($F1245,Nutrition!$A$2:$A$300,0))*$I1245/100,0))</f>
        <v>1.08</v>
      </c>
    </row>
    <row r="1246" spans="1:19" ht="15" customHeight="1" x14ac:dyDescent="0.25">
      <c r="A1246" s="22" t="s">
        <v>2555</v>
      </c>
      <c r="B1246" s="33" t="str">
        <f>IFERROR(INDEX(Recipes!$B$2:$B$500,MATCH(A1246,Recipes!$A$2:$A$500,0)),"")</f>
        <v>Watermelon Pizza with Yoghurt &amp; Mint</v>
      </c>
      <c r="C1246" s="7" t="s">
        <v>663</v>
      </c>
      <c r="D1246" s="34">
        <v>6</v>
      </c>
      <c r="E1246" s="22" t="s">
        <v>2840</v>
      </c>
      <c r="F1246" s="22" t="s">
        <v>662</v>
      </c>
      <c r="G1246" s="22" t="s">
        <v>2755</v>
      </c>
      <c r="H1246" s="7"/>
      <c r="I1246" s="35">
        <v>6</v>
      </c>
      <c r="J1246" s="30">
        <f>IF(OR($F1246="",$I1246=""),0,IFERROR(INDEX(Nutrition!$D$2:$D$300,MATCH($F1246,Nutrition!$A$2:$A$300,0))*$I1246/100,0))</f>
        <v>0.40799999999999997</v>
      </c>
      <c r="K1246" s="30">
        <f>IF(OR($F1246="",$I1246=""),0,IFERROR(INDEX(Nutrition!$E$2:$E$300,MATCH($F1246,Nutrition!$A$2:$A$300,0))*$I1246/100,0))</f>
        <v>0.79800000000000015</v>
      </c>
      <c r="L1246" s="30">
        <f>IF(OR($F1246="",$I1246=""),0,IFERROR(INDEX(Nutrition!$F$2:$F$300,MATCH($F1246,Nutrition!$A$2:$A$300,0))*$I1246/100,0))</f>
        <v>12.18</v>
      </c>
      <c r="M1246" s="30">
        <f>IF(OR($F1246="",$I1246=""),0,IFERROR(INDEX(Nutrition!$G$2:$G$300,MATCH($F1246,Nutrition!$A$2:$A$300,0))*$I1246/100,0))</f>
        <v>0</v>
      </c>
      <c r="N1246" s="30">
        <f>IF(OR($F1246="",$I1246=""),0,IFERROR(INDEX(Nutrition!$H$2:$H$300,MATCH($F1246,Nutrition!$A$2:$A$300,0))*$I1246/100,0))</f>
        <v>6.3</v>
      </c>
      <c r="O1246" s="30">
        <f>IF(OR($F1246="",$I1246=""),0,IFERROR(INDEX(Nutrition!$I$2:$I$300,MATCH($F1246,Nutrition!$A$2:$A$300,0))*$I1246/100,0))</f>
        <v>27.48</v>
      </c>
      <c r="P1246" s="30">
        <f>IF(OR($F1246="",$I1246=""),0,IFERROR(INDEX(Nutrition!$J$2:$J$300,MATCH($F1246,Nutrition!$A$2:$A$300,0))*$I1246/100,0))</f>
        <v>0</v>
      </c>
      <c r="Q1246" s="30">
        <f>IF(OR($F1246="",$I1246=""),0,IFERROR(INDEX(Nutrition!$K$2:$K$300,MATCH($F1246,Nutrition!$A$2:$A$300,0))*$I1246/100,0))</f>
        <v>9.4799999999999988E-3</v>
      </c>
      <c r="R1246" s="30">
        <f>IF(OR($F1246="",$I1246=""),0,IFERROR(INDEX(Nutrition!$L$2:$L$300,MATCH($F1246,Nutrition!$A$2:$A$300,0))*$I1246/100,0))</f>
        <v>3.78</v>
      </c>
      <c r="S1246" s="30">
        <f>IF(OR($F1246="",$I1246=""),0,IFERROR(INDEX(Nutrition!$M$2:$M$300,MATCH($F1246,Nutrition!$A$2:$A$300,0))*$I1246/100,0))</f>
        <v>0.71219999999999994</v>
      </c>
    </row>
    <row r="1247" spans="1:19" ht="15" customHeight="1" x14ac:dyDescent="0.25">
      <c r="A1247" s="22" t="s">
        <v>2555</v>
      </c>
      <c r="B1247" s="33" t="str">
        <f>IFERROR(INDEX(Recipes!$B$2:$B$500,MATCH(A1247,Recipes!$A$2:$A$500,0)),"")</f>
        <v>Watermelon Pizza with Yoghurt &amp; Mint</v>
      </c>
      <c r="C1247" s="7" t="s">
        <v>2762</v>
      </c>
      <c r="D1247" s="34">
        <v>0.5</v>
      </c>
      <c r="E1247" s="22" t="s">
        <v>2748</v>
      </c>
      <c r="F1247" s="22"/>
      <c r="G1247" s="22" t="s">
        <v>2749</v>
      </c>
      <c r="H1247" s="7"/>
      <c r="I1247" s="35"/>
      <c r="J1247" s="30">
        <f>IF(OR($F1247="",$I1247=""),0,IFERROR(INDEX(Nutrition!$D$2:$D$300,MATCH($F1247,Nutrition!$A$2:$A$300,0))*$I1247/100,0))</f>
        <v>0</v>
      </c>
      <c r="K1247" s="30">
        <f>IF(OR($F1247="",$I1247=""),0,IFERROR(INDEX(Nutrition!$E$2:$E$300,MATCH($F1247,Nutrition!$A$2:$A$300,0))*$I1247/100,0))</f>
        <v>0</v>
      </c>
      <c r="L1247" s="30">
        <f>IF(OR($F1247="",$I1247=""),0,IFERROR(INDEX(Nutrition!$F$2:$F$300,MATCH($F1247,Nutrition!$A$2:$A$300,0))*$I1247/100,0))</f>
        <v>0</v>
      </c>
      <c r="M1247" s="30">
        <f>IF(OR($F1247="",$I1247=""),0,IFERROR(INDEX(Nutrition!$G$2:$G$300,MATCH($F1247,Nutrition!$A$2:$A$300,0))*$I1247/100,0))</f>
        <v>0</v>
      </c>
      <c r="N1247" s="30">
        <f>IF(OR($F1247="",$I1247=""),0,IFERROR(INDEX(Nutrition!$H$2:$H$300,MATCH($F1247,Nutrition!$A$2:$A$300,0))*$I1247/100,0))</f>
        <v>0</v>
      </c>
      <c r="O1247" s="30">
        <f>IF(OR($F1247="",$I1247=""),0,IFERROR(INDEX(Nutrition!$I$2:$I$300,MATCH($F1247,Nutrition!$A$2:$A$300,0))*$I1247/100,0))</f>
        <v>0</v>
      </c>
      <c r="P1247" s="30">
        <f>IF(OR($F1247="",$I1247=""),0,IFERROR(INDEX(Nutrition!$J$2:$J$300,MATCH($F1247,Nutrition!$A$2:$A$300,0))*$I1247/100,0))</f>
        <v>0</v>
      </c>
      <c r="Q1247" s="30">
        <f>IF(OR($F1247="",$I1247=""),0,IFERROR(INDEX(Nutrition!$K$2:$K$300,MATCH($F1247,Nutrition!$A$2:$A$300,0))*$I1247/100,0))</f>
        <v>0</v>
      </c>
      <c r="R1247" s="30">
        <f>IF(OR($F1247="",$I1247=""),0,IFERROR(INDEX(Nutrition!$L$2:$L$300,MATCH($F1247,Nutrition!$A$2:$A$300,0))*$I1247/100,0))</f>
        <v>0</v>
      </c>
      <c r="S1247" s="30">
        <f>IF(OR($F1247="",$I1247=""),0,IFERROR(INDEX(Nutrition!$M$2:$M$300,MATCH($F1247,Nutrition!$A$2:$A$300,0))*$I1247/100,0))</f>
        <v>0</v>
      </c>
    </row>
    <row r="1248" spans="1:19" ht="15" customHeight="1" x14ac:dyDescent="0.25">
      <c r="A1248" s="22" t="s">
        <v>2555</v>
      </c>
      <c r="B1248" s="33" t="str">
        <f>IFERROR(INDEX(Recipes!$B$2:$B$500,MATCH(A1248,Recipes!$A$2:$A$500,0)),"")</f>
        <v>Watermelon Pizza with Yoghurt &amp; Mint</v>
      </c>
      <c r="C1248" s="7" t="s">
        <v>2758</v>
      </c>
      <c r="D1248" s="34">
        <v>1</v>
      </c>
      <c r="E1248" s="22" t="s">
        <v>2753</v>
      </c>
      <c r="F1248" s="22"/>
      <c r="G1248" s="22" t="s">
        <v>2749</v>
      </c>
      <c r="H1248" s="7"/>
      <c r="I1248" s="35"/>
      <c r="J1248" s="30">
        <f>IF(OR($F1248="",$I1248=""),0,IFERROR(INDEX(Nutrition!$D$2:$D$300,MATCH($F1248,Nutrition!$A$2:$A$300,0))*$I1248/100,0))</f>
        <v>0</v>
      </c>
      <c r="K1248" s="30">
        <f>IF(OR($F1248="",$I1248=""),0,IFERROR(INDEX(Nutrition!$E$2:$E$300,MATCH($F1248,Nutrition!$A$2:$A$300,0))*$I1248/100,0))</f>
        <v>0</v>
      </c>
      <c r="L1248" s="30">
        <f>IF(OR($F1248="",$I1248=""),0,IFERROR(INDEX(Nutrition!$F$2:$F$300,MATCH($F1248,Nutrition!$A$2:$A$300,0))*$I1248/100,0))</f>
        <v>0</v>
      </c>
      <c r="M1248" s="30">
        <f>IF(OR($F1248="",$I1248=""),0,IFERROR(INDEX(Nutrition!$G$2:$G$300,MATCH($F1248,Nutrition!$A$2:$A$300,0))*$I1248/100,0))</f>
        <v>0</v>
      </c>
      <c r="N1248" s="30">
        <f>IF(OR($F1248="",$I1248=""),0,IFERROR(INDEX(Nutrition!$H$2:$H$300,MATCH($F1248,Nutrition!$A$2:$A$300,0))*$I1248/100,0))</f>
        <v>0</v>
      </c>
      <c r="O1248" s="30">
        <f>IF(OR($F1248="",$I1248=""),0,IFERROR(INDEX(Nutrition!$I$2:$I$300,MATCH($F1248,Nutrition!$A$2:$A$300,0))*$I1248/100,0))</f>
        <v>0</v>
      </c>
      <c r="P1248" s="30">
        <f>IF(OR($F1248="",$I1248=""),0,IFERROR(INDEX(Nutrition!$J$2:$J$300,MATCH($F1248,Nutrition!$A$2:$A$300,0))*$I1248/100,0))</f>
        <v>0</v>
      </c>
      <c r="Q1248" s="30">
        <f>IF(OR($F1248="",$I1248=""),0,IFERROR(INDEX(Nutrition!$K$2:$K$300,MATCH($F1248,Nutrition!$A$2:$A$300,0))*$I1248/100,0))</f>
        <v>0</v>
      </c>
      <c r="R1248" s="30">
        <f>IF(OR($F1248="",$I1248=""),0,IFERROR(INDEX(Nutrition!$L$2:$L$300,MATCH($F1248,Nutrition!$A$2:$A$300,0))*$I1248/100,0))</f>
        <v>0</v>
      </c>
      <c r="S1248" s="30">
        <f>IF(OR($F1248="",$I1248=""),0,IFERROR(INDEX(Nutrition!$M$2:$M$300,MATCH($F1248,Nutrition!$A$2:$A$300,0))*$I1248/100,0))</f>
        <v>0</v>
      </c>
    </row>
    <row r="1249" spans="1:19" ht="15" customHeight="1" x14ac:dyDescent="0.25">
      <c r="A1249" s="22" t="s">
        <v>2567</v>
      </c>
      <c r="B1249" s="33" t="str">
        <f>IFERROR(INDEX(Recipes!$B$2:$B$500,MATCH(A1249,Recipes!$A$2:$A$500,0)),"")</f>
        <v>Honey-Baked Apples with Groundnuts &amp; Yoghurt</v>
      </c>
      <c r="C1249" s="7" t="s">
        <v>379</v>
      </c>
      <c r="D1249" s="34">
        <v>4</v>
      </c>
      <c r="E1249" s="22" t="s">
        <v>2754</v>
      </c>
      <c r="F1249" s="22" t="s">
        <v>378</v>
      </c>
      <c r="G1249" s="22" t="s">
        <v>2755</v>
      </c>
      <c r="H1249" s="7"/>
      <c r="I1249" s="35">
        <v>728</v>
      </c>
      <c r="J1249" s="30">
        <f>IF(OR($F1249="",$I1249=""),0,IFERROR(INDEX(Nutrition!$D$2:$D$300,MATCH($F1249,Nutrition!$A$2:$A$300,0))*$I1249/100,0))</f>
        <v>17.472000000000001</v>
      </c>
      <c r="K1249" s="30">
        <f>IF(OR($F1249="",$I1249=""),0,IFERROR(INDEX(Nutrition!$E$2:$E$300,MATCH($F1249,Nutrition!$A$2:$A$300,0))*$I1249/100,0))</f>
        <v>33.488</v>
      </c>
      <c r="L1249" s="30">
        <f>IF(OR($F1249="",$I1249=""),0,IFERROR(INDEX(Nutrition!$F$2:$F$300,MATCH($F1249,Nutrition!$A$2:$A$300,0))*$I1249/100,0))</f>
        <v>21.84</v>
      </c>
      <c r="M1249" s="30">
        <f>IF(OR($F1249="",$I1249=""),0,IFERROR(INDEX(Nutrition!$G$2:$G$300,MATCH($F1249,Nutrition!$A$2:$A$300,0))*$I1249/100,0))</f>
        <v>16.016000000000002</v>
      </c>
      <c r="N1249" s="30">
        <f>IF(OR($F1249="",$I1249=""),0,IFERROR(INDEX(Nutrition!$H$2:$H$300,MATCH($F1249,Nutrition!$A$2:$A$300,0))*$I1249/100,0))</f>
        <v>21.84</v>
      </c>
      <c r="O1249" s="30">
        <f>IF(OR($F1249="",$I1249=""),0,IFERROR(INDEX(Nutrition!$I$2:$I$300,MATCH($F1249,Nutrition!$A$2:$A$300,0))*$I1249/100,0))</f>
        <v>778.96</v>
      </c>
      <c r="P1249" s="30">
        <f>IF(OR($F1249="",$I1249=""),0,IFERROR(INDEX(Nutrition!$J$2:$J$300,MATCH($F1249,Nutrition!$A$2:$A$300,0))*$I1249/100,0))</f>
        <v>1.3104</v>
      </c>
      <c r="Q1249" s="30">
        <f>IF(OR($F1249="",$I1249=""),0,IFERROR(INDEX(Nutrition!$K$2:$K$300,MATCH($F1249,Nutrition!$A$2:$A$300,0))*$I1249/100,0))</f>
        <v>0.29848000000000002</v>
      </c>
      <c r="R1249" s="30">
        <f>IF(OR($F1249="",$I1249=""),0,IFERROR(INDEX(Nutrition!$L$2:$L$300,MATCH($F1249,Nutrition!$A$2:$A$300,0))*$I1249/100,0))</f>
        <v>36.4</v>
      </c>
      <c r="S1249" s="30">
        <f>IF(OR($F1249="",$I1249=""),0,IFERROR(INDEX(Nutrition!$M$2:$M$300,MATCH($F1249,Nutrition!$A$2:$A$300,0))*$I1249/100,0))</f>
        <v>0.87360000000000004</v>
      </c>
    </row>
    <row r="1250" spans="1:19" ht="15" customHeight="1" x14ac:dyDescent="0.25">
      <c r="A1250" s="22" t="s">
        <v>2567</v>
      </c>
      <c r="B1250" s="33" t="str">
        <f>IFERROR(INDEX(Recipes!$B$2:$B$500,MATCH(A1250,Recipes!$A$2:$A$500,0)),"")</f>
        <v>Honey-Baked Apples with Groundnuts &amp; Yoghurt</v>
      </c>
      <c r="C1250" s="7" t="s">
        <v>428</v>
      </c>
      <c r="D1250" s="34">
        <v>1</v>
      </c>
      <c r="E1250" s="22" t="s">
        <v>2753</v>
      </c>
      <c r="F1250" s="22" t="s">
        <v>427</v>
      </c>
      <c r="G1250" s="22" t="s">
        <v>2755</v>
      </c>
      <c r="H1250" s="7" t="s">
        <v>3026</v>
      </c>
      <c r="I1250" s="35">
        <v>15</v>
      </c>
      <c r="J1250" s="30">
        <f>IF(OR($F1250="",$I1250=""),0,IFERROR(INDEX(Nutrition!$D$2:$D$300,MATCH($F1250,Nutrition!$A$2:$A$300,0))*$I1250/100,0))</f>
        <v>1.2749999999999999</v>
      </c>
      <c r="K1250" s="30">
        <f>IF(OR($F1250="",$I1250=""),0,IFERROR(INDEX(Nutrition!$E$2:$E$300,MATCH($F1250,Nutrition!$A$2:$A$300,0))*$I1250/100,0))</f>
        <v>0</v>
      </c>
      <c r="L1250" s="30">
        <f>IF(OR($F1250="",$I1250=""),0,IFERROR(INDEX(Nutrition!$F$2:$F$300,MATCH($F1250,Nutrition!$A$2:$A$300,0))*$I1250/100,0))</f>
        <v>0</v>
      </c>
      <c r="M1250" s="30">
        <f>IF(OR($F1250="",$I1250=""),0,IFERROR(INDEX(Nutrition!$G$2:$G$300,MATCH($F1250,Nutrition!$A$2:$A$300,0))*$I1250/100,0))</f>
        <v>0</v>
      </c>
      <c r="N1250" s="30">
        <f>IF(OR($F1250="",$I1250=""),0,IFERROR(INDEX(Nutrition!$H$2:$H$300,MATCH($F1250,Nutrition!$A$2:$A$300,0))*$I1250/100,0))</f>
        <v>36</v>
      </c>
      <c r="O1250" s="30">
        <f>IF(OR($F1250="",$I1250=""),0,IFERROR(INDEX(Nutrition!$I$2:$I$300,MATCH($F1250,Nutrition!$A$2:$A$300,0))*$I1250/100,0))</f>
        <v>105.75</v>
      </c>
      <c r="P1250" s="30">
        <f>IF(OR($F1250="",$I1250=""),0,IFERROR(INDEX(Nutrition!$J$2:$J$300,MATCH($F1250,Nutrition!$A$2:$A$300,0))*$I1250/100,0))</f>
        <v>1.2495000000000001</v>
      </c>
      <c r="Q1250" s="30">
        <f>IF(OR($F1250="",$I1250=""),0,IFERROR(INDEX(Nutrition!$K$2:$K$300,MATCH($F1250,Nutrition!$A$2:$A$300,0))*$I1250/100,0))</f>
        <v>5.2199999999999996E-2</v>
      </c>
      <c r="R1250" s="30">
        <f>IF(OR($F1250="",$I1250=""),0,IFERROR(INDEX(Nutrition!$L$2:$L$300,MATCH($F1250,Nutrition!$A$2:$A$300,0))*$I1250/100,0))</f>
        <v>25.2</v>
      </c>
      <c r="S1250" s="30">
        <f>IF(OR($F1250="",$I1250=""),0,IFERROR(INDEX(Nutrition!$M$2:$M$300,MATCH($F1250,Nutrition!$A$2:$A$300,0))*$I1250/100,0))</f>
        <v>0.68700000000000006</v>
      </c>
    </row>
    <row r="1251" spans="1:19" ht="15" customHeight="1" x14ac:dyDescent="0.25">
      <c r="A1251" s="22" t="s">
        <v>2567</v>
      </c>
      <c r="B1251" s="33" t="str">
        <f>IFERROR(INDEX(Recipes!$B$2:$B$500,MATCH(A1251,Recipes!$A$2:$A$500,0)),"")</f>
        <v>Honey-Baked Apples with Groundnuts &amp; Yoghurt</v>
      </c>
      <c r="C1251" s="7" t="s">
        <v>213</v>
      </c>
      <c r="D1251" s="34">
        <v>0.5</v>
      </c>
      <c r="E1251" s="22" t="s">
        <v>2754</v>
      </c>
      <c r="F1251" s="22" t="s">
        <v>212</v>
      </c>
      <c r="G1251" s="22" t="s">
        <v>2755</v>
      </c>
      <c r="H1251" s="7" t="s">
        <v>2912</v>
      </c>
      <c r="I1251" s="35">
        <v>34</v>
      </c>
      <c r="J1251" s="30">
        <f>IF(OR($F1251="",$I1251=""),0,IFERROR(INDEX(Nutrition!$D$2:$D$300,MATCH($F1251,Nutrition!$A$2:$A$300,0))*$I1251/100,0))</f>
        <v>0.95199999999999985</v>
      </c>
      <c r="K1251" s="30">
        <f>IF(OR($F1251="",$I1251=""),0,IFERROR(INDEX(Nutrition!$E$2:$E$300,MATCH($F1251,Nutrition!$A$2:$A$300,0))*$I1251/100,0))</f>
        <v>9.8940000000000001</v>
      </c>
      <c r="L1251" s="30">
        <f>IF(OR($F1251="",$I1251=""),0,IFERROR(INDEX(Nutrition!$F$2:$F$300,MATCH($F1251,Nutrition!$A$2:$A$300,0))*$I1251/100,0))</f>
        <v>0.68</v>
      </c>
      <c r="M1251" s="30">
        <f>IF(OR($F1251="",$I1251=""),0,IFERROR(INDEX(Nutrition!$G$2:$G$300,MATCH($F1251,Nutrition!$A$2:$A$300,0))*$I1251/100,0))</f>
        <v>0.20399999999999999</v>
      </c>
      <c r="N1251" s="30">
        <f>IF(OR($F1251="",$I1251=""),0,IFERROR(INDEX(Nutrition!$H$2:$H$300,MATCH($F1251,Nutrition!$A$2:$A$300,0))*$I1251/100,0))</f>
        <v>2.72</v>
      </c>
      <c r="O1251" s="30">
        <f>IF(OR($F1251="",$I1251=""),0,IFERROR(INDEX(Nutrition!$I$2:$I$300,MATCH($F1251,Nutrition!$A$2:$A$300,0))*$I1251/100,0))</f>
        <v>34.68</v>
      </c>
      <c r="P1251" s="30">
        <f>IF(OR($F1251="",$I1251=""),0,IFERROR(INDEX(Nutrition!$J$2:$J$300,MATCH($F1251,Nutrition!$A$2:$A$300,0))*$I1251/100,0))</f>
        <v>7.4800000000000005E-2</v>
      </c>
      <c r="Q1251" s="30">
        <f>IF(OR($F1251="",$I1251=""),0,IFERROR(INDEX(Nutrition!$K$2:$K$300,MATCH($F1251,Nutrition!$A$2:$A$300,0))*$I1251/100,0))</f>
        <v>1.4619999999999999E-2</v>
      </c>
      <c r="R1251" s="30">
        <f>IF(OR($F1251="",$I1251=""),0,IFERROR(INDEX(Nutrition!$L$2:$L$300,MATCH($F1251,Nutrition!$A$2:$A$300,0))*$I1251/100,0))</f>
        <v>2.04</v>
      </c>
      <c r="S1251" s="30">
        <f>IF(OR($F1251="",$I1251=""),0,IFERROR(INDEX(Nutrition!$M$2:$M$300,MATCH($F1251,Nutrition!$A$2:$A$300,0))*$I1251/100,0))</f>
        <v>0.20399999999999999</v>
      </c>
    </row>
    <row r="1252" spans="1:19" ht="15" customHeight="1" x14ac:dyDescent="0.25">
      <c r="A1252" s="22" t="s">
        <v>2567</v>
      </c>
      <c r="B1252" s="33" t="str">
        <f>IFERROR(INDEX(Recipes!$B$2:$B$500,MATCH(A1252,Recipes!$A$2:$A$500,0)),"")</f>
        <v>Honey-Baked Apples with Groundnuts &amp; Yoghurt</v>
      </c>
      <c r="C1252" s="7" t="s">
        <v>2758</v>
      </c>
      <c r="D1252" s="34">
        <v>2</v>
      </c>
      <c r="E1252" s="22" t="s">
        <v>2753</v>
      </c>
      <c r="F1252" s="22"/>
      <c r="G1252" s="22" t="s">
        <v>2749</v>
      </c>
      <c r="H1252" s="7"/>
      <c r="I1252" s="35"/>
      <c r="J1252" s="30">
        <f>IF(OR($F1252="",$I1252=""),0,IFERROR(INDEX(Nutrition!$D$2:$D$300,MATCH($F1252,Nutrition!$A$2:$A$300,0))*$I1252/100,0))</f>
        <v>0</v>
      </c>
      <c r="K1252" s="30">
        <f>IF(OR($F1252="",$I1252=""),0,IFERROR(INDEX(Nutrition!$E$2:$E$300,MATCH($F1252,Nutrition!$A$2:$A$300,0))*$I1252/100,0))</f>
        <v>0</v>
      </c>
      <c r="L1252" s="30">
        <f>IF(OR($F1252="",$I1252=""),0,IFERROR(INDEX(Nutrition!$F$2:$F$300,MATCH($F1252,Nutrition!$A$2:$A$300,0))*$I1252/100,0))</f>
        <v>0</v>
      </c>
      <c r="M1252" s="30">
        <f>IF(OR($F1252="",$I1252=""),0,IFERROR(INDEX(Nutrition!$G$2:$G$300,MATCH($F1252,Nutrition!$A$2:$A$300,0))*$I1252/100,0))</f>
        <v>0</v>
      </c>
      <c r="N1252" s="30">
        <f>IF(OR($F1252="",$I1252=""),0,IFERROR(INDEX(Nutrition!$H$2:$H$300,MATCH($F1252,Nutrition!$A$2:$A$300,0))*$I1252/100,0))</f>
        <v>0</v>
      </c>
      <c r="O1252" s="30">
        <f>IF(OR($F1252="",$I1252=""),0,IFERROR(INDEX(Nutrition!$I$2:$I$300,MATCH($F1252,Nutrition!$A$2:$A$300,0))*$I1252/100,0))</f>
        <v>0</v>
      </c>
      <c r="P1252" s="30">
        <f>IF(OR($F1252="",$I1252=""),0,IFERROR(INDEX(Nutrition!$J$2:$J$300,MATCH($F1252,Nutrition!$A$2:$A$300,0))*$I1252/100,0))</f>
        <v>0</v>
      </c>
      <c r="Q1252" s="30">
        <f>IF(OR($F1252="",$I1252=""),0,IFERROR(INDEX(Nutrition!$K$2:$K$300,MATCH($F1252,Nutrition!$A$2:$A$300,0))*$I1252/100,0))</f>
        <v>0</v>
      </c>
      <c r="R1252" s="30">
        <f>IF(OR($F1252="",$I1252=""),0,IFERROR(INDEX(Nutrition!$L$2:$L$300,MATCH($F1252,Nutrition!$A$2:$A$300,0))*$I1252/100,0))</f>
        <v>0</v>
      </c>
      <c r="S1252" s="30">
        <f>IF(OR($F1252="",$I1252=""),0,IFERROR(INDEX(Nutrition!$M$2:$M$300,MATCH($F1252,Nutrition!$A$2:$A$300,0))*$I1252/100,0))</f>
        <v>0</v>
      </c>
    </row>
    <row r="1253" spans="1:19" ht="15" customHeight="1" x14ac:dyDescent="0.25">
      <c r="A1253" s="22" t="s">
        <v>2567</v>
      </c>
      <c r="B1253" s="33" t="str">
        <f>IFERROR(INDEX(Recipes!$B$2:$B$500,MATCH(A1253,Recipes!$A$2:$A$500,0)),"")</f>
        <v>Honey-Baked Apples with Groundnuts &amp; Yoghurt</v>
      </c>
      <c r="C1253" s="7" t="s">
        <v>2770</v>
      </c>
      <c r="D1253" s="34">
        <v>1</v>
      </c>
      <c r="E1253" s="22" t="s">
        <v>2759</v>
      </c>
      <c r="F1253" s="22"/>
      <c r="G1253" s="22" t="s">
        <v>2749</v>
      </c>
      <c r="H1253" s="7"/>
      <c r="I1253" s="35"/>
      <c r="J1253" s="30">
        <f>IF(OR($F1253="",$I1253=""),0,IFERROR(INDEX(Nutrition!$D$2:$D$300,MATCH($F1253,Nutrition!$A$2:$A$300,0))*$I1253/100,0))</f>
        <v>0</v>
      </c>
      <c r="K1253" s="30">
        <f>IF(OR($F1253="",$I1253=""),0,IFERROR(INDEX(Nutrition!$E$2:$E$300,MATCH($F1253,Nutrition!$A$2:$A$300,0))*$I1253/100,0))</f>
        <v>0</v>
      </c>
      <c r="L1253" s="30">
        <f>IF(OR($F1253="",$I1253=""),0,IFERROR(INDEX(Nutrition!$F$2:$F$300,MATCH($F1253,Nutrition!$A$2:$A$300,0))*$I1253/100,0))</f>
        <v>0</v>
      </c>
      <c r="M1253" s="30">
        <f>IF(OR($F1253="",$I1253=""),0,IFERROR(INDEX(Nutrition!$G$2:$G$300,MATCH($F1253,Nutrition!$A$2:$A$300,0))*$I1253/100,0))</f>
        <v>0</v>
      </c>
      <c r="N1253" s="30">
        <f>IF(OR($F1253="",$I1253=""),0,IFERROR(INDEX(Nutrition!$H$2:$H$300,MATCH($F1253,Nutrition!$A$2:$A$300,0))*$I1253/100,0))</f>
        <v>0</v>
      </c>
      <c r="O1253" s="30">
        <f>IF(OR($F1253="",$I1253=""),0,IFERROR(INDEX(Nutrition!$I$2:$I$300,MATCH($F1253,Nutrition!$A$2:$A$300,0))*$I1253/100,0))</f>
        <v>0</v>
      </c>
      <c r="P1253" s="30">
        <f>IF(OR($F1253="",$I1253=""),0,IFERROR(INDEX(Nutrition!$J$2:$J$300,MATCH($F1253,Nutrition!$A$2:$A$300,0))*$I1253/100,0))</f>
        <v>0</v>
      </c>
      <c r="Q1253" s="30">
        <f>IF(OR($F1253="",$I1253=""),0,IFERROR(INDEX(Nutrition!$K$2:$K$300,MATCH($F1253,Nutrition!$A$2:$A$300,0))*$I1253/100,0))</f>
        <v>0</v>
      </c>
      <c r="R1253" s="30">
        <f>IF(OR($F1253="",$I1253=""),0,IFERROR(INDEX(Nutrition!$L$2:$L$300,MATCH($F1253,Nutrition!$A$2:$A$300,0))*$I1253/100,0))</f>
        <v>0</v>
      </c>
      <c r="S1253" s="30">
        <f>IF(OR($F1253="",$I1253=""),0,IFERROR(INDEX(Nutrition!$M$2:$M$300,MATCH($F1253,Nutrition!$A$2:$A$300,0))*$I1253/100,0))</f>
        <v>0</v>
      </c>
    </row>
    <row r="1254" spans="1:19" ht="15" customHeight="1" x14ac:dyDescent="0.25">
      <c r="A1254" s="22" t="s">
        <v>2567</v>
      </c>
      <c r="B1254" s="33" t="str">
        <f>IFERROR(INDEX(Recipes!$B$2:$B$500,MATCH(A1254,Recipes!$A$2:$A$500,0)),"")</f>
        <v>Honey-Baked Apples with Groundnuts &amp; Yoghurt</v>
      </c>
      <c r="C1254" s="7" t="s">
        <v>2762</v>
      </c>
      <c r="D1254" s="34">
        <v>6</v>
      </c>
      <c r="E1254" s="22" t="s">
        <v>2753</v>
      </c>
      <c r="F1254" s="22"/>
      <c r="G1254" s="22" t="s">
        <v>2749</v>
      </c>
      <c r="H1254" s="7"/>
      <c r="I1254" s="35"/>
      <c r="J1254" s="30">
        <f>IF(OR($F1254="",$I1254=""),0,IFERROR(INDEX(Nutrition!$D$2:$D$300,MATCH($F1254,Nutrition!$A$2:$A$300,0))*$I1254/100,0))</f>
        <v>0</v>
      </c>
      <c r="K1254" s="30">
        <f>IF(OR($F1254="",$I1254=""),0,IFERROR(INDEX(Nutrition!$E$2:$E$300,MATCH($F1254,Nutrition!$A$2:$A$300,0))*$I1254/100,0))</f>
        <v>0</v>
      </c>
      <c r="L1254" s="30">
        <f>IF(OR($F1254="",$I1254=""),0,IFERROR(INDEX(Nutrition!$F$2:$F$300,MATCH($F1254,Nutrition!$A$2:$A$300,0))*$I1254/100,0))</f>
        <v>0</v>
      </c>
      <c r="M1254" s="30">
        <f>IF(OR($F1254="",$I1254=""),0,IFERROR(INDEX(Nutrition!$G$2:$G$300,MATCH($F1254,Nutrition!$A$2:$A$300,0))*$I1254/100,0))</f>
        <v>0</v>
      </c>
      <c r="N1254" s="30">
        <f>IF(OR($F1254="",$I1254=""),0,IFERROR(INDEX(Nutrition!$H$2:$H$300,MATCH($F1254,Nutrition!$A$2:$A$300,0))*$I1254/100,0))</f>
        <v>0</v>
      </c>
      <c r="O1254" s="30">
        <f>IF(OR($F1254="",$I1254=""),0,IFERROR(INDEX(Nutrition!$I$2:$I$300,MATCH($F1254,Nutrition!$A$2:$A$300,0))*$I1254/100,0))</f>
        <v>0</v>
      </c>
      <c r="P1254" s="30">
        <f>IF(OR($F1254="",$I1254=""),0,IFERROR(INDEX(Nutrition!$J$2:$J$300,MATCH($F1254,Nutrition!$A$2:$A$300,0))*$I1254/100,0))</f>
        <v>0</v>
      </c>
      <c r="Q1254" s="30">
        <f>IF(OR($F1254="",$I1254=""),0,IFERROR(INDEX(Nutrition!$K$2:$K$300,MATCH($F1254,Nutrition!$A$2:$A$300,0))*$I1254/100,0))</f>
        <v>0</v>
      </c>
      <c r="R1254" s="30">
        <f>IF(OR($F1254="",$I1254=""),0,IFERROR(INDEX(Nutrition!$L$2:$L$300,MATCH($F1254,Nutrition!$A$2:$A$300,0))*$I1254/100,0))</f>
        <v>0</v>
      </c>
      <c r="S1254" s="30">
        <f>IF(OR($F1254="",$I1254=""),0,IFERROR(INDEX(Nutrition!$M$2:$M$300,MATCH($F1254,Nutrition!$A$2:$A$300,0))*$I1254/100,0))</f>
        <v>0</v>
      </c>
    </row>
    <row r="1255" spans="1:19" ht="15" customHeight="1" x14ac:dyDescent="0.25">
      <c r="A1255" s="22" t="s">
        <v>2579</v>
      </c>
      <c r="B1255" s="33" t="str">
        <f>IFERROR(INDEX(Recipes!$B$2:$B$500,MATCH(A1255,Recipes!$A$2:$A$500,0)),"")</f>
        <v>Roasted Grapes with Yoghurt &amp; Basil</v>
      </c>
      <c r="C1255" s="7" t="s">
        <v>393</v>
      </c>
      <c r="D1255" s="34">
        <v>1</v>
      </c>
      <c r="E1255" s="22" t="s">
        <v>635</v>
      </c>
      <c r="F1255" s="22" t="s">
        <v>392</v>
      </c>
      <c r="G1255" s="22" t="s">
        <v>2755</v>
      </c>
      <c r="H1255" s="7" t="s">
        <v>3088</v>
      </c>
      <c r="I1255" s="35">
        <v>400</v>
      </c>
      <c r="J1255" s="30">
        <f>IF(OR($F1255="",$I1255=""),0,IFERROR(INDEX(Nutrition!$D$2:$D$300,MATCH($F1255,Nutrition!$A$2:$A$300,0))*$I1255/100,0))</f>
        <v>3.6</v>
      </c>
      <c r="K1255" s="30">
        <f>IF(OR($F1255="",$I1255=""),0,IFERROR(INDEX(Nutrition!$E$2:$E$300,MATCH($F1255,Nutrition!$A$2:$A$300,0))*$I1255/100,0))</f>
        <v>12.8</v>
      </c>
      <c r="L1255" s="30">
        <f>IF(OR($F1255="",$I1255=""),0,IFERROR(INDEX(Nutrition!$F$2:$F$300,MATCH($F1255,Nutrition!$A$2:$A$300,0))*$I1255/100,0))</f>
        <v>12</v>
      </c>
      <c r="M1255" s="30">
        <f>IF(OR($F1255="",$I1255=""),0,IFERROR(INDEX(Nutrition!$G$2:$G$300,MATCH($F1255,Nutrition!$A$2:$A$300,0))*$I1255/100,0))</f>
        <v>58.4</v>
      </c>
      <c r="N1255" s="30">
        <f>IF(OR($F1255="",$I1255=""),0,IFERROR(INDEX(Nutrition!$H$2:$H$300,MATCH($F1255,Nutrition!$A$2:$A$300,0))*$I1255/100,0))</f>
        <v>8</v>
      </c>
      <c r="O1255" s="30">
        <f>IF(OR($F1255="",$I1255=""),0,IFERROR(INDEX(Nutrition!$I$2:$I$300,MATCH($F1255,Nutrition!$A$2:$A$300,0))*$I1255/100,0))</f>
        <v>764</v>
      </c>
      <c r="P1255" s="30">
        <f>IF(OR($F1255="",$I1255=""),0,IFERROR(INDEX(Nutrition!$J$2:$J$300,MATCH($F1255,Nutrition!$A$2:$A$300,0))*$I1255/100,0))</f>
        <v>0.76</v>
      </c>
      <c r="Q1255" s="30">
        <f>IF(OR($F1255="",$I1255=""),0,IFERROR(INDEX(Nutrition!$K$2:$K$300,MATCH($F1255,Nutrition!$A$2:$A$300,0))*$I1255/100,0))</f>
        <v>0.34399999999999997</v>
      </c>
      <c r="R1255" s="30">
        <f>IF(OR($F1255="",$I1255=""),0,IFERROR(INDEX(Nutrition!$L$2:$L$300,MATCH($F1255,Nutrition!$A$2:$A$300,0))*$I1255/100,0))</f>
        <v>28</v>
      </c>
      <c r="S1255" s="30">
        <f>IF(OR($F1255="",$I1255=""),0,IFERROR(INDEX(Nutrition!$M$2:$M$300,MATCH($F1255,Nutrition!$A$2:$A$300,0))*$I1255/100,0))</f>
        <v>1.44</v>
      </c>
    </row>
    <row r="1256" spans="1:19" ht="15" customHeight="1" x14ac:dyDescent="0.25">
      <c r="A1256" s="22" t="s">
        <v>2579</v>
      </c>
      <c r="B1256" s="33" t="str">
        <f>IFERROR(INDEX(Recipes!$B$2:$B$500,MATCH(A1256,Recipes!$A$2:$A$500,0)),"")</f>
        <v>Roasted Grapes with Yoghurt &amp; Basil</v>
      </c>
      <c r="C1256" s="7" t="s">
        <v>674</v>
      </c>
      <c r="D1256" s="34">
        <v>1</v>
      </c>
      <c r="E1256" s="22" t="s">
        <v>2809</v>
      </c>
      <c r="F1256" s="22" t="s">
        <v>673</v>
      </c>
      <c r="G1256" s="22" t="s">
        <v>2755</v>
      </c>
      <c r="H1256" s="7" t="s">
        <v>2909</v>
      </c>
      <c r="I1256" s="35">
        <v>30</v>
      </c>
      <c r="J1256" s="30">
        <f>IF(OR($F1256="",$I1256=""),0,IFERROR(INDEX(Nutrition!$D$2:$D$300,MATCH($F1256,Nutrition!$A$2:$A$300,0))*$I1256/100,0))</f>
        <v>0.48</v>
      </c>
      <c r="K1256" s="30">
        <f>IF(OR($F1256="",$I1256=""),0,IFERROR(INDEX(Nutrition!$E$2:$E$300,MATCH($F1256,Nutrition!$A$2:$A$300,0))*$I1256/100,0))</f>
        <v>5.4</v>
      </c>
      <c r="L1256" s="30">
        <f>IF(OR($F1256="",$I1256=""),0,IFERROR(INDEX(Nutrition!$F$2:$F$300,MATCH($F1256,Nutrition!$A$2:$A$300,0))*$I1256/100,0))</f>
        <v>79.2</v>
      </c>
      <c r="M1256" s="30">
        <f>IF(OR($F1256="",$I1256=""),0,IFERROR(INDEX(Nutrition!$G$2:$G$300,MATCH($F1256,Nutrition!$A$2:$A$300,0))*$I1256/100,0))</f>
        <v>124.44</v>
      </c>
      <c r="N1256" s="30">
        <f>IF(OR($F1256="",$I1256=""),0,IFERROR(INDEX(Nutrition!$H$2:$H$300,MATCH($F1256,Nutrition!$A$2:$A$300,0))*$I1256/100,0))</f>
        <v>20.399999999999999</v>
      </c>
      <c r="O1256" s="30">
        <f>IF(OR($F1256="",$I1256=""),0,IFERROR(INDEX(Nutrition!$I$2:$I$300,MATCH($F1256,Nutrition!$A$2:$A$300,0))*$I1256/100,0))</f>
        <v>88.5</v>
      </c>
      <c r="P1256" s="30">
        <f>IF(OR($F1256="",$I1256=""),0,IFERROR(INDEX(Nutrition!$J$2:$J$300,MATCH($F1256,Nutrition!$A$2:$A$300,0))*$I1256/100,0))</f>
        <v>0.24</v>
      </c>
      <c r="Q1256" s="30">
        <f>IF(OR($F1256="",$I1256=""),0,IFERROR(INDEX(Nutrition!$K$2:$K$300,MATCH($F1256,Nutrition!$A$2:$A$300,0))*$I1256/100,0))</f>
        <v>4.6500000000000007E-2</v>
      </c>
      <c r="R1256" s="30">
        <f>IF(OR($F1256="",$I1256=""),0,IFERROR(INDEX(Nutrition!$L$2:$L$300,MATCH($F1256,Nutrition!$A$2:$A$300,0))*$I1256/100,0))</f>
        <v>19.2</v>
      </c>
      <c r="S1256" s="30">
        <f>IF(OR($F1256="",$I1256=""),0,IFERROR(INDEX(Nutrition!$M$2:$M$300,MATCH($F1256,Nutrition!$A$2:$A$300,0))*$I1256/100,0))</f>
        <v>0.95099999999999996</v>
      </c>
    </row>
    <row r="1257" spans="1:19" ht="15" customHeight="1" x14ac:dyDescent="0.25">
      <c r="A1257" s="22" t="s">
        <v>2579</v>
      </c>
      <c r="B1257" s="33" t="str">
        <f>IFERROR(INDEX(Recipes!$B$2:$B$500,MATCH(A1257,Recipes!$A$2:$A$500,0)),"")</f>
        <v>Roasted Grapes with Yoghurt &amp; Basil</v>
      </c>
      <c r="C1257" s="7" t="s">
        <v>2930</v>
      </c>
      <c r="D1257" s="34">
        <v>1</v>
      </c>
      <c r="E1257" s="22" t="s">
        <v>2748</v>
      </c>
      <c r="F1257" s="22"/>
      <c r="G1257" s="22" t="s">
        <v>2749</v>
      </c>
      <c r="H1257" s="7"/>
      <c r="I1257" s="35"/>
      <c r="J1257" s="30">
        <f>IF(OR($F1257="",$I1257=""),0,IFERROR(INDEX(Nutrition!$D$2:$D$300,MATCH($F1257,Nutrition!$A$2:$A$300,0))*$I1257/100,0))</f>
        <v>0</v>
      </c>
      <c r="K1257" s="30">
        <f>IF(OR($F1257="",$I1257=""),0,IFERROR(INDEX(Nutrition!$E$2:$E$300,MATCH($F1257,Nutrition!$A$2:$A$300,0))*$I1257/100,0))</f>
        <v>0</v>
      </c>
      <c r="L1257" s="30">
        <f>IF(OR($F1257="",$I1257=""),0,IFERROR(INDEX(Nutrition!$F$2:$F$300,MATCH($F1257,Nutrition!$A$2:$A$300,0))*$I1257/100,0))</f>
        <v>0</v>
      </c>
      <c r="M1257" s="30">
        <f>IF(OR($F1257="",$I1257=""),0,IFERROR(INDEX(Nutrition!$G$2:$G$300,MATCH($F1257,Nutrition!$A$2:$A$300,0))*$I1257/100,0))</f>
        <v>0</v>
      </c>
      <c r="N1257" s="30">
        <f>IF(OR($F1257="",$I1257=""),0,IFERROR(INDEX(Nutrition!$H$2:$H$300,MATCH($F1257,Nutrition!$A$2:$A$300,0))*$I1257/100,0))</f>
        <v>0</v>
      </c>
      <c r="O1257" s="30">
        <f>IF(OR($F1257="",$I1257=""),0,IFERROR(INDEX(Nutrition!$I$2:$I$300,MATCH($F1257,Nutrition!$A$2:$A$300,0))*$I1257/100,0))</f>
        <v>0</v>
      </c>
      <c r="P1257" s="30">
        <f>IF(OR($F1257="",$I1257=""),0,IFERROR(INDEX(Nutrition!$J$2:$J$300,MATCH($F1257,Nutrition!$A$2:$A$300,0))*$I1257/100,0))</f>
        <v>0</v>
      </c>
      <c r="Q1257" s="30">
        <f>IF(OR($F1257="",$I1257=""),0,IFERROR(INDEX(Nutrition!$K$2:$K$300,MATCH($F1257,Nutrition!$A$2:$A$300,0))*$I1257/100,0))</f>
        <v>0</v>
      </c>
      <c r="R1257" s="30">
        <f>IF(OR($F1257="",$I1257=""),0,IFERROR(INDEX(Nutrition!$L$2:$L$300,MATCH($F1257,Nutrition!$A$2:$A$300,0))*$I1257/100,0))</f>
        <v>0</v>
      </c>
      <c r="S1257" s="30">
        <f>IF(OR($F1257="",$I1257=""),0,IFERROR(INDEX(Nutrition!$M$2:$M$300,MATCH($F1257,Nutrition!$A$2:$A$300,0))*$I1257/100,0))</f>
        <v>0</v>
      </c>
    </row>
    <row r="1258" spans="1:19" ht="15" customHeight="1" x14ac:dyDescent="0.25">
      <c r="A1258" s="22" t="s">
        <v>2579</v>
      </c>
      <c r="B1258" s="33" t="str">
        <f>IFERROR(INDEX(Recipes!$B$2:$B$500,MATCH(A1258,Recipes!$A$2:$A$500,0)),"")</f>
        <v>Roasted Grapes with Yoghurt &amp; Basil</v>
      </c>
      <c r="C1258" s="7" t="s">
        <v>3055</v>
      </c>
      <c r="D1258" s="34">
        <v>1</v>
      </c>
      <c r="E1258" s="22" t="s">
        <v>2759</v>
      </c>
      <c r="F1258" s="22"/>
      <c r="G1258" s="22" t="s">
        <v>2749</v>
      </c>
      <c r="H1258" s="7"/>
      <c r="I1258" s="35"/>
      <c r="J1258" s="30">
        <f>IF(OR($F1258="",$I1258=""),0,IFERROR(INDEX(Nutrition!$D$2:$D$300,MATCH($F1258,Nutrition!$A$2:$A$300,0))*$I1258/100,0))</f>
        <v>0</v>
      </c>
      <c r="K1258" s="30">
        <f>IF(OR($F1258="",$I1258=""),0,IFERROR(INDEX(Nutrition!$E$2:$E$300,MATCH($F1258,Nutrition!$A$2:$A$300,0))*$I1258/100,0))</f>
        <v>0</v>
      </c>
      <c r="L1258" s="30">
        <f>IF(OR($F1258="",$I1258=""),0,IFERROR(INDEX(Nutrition!$F$2:$F$300,MATCH($F1258,Nutrition!$A$2:$A$300,0))*$I1258/100,0))</f>
        <v>0</v>
      </c>
      <c r="M1258" s="30">
        <f>IF(OR($F1258="",$I1258=""),0,IFERROR(INDEX(Nutrition!$G$2:$G$300,MATCH($F1258,Nutrition!$A$2:$A$300,0))*$I1258/100,0))</f>
        <v>0</v>
      </c>
      <c r="N1258" s="30">
        <f>IF(OR($F1258="",$I1258=""),0,IFERROR(INDEX(Nutrition!$H$2:$H$300,MATCH($F1258,Nutrition!$A$2:$A$300,0))*$I1258/100,0))</f>
        <v>0</v>
      </c>
      <c r="O1258" s="30">
        <f>IF(OR($F1258="",$I1258=""),0,IFERROR(INDEX(Nutrition!$I$2:$I$300,MATCH($F1258,Nutrition!$A$2:$A$300,0))*$I1258/100,0))</f>
        <v>0</v>
      </c>
      <c r="P1258" s="30">
        <f>IF(OR($F1258="",$I1258=""),0,IFERROR(INDEX(Nutrition!$J$2:$J$300,MATCH($F1258,Nutrition!$A$2:$A$300,0))*$I1258/100,0))</f>
        <v>0</v>
      </c>
      <c r="Q1258" s="30">
        <f>IF(OR($F1258="",$I1258=""),0,IFERROR(INDEX(Nutrition!$K$2:$K$300,MATCH($F1258,Nutrition!$A$2:$A$300,0))*$I1258/100,0))</f>
        <v>0</v>
      </c>
      <c r="R1258" s="30">
        <f>IF(OR($F1258="",$I1258=""),0,IFERROR(INDEX(Nutrition!$L$2:$L$300,MATCH($F1258,Nutrition!$A$2:$A$300,0))*$I1258/100,0))</f>
        <v>0</v>
      </c>
      <c r="S1258" s="30">
        <f>IF(OR($F1258="",$I1258=""),0,IFERROR(INDEX(Nutrition!$M$2:$M$300,MATCH($F1258,Nutrition!$A$2:$A$300,0))*$I1258/100,0))</f>
        <v>0</v>
      </c>
    </row>
    <row r="1259" spans="1:19" ht="15" customHeight="1" x14ac:dyDescent="0.25">
      <c r="A1259" s="22" t="s">
        <v>2579</v>
      </c>
      <c r="B1259" s="33" t="str">
        <f>IFERROR(INDEX(Recipes!$B$2:$B$500,MATCH(A1259,Recipes!$A$2:$A$500,0)),"")</f>
        <v>Roasted Grapes with Yoghurt &amp; Basil</v>
      </c>
      <c r="C1259" s="7" t="s">
        <v>2758</v>
      </c>
      <c r="D1259" s="34">
        <v>1</v>
      </c>
      <c r="E1259" s="22" t="s">
        <v>2753</v>
      </c>
      <c r="F1259" s="22"/>
      <c r="G1259" s="22" t="s">
        <v>2749</v>
      </c>
      <c r="H1259" s="7"/>
      <c r="I1259" s="35"/>
      <c r="J1259" s="30">
        <f>IF(OR($F1259="",$I1259=""),0,IFERROR(INDEX(Nutrition!$D$2:$D$300,MATCH($F1259,Nutrition!$A$2:$A$300,0))*$I1259/100,0))</f>
        <v>0</v>
      </c>
      <c r="K1259" s="30">
        <f>IF(OR($F1259="",$I1259=""),0,IFERROR(INDEX(Nutrition!$E$2:$E$300,MATCH($F1259,Nutrition!$A$2:$A$300,0))*$I1259/100,0))</f>
        <v>0</v>
      </c>
      <c r="L1259" s="30">
        <f>IF(OR($F1259="",$I1259=""),0,IFERROR(INDEX(Nutrition!$F$2:$F$300,MATCH($F1259,Nutrition!$A$2:$A$300,0))*$I1259/100,0))</f>
        <v>0</v>
      </c>
      <c r="M1259" s="30">
        <f>IF(OR($F1259="",$I1259=""),0,IFERROR(INDEX(Nutrition!$G$2:$G$300,MATCH($F1259,Nutrition!$A$2:$A$300,0))*$I1259/100,0))</f>
        <v>0</v>
      </c>
      <c r="N1259" s="30">
        <f>IF(OR($F1259="",$I1259=""),0,IFERROR(INDEX(Nutrition!$H$2:$H$300,MATCH($F1259,Nutrition!$A$2:$A$300,0))*$I1259/100,0))</f>
        <v>0</v>
      </c>
      <c r="O1259" s="30">
        <f>IF(OR($F1259="",$I1259=""),0,IFERROR(INDEX(Nutrition!$I$2:$I$300,MATCH($F1259,Nutrition!$A$2:$A$300,0))*$I1259/100,0))</f>
        <v>0</v>
      </c>
      <c r="P1259" s="30">
        <f>IF(OR($F1259="",$I1259=""),0,IFERROR(INDEX(Nutrition!$J$2:$J$300,MATCH($F1259,Nutrition!$A$2:$A$300,0))*$I1259/100,0))</f>
        <v>0</v>
      </c>
      <c r="Q1259" s="30">
        <f>IF(OR($F1259="",$I1259=""),0,IFERROR(INDEX(Nutrition!$K$2:$K$300,MATCH($F1259,Nutrition!$A$2:$A$300,0))*$I1259/100,0))</f>
        <v>0</v>
      </c>
      <c r="R1259" s="30">
        <f>IF(OR($F1259="",$I1259=""),0,IFERROR(INDEX(Nutrition!$L$2:$L$300,MATCH($F1259,Nutrition!$A$2:$A$300,0))*$I1259/100,0))</f>
        <v>0</v>
      </c>
      <c r="S1259" s="30">
        <f>IF(OR($F1259="",$I1259=""),0,IFERROR(INDEX(Nutrition!$M$2:$M$300,MATCH($F1259,Nutrition!$A$2:$A$300,0))*$I1259/100,0))</f>
        <v>0</v>
      </c>
    </row>
    <row r="1260" spans="1:19" ht="15" customHeight="1" x14ac:dyDescent="0.25">
      <c r="A1260" s="22" t="s">
        <v>2579</v>
      </c>
      <c r="B1260" s="33" t="str">
        <f>IFERROR(INDEX(Recipes!$B$2:$B$500,MATCH(A1260,Recipes!$A$2:$A$500,0)),"")</f>
        <v>Roasted Grapes with Yoghurt &amp; Basil</v>
      </c>
      <c r="C1260" s="7" t="s">
        <v>2805</v>
      </c>
      <c r="D1260" s="34">
        <v>1</v>
      </c>
      <c r="E1260" s="22" t="s">
        <v>2759</v>
      </c>
      <c r="F1260" s="22"/>
      <c r="G1260" s="22" t="s">
        <v>2773</v>
      </c>
      <c r="H1260" s="7"/>
      <c r="I1260" s="35"/>
      <c r="J1260" s="30">
        <f>IF(OR($F1260="",$I1260=""),0,IFERROR(INDEX(Nutrition!$D$2:$D$300,MATCH($F1260,Nutrition!$A$2:$A$300,0))*$I1260/100,0))</f>
        <v>0</v>
      </c>
      <c r="K1260" s="30">
        <f>IF(OR($F1260="",$I1260=""),0,IFERROR(INDEX(Nutrition!$E$2:$E$300,MATCH($F1260,Nutrition!$A$2:$A$300,0))*$I1260/100,0))</f>
        <v>0</v>
      </c>
      <c r="L1260" s="30">
        <f>IF(OR($F1260="",$I1260=""),0,IFERROR(INDEX(Nutrition!$F$2:$F$300,MATCH($F1260,Nutrition!$A$2:$A$300,0))*$I1260/100,0))</f>
        <v>0</v>
      </c>
      <c r="M1260" s="30">
        <f>IF(OR($F1260="",$I1260=""),0,IFERROR(INDEX(Nutrition!$G$2:$G$300,MATCH($F1260,Nutrition!$A$2:$A$300,0))*$I1260/100,0))</f>
        <v>0</v>
      </c>
      <c r="N1260" s="30">
        <f>IF(OR($F1260="",$I1260=""),0,IFERROR(INDEX(Nutrition!$H$2:$H$300,MATCH($F1260,Nutrition!$A$2:$A$300,0))*$I1260/100,0))</f>
        <v>0</v>
      </c>
      <c r="O1260" s="30">
        <f>IF(OR($F1260="",$I1260=""),0,IFERROR(INDEX(Nutrition!$I$2:$I$300,MATCH($F1260,Nutrition!$A$2:$A$300,0))*$I1260/100,0))</f>
        <v>0</v>
      </c>
      <c r="P1260" s="30">
        <f>IF(OR($F1260="",$I1260=""),0,IFERROR(INDEX(Nutrition!$J$2:$J$300,MATCH($F1260,Nutrition!$A$2:$A$300,0))*$I1260/100,0))</f>
        <v>0</v>
      </c>
      <c r="Q1260" s="30">
        <f>IF(OR($F1260="",$I1260=""),0,IFERROR(INDEX(Nutrition!$K$2:$K$300,MATCH($F1260,Nutrition!$A$2:$A$300,0))*$I1260/100,0))</f>
        <v>0</v>
      </c>
      <c r="R1260" s="30">
        <f>IF(OR($F1260="",$I1260=""),0,IFERROR(INDEX(Nutrition!$L$2:$L$300,MATCH($F1260,Nutrition!$A$2:$A$300,0))*$I1260/100,0))</f>
        <v>0</v>
      </c>
      <c r="S1260" s="30">
        <f>IF(OR($F1260="",$I1260=""),0,IFERROR(INDEX(Nutrition!$M$2:$M$300,MATCH($F1260,Nutrition!$A$2:$A$300,0))*$I1260/100,0))</f>
        <v>0</v>
      </c>
    </row>
    <row r="1261" spans="1:19" ht="15" customHeight="1" x14ac:dyDescent="0.25">
      <c r="A1261" s="22" t="s">
        <v>2589</v>
      </c>
      <c r="B1261" s="33" t="str">
        <f>IFERROR(INDEX(Recipes!$B$2:$B$500,MATCH(A1261,Recipes!$A$2:$A$500,0)),"")</f>
        <v>Chicken Shawarma Bowl</v>
      </c>
      <c r="C1261" s="7" t="s">
        <v>546</v>
      </c>
      <c r="D1261" s="34">
        <v>1</v>
      </c>
      <c r="E1261" s="22" t="s">
        <v>2808</v>
      </c>
      <c r="F1261" s="22" t="s">
        <v>545</v>
      </c>
      <c r="G1261" s="22" t="s">
        <v>2755</v>
      </c>
      <c r="H1261" s="7" t="s">
        <v>2775</v>
      </c>
      <c r="I1261" s="35">
        <v>626</v>
      </c>
      <c r="J1261" s="30">
        <f>IF(OR($F1261="",$I1261=""),0,IFERROR(INDEX(Nutrition!$D$2:$D$300,MATCH($F1261,Nutrition!$A$2:$A$300,0))*$I1261/100,0))</f>
        <v>13.146000000000001</v>
      </c>
      <c r="K1261" s="30">
        <f>IF(OR($F1261="",$I1261=""),0,IFERROR(INDEX(Nutrition!$E$2:$E$300,MATCH($F1261,Nutrition!$A$2:$A$300,0))*$I1261/100,0))</f>
        <v>25.04</v>
      </c>
      <c r="L1261" s="30">
        <f>IF(OR($F1261="",$I1261=""),0,IFERROR(INDEX(Nutrition!$F$2:$F$300,MATCH($F1261,Nutrition!$A$2:$A$300,0))*$I1261/100,0))</f>
        <v>2729.36</v>
      </c>
      <c r="M1261" s="30">
        <f>IF(OR($F1261="",$I1261=""),0,IFERROR(INDEX(Nutrition!$G$2:$G$300,MATCH($F1261,Nutrition!$A$2:$A$300,0))*$I1261/100,0))</f>
        <v>641.65</v>
      </c>
      <c r="N1261" s="30">
        <f>IF(OR($F1261="",$I1261=""),0,IFERROR(INDEX(Nutrition!$H$2:$H$300,MATCH($F1261,Nutrition!$A$2:$A$300,0))*$I1261/100,0))</f>
        <v>851.36</v>
      </c>
      <c r="O1261" s="30">
        <f>IF(OR($F1261="",$I1261=""),0,IFERROR(INDEX(Nutrition!$I$2:$I$300,MATCH($F1261,Nutrition!$A$2:$A$300,0))*$I1261/100,0))</f>
        <v>1546.22</v>
      </c>
      <c r="P1261" s="30">
        <f>IF(OR($F1261="",$I1261=""),0,IFERROR(INDEX(Nutrition!$J$2:$J$300,MATCH($F1261,Nutrition!$A$2:$A$300,0))*$I1261/100,0))</f>
        <v>0.81380000000000008</v>
      </c>
      <c r="Q1261" s="30">
        <f>IF(OR($F1261="",$I1261=""),0,IFERROR(INDEX(Nutrition!$K$2:$K$300,MATCH($F1261,Nutrition!$A$2:$A$300,0))*$I1261/100,0))</f>
        <v>0.46323999999999999</v>
      </c>
      <c r="R1261" s="30">
        <f>IF(OR($F1261="",$I1261=""),0,IFERROR(INDEX(Nutrition!$L$2:$L$300,MATCH($F1261,Nutrition!$A$2:$A$300,0))*$I1261/100,0))</f>
        <v>87.64</v>
      </c>
      <c r="S1261" s="30">
        <f>IF(OR($F1261="",$I1261=""),0,IFERROR(INDEX(Nutrition!$M$2:$M$300,MATCH($F1261,Nutrition!$A$2:$A$300,0))*$I1261/100,0))</f>
        <v>6.0722000000000005</v>
      </c>
    </row>
    <row r="1262" spans="1:19" ht="15" customHeight="1" x14ac:dyDescent="0.25">
      <c r="A1262" s="22" t="s">
        <v>2589</v>
      </c>
      <c r="B1262" s="33" t="str">
        <f>IFERROR(INDEX(Recipes!$B$2:$B$500,MATCH(A1262,Recipes!$A$2:$A$500,0)),"")</f>
        <v>Chicken Shawarma Bowl</v>
      </c>
      <c r="C1262" s="7" t="s">
        <v>446</v>
      </c>
      <c r="D1262" s="34">
        <v>3</v>
      </c>
      <c r="E1262" s="22" t="s">
        <v>2754</v>
      </c>
      <c r="F1262" s="22" t="s">
        <v>445</v>
      </c>
      <c r="G1262" s="22" t="s">
        <v>2755</v>
      </c>
      <c r="H1262" s="7" t="s">
        <v>2756</v>
      </c>
      <c r="I1262" s="35">
        <v>186</v>
      </c>
      <c r="J1262" s="30">
        <f>IF(OR($F1262="",$I1262=""),0,IFERROR(INDEX(Nutrition!$D$2:$D$300,MATCH($F1262,Nutrition!$A$2:$A$300,0))*$I1262/100,0))</f>
        <v>2.2319999999999998</v>
      </c>
      <c r="K1262" s="30">
        <f>IF(OR($F1262="",$I1262=""),0,IFERROR(INDEX(Nutrition!$E$2:$E$300,MATCH($F1262,Nutrition!$A$2:$A$300,0))*$I1262/100,0))</f>
        <v>25.481999999999999</v>
      </c>
      <c r="L1262" s="30">
        <f>IF(OR($F1262="",$I1262=""),0,IFERROR(INDEX(Nutrition!$F$2:$F$300,MATCH($F1262,Nutrition!$A$2:$A$300,0))*$I1262/100,0))</f>
        <v>78.12</v>
      </c>
      <c r="M1262" s="30">
        <f>IF(OR($F1262="",$I1262=""),0,IFERROR(INDEX(Nutrition!$G$2:$G$300,MATCH($F1262,Nutrition!$A$2:$A$300,0))*$I1262/100,0))</f>
        <v>14.694000000000001</v>
      </c>
      <c r="N1262" s="30">
        <f>IF(OR($F1262="",$I1262=""),0,IFERROR(INDEX(Nutrition!$H$2:$H$300,MATCH($F1262,Nutrition!$A$2:$A$300,0))*$I1262/100,0))</f>
        <v>27.9</v>
      </c>
      <c r="O1262" s="30">
        <f>IF(OR($F1262="",$I1262=""),0,IFERROR(INDEX(Nutrition!$I$2:$I$300,MATCH($F1262,Nutrition!$A$2:$A$300,0))*$I1262/100,0))</f>
        <v>440.82</v>
      </c>
      <c r="P1262" s="30">
        <f>IF(OR($F1262="",$I1262=""),0,IFERROR(INDEX(Nutrition!$J$2:$J$300,MATCH($F1262,Nutrition!$A$2:$A$300,0))*$I1262/100,0))</f>
        <v>1.0044000000000002</v>
      </c>
      <c r="Q1262" s="30">
        <f>IF(OR($F1262="",$I1262=""),0,IFERROR(INDEX(Nutrition!$K$2:$K$300,MATCH($F1262,Nutrition!$A$2:$A$300,0))*$I1262/100,0))</f>
        <v>0.14880000000000002</v>
      </c>
      <c r="R1262" s="30">
        <f>IF(OR($F1262="",$I1262=""),0,IFERROR(INDEX(Nutrition!$L$2:$L$300,MATCH($F1262,Nutrition!$A$2:$A$300,0))*$I1262/100,0))</f>
        <v>20.46</v>
      </c>
      <c r="S1262" s="30">
        <f>IF(OR($F1262="",$I1262=""),0,IFERROR(INDEX(Nutrition!$M$2:$M$300,MATCH($F1262,Nutrition!$A$2:$A$300,0))*$I1262/100,0))</f>
        <v>0.50220000000000009</v>
      </c>
    </row>
    <row r="1263" spans="1:19" ht="15" customHeight="1" x14ac:dyDescent="0.25">
      <c r="A1263" s="22" t="s">
        <v>2589</v>
      </c>
      <c r="B1263" s="33" t="str">
        <f>IFERROR(INDEX(Recipes!$B$2:$B$500,MATCH(A1263,Recipes!$A$2:$A$500,0)),"")</f>
        <v>Chicken Shawarma Bowl</v>
      </c>
      <c r="C1263" s="7" t="s">
        <v>523</v>
      </c>
      <c r="D1263" s="34">
        <v>1</v>
      </c>
      <c r="E1263" s="22" t="s">
        <v>2754</v>
      </c>
      <c r="F1263" s="22" t="s">
        <v>522</v>
      </c>
      <c r="G1263" s="22" t="s">
        <v>2755</v>
      </c>
      <c r="H1263" s="7" t="s">
        <v>2756</v>
      </c>
      <c r="I1263" s="35">
        <v>301</v>
      </c>
      <c r="J1263" s="30">
        <f>IF(OR($F1263="",$I1263=""),0,IFERROR(INDEX(Nutrition!$D$2:$D$300,MATCH($F1263,Nutrition!$A$2:$A$300,0))*$I1263/100,0))</f>
        <v>1.5049999999999999</v>
      </c>
      <c r="K1263" s="30">
        <f>IF(OR($F1263="",$I1263=""),0,IFERROR(INDEX(Nutrition!$E$2:$E$300,MATCH($F1263,Nutrition!$A$2:$A$300,0))*$I1263/100,0))</f>
        <v>8.427999999999999</v>
      </c>
      <c r="L1263" s="30">
        <f>IF(OR($F1263="",$I1263=""),0,IFERROR(INDEX(Nutrition!$F$2:$F$300,MATCH($F1263,Nutrition!$A$2:$A$300,0))*$I1263/100,0))</f>
        <v>15.05</v>
      </c>
      <c r="M1263" s="30">
        <f>IF(OR($F1263="",$I1263=""),0,IFERROR(INDEX(Nutrition!$G$2:$G$300,MATCH($F1263,Nutrition!$A$2:$A$300,0))*$I1263/100,0))</f>
        <v>49.363999999999997</v>
      </c>
      <c r="N1263" s="30">
        <f>IF(OR($F1263="",$I1263=""),0,IFERROR(INDEX(Nutrition!$H$2:$H$300,MATCH($F1263,Nutrition!$A$2:$A$300,0))*$I1263/100,0))</f>
        <v>21.07</v>
      </c>
      <c r="O1263" s="30">
        <f>IF(OR($F1263="",$I1263=""),0,IFERROR(INDEX(Nutrition!$I$2:$I$300,MATCH($F1263,Nutrition!$A$2:$A$300,0))*$I1263/100,0))</f>
        <v>442.47</v>
      </c>
      <c r="P1263" s="30">
        <f>IF(OR($F1263="",$I1263=""),0,IFERROR(INDEX(Nutrition!$J$2:$J$300,MATCH($F1263,Nutrition!$A$2:$A$300,0))*$I1263/100,0))</f>
        <v>9.0299999999999991E-2</v>
      </c>
      <c r="Q1263" s="30">
        <f>IF(OR($F1263="",$I1263=""),0,IFERROR(INDEX(Nutrition!$K$2:$K$300,MATCH($F1263,Nutrition!$A$2:$A$300,0))*$I1263/100,0))</f>
        <v>0.12040000000000001</v>
      </c>
      <c r="R1263" s="30">
        <f>IF(OR($F1263="",$I1263=""),0,IFERROR(INDEX(Nutrition!$L$2:$L$300,MATCH($F1263,Nutrition!$A$2:$A$300,0))*$I1263/100,0))</f>
        <v>39.130000000000003</v>
      </c>
      <c r="S1263" s="30">
        <f>IF(OR($F1263="",$I1263=""),0,IFERROR(INDEX(Nutrition!$M$2:$M$300,MATCH($F1263,Nutrition!$A$2:$A$300,0))*$I1263/100,0))</f>
        <v>0.84279999999999999</v>
      </c>
    </row>
    <row r="1264" spans="1:19" ht="15" customHeight="1" x14ac:dyDescent="0.25">
      <c r="A1264" s="22" t="s">
        <v>2589</v>
      </c>
      <c r="B1264" s="33" t="str">
        <f>IFERROR(INDEX(Recipes!$B$2:$B$500,MATCH(A1264,Recipes!$A$2:$A$500,0)),"")</f>
        <v>Chicken Shawarma Bowl</v>
      </c>
      <c r="C1264" s="7" t="s">
        <v>482</v>
      </c>
      <c r="D1264" s="34">
        <v>1</v>
      </c>
      <c r="E1264" s="22" t="s">
        <v>2754</v>
      </c>
      <c r="F1264" s="22" t="s">
        <v>481</v>
      </c>
      <c r="G1264" s="22" t="s">
        <v>2755</v>
      </c>
      <c r="H1264" s="7" t="s">
        <v>3089</v>
      </c>
      <c r="I1264" s="35">
        <v>110</v>
      </c>
      <c r="J1264" s="30">
        <f>IF(OR($F1264="",$I1264=""),0,IFERROR(INDEX(Nutrition!$D$2:$D$300,MATCH($F1264,Nutrition!$A$2:$A$300,0))*$I1264/100,0))</f>
        <v>1.87</v>
      </c>
      <c r="K1264" s="30">
        <f>IF(OR($F1264="",$I1264=""),0,IFERROR(INDEX(Nutrition!$E$2:$E$300,MATCH($F1264,Nutrition!$A$2:$A$300,0))*$I1264/100,0))</f>
        <v>8.14</v>
      </c>
      <c r="L1264" s="30">
        <f>IF(OR($F1264="",$I1264=""),0,IFERROR(INDEX(Nutrition!$F$2:$F$300,MATCH($F1264,Nutrition!$A$2:$A$300,0))*$I1264/100,0))</f>
        <v>0</v>
      </c>
      <c r="M1264" s="30">
        <f>IF(OR($F1264="",$I1264=""),0,IFERROR(INDEX(Nutrition!$G$2:$G$300,MATCH($F1264,Nutrition!$A$2:$A$300,0))*$I1264/100,0))</f>
        <v>0.44</v>
      </c>
      <c r="N1264" s="30">
        <f>IF(OR($F1264="",$I1264=""),0,IFERROR(INDEX(Nutrition!$H$2:$H$300,MATCH($F1264,Nutrition!$A$2:$A$300,0))*$I1264/100,0))</f>
        <v>20.9</v>
      </c>
      <c r="O1264" s="30">
        <f>IF(OR($F1264="",$I1264=""),0,IFERROR(INDEX(Nutrition!$I$2:$I$300,MATCH($F1264,Nutrition!$A$2:$A$300,0))*$I1264/100,0))</f>
        <v>160.6</v>
      </c>
      <c r="P1264" s="30">
        <f>IF(OR($F1264="",$I1264=""),0,IFERROR(INDEX(Nutrition!$J$2:$J$300,MATCH($F1264,Nutrition!$A$2:$A$300,0))*$I1264/100,0))</f>
        <v>2.2000000000000002E-2</v>
      </c>
      <c r="Q1264" s="30">
        <f>IF(OR($F1264="",$I1264=""),0,IFERROR(INDEX(Nutrition!$K$2:$K$300,MATCH($F1264,Nutrition!$A$2:$A$300,0))*$I1264/100,0))</f>
        <v>0.13200000000000001</v>
      </c>
      <c r="R1264" s="30">
        <f>IF(OR($F1264="",$I1264=""),0,IFERROR(INDEX(Nutrition!$L$2:$L$300,MATCH($F1264,Nutrition!$A$2:$A$300,0))*$I1264/100,0))</f>
        <v>11</v>
      </c>
      <c r="S1264" s="30">
        <f>IF(OR($F1264="",$I1264=""),0,IFERROR(INDEX(Nutrition!$M$2:$M$300,MATCH($F1264,Nutrition!$A$2:$A$300,0))*$I1264/100,0))</f>
        <v>0.23099999999999998</v>
      </c>
    </row>
    <row r="1265" spans="1:19" ht="15" customHeight="1" x14ac:dyDescent="0.25">
      <c r="A1265" s="22" t="s">
        <v>2589</v>
      </c>
      <c r="B1265" s="33" t="str">
        <f>IFERROR(INDEX(Recipes!$B$2:$B$500,MATCH(A1265,Recipes!$A$2:$A$500,0)),"")</f>
        <v>Chicken Shawarma Bowl</v>
      </c>
      <c r="C1265" s="7" t="s">
        <v>500</v>
      </c>
      <c r="D1265" s="34">
        <v>2</v>
      </c>
      <c r="E1265" s="22" t="s">
        <v>2776</v>
      </c>
      <c r="F1265" s="22" t="s">
        <v>499</v>
      </c>
      <c r="G1265" s="22" t="s">
        <v>2755</v>
      </c>
      <c r="H1265" s="7" t="s">
        <v>2896</v>
      </c>
      <c r="I1265" s="35">
        <v>6</v>
      </c>
      <c r="J1265" s="30">
        <f>IF(OR($F1265="",$I1265=""),0,IFERROR(INDEX(Nutrition!$D$2:$D$300,MATCH($F1265,Nutrition!$A$2:$A$300,0))*$I1265/100,0))</f>
        <v>0.126</v>
      </c>
      <c r="K1265" s="30">
        <f>IF(OR($F1265="",$I1265=""),0,IFERROR(INDEX(Nutrition!$E$2:$E$300,MATCH($F1265,Nutrition!$A$2:$A$300,0))*$I1265/100,0))</f>
        <v>1.8719999999999999</v>
      </c>
      <c r="L1265" s="30">
        <f>IF(OR($F1265="",$I1265=""),0,IFERROR(INDEX(Nutrition!$F$2:$F$300,MATCH($F1265,Nutrition!$A$2:$A$300,0))*$I1265/100,0))</f>
        <v>0</v>
      </c>
      <c r="M1265" s="30">
        <f>IF(OR($F1265="",$I1265=""),0,IFERROR(INDEX(Nutrition!$G$2:$G$300,MATCH($F1265,Nutrition!$A$2:$A$300,0))*$I1265/100,0))</f>
        <v>0.10199999999999999</v>
      </c>
      <c r="N1265" s="30">
        <f>IF(OR($F1265="",$I1265=""),0,IFERROR(INDEX(Nutrition!$H$2:$H$300,MATCH($F1265,Nutrition!$A$2:$A$300,0))*$I1265/100,0))</f>
        <v>0.18</v>
      </c>
      <c r="O1265" s="30">
        <f>IF(OR($F1265="",$I1265=""),0,IFERROR(INDEX(Nutrition!$I$2:$I$300,MATCH($F1265,Nutrition!$A$2:$A$300,0))*$I1265/100,0))</f>
        <v>24.06</v>
      </c>
      <c r="P1265" s="30">
        <f>IF(OR($F1265="",$I1265=""),0,IFERROR(INDEX(Nutrition!$J$2:$J$300,MATCH($F1265,Nutrition!$A$2:$A$300,0))*$I1265/100,0))</f>
        <v>4.7999999999999996E-3</v>
      </c>
      <c r="Q1265" s="30">
        <f>IF(OR($F1265="",$I1265=""),0,IFERROR(INDEX(Nutrition!$K$2:$K$300,MATCH($F1265,Nutrition!$A$2:$A$300,0))*$I1265/100,0))</f>
        <v>7.4099999999999999E-2</v>
      </c>
      <c r="R1265" s="30">
        <f>IF(OR($F1265="",$I1265=""),0,IFERROR(INDEX(Nutrition!$L$2:$L$300,MATCH($F1265,Nutrition!$A$2:$A$300,0))*$I1265/100,0))</f>
        <v>1.5</v>
      </c>
      <c r="S1265" s="30">
        <f>IF(OR($F1265="",$I1265=""),0,IFERROR(INDEX(Nutrition!$M$2:$M$300,MATCH($F1265,Nutrition!$A$2:$A$300,0))*$I1265/100,0))</f>
        <v>0.10199999999999999</v>
      </c>
    </row>
    <row r="1266" spans="1:19" ht="15" customHeight="1" x14ac:dyDescent="0.25">
      <c r="A1266" s="22" t="s">
        <v>2589</v>
      </c>
      <c r="B1266" s="33" t="str">
        <f>IFERROR(INDEX(Recipes!$B$2:$B$500,MATCH(A1266,Recipes!$A$2:$A$500,0)),"")</f>
        <v>Chicken Shawarma Bowl</v>
      </c>
      <c r="C1266" s="7" t="s">
        <v>206</v>
      </c>
      <c r="D1266" s="34">
        <v>1</v>
      </c>
      <c r="E1266" s="22" t="s">
        <v>2754</v>
      </c>
      <c r="F1266" s="22" t="s">
        <v>205</v>
      </c>
      <c r="G1266" s="22" t="s">
        <v>2755</v>
      </c>
      <c r="H1266" s="7" t="s">
        <v>2912</v>
      </c>
      <c r="I1266" s="35">
        <v>58</v>
      </c>
      <c r="J1266" s="30">
        <f>IF(OR($F1266="",$I1266=""),0,IFERROR(INDEX(Nutrition!$D$2:$D$300,MATCH($F1266,Nutrition!$A$2:$A$300,0))*$I1266/100,0))</f>
        <v>1.6239999999999997</v>
      </c>
      <c r="K1266" s="30">
        <f>IF(OR($F1266="",$I1266=""),0,IFERROR(INDEX(Nutrition!$E$2:$E$300,MATCH($F1266,Nutrition!$A$2:$A$300,0))*$I1266/100,0))</f>
        <v>30.74</v>
      </c>
      <c r="L1266" s="30">
        <f>IF(OR($F1266="",$I1266=""),0,IFERROR(INDEX(Nutrition!$F$2:$F$300,MATCH($F1266,Nutrition!$A$2:$A$300,0))*$I1266/100,0))</f>
        <v>0.57999999999999996</v>
      </c>
      <c r="M1266" s="30">
        <f>IF(OR($F1266="",$I1266=""),0,IFERROR(INDEX(Nutrition!$G$2:$G$300,MATCH($F1266,Nutrition!$A$2:$A$300,0))*$I1266/100,0))</f>
        <v>0</v>
      </c>
      <c r="N1266" s="30">
        <f>IF(OR($F1266="",$I1266=""),0,IFERROR(INDEX(Nutrition!$H$2:$H$300,MATCH($F1266,Nutrition!$A$2:$A$300,0))*$I1266/100,0))</f>
        <v>6.38</v>
      </c>
      <c r="O1266" s="30">
        <f>IF(OR($F1266="",$I1266=""),0,IFERROR(INDEX(Nutrition!$I$2:$I$300,MATCH($F1266,Nutrition!$A$2:$A$300,0))*$I1266/100,0))</f>
        <v>80.040000000000006</v>
      </c>
      <c r="P1266" s="30">
        <f>IF(OR($F1266="",$I1266=""),0,IFERROR(INDEX(Nutrition!$J$2:$J$300,MATCH($F1266,Nutrition!$A$2:$A$300,0))*$I1266/100,0))</f>
        <v>8.6999999999999994E-2</v>
      </c>
      <c r="Q1266" s="30">
        <f>IF(OR($F1266="",$I1266=""),0,IFERROR(INDEX(Nutrition!$K$2:$K$300,MATCH($F1266,Nutrition!$A$2:$A$300,0))*$I1266/100,0))</f>
        <v>4.6399999999999997E-2</v>
      </c>
      <c r="R1266" s="30">
        <f>IF(OR($F1266="",$I1266=""),0,IFERROR(INDEX(Nutrition!$L$2:$L$300,MATCH($F1266,Nutrition!$A$2:$A$300,0))*$I1266/100,0))</f>
        <v>4.6399999999999997</v>
      </c>
      <c r="S1266" s="30">
        <f>IF(OR($F1266="",$I1266=""),0,IFERROR(INDEX(Nutrition!$M$2:$M$300,MATCH($F1266,Nutrition!$A$2:$A$300,0))*$I1266/100,0))</f>
        <v>0.34799999999999998</v>
      </c>
    </row>
    <row r="1267" spans="1:19" ht="15" customHeight="1" x14ac:dyDescent="0.25">
      <c r="A1267" s="22" t="s">
        <v>2589</v>
      </c>
      <c r="B1267" s="33" t="str">
        <f>IFERROR(INDEX(Recipes!$B$2:$B$500,MATCH(A1267,Recipes!$A$2:$A$500,0)),"")</f>
        <v>Chicken Shawarma Bowl</v>
      </c>
      <c r="C1267" s="7" t="s">
        <v>516</v>
      </c>
      <c r="D1267" s="34">
        <v>1</v>
      </c>
      <c r="E1267" s="22" t="s">
        <v>2821</v>
      </c>
      <c r="F1267" s="22" t="s">
        <v>515</v>
      </c>
      <c r="G1267" s="22" t="s">
        <v>2755</v>
      </c>
      <c r="H1267" s="7" t="s">
        <v>2791</v>
      </c>
      <c r="I1267" s="35">
        <v>10</v>
      </c>
      <c r="J1267" s="30">
        <f>IF(OR($F1267="",$I1267=""),0,IFERROR(INDEX(Nutrition!$D$2:$D$300,MATCH($F1267,Nutrition!$A$2:$A$300,0))*$I1267/100,0))</f>
        <v>0.56999999999999995</v>
      </c>
      <c r="K1267" s="30">
        <f>IF(OR($F1267="",$I1267=""),0,IFERROR(INDEX(Nutrition!$E$2:$E$300,MATCH($F1267,Nutrition!$A$2:$A$300,0))*$I1267/100,0))</f>
        <v>0.3</v>
      </c>
      <c r="L1267" s="30">
        <f>IF(OR($F1267="",$I1267=""),0,IFERROR(INDEX(Nutrition!$F$2:$F$300,MATCH($F1267,Nutrition!$A$2:$A$300,0))*$I1267/100,0))</f>
        <v>0</v>
      </c>
      <c r="M1267" s="30">
        <f>IF(OR($F1267="",$I1267=""),0,IFERROR(INDEX(Nutrition!$G$2:$G$300,MATCH($F1267,Nutrition!$A$2:$A$300,0))*$I1267/100,0))</f>
        <v>0.34</v>
      </c>
      <c r="N1267" s="30">
        <f>IF(OR($F1267="",$I1267=""),0,IFERROR(INDEX(Nutrition!$H$2:$H$300,MATCH($F1267,Nutrition!$A$2:$A$300,0))*$I1267/100,0))</f>
        <v>0.5</v>
      </c>
      <c r="O1267" s="30">
        <f>IF(OR($F1267="",$I1267=""),0,IFERROR(INDEX(Nutrition!$I$2:$I$300,MATCH($F1267,Nutrition!$A$2:$A$300,0))*$I1267/100,0))</f>
        <v>52</v>
      </c>
      <c r="P1267" s="30">
        <f>IF(OR($F1267="",$I1267=""),0,IFERROR(INDEX(Nutrition!$J$2:$J$300,MATCH($F1267,Nutrition!$A$2:$A$300,0))*$I1267/100,0))</f>
        <v>0.11</v>
      </c>
      <c r="Q1267" s="30">
        <f>IF(OR($F1267="",$I1267=""),0,IFERROR(INDEX(Nutrition!$K$2:$K$300,MATCH($F1267,Nutrition!$A$2:$A$300,0))*$I1267/100,0))</f>
        <v>3.0000000000000001E-3</v>
      </c>
      <c r="R1267" s="30">
        <f>IF(OR($F1267="",$I1267=""),0,IFERROR(INDEX(Nutrition!$L$2:$L$300,MATCH($F1267,Nutrition!$A$2:$A$300,0))*$I1267/100,0))</f>
        <v>5.2</v>
      </c>
      <c r="S1267" s="30">
        <f>IF(OR($F1267="",$I1267=""),0,IFERROR(INDEX(Nutrition!$M$2:$M$300,MATCH($F1267,Nutrition!$A$2:$A$300,0))*$I1267/100,0))</f>
        <v>1.38</v>
      </c>
    </row>
    <row r="1268" spans="1:19" ht="15" customHeight="1" x14ac:dyDescent="0.25">
      <c r="A1268" s="22" t="s">
        <v>2589</v>
      </c>
      <c r="B1268" s="33" t="str">
        <f>IFERROR(INDEX(Recipes!$B$2:$B$500,MATCH(A1268,Recipes!$A$2:$A$500,0)),"")</f>
        <v>Chicken Shawarma Bowl</v>
      </c>
      <c r="C1268" s="7" t="s">
        <v>671</v>
      </c>
      <c r="D1268" s="34">
        <v>2</v>
      </c>
      <c r="E1268" s="22" t="s">
        <v>2753</v>
      </c>
      <c r="F1268" s="22" t="s">
        <v>670</v>
      </c>
      <c r="G1268" s="22" t="s">
        <v>2755</v>
      </c>
      <c r="H1268" s="7" t="s">
        <v>2775</v>
      </c>
      <c r="I1268" s="35">
        <v>8</v>
      </c>
      <c r="J1268" s="30">
        <f>IF(OR($F1268="",$I1268=""),0,IFERROR(INDEX(Nutrition!$D$2:$D$300,MATCH($F1268,Nutrition!$A$2:$A$300,0))*$I1268/100,0))</f>
        <v>0.26400000000000001</v>
      </c>
      <c r="K1268" s="30">
        <f>IF(OR($F1268="",$I1268=""),0,IFERROR(INDEX(Nutrition!$E$2:$E$300,MATCH($F1268,Nutrition!$A$2:$A$300,0))*$I1268/100,0))</f>
        <v>10.64</v>
      </c>
      <c r="L1268" s="30">
        <f>IF(OR($F1268="",$I1268=""),0,IFERROR(INDEX(Nutrition!$F$2:$F$300,MATCH($F1268,Nutrition!$A$2:$A$300,0))*$I1268/100,0))</f>
        <v>33.68</v>
      </c>
      <c r="M1268" s="30">
        <f>IF(OR($F1268="",$I1268=""),0,IFERROR(INDEX(Nutrition!$G$2:$G$300,MATCH($F1268,Nutrition!$A$2:$A$300,0))*$I1268/100,0))</f>
        <v>131.19999999999999</v>
      </c>
      <c r="N1268" s="30">
        <f>IF(OR($F1268="",$I1268=""),0,IFERROR(INDEX(Nutrition!$H$2:$H$300,MATCH($F1268,Nutrition!$A$2:$A$300,0))*$I1268/100,0))</f>
        <v>12.16</v>
      </c>
      <c r="O1268" s="30">
        <f>IF(OR($F1268="",$I1268=""),0,IFERROR(INDEX(Nutrition!$I$2:$I$300,MATCH($F1268,Nutrition!$A$2:$A$300,0))*$I1268/100,0))</f>
        <v>44.32</v>
      </c>
      <c r="P1268" s="30">
        <f>IF(OR($F1268="",$I1268=""),0,IFERROR(INDEX(Nutrition!$J$2:$J$300,MATCH($F1268,Nutrition!$A$2:$A$300,0))*$I1268/100,0))</f>
        <v>0.06</v>
      </c>
      <c r="Q1268" s="30">
        <f>IF(OR($F1268="",$I1268=""),0,IFERROR(INDEX(Nutrition!$K$2:$K$300,MATCH($F1268,Nutrition!$A$2:$A$300,0))*$I1268/100,0))</f>
        <v>7.1999999999999998E-3</v>
      </c>
      <c r="R1268" s="30">
        <f>IF(OR($F1268="",$I1268=""),0,IFERROR(INDEX(Nutrition!$L$2:$L$300,MATCH($F1268,Nutrition!$A$2:$A$300,0))*$I1268/100,0))</f>
        <v>4</v>
      </c>
      <c r="S1268" s="30">
        <f>IF(OR($F1268="",$I1268=""),0,IFERROR(INDEX(Nutrition!$M$2:$M$300,MATCH($F1268,Nutrition!$A$2:$A$300,0))*$I1268/100,0))</f>
        <v>0.496</v>
      </c>
    </row>
    <row r="1269" spans="1:19" ht="15" customHeight="1" x14ac:dyDescent="0.25">
      <c r="A1269" s="22" t="s">
        <v>2589</v>
      </c>
      <c r="B1269" s="33" t="str">
        <f>IFERROR(INDEX(Recipes!$B$2:$B$500,MATCH(A1269,Recipes!$A$2:$A$500,0)),"")</f>
        <v>Chicken Shawarma Bowl</v>
      </c>
      <c r="C1269" s="7" t="s">
        <v>3090</v>
      </c>
      <c r="D1269" s="34">
        <v>600</v>
      </c>
      <c r="E1269" s="22" t="s">
        <v>2813</v>
      </c>
      <c r="F1269" s="22"/>
      <c r="G1269" s="22" t="s">
        <v>2768</v>
      </c>
      <c r="H1269" s="7" t="s">
        <v>3091</v>
      </c>
      <c r="I1269" s="35"/>
      <c r="J1269" s="30">
        <f>IF(OR($F1269="",$I1269=""),0,IFERROR(INDEX(Nutrition!$D$2:$D$300,MATCH($F1269,Nutrition!$A$2:$A$300,0))*$I1269/100,0))</f>
        <v>0</v>
      </c>
      <c r="K1269" s="30">
        <f>IF(OR($F1269="",$I1269=""),0,IFERROR(INDEX(Nutrition!$E$2:$E$300,MATCH($F1269,Nutrition!$A$2:$A$300,0))*$I1269/100,0))</f>
        <v>0</v>
      </c>
      <c r="L1269" s="30">
        <f>IF(OR($F1269="",$I1269=""),0,IFERROR(INDEX(Nutrition!$F$2:$F$300,MATCH($F1269,Nutrition!$A$2:$A$300,0))*$I1269/100,0))</f>
        <v>0</v>
      </c>
      <c r="M1269" s="30">
        <f>IF(OR($F1269="",$I1269=""),0,IFERROR(INDEX(Nutrition!$G$2:$G$300,MATCH($F1269,Nutrition!$A$2:$A$300,0))*$I1269/100,0))</f>
        <v>0</v>
      </c>
      <c r="N1269" s="30">
        <f>IF(OR($F1269="",$I1269=""),0,IFERROR(INDEX(Nutrition!$H$2:$H$300,MATCH($F1269,Nutrition!$A$2:$A$300,0))*$I1269/100,0))</f>
        <v>0</v>
      </c>
      <c r="O1269" s="30">
        <f>IF(OR($F1269="",$I1269=""),0,IFERROR(INDEX(Nutrition!$I$2:$I$300,MATCH($F1269,Nutrition!$A$2:$A$300,0))*$I1269/100,0))</f>
        <v>0</v>
      </c>
      <c r="P1269" s="30">
        <f>IF(OR($F1269="",$I1269=""),0,IFERROR(INDEX(Nutrition!$J$2:$J$300,MATCH($F1269,Nutrition!$A$2:$A$300,0))*$I1269/100,0))</f>
        <v>0</v>
      </c>
      <c r="Q1269" s="30">
        <f>IF(OR($F1269="",$I1269=""),0,IFERROR(INDEX(Nutrition!$K$2:$K$300,MATCH($F1269,Nutrition!$A$2:$A$300,0))*$I1269/100,0))</f>
        <v>0</v>
      </c>
      <c r="R1269" s="30">
        <f>IF(OR($F1269="",$I1269=""),0,IFERROR(INDEX(Nutrition!$L$2:$L$300,MATCH($F1269,Nutrition!$A$2:$A$300,0))*$I1269/100,0))</f>
        <v>0</v>
      </c>
      <c r="S1269" s="30">
        <f>IF(OR($F1269="",$I1269=""),0,IFERROR(INDEX(Nutrition!$M$2:$M$300,MATCH($F1269,Nutrition!$A$2:$A$300,0))*$I1269/100,0))</f>
        <v>0</v>
      </c>
    </row>
    <row r="1270" spans="1:19" ht="15" customHeight="1" x14ac:dyDescent="0.25">
      <c r="A1270" s="22" t="s">
        <v>2589</v>
      </c>
      <c r="B1270" s="33" t="str">
        <f>IFERROR(INDEX(Recipes!$B$2:$B$500,MATCH(A1270,Recipes!$A$2:$A$500,0)),"")</f>
        <v>Chicken Shawarma Bowl</v>
      </c>
      <c r="C1270" s="7" t="s">
        <v>3092</v>
      </c>
      <c r="D1270" s="34">
        <v>1</v>
      </c>
      <c r="E1270" s="22" t="s">
        <v>2753</v>
      </c>
      <c r="F1270" s="22"/>
      <c r="G1270" s="22" t="s">
        <v>2749</v>
      </c>
      <c r="H1270" s="7"/>
      <c r="I1270" s="35"/>
      <c r="J1270" s="30">
        <f>IF(OR($F1270="",$I1270=""),0,IFERROR(INDEX(Nutrition!$D$2:$D$300,MATCH($F1270,Nutrition!$A$2:$A$300,0))*$I1270/100,0))</f>
        <v>0</v>
      </c>
      <c r="K1270" s="30">
        <f>IF(OR($F1270="",$I1270=""),0,IFERROR(INDEX(Nutrition!$E$2:$E$300,MATCH($F1270,Nutrition!$A$2:$A$300,0))*$I1270/100,0))</f>
        <v>0</v>
      </c>
      <c r="L1270" s="30">
        <f>IF(OR($F1270="",$I1270=""),0,IFERROR(INDEX(Nutrition!$F$2:$F$300,MATCH($F1270,Nutrition!$A$2:$A$300,0))*$I1270/100,0))</f>
        <v>0</v>
      </c>
      <c r="M1270" s="30">
        <f>IF(OR($F1270="",$I1270=""),0,IFERROR(INDEX(Nutrition!$G$2:$G$300,MATCH($F1270,Nutrition!$A$2:$A$300,0))*$I1270/100,0))</f>
        <v>0</v>
      </c>
      <c r="N1270" s="30">
        <f>IF(OR($F1270="",$I1270=""),0,IFERROR(INDEX(Nutrition!$H$2:$H$300,MATCH($F1270,Nutrition!$A$2:$A$300,0))*$I1270/100,0))</f>
        <v>0</v>
      </c>
      <c r="O1270" s="30">
        <f>IF(OR($F1270="",$I1270=""),0,IFERROR(INDEX(Nutrition!$I$2:$I$300,MATCH($F1270,Nutrition!$A$2:$A$300,0))*$I1270/100,0))</f>
        <v>0</v>
      </c>
      <c r="P1270" s="30">
        <f>IF(OR($F1270="",$I1270=""),0,IFERROR(INDEX(Nutrition!$J$2:$J$300,MATCH($F1270,Nutrition!$A$2:$A$300,0))*$I1270/100,0))</f>
        <v>0</v>
      </c>
      <c r="Q1270" s="30">
        <f>IF(OR($F1270="",$I1270=""),0,IFERROR(INDEX(Nutrition!$K$2:$K$300,MATCH($F1270,Nutrition!$A$2:$A$300,0))*$I1270/100,0))</f>
        <v>0</v>
      </c>
      <c r="R1270" s="30">
        <f>IF(OR($F1270="",$I1270=""),0,IFERROR(INDEX(Nutrition!$L$2:$L$300,MATCH($F1270,Nutrition!$A$2:$A$300,0))*$I1270/100,0))</f>
        <v>0</v>
      </c>
      <c r="S1270" s="30">
        <f>IF(OR($F1270="",$I1270=""),0,IFERROR(INDEX(Nutrition!$M$2:$M$300,MATCH($F1270,Nutrition!$A$2:$A$300,0))*$I1270/100,0))</f>
        <v>0</v>
      </c>
    </row>
    <row r="1271" spans="1:19" ht="15" customHeight="1" x14ac:dyDescent="0.25">
      <c r="A1271" s="22" t="s">
        <v>2589</v>
      </c>
      <c r="B1271" s="33" t="str">
        <f>IFERROR(INDEX(Recipes!$B$2:$B$500,MATCH(A1271,Recipes!$A$2:$A$500,0)),"")</f>
        <v>Chicken Shawarma Bowl</v>
      </c>
      <c r="C1271" s="7" t="s">
        <v>2805</v>
      </c>
      <c r="D1271" s="34">
        <v>3</v>
      </c>
      <c r="E1271" s="22" t="s">
        <v>2753</v>
      </c>
      <c r="F1271" s="22"/>
      <c r="G1271" s="22" t="s">
        <v>2773</v>
      </c>
      <c r="H1271" s="7"/>
      <c r="I1271" s="35"/>
      <c r="J1271" s="30">
        <f>IF(OR($F1271="",$I1271=""),0,IFERROR(INDEX(Nutrition!$D$2:$D$300,MATCH($F1271,Nutrition!$A$2:$A$300,0))*$I1271/100,0))</f>
        <v>0</v>
      </c>
      <c r="K1271" s="30">
        <f>IF(OR($F1271="",$I1271=""),0,IFERROR(INDEX(Nutrition!$E$2:$E$300,MATCH($F1271,Nutrition!$A$2:$A$300,0))*$I1271/100,0))</f>
        <v>0</v>
      </c>
      <c r="L1271" s="30">
        <f>IF(OR($F1271="",$I1271=""),0,IFERROR(INDEX(Nutrition!$F$2:$F$300,MATCH($F1271,Nutrition!$A$2:$A$300,0))*$I1271/100,0))</f>
        <v>0</v>
      </c>
      <c r="M1271" s="30">
        <f>IF(OR($F1271="",$I1271=""),0,IFERROR(INDEX(Nutrition!$G$2:$G$300,MATCH($F1271,Nutrition!$A$2:$A$300,0))*$I1271/100,0))</f>
        <v>0</v>
      </c>
      <c r="N1271" s="30">
        <f>IF(OR($F1271="",$I1271=""),0,IFERROR(INDEX(Nutrition!$H$2:$H$300,MATCH($F1271,Nutrition!$A$2:$A$300,0))*$I1271/100,0))</f>
        <v>0</v>
      </c>
      <c r="O1271" s="30">
        <f>IF(OR($F1271="",$I1271=""),0,IFERROR(INDEX(Nutrition!$I$2:$I$300,MATCH($F1271,Nutrition!$A$2:$A$300,0))*$I1271/100,0))</f>
        <v>0</v>
      </c>
      <c r="P1271" s="30">
        <f>IF(OR($F1271="",$I1271=""),0,IFERROR(INDEX(Nutrition!$J$2:$J$300,MATCH($F1271,Nutrition!$A$2:$A$300,0))*$I1271/100,0))</f>
        <v>0</v>
      </c>
      <c r="Q1271" s="30">
        <f>IF(OR($F1271="",$I1271=""),0,IFERROR(INDEX(Nutrition!$K$2:$K$300,MATCH($F1271,Nutrition!$A$2:$A$300,0))*$I1271/100,0))</f>
        <v>0</v>
      </c>
      <c r="R1271" s="30">
        <f>IF(OR($F1271="",$I1271=""),0,IFERROR(INDEX(Nutrition!$L$2:$L$300,MATCH($F1271,Nutrition!$A$2:$A$300,0))*$I1271/100,0))</f>
        <v>0</v>
      </c>
      <c r="S1271" s="30">
        <f>IF(OR($F1271="",$I1271=""),0,IFERROR(INDEX(Nutrition!$M$2:$M$300,MATCH($F1271,Nutrition!$A$2:$A$300,0))*$I1271/100,0))</f>
        <v>0</v>
      </c>
    </row>
    <row r="1272" spans="1:19" ht="15" customHeight="1" x14ac:dyDescent="0.25">
      <c r="A1272" s="22" t="s">
        <v>2589</v>
      </c>
      <c r="B1272" s="33" t="str">
        <f>IFERROR(INDEX(Recipes!$B$2:$B$500,MATCH(A1272,Recipes!$A$2:$A$500,0)),"")</f>
        <v>Chicken Shawarma Bowl</v>
      </c>
      <c r="C1272" s="7" t="s">
        <v>2751</v>
      </c>
      <c r="D1272" s="34">
        <v>0.5</v>
      </c>
      <c r="E1272" s="22" t="s">
        <v>2748</v>
      </c>
      <c r="F1272" s="22"/>
      <c r="G1272" s="22" t="s">
        <v>2749</v>
      </c>
      <c r="H1272" s="7" t="s">
        <v>3093</v>
      </c>
      <c r="I1272" s="35"/>
      <c r="J1272" s="30">
        <f>IF(OR($F1272="",$I1272=""),0,IFERROR(INDEX(Nutrition!$D$2:$D$300,MATCH($F1272,Nutrition!$A$2:$A$300,0))*$I1272/100,0))</f>
        <v>0</v>
      </c>
      <c r="K1272" s="30">
        <f>IF(OR($F1272="",$I1272=""),0,IFERROR(INDEX(Nutrition!$E$2:$E$300,MATCH($F1272,Nutrition!$A$2:$A$300,0))*$I1272/100,0))</f>
        <v>0</v>
      </c>
      <c r="L1272" s="30">
        <f>IF(OR($F1272="",$I1272=""),0,IFERROR(INDEX(Nutrition!$F$2:$F$300,MATCH($F1272,Nutrition!$A$2:$A$300,0))*$I1272/100,0))</f>
        <v>0</v>
      </c>
      <c r="M1272" s="30">
        <f>IF(OR($F1272="",$I1272=""),0,IFERROR(INDEX(Nutrition!$G$2:$G$300,MATCH($F1272,Nutrition!$A$2:$A$300,0))*$I1272/100,0))</f>
        <v>0</v>
      </c>
      <c r="N1272" s="30">
        <f>IF(OR($F1272="",$I1272=""),0,IFERROR(INDEX(Nutrition!$H$2:$H$300,MATCH($F1272,Nutrition!$A$2:$A$300,0))*$I1272/100,0))</f>
        <v>0</v>
      </c>
      <c r="O1272" s="30">
        <f>IF(OR($F1272="",$I1272=""),0,IFERROR(INDEX(Nutrition!$I$2:$I$300,MATCH($F1272,Nutrition!$A$2:$A$300,0))*$I1272/100,0))</f>
        <v>0</v>
      </c>
      <c r="P1272" s="30">
        <f>IF(OR($F1272="",$I1272=""),0,IFERROR(INDEX(Nutrition!$J$2:$J$300,MATCH($F1272,Nutrition!$A$2:$A$300,0))*$I1272/100,0))</f>
        <v>0</v>
      </c>
      <c r="Q1272" s="30">
        <f>IF(OR($F1272="",$I1272=""),0,IFERROR(INDEX(Nutrition!$K$2:$K$300,MATCH($F1272,Nutrition!$A$2:$A$300,0))*$I1272/100,0))</f>
        <v>0</v>
      </c>
      <c r="R1272" s="30">
        <f>IF(OR($F1272="",$I1272=""),0,IFERROR(INDEX(Nutrition!$L$2:$L$300,MATCH($F1272,Nutrition!$A$2:$A$300,0))*$I1272/100,0))</f>
        <v>0</v>
      </c>
      <c r="S1272" s="30">
        <f>IF(OR($F1272="",$I1272=""),0,IFERROR(INDEX(Nutrition!$M$2:$M$300,MATCH($F1272,Nutrition!$A$2:$A$300,0))*$I1272/100,0))</f>
        <v>0</v>
      </c>
    </row>
    <row r="1273" spans="1:19" ht="15" customHeight="1" x14ac:dyDescent="0.25">
      <c r="A1273" s="22" t="s">
        <v>2589</v>
      </c>
      <c r="B1273" s="33" t="str">
        <f>IFERROR(INDEX(Recipes!$B$2:$B$500,MATCH(A1273,Recipes!$A$2:$A$500,0)),"")</f>
        <v>Chicken Shawarma Bowl</v>
      </c>
      <c r="C1273" s="7" t="s">
        <v>2906</v>
      </c>
      <c r="D1273" s="34">
        <v>1</v>
      </c>
      <c r="E1273" s="22" t="s">
        <v>2782</v>
      </c>
      <c r="F1273" s="22"/>
      <c r="G1273" s="22" t="s">
        <v>2773</v>
      </c>
      <c r="H1273" s="7"/>
      <c r="I1273" s="35"/>
      <c r="J1273" s="30">
        <f>IF(OR($F1273="",$I1273=""),0,IFERROR(INDEX(Nutrition!$D$2:$D$300,MATCH($F1273,Nutrition!$A$2:$A$300,0))*$I1273/100,0))</f>
        <v>0</v>
      </c>
      <c r="K1273" s="30">
        <f>IF(OR($F1273="",$I1273=""),0,IFERROR(INDEX(Nutrition!$E$2:$E$300,MATCH($F1273,Nutrition!$A$2:$A$300,0))*$I1273/100,0))</f>
        <v>0</v>
      </c>
      <c r="L1273" s="30">
        <f>IF(OR($F1273="",$I1273=""),0,IFERROR(INDEX(Nutrition!$F$2:$F$300,MATCH($F1273,Nutrition!$A$2:$A$300,0))*$I1273/100,0))</f>
        <v>0</v>
      </c>
      <c r="M1273" s="30">
        <f>IF(OR($F1273="",$I1273=""),0,IFERROR(INDEX(Nutrition!$G$2:$G$300,MATCH($F1273,Nutrition!$A$2:$A$300,0))*$I1273/100,0))</f>
        <v>0</v>
      </c>
      <c r="N1273" s="30">
        <f>IF(OR($F1273="",$I1273=""),0,IFERROR(INDEX(Nutrition!$H$2:$H$300,MATCH($F1273,Nutrition!$A$2:$A$300,0))*$I1273/100,0))</f>
        <v>0</v>
      </c>
      <c r="O1273" s="30">
        <f>IF(OR($F1273="",$I1273=""),0,IFERROR(INDEX(Nutrition!$I$2:$I$300,MATCH($F1273,Nutrition!$A$2:$A$300,0))*$I1273/100,0))</f>
        <v>0</v>
      </c>
      <c r="P1273" s="30">
        <f>IF(OR($F1273="",$I1273=""),0,IFERROR(INDEX(Nutrition!$J$2:$J$300,MATCH($F1273,Nutrition!$A$2:$A$300,0))*$I1273/100,0))</f>
        <v>0</v>
      </c>
      <c r="Q1273" s="30">
        <f>IF(OR($F1273="",$I1273=""),0,IFERROR(INDEX(Nutrition!$K$2:$K$300,MATCH($F1273,Nutrition!$A$2:$A$300,0))*$I1273/100,0))</f>
        <v>0</v>
      </c>
      <c r="R1273" s="30">
        <f>IF(OR($F1273="",$I1273=""),0,IFERROR(INDEX(Nutrition!$L$2:$L$300,MATCH($F1273,Nutrition!$A$2:$A$300,0))*$I1273/100,0))</f>
        <v>0</v>
      </c>
      <c r="S1273" s="30">
        <f>IF(OR($F1273="",$I1273=""),0,IFERROR(INDEX(Nutrition!$M$2:$M$300,MATCH($F1273,Nutrition!$A$2:$A$300,0))*$I1273/100,0))</f>
        <v>0</v>
      </c>
    </row>
    <row r="1274" spans="1:19" ht="15" customHeight="1" x14ac:dyDescent="0.25">
      <c r="A1274" s="22" t="s">
        <v>2601</v>
      </c>
      <c r="B1274" s="33" t="str">
        <f>IFERROR(INDEX(Recipes!$B$2:$B$500,MATCH(A1274,Recipes!$A$2:$A$500,0)),"")</f>
        <v>Nigerian Salad Bowl</v>
      </c>
      <c r="C1274" s="7" t="s">
        <v>546</v>
      </c>
      <c r="D1274" s="34">
        <v>2</v>
      </c>
      <c r="E1274" s="22" t="s">
        <v>2790</v>
      </c>
      <c r="F1274" s="22" t="s">
        <v>545</v>
      </c>
      <c r="G1274" s="22" t="s">
        <v>2755</v>
      </c>
      <c r="H1274" s="7" t="s">
        <v>3054</v>
      </c>
      <c r="I1274" s="35">
        <v>94</v>
      </c>
      <c r="J1274" s="30">
        <f>IF(OR($F1274="",$I1274=""),0,IFERROR(INDEX(Nutrition!$D$2:$D$300,MATCH($F1274,Nutrition!$A$2:$A$300,0))*$I1274/100,0))</f>
        <v>1.974</v>
      </c>
      <c r="K1274" s="30">
        <f>IF(OR($F1274="",$I1274=""),0,IFERROR(INDEX(Nutrition!$E$2:$E$300,MATCH($F1274,Nutrition!$A$2:$A$300,0))*$I1274/100,0))</f>
        <v>3.76</v>
      </c>
      <c r="L1274" s="30">
        <f>IF(OR($F1274="",$I1274=""),0,IFERROR(INDEX(Nutrition!$F$2:$F$300,MATCH($F1274,Nutrition!$A$2:$A$300,0))*$I1274/100,0))</f>
        <v>409.84</v>
      </c>
      <c r="M1274" s="30">
        <f>IF(OR($F1274="",$I1274=""),0,IFERROR(INDEX(Nutrition!$G$2:$G$300,MATCH($F1274,Nutrition!$A$2:$A$300,0))*$I1274/100,0))</f>
        <v>96.35</v>
      </c>
      <c r="N1274" s="30">
        <f>IF(OR($F1274="",$I1274=""),0,IFERROR(INDEX(Nutrition!$H$2:$H$300,MATCH($F1274,Nutrition!$A$2:$A$300,0))*$I1274/100,0))</f>
        <v>127.84</v>
      </c>
      <c r="O1274" s="30">
        <f>IF(OR($F1274="",$I1274=""),0,IFERROR(INDEX(Nutrition!$I$2:$I$300,MATCH($F1274,Nutrition!$A$2:$A$300,0))*$I1274/100,0))</f>
        <v>232.18</v>
      </c>
      <c r="P1274" s="30">
        <f>IF(OR($F1274="",$I1274=""),0,IFERROR(INDEX(Nutrition!$J$2:$J$300,MATCH($F1274,Nutrition!$A$2:$A$300,0))*$I1274/100,0))</f>
        <v>0.1222</v>
      </c>
      <c r="Q1274" s="30">
        <f>IF(OR($F1274="",$I1274=""),0,IFERROR(INDEX(Nutrition!$K$2:$K$300,MATCH($F1274,Nutrition!$A$2:$A$300,0))*$I1274/100,0))</f>
        <v>6.9559999999999997E-2</v>
      </c>
      <c r="R1274" s="30">
        <f>IF(OR($F1274="",$I1274=""),0,IFERROR(INDEX(Nutrition!$L$2:$L$300,MATCH($F1274,Nutrition!$A$2:$A$300,0))*$I1274/100,0))</f>
        <v>13.16</v>
      </c>
      <c r="S1274" s="30">
        <f>IF(OR($F1274="",$I1274=""),0,IFERROR(INDEX(Nutrition!$M$2:$M$300,MATCH($F1274,Nutrition!$A$2:$A$300,0))*$I1274/100,0))</f>
        <v>0.91179999999999994</v>
      </c>
    </row>
    <row r="1275" spans="1:19" ht="15" customHeight="1" x14ac:dyDescent="0.25">
      <c r="A1275" s="22" t="s">
        <v>2601</v>
      </c>
      <c r="B1275" s="33" t="str">
        <f>IFERROR(INDEX(Recipes!$B$2:$B$500,MATCH(A1275,Recipes!$A$2:$A$500,0)),"")</f>
        <v>Nigerian Salad Bowl</v>
      </c>
      <c r="C1275" s="7" t="s">
        <v>537</v>
      </c>
      <c r="D1275" s="34">
        <v>2</v>
      </c>
      <c r="E1275" s="22" t="s">
        <v>2790</v>
      </c>
      <c r="F1275" s="22" t="s">
        <v>536</v>
      </c>
      <c r="G1275" s="22" t="s">
        <v>2755</v>
      </c>
      <c r="H1275" s="7" t="s">
        <v>3054</v>
      </c>
      <c r="I1275" s="35">
        <v>178</v>
      </c>
      <c r="J1275" s="30">
        <f>IF(OR($F1275="",$I1275=""),0,IFERROR(INDEX(Nutrition!$D$2:$D$300,MATCH($F1275,Nutrition!$A$2:$A$300,0))*$I1275/100,0))</f>
        <v>4.45</v>
      </c>
      <c r="K1275" s="30">
        <f>IF(OR($F1275="",$I1275=""),0,IFERROR(INDEX(Nutrition!$E$2:$E$300,MATCH($F1275,Nutrition!$A$2:$A$300,0))*$I1275/100,0))</f>
        <v>65.147999999999996</v>
      </c>
      <c r="L1275" s="30">
        <f>IF(OR($F1275="",$I1275=""),0,IFERROR(INDEX(Nutrition!$F$2:$F$300,MATCH($F1275,Nutrition!$A$2:$A$300,0))*$I1275/100,0))</f>
        <v>8.9</v>
      </c>
      <c r="M1275" s="30">
        <f>IF(OR($F1275="",$I1275=""),0,IFERROR(INDEX(Nutrition!$G$2:$G$300,MATCH($F1275,Nutrition!$A$2:$A$300,0))*$I1275/100,0))</f>
        <v>135.28</v>
      </c>
      <c r="N1275" s="30">
        <f>IF(OR($F1275="",$I1275=""),0,IFERROR(INDEX(Nutrition!$H$2:$H$300,MATCH($F1275,Nutrition!$A$2:$A$300,0))*$I1275/100,0))</f>
        <v>76.540000000000006</v>
      </c>
      <c r="O1275" s="30">
        <f>IF(OR($F1275="",$I1275=""),0,IFERROR(INDEX(Nutrition!$I$2:$I$300,MATCH($F1275,Nutrition!$A$2:$A$300,0))*$I1275/100,0))</f>
        <v>302.60000000000002</v>
      </c>
      <c r="P1275" s="30">
        <f>IF(OR($F1275="",$I1275=""),0,IFERROR(INDEX(Nutrition!$J$2:$J$300,MATCH($F1275,Nutrition!$A$2:$A$300,0))*$I1275/100,0))</f>
        <v>0.26700000000000002</v>
      </c>
      <c r="Q1275" s="30">
        <f>IF(OR($F1275="",$I1275=""),0,IFERROR(INDEX(Nutrition!$K$2:$K$300,MATCH($F1275,Nutrition!$A$2:$A$300,0))*$I1275/100,0))</f>
        <v>0.22072</v>
      </c>
      <c r="R1275" s="30">
        <f>IF(OR($F1275="",$I1275=""),0,IFERROR(INDEX(Nutrition!$L$2:$L$300,MATCH($F1275,Nutrition!$A$2:$A$300,0))*$I1275/100,0))</f>
        <v>21.36</v>
      </c>
      <c r="S1275" s="30">
        <f>IF(OR($F1275="",$I1275=""),0,IFERROR(INDEX(Nutrition!$M$2:$M$300,MATCH($F1275,Nutrition!$A$2:$A$300,0))*$I1275/100,0))</f>
        <v>0.83660000000000001</v>
      </c>
    </row>
    <row r="1276" spans="1:19" ht="15" customHeight="1" x14ac:dyDescent="0.25">
      <c r="A1276" s="22" t="s">
        <v>2601</v>
      </c>
      <c r="B1276" s="33" t="str">
        <f>IFERROR(INDEX(Recipes!$B$2:$B$500,MATCH(A1276,Recipes!$A$2:$A$500,0)),"")</f>
        <v>Nigerian Salad Bowl</v>
      </c>
      <c r="C1276" s="7" t="s">
        <v>529</v>
      </c>
      <c r="D1276" s="34">
        <v>2</v>
      </c>
      <c r="E1276" s="22" t="s">
        <v>2754</v>
      </c>
      <c r="F1276" s="22" t="s">
        <v>528</v>
      </c>
      <c r="G1276" s="22" t="s">
        <v>2755</v>
      </c>
      <c r="H1276" s="7" t="s">
        <v>2791</v>
      </c>
      <c r="I1276" s="35">
        <v>122</v>
      </c>
      <c r="J1276" s="30">
        <f>IF(OR($F1276="",$I1276=""),0,IFERROR(INDEX(Nutrition!$D$2:$D$300,MATCH($F1276,Nutrition!$A$2:$A$300,0))*$I1276/100,0))</f>
        <v>3.4159999999999995</v>
      </c>
      <c r="K1276" s="30">
        <f>IF(OR($F1276="",$I1276=""),0,IFERROR(INDEX(Nutrition!$E$2:$E$300,MATCH($F1276,Nutrition!$A$2:$A$300,0))*$I1276/100,0))</f>
        <v>7.1980000000000004</v>
      </c>
      <c r="L1276" s="30">
        <f>IF(OR($F1276="",$I1276=""),0,IFERROR(INDEX(Nutrition!$F$2:$F$300,MATCH($F1276,Nutrition!$A$2:$A$300,0))*$I1276/100,0))</f>
        <v>1018.7</v>
      </c>
      <c r="M1276" s="30">
        <f>IF(OR($F1276="",$I1276=""),0,IFERROR(INDEX(Nutrition!$G$2:$G$300,MATCH($F1276,Nutrition!$A$2:$A$300,0))*$I1276/100,0))</f>
        <v>16.103999999999999</v>
      </c>
      <c r="N1276" s="30">
        <f>IF(OR($F1276="",$I1276=""),0,IFERROR(INDEX(Nutrition!$H$2:$H$300,MATCH($F1276,Nutrition!$A$2:$A$300,0))*$I1276/100,0))</f>
        <v>23.18</v>
      </c>
      <c r="O1276" s="30">
        <f>IF(OR($F1276="",$I1276=""),0,IFERROR(INDEX(Nutrition!$I$2:$I$300,MATCH($F1276,Nutrition!$A$2:$A$300,0))*$I1276/100,0))</f>
        <v>390.4</v>
      </c>
      <c r="P1276" s="30">
        <f>IF(OR($F1276="",$I1276=""),0,IFERROR(INDEX(Nutrition!$J$2:$J$300,MATCH($F1276,Nutrition!$A$2:$A$300,0))*$I1276/100,0))</f>
        <v>0.80520000000000014</v>
      </c>
      <c r="Q1276" s="30">
        <f>IF(OR($F1276="",$I1276=""),0,IFERROR(INDEX(Nutrition!$K$2:$K$300,MATCH($F1276,Nutrition!$A$2:$A$300,0))*$I1276/100,0))</f>
        <v>0.16836000000000001</v>
      </c>
      <c r="R1276" s="30">
        <f>IF(OR($F1276="",$I1276=""),0,IFERROR(INDEX(Nutrition!$L$2:$L$300,MATCH($F1276,Nutrition!$A$2:$A$300,0))*$I1276/100,0))</f>
        <v>14.64</v>
      </c>
      <c r="S1276" s="30">
        <f>IF(OR($F1276="",$I1276=""),0,IFERROR(INDEX(Nutrition!$M$2:$M$300,MATCH($F1276,Nutrition!$A$2:$A$300,0))*$I1276/100,0))</f>
        <v>0.36599999999999999</v>
      </c>
    </row>
    <row r="1277" spans="1:19" ht="15" customHeight="1" x14ac:dyDescent="0.25">
      <c r="A1277" s="22" t="s">
        <v>2601</v>
      </c>
      <c r="B1277" s="33" t="str">
        <f>IFERROR(INDEX(Recipes!$B$2:$B$500,MATCH(A1277,Recipes!$A$2:$A$500,0)),"")</f>
        <v>Nigerian Salad Bowl</v>
      </c>
      <c r="C1277" s="7" t="s">
        <v>446</v>
      </c>
      <c r="D1277" s="34">
        <v>2</v>
      </c>
      <c r="E1277" s="22" t="s">
        <v>2754</v>
      </c>
      <c r="F1277" s="22" t="s">
        <v>445</v>
      </c>
      <c r="G1277" s="22" t="s">
        <v>2755</v>
      </c>
      <c r="H1277" s="7" t="s">
        <v>3094</v>
      </c>
      <c r="I1277" s="35">
        <v>124</v>
      </c>
      <c r="J1277" s="30">
        <f>IF(OR($F1277="",$I1277=""),0,IFERROR(INDEX(Nutrition!$D$2:$D$300,MATCH($F1277,Nutrition!$A$2:$A$300,0))*$I1277/100,0))</f>
        <v>1.4879999999999998</v>
      </c>
      <c r="K1277" s="30">
        <f>IF(OR($F1277="",$I1277=""),0,IFERROR(INDEX(Nutrition!$E$2:$E$300,MATCH($F1277,Nutrition!$A$2:$A$300,0))*$I1277/100,0))</f>
        <v>16.988</v>
      </c>
      <c r="L1277" s="30">
        <f>IF(OR($F1277="",$I1277=""),0,IFERROR(INDEX(Nutrition!$F$2:$F$300,MATCH($F1277,Nutrition!$A$2:$A$300,0))*$I1277/100,0))</f>
        <v>52.08</v>
      </c>
      <c r="M1277" s="30">
        <f>IF(OR($F1277="",$I1277=""),0,IFERROR(INDEX(Nutrition!$G$2:$G$300,MATCH($F1277,Nutrition!$A$2:$A$300,0))*$I1277/100,0))</f>
        <v>9.7959999999999994</v>
      </c>
      <c r="N1277" s="30">
        <f>IF(OR($F1277="",$I1277=""),0,IFERROR(INDEX(Nutrition!$H$2:$H$300,MATCH($F1277,Nutrition!$A$2:$A$300,0))*$I1277/100,0))</f>
        <v>18.600000000000001</v>
      </c>
      <c r="O1277" s="30">
        <f>IF(OR($F1277="",$I1277=""),0,IFERROR(INDEX(Nutrition!$I$2:$I$300,MATCH($F1277,Nutrition!$A$2:$A$300,0))*$I1277/100,0))</f>
        <v>293.88</v>
      </c>
      <c r="P1277" s="30">
        <f>IF(OR($F1277="",$I1277=""),0,IFERROR(INDEX(Nutrition!$J$2:$J$300,MATCH($F1277,Nutrition!$A$2:$A$300,0))*$I1277/100,0))</f>
        <v>0.66960000000000008</v>
      </c>
      <c r="Q1277" s="30">
        <f>IF(OR($F1277="",$I1277=""),0,IFERROR(INDEX(Nutrition!$K$2:$K$300,MATCH($F1277,Nutrition!$A$2:$A$300,0))*$I1277/100,0))</f>
        <v>9.9199999999999997E-2</v>
      </c>
      <c r="R1277" s="30">
        <f>IF(OR($F1277="",$I1277=""),0,IFERROR(INDEX(Nutrition!$L$2:$L$300,MATCH($F1277,Nutrition!$A$2:$A$300,0))*$I1277/100,0))</f>
        <v>13.64</v>
      </c>
      <c r="S1277" s="30">
        <f>IF(OR($F1277="",$I1277=""),0,IFERROR(INDEX(Nutrition!$M$2:$M$300,MATCH($F1277,Nutrition!$A$2:$A$300,0))*$I1277/100,0))</f>
        <v>0.33480000000000004</v>
      </c>
    </row>
    <row r="1278" spans="1:19" ht="15" customHeight="1" x14ac:dyDescent="0.25">
      <c r="A1278" s="22" t="s">
        <v>2601</v>
      </c>
      <c r="B1278" s="33" t="str">
        <f>IFERROR(INDEX(Recipes!$B$2:$B$500,MATCH(A1278,Recipes!$A$2:$A$500,0)),"")</f>
        <v>Nigerian Salad Bowl</v>
      </c>
      <c r="C1278" s="7" t="s">
        <v>523</v>
      </c>
      <c r="D1278" s="34">
        <v>1</v>
      </c>
      <c r="E1278" s="22" t="s">
        <v>2754</v>
      </c>
      <c r="F1278" s="22" t="s">
        <v>522</v>
      </c>
      <c r="G1278" s="22" t="s">
        <v>2755</v>
      </c>
      <c r="H1278" s="7" t="s">
        <v>2830</v>
      </c>
      <c r="I1278" s="35">
        <v>301</v>
      </c>
      <c r="J1278" s="30">
        <f>IF(OR($F1278="",$I1278=""),0,IFERROR(INDEX(Nutrition!$D$2:$D$300,MATCH($F1278,Nutrition!$A$2:$A$300,0))*$I1278/100,0))</f>
        <v>1.5049999999999999</v>
      </c>
      <c r="K1278" s="30">
        <f>IF(OR($F1278="",$I1278=""),0,IFERROR(INDEX(Nutrition!$E$2:$E$300,MATCH($F1278,Nutrition!$A$2:$A$300,0))*$I1278/100,0))</f>
        <v>8.427999999999999</v>
      </c>
      <c r="L1278" s="30">
        <f>IF(OR($F1278="",$I1278=""),0,IFERROR(INDEX(Nutrition!$F$2:$F$300,MATCH($F1278,Nutrition!$A$2:$A$300,0))*$I1278/100,0))</f>
        <v>15.05</v>
      </c>
      <c r="M1278" s="30">
        <f>IF(OR($F1278="",$I1278=""),0,IFERROR(INDEX(Nutrition!$G$2:$G$300,MATCH($F1278,Nutrition!$A$2:$A$300,0))*$I1278/100,0))</f>
        <v>49.363999999999997</v>
      </c>
      <c r="N1278" s="30">
        <f>IF(OR($F1278="",$I1278=""),0,IFERROR(INDEX(Nutrition!$H$2:$H$300,MATCH($F1278,Nutrition!$A$2:$A$300,0))*$I1278/100,0))</f>
        <v>21.07</v>
      </c>
      <c r="O1278" s="30">
        <f>IF(OR($F1278="",$I1278=""),0,IFERROR(INDEX(Nutrition!$I$2:$I$300,MATCH($F1278,Nutrition!$A$2:$A$300,0))*$I1278/100,0))</f>
        <v>442.47</v>
      </c>
      <c r="P1278" s="30">
        <f>IF(OR($F1278="",$I1278=""),0,IFERROR(INDEX(Nutrition!$J$2:$J$300,MATCH($F1278,Nutrition!$A$2:$A$300,0))*$I1278/100,0))</f>
        <v>9.0299999999999991E-2</v>
      </c>
      <c r="Q1278" s="30">
        <f>IF(OR($F1278="",$I1278=""),0,IFERROR(INDEX(Nutrition!$K$2:$K$300,MATCH($F1278,Nutrition!$A$2:$A$300,0))*$I1278/100,0))</f>
        <v>0.12040000000000001</v>
      </c>
      <c r="R1278" s="30">
        <f>IF(OR($F1278="",$I1278=""),0,IFERROR(INDEX(Nutrition!$L$2:$L$300,MATCH($F1278,Nutrition!$A$2:$A$300,0))*$I1278/100,0))</f>
        <v>39.130000000000003</v>
      </c>
      <c r="S1278" s="30">
        <f>IF(OR($F1278="",$I1278=""),0,IFERROR(INDEX(Nutrition!$M$2:$M$300,MATCH($F1278,Nutrition!$A$2:$A$300,0))*$I1278/100,0))</f>
        <v>0.84279999999999999</v>
      </c>
    </row>
    <row r="1279" spans="1:19" ht="15" customHeight="1" x14ac:dyDescent="0.25">
      <c r="A1279" s="22" t="s">
        <v>2601</v>
      </c>
      <c r="B1279" s="33" t="str">
        <f>IFERROR(INDEX(Recipes!$B$2:$B$500,MATCH(A1279,Recipes!$A$2:$A$500,0)),"")</f>
        <v>Nigerian Salad Bowl</v>
      </c>
      <c r="C1279" s="7" t="s">
        <v>556</v>
      </c>
      <c r="D1279" s="34">
        <v>1</v>
      </c>
      <c r="E1279" s="22" t="s">
        <v>2834</v>
      </c>
      <c r="F1279" s="22" t="s">
        <v>555</v>
      </c>
      <c r="G1279" s="22" t="s">
        <v>2755</v>
      </c>
      <c r="H1279" s="7" t="s">
        <v>3095</v>
      </c>
      <c r="I1279" s="35">
        <v>90</v>
      </c>
      <c r="J1279" s="30">
        <f>IF(OR($F1279="",$I1279=""),0,IFERROR(INDEX(Nutrition!$D$2:$D$300,MATCH($F1279,Nutrition!$A$2:$A$300,0))*$I1279/100,0))</f>
        <v>2.4300000000000002</v>
      </c>
      <c r="K1279" s="30">
        <f>IF(OR($F1279="",$I1279=""),0,IFERROR(INDEX(Nutrition!$E$2:$E$300,MATCH($F1279,Nutrition!$A$2:$A$300,0))*$I1279/100,0))</f>
        <v>6.12</v>
      </c>
      <c r="L1279" s="30">
        <f>IF(OR($F1279="",$I1279=""),0,IFERROR(INDEX(Nutrition!$F$2:$F$300,MATCH($F1279,Nutrition!$A$2:$A$300,0))*$I1279/100,0))</f>
        <v>8.1</v>
      </c>
      <c r="M1279" s="30">
        <f>IF(OR($F1279="",$I1279=""),0,IFERROR(INDEX(Nutrition!$G$2:$G$300,MATCH($F1279,Nutrition!$A$2:$A$300,0))*$I1279/100,0))</f>
        <v>0.27</v>
      </c>
      <c r="N1279" s="30">
        <f>IF(OR($F1279="",$I1279=""),0,IFERROR(INDEX(Nutrition!$H$2:$H$300,MATCH($F1279,Nutrition!$A$2:$A$300,0))*$I1279/100,0))</f>
        <v>37.799999999999997</v>
      </c>
      <c r="O1279" s="30">
        <f>IF(OR($F1279="",$I1279=""),0,IFERROR(INDEX(Nutrition!$I$2:$I$300,MATCH($F1279,Nutrition!$A$2:$A$300,0))*$I1279/100,0))</f>
        <v>243</v>
      </c>
      <c r="P1279" s="30">
        <f>IF(OR($F1279="",$I1279=""),0,IFERROR(INDEX(Nutrition!$J$2:$J$300,MATCH($F1279,Nutrition!$A$2:$A$300,0))*$I1279/100,0))</f>
        <v>6.3E-2</v>
      </c>
      <c r="Q1279" s="30">
        <f>IF(OR($F1279="",$I1279=""),0,IFERROR(INDEX(Nutrition!$K$2:$K$300,MATCH($F1279,Nutrition!$A$2:$A$300,0))*$I1279/100,0))</f>
        <v>8.3699999999999997E-2</v>
      </c>
      <c r="R1279" s="30">
        <f>IF(OR($F1279="",$I1279=""),0,IFERROR(INDEX(Nutrition!$L$2:$L$300,MATCH($F1279,Nutrition!$A$2:$A$300,0))*$I1279/100,0))</f>
        <v>33.299999999999997</v>
      </c>
      <c r="S1279" s="30">
        <f>IF(OR($F1279="",$I1279=""),0,IFERROR(INDEX(Nutrition!$M$2:$M$300,MATCH($F1279,Nutrition!$A$2:$A$300,0))*$I1279/100,0))</f>
        <v>0.46800000000000003</v>
      </c>
    </row>
    <row r="1280" spans="1:19" ht="15" customHeight="1" x14ac:dyDescent="0.25">
      <c r="A1280" s="22" t="s">
        <v>2601</v>
      </c>
      <c r="B1280" s="33" t="str">
        <f>IFERROR(INDEX(Recipes!$B$2:$B$500,MATCH(A1280,Recipes!$A$2:$A$500,0)),"")</f>
        <v>Nigerian Salad Bowl</v>
      </c>
      <c r="C1280" s="7" t="s">
        <v>617</v>
      </c>
      <c r="D1280" s="34">
        <v>2</v>
      </c>
      <c r="E1280" s="22" t="s">
        <v>2754</v>
      </c>
      <c r="F1280" s="22" t="s">
        <v>616</v>
      </c>
      <c r="G1280" s="22" t="s">
        <v>2755</v>
      </c>
      <c r="H1280" s="7" t="s">
        <v>3096</v>
      </c>
      <c r="I1280" s="35">
        <v>426</v>
      </c>
      <c r="J1280" s="30">
        <f>IF(OR($F1280="",$I1280=""),0,IFERROR(INDEX(Nutrition!$D$2:$D$300,MATCH($F1280,Nutrition!$A$2:$A$300,0))*$I1280/100,0))</f>
        <v>8.9459999999999997</v>
      </c>
      <c r="K1280" s="30">
        <f>IF(OR($F1280="",$I1280=""),0,IFERROR(INDEX(Nutrition!$E$2:$E$300,MATCH($F1280,Nutrition!$A$2:$A$300,0))*$I1280/100,0))</f>
        <v>83.921999999999983</v>
      </c>
      <c r="L1280" s="30">
        <f>IF(OR($F1280="",$I1280=""),0,IFERROR(INDEX(Nutrition!$F$2:$F$300,MATCH($F1280,Nutrition!$A$2:$A$300,0))*$I1280/100,0))</f>
        <v>0</v>
      </c>
      <c r="M1280" s="30">
        <f>IF(OR($F1280="",$I1280=""),0,IFERROR(INDEX(Nutrition!$G$2:$G$300,MATCH($F1280,Nutrition!$A$2:$A$300,0))*$I1280/100,0))</f>
        <v>8.52</v>
      </c>
      <c r="N1280" s="30">
        <f>IF(OR($F1280="",$I1280=""),0,IFERROR(INDEX(Nutrition!$H$2:$H$300,MATCH($F1280,Nutrition!$A$2:$A$300,0))*$I1280/100,0))</f>
        <v>63.9</v>
      </c>
      <c r="O1280" s="30">
        <f>IF(OR($F1280="",$I1280=""),0,IFERROR(INDEX(Nutrition!$I$2:$I$300,MATCH($F1280,Nutrition!$A$2:$A$300,0))*$I1280/100,0))</f>
        <v>1810.5</v>
      </c>
      <c r="P1280" s="30">
        <f>IF(OR($F1280="",$I1280=""),0,IFERROR(INDEX(Nutrition!$J$2:$J$300,MATCH($F1280,Nutrition!$A$2:$A$300,0))*$I1280/100,0))</f>
        <v>4.2599999999999999E-2</v>
      </c>
      <c r="Q1280" s="30">
        <f>IF(OR($F1280="",$I1280=""),0,IFERROR(INDEX(Nutrition!$K$2:$K$300,MATCH($F1280,Nutrition!$A$2:$A$300,0))*$I1280/100,0))</f>
        <v>1.2694799999999999</v>
      </c>
      <c r="R1280" s="30">
        <f>IF(OR($F1280="",$I1280=""),0,IFERROR(INDEX(Nutrition!$L$2:$L$300,MATCH($F1280,Nutrition!$A$2:$A$300,0))*$I1280/100,0))</f>
        <v>97.98</v>
      </c>
      <c r="S1280" s="30">
        <f>IF(OR($F1280="",$I1280=""),0,IFERROR(INDEX(Nutrition!$M$2:$M$300,MATCH($F1280,Nutrition!$A$2:$A$300,0))*$I1280/100,0))</f>
        <v>3.4506000000000001</v>
      </c>
    </row>
    <row r="1281" spans="1:19" ht="15" customHeight="1" x14ac:dyDescent="0.25">
      <c r="A1281" s="22" t="s">
        <v>2601</v>
      </c>
      <c r="B1281" s="33" t="str">
        <f>IFERROR(INDEX(Recipes!$B$2:$B$500,MATCH(A1281,Recipes!$A$2:$A$500,0)),"")</f>
        <v>Nigerian Salad Bowl</v>
      </c>
      <c r="C1281" s="7" t="s">
        <v>227</v>
      </c>
      <c r="D1281" s="34">
        <v>1</v>
      </c>
      <c r="E1281" s="22" t="s">
        <v>2754</v>
      </c>
      <c r="F1281" s="22" t="s">
        <v>226</v>
      </c>
      <c r="G1281" s="22" t="s">
        <v>2755</v>
      </c>
      <c r="H1281" s="7" t="s">
        <v>2756</v>
      </c>
      <c r="I1281" s="35">
        <v>201</v>
      </c>
      <c r="J1281" s="30">
        <f>IF(OR($F1281="",$I1281=""),0,IFERROR(INDEX(Nutrition!$D$2:$D$300,MATCH($F1281,Nutrition!$A$2:$A$300,0))*$I1281/100,0))</f>
        <v>13.467000000000001</v>
      </c>
      <c r="K1281" s="30">
        <f>IF(OR($F1281="",$I1281=""),0,IFERROR(INDEX(Nutrition!$E$2:$E$300,MATCH($F1281,Nutrition!$A$2:$A$300,0))*$I1281/100,0))</f>
        <v>20.100000000000001</v>
      </c>
      <c r="L1281" s="30">
        <f>IF(OR($F1281="",$I1281=""),0,IFERROR(INDEX(Nutrition!$F$2:$F$300,MATCH($F1281,Nutrition!$A$2:$A$300,0))*$I1281/100,0))</f>
        <v>14.07</v>
      </c>
      <c r="M1281" s="30">
        <f>IF(OR($F1281="",$I1281=""),0,IFERROR(INDEX(Nutrition!$G$2:$G$300,MATCH($F1281,Nutrition!$A$2:$A$300,0))*$I1281/100,0))</f>
        <v>42.21</v>
      </c>
      <c r="N1281" s="30">
        <f>IF(OR($F1281="",$I1281=""),0,IFERROR(INDEX(Nutrition!$H$2:$H$300,MATCH($F1281,Nutrition!$A$2:$A$300,0))*$I1281/100,0))</f>
        <v>162.81</v>
      </c>
      <c r="O1281" s="30">
        <f>IF(OR($F1281="",$I1281=""),0,IFERROR(INDEX(Nutrition!$I$2:$I$300,MATCH($F1281,Nutrition!$A$2:$A$300,0))*$I1281/100,0))</f>
        <v>974.85</v>
      </c>
      <c r="P1281" s="30">
        <f>IF(OR($F1281="",$I1281=""),0,IFERROR(INDEX(Nutrition!$J$2:$J$300,MATCH($F1281,Nutrition!$A$2:$A$300,0))*$I1281/100,0))</f>
        <v>4.1607000000000003</v>
      </c>
      <c r="Q1281" s="30">
        <f>IF(OR($F1281="",$I1281=""),0,IFERROR(INDEX(Nutrition!$K$2:$K$300,MATCH($F1281,Nutrition!$A$2:$A$300,0))*$I1281/100,0))</f>
        <v>0.51657000000000008</v>
      </c>
      <c r="R1281" s="30">
        <f>IF(OR($F1281="",$I1281=""),0,IFERROR(INDEX(Nutrition!$L$2:$L$300,MATCH($F1281,Nutrition!$A$2:$A$300,0))*$I1281/100,0))</f>
        <v>58.29</v>
      </c>
      <c r="S1281" s="30">
        <f>IF(OR($F1281="",$I1281=""),0,IFERROR(INDEX(Nutrition!$M$2:$M$300,MATCH($F1281,Nutrition!$A$2:$A$300,0))*$I1281/100,0))</f>
        <v>1.1055000000000001</v>
      </c>
    </row>
    <row r="1282" spans="1:19" ht="15" customHeight="1" x14ac:dyDescent="0.25">
      <c r="A1282" s="22" t="s">
        <v>2601</v>
      </c>
      <c r="B1282" s="33" t="str">
        <f>IFERROR(INDEX(Recipes!$B$2:$B$500,MATCH(A1282,Recipes!$A$2:$A$500,0)),"")</f>
        <v>Nigerian Salad Bowl</v>
      </c>
      <c r="C1282" s="7" t="s">
        <v>2767</v>
      </c>
      <c r="D1282" s="34">
        <v>2</v>
      </c>
      <c r="E1282" s="22" t="s">
        <v>2754</v>
      </c>
      <c r="F1282" s="22"/>
      <c r="G1282" s="22" t="s">
        <v>2768</v>
      </c>
      <c r="H1282" s="7" t="s">
        <v>3097</v>
      </c>
      <c r="I1282" s="35"/>
      <c r="J1282" s="30">
        <f>IF(OR($F1282="",$I1282=""),0,IFERROR(INDEX(Nutrition!$D$2:$D$300,MATCH($F1282,Nutrition!$A$2:$A$300,0))*$I1282/100,0))</f>
        <v>0</v>
      </c>
      <c r="K1282" s="30">
        <f>IF(OR($F1282="",$I1282=""),0,IFERROR(INDEX(Nutrition!$E$2:$E$300,MATCH($F1282,Nutrition!$A$2:$A$300,0))*$I1282/100,0))</f>
        <v>0</v>
      </c>
      <c r="L1282" s="30">
        <f>IF(OR($F1282="",$I1282=""),0,IFERROR(INDEX(Nutrition!$F$2:$F$300,MATCH($F1282,Nutrition!$A$2:$A$300,0))*$I1282/100,0))</f>
        <v>0</v>
      </c>
      <c r="M1282" s="30">
        <f>IF(OR($F1282="",$I1282=""),0,IFERROR(INDEX(Nutrition!$G$2:$G$300,MATCH($F1282,Nutrition!$A$2:$A$300,0))*$I1282/100,0))</f>
        <v>0</v>
      </c>
      <c r="N1282" s="30">
        <f>IF(OR($F1282="",$I1282=""),0,IFERROR(INDEX(Nutrition!$H$2:$H$300,MATCH($F1282,Nutrition!$A$2:$A$300,0))*$I1282/100,0))</f>
        <v>0</v>
      </c>
      <c r="O1282" s="30">
        <f>IF(OR($F1282="",$I1282=""),0,IFERROR(INDEX(Nutrition!$I$2:$I$300,MATCH($F1282,Nutrition!$A$2:$A$300,0))*$I1282/100,0))</f>
        <v>0</v>
      </c>
      <c r="P1282" s="30">
        <f>IF(OR($F1282="",$I1282=""),0,IFERROR(INDEX(Nutrition!$J$2:$J$300,MATCH($F1282,Nutrition!$A$2:$A$300,0))*$I1282/100,0))</f>
        <v>0</v>
      </c>
      <c r="Q1282" s="30">
        <f>IF(OR($F1282="",$I1282=""),0,IFERROR(INDEX(Nutrition!$K$2:$K$300,MATCH($F1282,Nutrition!$A$2:$A$300,0))*$I1282/100,0))</f>
        <v>0</v>
      </c>
      <c r="R1282" s="30">
        <f>IF(OR($F1282="",$I1282=""),0,IFERROR(INDEX(Nutrition!$L$2:$L$300,MATCH($F1282,Nutrition!$A$2:$A$300,0))*$I1282/100,0))</f>
        <v>0</v>
      </c>
      <c r="S1282" s="30">
        <f>IF(OR($F1282="",$I1282=""),0,IFERROR(INDEX(Nutrition!$M$2:$M$300,MATCH($F1282,Nutrition!$A$2:$A$300,0))*$I1282/100,0))</f>
        <v>0</v>
      </c>
    </row>
    <row r="1283" spans="1:19" ht="15" customHeight="1" x14ac:dyDescent="0.25">
      <c r="A1283" s="22" t="s">
        <v>2601</v>
      </c>
      <c r="B1283" s="33" t="str">
        <f>IFERROR(INDEX(Recipes!$B$2:$B$500,MATCH(A1283,Recipes!$A$2:$A$500,0)),"")</f>
        <v>Nigerian Salad Bowl</v>
      </c>
      <c r="C1283" s="7" t="s">
        <v>3098</v>
      </c>
      <c r="D1283" s="34">
        <v>0.5</v>
      </c>
      <c r="E1283" s="22" t="s">
        <v>2748</v>
      </c>
      <c r="F1283" s="22"/>
      <c r="G1283" s="22" t="s">
        <v>2749</v>
      </c>
      <c r="H1283" s="7"/>
      <c r="I1283" s="35"/>
      <c r="J1283" s="30">
        <f>IF(OR($F1283="",$I1283=""),0,IFERROR(INDEX(Nutrition!$D$2:$D$300,MATCH($F1283,Nutrition!$A$2:$A$300,0))*$I1283/100,0))</f>
        <v>0</v>
      </c>
      <c r="K1283" s="30">
        <f>IF(OR($F1283="",$I1283=""),0,IFERROR(INDEX(Nutrition!$E$2:$E$300,MATCH($F1283,Nutrition!$A$2:$A$300,0))*$I1283/100,0))</f>
        <v>0</v>
      </c>
      <c r="L1283" s="30">
        <f>IF(OR($F1283="",$I1283=""),0,IFERROR(INDEX(Nutrition!$F$2:$F$300,MATCH($F1283,Nutrition!$A$2:$A$300,0))*$I1283/100,0))</f>
        <v>0</v>
      </c>
      <c r="M1283" s="30">
        <f>IF(OR($F1283="",$I1283=""),0,IFERROR(INDEX(Nutrition!$G$2:$G$300,MATCH($F1283,Nutrition!$A$2:$A$300,0))*$I1283/100,0))</f>
        <v>0</v>
      </c>
      <c r="N1283" s="30">
        <f>IF(OR($F1283="",$I1283=""),0,IFERROR(INDEX(Nutrition!$H$2:$H$300,MATCH($F1283,Nutrition!$A$2:$A$300,0))*$I1283/100,0))</f>
        <v>0</v>
      </c>
      <c r="O1283" s="30">
        <f>IF(OR($F1283="",$I1283=""),0,IFERROR(INDEX(Nutrition!$I$2:$I$300,MATCH($F1283,Nutrition!$A$2:$A$300,0))*$I1283/100,0))</f>
        <v>0</v>
      </c>
      <c r="P1283" s="30">
        <f>IF(OR($F1283="",$I1283=""),0,IFERROR(INDEX(Nutrition!$J$2:$J$300,MATCH($F1283,Nutrition!$A$2:$A$300,0))*$I1283/100,0))</f>
        <v>0</v>
      </c>
      <c r="Q1283" s="30">
        <f>IF(OR($F1283="",$I1283=""),0,IFERROR(INDEX(Nutrition!$K$2:$K$300,MATCH($F1283,Nutrition!$A$2:$A$300,0))*$I1283/100,0))</f>
        <v>0</v>
      </c>
      <c r="R1283" s="30">
        <f>IF(OR($F1283="",$I1283=""),0,IFERROR(INDEX(Nutrition!$L$2:$L$300,MATCH($F1283,Nutrition!$A$2:$A$300,0))*$I1283/100,0))</f>
        <v>0</v>
      </c>
      <c r="S1283" s="30">
        <f>IF(OR($F1283="",$I1283=""),0,IFERROR(INDEX(Nutrition!$M$2:$M$300,MATCH($F1283,Nutrition!$A$2:$A$300,0))*$I1283/100,0))</f>
        <v>0</v>
      </c>
    </row>
    <row r="1284" spans="1:19" ht="15" customHeight="1" x14ac:dyDescent="0.25">
      <c r="A1284" s="22" t="s">
        <v>2601</v>
      </c>
      <c r="B1284" s="33" t="str">
        <f>IFERROR(INDEX(Recipes!$B$2:$B$500,MATCH(A1284,Recipes!$A$2:$A$500,0)),"")</f>
        <v>Nigerian Salad Bowl</v>
      </c>
      <c r="C1284" s="7" t="s">
        <v>3001</v>
      </c>
      <c r="D1284" s="34">
        <v>4</v>
      </c>
      <c r="E1284" s="22" t="s">
        <v>2753</v>
      </c>
      <c r="F1284" s="22"/>
      <c r="G1284" s="22" t="s">
        <v>2749</v>
      </c>
      <c r="H1284" s="7"/>
      <c r="I1284" s="35"/>
      <c r="J1284" s="30">
        <f>IF(OR($F1284="",$I1284=""),0,IFERROR(INDEX(Nutrition!$D$2:$D$300,MATCH($F1284,Nutrition!$A$2:$A$300,0))*$I1284/100,0))</f>
        <v>0</v>
      </c>
      <c r="K1284" s="30">
        <f>IF(OR($F1284="",$I1284=""),0,IFERROR(INDEX(Nutrition!$E$2:$E$300,MATCH($F1284,Nutrition!$A$2:$A$300,0))*$I1284/100,0))</f>
        <v>0</v>
      </c>
      <c r="L1284" s="30">
        <f>IF(OR($F1284="",$I1284=""),0,IFERROR(INDEX(Nutrition!$F$2:$F$300,MATCH($F1284,Nutrition!$A$2:$A$300,0))*$I1284/100,0))</f>
        <v>0</v>
      </c>
      <c r="M1284" s="30">
        <f>IF(OR($F1284="",$I1284=""),0,IFERROR(INDEX(Nutrition!$G$2:$G$300,MATCH($F1284,Nutrition!$A$2:$A$300,0))*$I1284/100,0))</f>
        <v>0</v>
      </c>
      <c r="N1284" s="30">
        <f>IF(OR($F1284="",$I1284=""),0,IFERROR(INDEX(Nutrition!$H$2:$H$300,MATCH($F1284,Nutrition!$A$2:$A$300,0))*$I1284/100,0))</f>
        <v>0</v>
      </c>
      <c r="O1284" s="30">
        <f>IF(OR($F1284="",$I1284=""),0,IFERROR(INDEX(Nutrition!$I$2:$I$300,MATCH($F1284,Nutrition!$A$2:$A$300,0))*$I1284/100,0))</f>
        <v>0</v>
      </c>
      <c r="P1284" s="30">
        <f>IF(OR($F1284="",$I1284=""),0,IFERROR(INDEX(Nutrition!$J$2:$J$300,MATCH($F1284,Nutrition!$A$2:$A$300,0))*$I1284/100,0))</f>
        <v>0</v>
      </c>
      <c r="Q1284" s="30">
        <f>IF(OR($F1284="",$I1284=""),0,IFERROR(INDEX(Nutrition!$K$2:$K$300,MATCH($F1284,Nutrition!$A$2:$A$300,0))*$I1284/100,0))</f>
        <v>0</v>
      </c>
      <c r="R1284" s="30">
        <f>IF(OR($F1284="",$I1284=""),0,IFERROR(INDEX(Nutrition!$L$2:$L$300,MATCH($F1284,Nutrition!$A$2:$A$300,0))*$I1284/100,0))</f>
        <v>0</v>
      </c>
      <c r="S1284" s="30">
        <f>IF(OR($F1284="",$I1284=""),0,IFERROR(INDEX(Nutrition!$M$2:$M$300,MATCH($F1284,Nutrition!$A$2:$A$300,0))*$I1284/100,0))</f>
        <v>0</v>
      </c>
    </row>
    <row r="1285" spans="1:19" ht="15" customHeight="1" x14ac:dyDescent="0.25">
      <c r="A1285" s="22" t="s">
        <v>2612</v>
      </c>
      <c r="B1285" s="33" t="str">
        <f>IFERROR(INDEX(Recipes!$B$2:$B$500,MATCH(A1285,Recipes!$A$2:$A$500,0)),"")</f>
        <v>Mediterranean Garden Egg &amp; Chickpea Bowl</v>
      </c>
      <c r="C1285" s="7" t="s">
        <v>566</v>
      </c>
      <c r="D1285" s="34">
        <v>8</v>
      </c>
      <c r="E1285" s="22" t="s">
        <v>2754</v>
      </c>
      <c r="F1285" s="22" t="s">
        <v>565</v>
      </c>
      <c r="G1285" s="22" t="s">
        <v>2755</v>
      </c>
      <c r="H1285" s="7" t="s">
        <v>2810</v>
      </c>
      <c r="I1285" s="35">
        <v>320</v>
      </c>
      <c r="J1285" s="30">
        <f>IF(OR($F1285="",$I1285=""),0,IFERROR(INDEX(Nutrition!$D$2:$D$300,MATCH($F1285,Nutrition!$A$2:$A$300,0))*$I1285/100,0))</f>
        <v>11.2</v>
      </c>
      <c r="K1285" s="30">
        <f>IF(OR($F1285="",$I1285=""),0,IFERROR(INDEX(Nutrition!$E$2:$E$300,MATCH($F1285,Nutrition!$A$2:$A$300,0))*$I1285/100,0))</f>
        <v>37.119999999999997</v>
      </c>
      <c r="L1285" s="30">
        <f>IF(OR($F1285="",$I1285=""),0,IFERROR(INDEX(Nutrition!$F$2:$F$300,MATCH($F1285,Nutrition!$A$2:$A$300,0))*$I1285/100,0))</f>
        <v>6.4</v>
      </c>
      <c r="M1285" s="30">
        <f>IF(OR($F1285="",$I1285=""),0,IFERROR(INDEX(Nutrition!$G$2:$G$300,MATCH($F1285,Nutrition!$A$2:$A$300,0))*$I1285/100,0))</f>
        <v>11.2</v>
      </c>
      <c r="N1285" s="30">
        <f>IF(OR($F1285="",$I1285=""),0,IFERROR(INDEX(Nutrition!$H$2:$H$300,MATCH($F1285,Nutrition!$A$2:$A$300,0))*$I1285/100,0))</f>
        <v>70.400000000000006</v>
      </c>
      <c r="O1285" s="30">
        <f>IF(OR($F1285="",$I1285=""),0,IFERROR(INDEX(Nutrition!$I$2:$I$300,MATCH($F1285,Nutrition!$A$2:$A$300,0))*$I1285/100,0))</f>
        <v>768</v>
      </c>
      <c r="P1285" s="30">
        <f>IF(OR($F1285="",$I1285=""),0,IFERROR(INDEX(Nutrition!$J$2:$J$300,MATCH($F1285,Nutrition!$A$2:$A$300,0))*$I1285/100,0))</f>
        <v>0.96</v>
      </c>
      <c r="Q1285" s="30">
        <f>IF(OR($F1285="",$I1285=""),0,IFERROR(INDEX(Nutrition!$K$2:$K$300,MATCH($F1285,Nutrition!$A$2:$A$300,0))*$I1285/100,0))</f>
        <v>0.25600000000000001</v>
      </c>
      <c r="R1285" s="30">
        <f>IF(OR($F1285="",$I1285=""),0,IFERROR(INDEX(Nutrition!$L$2:$L$300,MATCH($F1285,Nutrition!$A$2:$A$300,0))*$I1285/100,0))</f>
        <v>48</v>
      </c>
      <c r="S1285" s="30">
        <f>IF(OR($F1285="",$I1285=""),0,IFERROR(INDEX(Nutrition!$M$2:$M$300,MATCH($F1285,Nutrition!$A$2:$A$300,0))*$I1285/100,0))</f>
        <v>1.6</v>
      </c>
    </row>
    <row r="1286" spans="1:19" ht="15" customHeight="1" x14ac:dyDescent="0.25">
      <c r="A1286" s="22" t="s">
        <v>2612</v>
      </c>
      <c r="B1286" s="33" t="str">
        <f>IFERROR(INDEX(Recipes!$B$2:$B$500,MATCH(A1286,Recipes!$A$2:$A$500,0)),"")</f>
        <v>Mediterranean Garden Egg &amp; Chickpea Bowl</v>
      </c>
      <c r="C1286" s="7" t="s">
        <v>456</v>
      </c>
      <c r="D1286" s="34">
        <v>2</v>
      </c>
      <c r="E1286" s="22" t="s">
        <v>2790</v>
      </c>
      <c r="F1286" s="22" t="s">
        <v>455</v>
      </c>
      <c r="G1286" s="22" t="s">
        <v>2755</v>
      </c>
      <c r="H1286" s="7" t="s">
        <v>2911</v>
      </c>
      <c r="I1286" s="35">
        <v>298</v>
      </c>
      <c r="J1286" s="30">
        <f>IF(OR($F1286="",$I1286=""),0,IFERROR(INDEX(Nutrition!$D$2:$D$300,MATCH($F1286,Nutrition!$A$2:$A$300,0))*$I1286/100,0))</f>
        <v>6.2580000000000009</v>
      </c>
      <c r="K1286" s="30">
        <f>IF(OR($F1286="",$I1286=""),0,IFERROR(INDEX(Nutrition!$E$2:$E$300,MATCH($F1286,Nutrition!$A$2:$A$300,0))*$I1286/100,0))</f>
        <v>81.055999999999997</v>
      </c>
      <c r="L1286" s="30">
        <f>IF(OR($F1286="",$I1286=""),0,IFERROR(INDEX(Nutrition!$F$2:$F$300,MATCH($F1286,Nutrition!$A$2:$A$300,0))*$I1286/100,0))</f>
        <v>125.16</v>
      </c>
      <c r="M1286" s="30">
        <f>IF(OR($F1286="",$I1286=""),0,IFERROR(INDEX(Nutrition!$G$2:$G$300,MATCH($F1286,Nutrition!$A$2:$A$300,0))*$I1286/100,0))</f>
        <v>23.542000000000002</v>
      </c>
      <c r="N1286" s="30">
        <f>IF(OR($F1286="",$I1286=""),0,IFERROR(INDEX(Nutrition!$H$2:$H$300,MATCH($F1286,Nutrition!$A$2:$A$300,0))*$I1286/100,0))</f>
        <v>44.7</v>
      </c>
      <c r="O1286" s="30">
        <f>IF(OR($F1286="",$I1286=""),0,IFERROR(INDEX(Nutrition!$I$2:$I$300,MATCH($F1286,Nutrition!$A$2:$A$300,0))*$I1286/100,0))</f>
        <v>774.8</v>
      </c>
      <c r="P1286" s="30">
        <f>IF(OR($F1286="",$I1286=""),0,IFERROR(INDEX(Nutrition!$J$2:$J$300,MATCH($F1286,Nutrition!$A$2:$A$300,0))*$I1286/100,0))</f>
        <v>1.6092000000000002</v>
      </c>
      <c r="Q1286" s="30">
        <f>IF(OR($F1286="",$I1286=""),0,IFERROR(INDEX(Nutrition!$K$2:$K$300,MATCH($F1286,Nutrition!$A$2:$A$300,0))*$I1286/100,0))</f>
        <v>0.2384</v>
      </c>
      <c r="R1286" s="30">
        <f>IF(OR($F1286="",$I1286=""),0,IFERROR(INDEX(Nutrition!$L$2:$L$300,MATCH($F1286,Nutrition!$A$2:$A$300,0))*$I1286/100,0))</f>
        <v>29.8</v>
      </c>
      <c r="S1286" s="30">
        <f>IF(OR($F1286="",$I1286=""),0,IFERROR(INDEX(Nutrition!$M$2:$M$300,MATCH($F1286,Nutrition!$A$2:$A$300,0))*$I1286/100,0))</f>
        <v>0.89399999999999991</v>
      </c>
    </row>
    <row r="1287" spans="1:19" ht="15" customHeight="1" x14ac:dyDescent="0.25">
      <c r="A1287" s="22" t="s">
        <v>2612</v>
      </c>
      <c r="B1287" s="33" t="str">
        <f>IFERROR(INDEX(Recipes!$B$2:$B$500,MATCH(A1287,Recipes!$A$2:$A$500,0)),"")</f>
        <v>Mediterranean Garden Egg &amp; Chickpea Bowl</v>
      </c>
      <c r="C1287" s="7" t="s">
        <v>523</v>
      </c>
      <c r="D1287" s="34">
        <v>1</v>
      </c>
      <c r="E1287" s="22" t="s">
        <v>2754</v>
      </c>
      <c r="F1287" s="22" t="s">
        <v>522</v>
      </c>
      <c r="G1287" s="22" t="s">
        <v>2755</v>
      </c>
      <c r="H1287" s="7" t="s">
        <v>2756</v>
      </c>
      <c r="I1287" s="35">
        <v>301</v>
      </c>
      <c r="J1287" s="30">
        <f>IF(OR($F1287="",$I1287=""),0,IFERROR(INDEX(Nutrition!$D$2:$D$300,MATCH($F1287,Nutrition!$A$2:$A$300,0))*$I1287/100,0))</f>
        <v>1.5049999999999999</v>
      </c>
      <c r="K1287" s="30">
        <f>IF(OR($F1287="",$I1287=""),0,IFERROR(INDEX(Nutrition!$E$2:$E$300,MATCH($F1287,Nutrition!$A$2:$A$300,0))*$I1287/100,0))</f>
        <v>8.427999999999999</v>
      </c>
      <c r="L1287" s="30">
        <f>IF(OR($F1287="",$I1287=""),0,IFERROR(INDEX(Nutrition!$F$2:$F$300,MATCH($F1287,Nutrition!$A$2:$A$300,0))*$I1287/100,0))</f>
        <v>15.05</v>
      </c>
      <c r="M1287" s="30">
        <f>IF(OR($F1287="",$I1287=""),0,IFERROR(INDEX(Nutrition!$G$2:$G$300,MATCH($F1287,Nutrition!$A$2:$A$300,0))*$I1287/100,0))</f>
        <v>49.363999999999997</v>
      </c>
      <c r="N1287" s="30">
        <f>IF(OR($F1287="",$I1287=""),0,IFERROR(INDEX(Nutrition!$H$2:$H$300,MATCH($F1287,Nutrition!$A$2:$A$300,0))*$I1287/100,0))</f>
        <v>21.07</v>
      </c>
      <c r="O1287" s="30">
        <f>IF(OR($F1287="",$I1287=""),0,IFERROR(INDEX(Nutrition!$I$2:$I$300,MATCH($F1287,Nutrition!$A$2:$A$300,0))*$I1287/100,0))</f>
        <v>442.47</v>
      </c>
      <c r="P1287" s="30">
        <f>IF(OR($F1287="",$I1287=""),0,IFERROR(INDEX(Nutrition!$J$2:$J$300,MATCH($F1287,Nutrition!$A$2:$A$300,0))*$I1287/100,0))</f>
        <v>9.0299999999999991E-2</v>
      </c>
      <c r="Q1287" s="30">
        <f>IF(OR($F1287="",$I1287=""),0,IFERROR(INDEX(Nutrition!$K$2:$K$300,MATCH($F1287,Nutrition!$A$2:$A$300,0))*$I1287/100,0))</f>
        <v>0.12040000000000001</v>
      </c>
      <c r="R1287" s="30">
        <f>IF(OR($F1287="",$I1287=""),0,IFERROR(INDEX(Nutrition!$L$2:$L$300,MATCH($F1287,Nutrition!$A$2:$A$300,0))*$I1287/100,0))</f>
        <v>39.130000000000003</v>
      </c>
      <c r="S1287" s="30">
        <f>IF(OR($F1287="",$I1287=""),0,IFERROR(INDEX(Nutrition!$M$2:$M$300,MATCH($F1287,Nutrition!$A$2:$A$300,0))*$I1287/100,0))</f>
        <v>0.84279999999999999</v>
      </c>
    </row>
    <row r="1288" spans="1:19" ht="15" customHeight="1" x14ac:dyDescent="0.25">
      <c r="A1288" s="22" t="s">
        <v>2612</v>
      </c>
      <c r="B1288" s="33" t="str">
        <f>IFERROR(INDEX(Recipes!$B$2:$B$500,MATCH(A1288,Recipes!$A$2:$A$500,0)),"")</f>
        <v>Mediterranean Garden Egg &amp; Chickpea Bowl</v>
      </c>
      <c r="C1288" s="7" t="s">
        <v>468</v>
      </c>
      <c r="D1288" s="34">
        <v>1</v>
      </c>
      <c r="E1288" s="22" t="s">
        <v>2754</v>
      </c>
      <c r="F1288" s="22" t="s">
        <v>467</v>
      </c>
      <c r="G1288" s="22" t="s">
        <v>2755</v>
      </c>
      <c r="H1288" s="7" t="s">
        <v>2901</v>
      </c>
      <c r="I1288" s="35">
        <v>119</v>
      </c>
      <c r="J1288" s="30">
        <f>IF(OR($F1288="",$I1288=""),0,IFERROR(INDEX(Nutrition!$D$2:$D$300,MATCH($F1288,Nutrition!$A$2:$A$300,0))*$I1288/100,0))</f>
        <v>2.0229999999999997</v>
      </c>
      <c r="K1288" s="30">
        <f>IF(OR($F1288="",$I1288=""),0,IFERROR(INDEX(Nutrition!$E$2:$E$300,MATCH($F1288,Nutrition!$A$2:$A$300,0))*$I1288/100,0))</f>
        <v>95.676000000000002</v>
      </c>
      <c r="L1288" s="30">
        <f>IF(OR($F1288="",$I1288=""),0,IFERROR(INDEX(Nutrition!$F$2:$F$300,MATCH($F1288,Nutrition!$A$2:$A$300,0))*$I1288/100,0))</f>
        <v>21.42</v>
      </c>
      <c r="M1288" s="30">
        <f>IF(OR($F1288="",$I1288=""),0,IFERROR(INDEX(Nutrition!$G$2:$G$300,MATCH($F1288,Nutrition!$A$2:$A$300,0))*$I1288/100,0))</f>
        <v>8.8060000000000009</v>
      </c>
      <c r="N1288" s="30">
        <f>IF(OR($F1288="",$I1288=""),0,IFERROR(INDEX(Nutrition!$H$2:$H$300,MATCH($F1288,Nutrition!$A$2:$A$300,0))*$I1288/100,0))</f>
        <v>11.9</v>
      </c>
      <c r="O1288" s="30">
        <f>IF(OR($F1288="",$I1288=""),0,IFERROR(INDEX(Nutrition!$I$2:$I$300,MATCH($F1288,Nutrition!$A$2:$A$300,0))*$I1288/100,0))</f>
        <v>208.25</v>
      </c>
      <c r="P1288" s="30">
        <f>IF(OR($F1288="",$I1288=""),0,IFERROR(INDEX(Nutrition!$J$2:$J$300,MATCH($F1288,Nutrition!$A$2:$A$300,0))*$I1288/100,0))</f>
        <v>0.44030000000000002</v>
      </c>
      <c r="Q1288" s="30">
        <f>IF(OR($F1288="",$I1288=""),0,IFERROR(INDEX(Nutrition!$K$2:$K$300,MATCH($F1288,Nutrition!$A$2:$A$300,0))*$I1288/100,0))</f>
        <v>0.26655999999999996</v>
      </c>
      <c r="R1288" s="30">
        <f>IF(OR($F1288="",$I1288=""),0,IFERROR(INDEX(Nutrition!$L$2:$L$300,MATCH($F1288,Nutrition!$A$2:$A$300,0))*$I1288/100,0))</f>
        <v>11.9</v>
      </c>
      <c r="S1288" s="30">
        <f>IF(OR($F1288="",$I1288=""),0,IFERROR(INDEX(Nutrition!$M$2:$M$300,MATCH($F1288,Nutrition!$A$2:$A$300,0))*$I1288/100,0))</f>
        <v>0.40460000000000002</v>
      </c>
    </row>
    <row r="1289" spans="1:19" ht="15" customHeight="1" x14ac:dyDescent="0.25">
      <c r="A1289" s="22" t="s">
        <v>2612</v>
      </c>
      <c r="B1289" s="33" t="str">
        <f>IFERROR(INDEX(Recipes!$B$2:$B$500,MATCH(A1289,Recipes!$A$2:$A$500,0)),"")</f>
        <v>Mediterranean Garden Egg &amp; Chickpea Bowl</v>
      </c>
      <c r="C1289" s="7" t="s">
        <v>671</v>
      </c>
      <c r="D1289" s="34">
        <v>0.5</v>
      </c>
      <c r="E1289" s="22" t="s">
        <v>2748</v>
      </c>
      <c r="F1289" s="22" t="s">
        <v>670</v>
      </c>
      <c r="G1289" s="22" t="s">
        <v>2755</v>
      </c>
      <c r="H1289" s="7" t="s">
        <v>2775</v>
      </c>
      <c r="I1289" s="35">
        <v>30</v>
      </c>
      <c r="J1289" s="30">
        <f>IF(OR($F1289="",$I1289=""),0,IFERROR(INDEX(Nutrition!$D$2:$D$300,MATCH($F1289,Nutrition!$A$2:$A$300,0))*$I1289/100,0))</f>
        <v>0.99</v>
      </c>
      <c r="K1289" s="30">
        <f>IF(OR($F1289="",$I1289=""),0,IFERROR(INDEX(Nutrition!$E$2:$E$300,MATCH($F1289,Nutrition!$A$2:$A$300,0))*$I1289/100,0))</f>
        <v>39.9</v>
      </c>
      <c r="L1289" s="30">
        <f>IF(OR($F1289="",$I1289=""),0,IFERROR(INDEX(Nutrition!$F$2:$F$300,MATCH($F1289,Nutrition!$A$2:$A$300,0))*$I1289/100,0))</f>
        <v>126.3</v>
      </c>
      <c r="M1289" s="30">
        <f>IF(OR($F1289="",$I1289=""),0,IFERROR(INDEX(Nutrition!$G$2:$G$300,MATCH($F1289,Nutrition!$A$2:$A$300,0))*$I1289/100,0))</f>
        <v>492</v>
      </c>
      <c r="N1289" s="30">
        <f>IF(OR($F1289="",$I1289=""),0,IFERROR(INDEX(Nutrition!$H$2:$H$300,MATCH($F1289,Nutrition!$A$2:$A$300,0))*$I1289/100,0))</f>
        <v>45.6</v>
      </c>
      <c r="O1289" s="30">
        <f>IF(OR($F1289="",$I1289=""),0,IFERROR(INDEX(Nutrition!$I$2:$I$300,MATCH($F1289,Nutrition!$A$2:$A$300,0))*$I1289/100,0))</f>
        <v>166.2</v>
      </c>
      <c r="P1289" s="30">
        <f>IF(OR($F1289="",$I1289=""),0,IFERROR(INDEX(Nutrition!$J$2:$J$300,MATCH($F1289,Nutrition!$A$2:$A$300,0))*$I1289/100,0))</f>
        <v>0.22500000000000001</v>
      </c>
      <c r="Q1289" s="30">
        <f>IF(OR($F1289="",$I1289=""),0,IFERROR(INDEX(Nutrition!$K$2:$K$300,MATCH($F1289,Nutrition!$A$2:$A$300,0))*$I1289/100,0))</f>
        <v>2.6999999999999996E-2</v>
      </c>
      <c r="R1289" s="30">
        <f>IF(OR($F1289="",$I1289=""),0,IFERROR(INDEX(Nutrition!$L$2:$L$300,MATCH($F1289,Nutrition!$A$2:$A$300,0))*$I1289/100,0))</f>
        <v>15</v>
      </c>
      <c r="S1289" s="30">
        <f>IF(OR($F1289="",$I1289=""),0,IFERROR(INDEX(Nutrition!$M$2:$M$300,MATCH($F1289,Nutrition!$A$2:$A$300,0))*$I1289/100,0))</f>
        <v>1.86</v>
      </c>
    </row>
    <row r="1290" spans="1:19" ht="15" customHeight="1" x14ac:dyDescent="0.25">
      <c r="A1290" s="22" t="s">
        <v>2612</v>
      </c>
      <c r="B1290" s="33" t="str">
        <f>IFERROR(INDEX(Recipes!$B$2:$B$500,MATCH(A1290,Recipes!$A$2:$A$500,0)),"")</f>
        <v>Mediterranean Garden Egg &amp; Chickpea Bowl</v>
      </c>
      <c r="C1290" s="7" t="s">
        <v>206</v>
      </c>
      <c r="D1290" s="34">
        <v>1</v>
      </c>
      <c r="E1290" s="22" t="s">
        <v>2754</v>
      </c>
      <c r="F1290" s="22" t="s">
        <v>205</v>
      </c>
      <c r="G1290" s="22" t="s">
        <v>2755</v>
      </c>
      <c r="H1290" s="7" t="s">
        <v>2912</v>
      </c>
      <c r="I1290" s="35">
        <v>58</v>
      </c>
      <c r="J1290" s="30">
        <f>IF(OR($F1290="",$I1290=""),0,IFERROR(INDEX(Nutrition!$D$2:$D$300,MATCH($F1290,Nutrition!$A$2:$A$300,0))*$I1290/100,0))</f>
        <v>1.6239999999999997</v>
      </c>
      <c r="K1290" s="30">
        <f>IF(OR($F1290="",$I1290=""),0,IFERROR(INDEX(Nutrition!$E$2:$E$300,MATCH($F1290,Nutrition!$A$2:$A$300,0))*$I1290/100,0))</f>
        <v>30.74</v>
      </c>
      <c r="L1290" s="30">
        <f>IF(OR($F1290="",$I1290=""),0,IFERROR(INDEX(Nutrition!$F$2:$F$300,MATCH($F1290,Nutrition!$A$2:$A$300,0))*$I1290/100,0))</f>
        <v>0.57999999999999996</v>
      </c>
      <c r="M1290" s="30">
        <f>IF(OR($F1290="",$I1290=""),0,IFERROR(INDEX(Nutrition!$G$2:$G$300,MATCH($F1290,Nutrition!$A$2:$A$300,0))*$I1290/100,0))</f>
        <v>0</v>
      </c>
      <c r="N1290" s="30">
        <f>IF(OR($F1290="",$I1290=""),0,IFERROR(INDEX(Nutrition!$H$2:$H$300,MATCH($F1290,Nutrition!$A$2:$A$300,0))*$I1290/100,0))</f>
        <v>6.38</v>
      </c>
      <c r="O1290" s="30">
        <f>IF(OR($F1290="",$I1290=""),0,IFERROR(INDEX(Nutrition!$I$2:$I$300,MATCH($F1290,Nutrition!$A$2:$A$300,0))*$I1290/100,0))</f>
        <v>80.040000000000006</v>
      </c>
      <c r="P1290" s="30">
        <f>IF(OR($F1290="",$I1290=""),0,IFERROR(INDEX(Nutrition!$J$2:$J$300,MATCH($F1290,Nutrition!$A$2:$A$300,0))*$I1290/100,0))</f>
        <v>8.6999999999999994E-2</v>
      </c>
      <c r="Q1290" s="30">
        <f>IF(OR($F1290="",$I1290=""),0,IFERROR(INDEX(Nutrition!$K$2:$K$300,MATCH($F1290,Nutrition!$A$2:$A$300,0))*$I1290/100,0))</f>
        <v>4.6399999999999997E-2</v>
      </c>
      <c r="R1290" s="30">
        <f>IF(OR($F1290="",$I1290=""),0,IFERROR(INDEX(Nutrition!$L$2:$L$300,MATCH($F1290,Nutrition!$A$2:$A$300,0))*$I1290/100,0))</f>
        <v>4.6399999999999997</v>
      </c>
      <c r="S1290" s="30">
        <f>IF(OR($F1290="",$I1290=""),0,IFERROR(INDEX(Nutrition!$M$2:$M$300,MATCH($F1290,Nutrition!$A$2:$A$300,0))*$I1290/100,0))</f>
        <v>0.34799999999999998</v>
      </c>
    </row>
    <row r="1291" spans="1:19" ht="15" customHeight="1" x14ac:dyDescent="0.25">
      <c r="A1291" s="22" t="s">
        <v>2612</v>
      </c>
      <c r="B1291" s="33" t="str">
        <f>IFERROR(INDEX(Recipes!$B$2:$B$500,MATCH(A1291,Recipes!$A$2:$A$500,0)),"")</f>
        <v>Mediterranean Garden Egg &amp; Chickpea Bowl</v>
      </c>
      <c r="C1291" s="7" t="s">
        <v>500</v>
      </c>
      <c r="D1291" s="34">
        <v>1</v>
      </c>
      <c r="E1291" s="22" t="s">
        <v>2816</v>
      </c>
      <c r="F1291" s="22" t="s">
        <v>499</v>
      </c>
      <c r="G1291" s="22" t="s">
        <v>2755</v>
      </c>
      <c r="H1291" s="7" t="s">
        <v>2896</v>
      </c>
      <c r="I1291" s="35">
        <v>3</v>
      </c>
      <c r="J1291" s="30">
        <f>IF(OR($F1291="",$I1291=""),0,IFERROR(INDEX(Nutrition!$D$2:$D$300,MATCH($F1291,Nutrition!$A$2:$A$300,0))*$I1291/100,0))</f>
        <v>6.3E-2</v>
      </c>
      <c r="K1291" s="30">
        <f>IF(OR($F1291="",$I1291=""),0,IFERROR(INDEX(Nutrition!$E$2:$E$300,MATCH($F1291,Nutrition!$A$2:$A$300,0))*$I1291/100,0))</f>
        <v>0.93599999999999994</v>
      </c>
      <c r="L1291" s="30">
        <f>IF(OR($F1291="",$I1291=""),0,IFERROR(INDEX(Nutrition!$F$2:$F$300,MATCH($F1291,Nutrition!$A$2:$A$300,0))*$I1291/100,0))</f>
        <v>0</v>
      </c>
      <c r="M1291" s="30">
        <f>IF(OR($F1291="",$I1291=""),0,IFERROR(INDEX(Nutrition!$G$2:$G$300,MATCH($F1291,Nutrition!$A$2:$A$300,0))*$I1291/100,0))</f>
        <v>5.0999999999999997E-2</v>
      </c>
      <c r="N1291" s="30">
        <f>IF(OR($F1291="",$I1291=""),0,IFERROR(INDEX(Nutrition!$H$2:$H$300,MATCH($F1291,Nutrition!$A$2:$A$300,0))*$I1291/100,0))</f>
        <v>0.09</v>
      </c>
      <c r="O1291" s="30">
        <f>IF(OR($F1291="",$I1291=""),0,IFERROR(INDEX(Nutrition!$I$2:$I$300,MATCH($F1291,Nutrition!$A$2:$A$300,0))*$I1291/100,0))</f>
        <v>12.03</v>
      </c>
      <c r="P1291" s="30">
        <f>IF(OR($F1291="",$I1291=""),0,IFERROR(INDEX(Nutrition!$J$2:$J$300,MATCH($F1291,Nutrition!$A$2:$A$300,0))*$I1291/100,0))</f>
        <v>2.3999999999999998E-3</v>
      </c>
      <c r="Q1291" s="30">
        <f>IF(OR($F1291="",$I1291=""),0,IFERROR(INDEX(Nutrition!$K$2:$K$300,MATCH($F1291,Nutrition!$A$2:$A$300,0))*$I1291/100,0))</f>
        <v>3.705E-2</v>
      </c>
      <c r="R1291" s="30">
        <f>IF(OR($F1291="",$I1291=""),0,IFERROR(INDEX(Nutrition!$L$2:$L$300,MATCH($F1291,Nutrition!$A$2:$A$300,0))*$I1291/100,0))</f>
        <v>0.75</v>
      </c>
      <c r="S1291" s="30">
        <f>IF(OR($F1291="",$I1291=""),0,IFERROR(INDEX(Nutrition!$M$2:$M$300,MATCH($F1291,Nutrition!$A$2:$A$300,0))*$I1291/100,0))</f>
        <v>5.0999999999999997E-2</v>
      </c>
    </row>
    <row r="1292" spans="1:19" ht="15" customHeight="1" x14ac:dyDescent="0.25">
      <c r="A1292" s="22" t="s">
        <v>2612</v>
      </c>
      <c r="B1292" s="33" t="str">
        <f>IFERROR(INDEX(Recipes!$B$2:$B$500,MATCH(A1292,Recipes!$A$2:$A$500,0)),"")</f>
        <v>Mediterranean Garden Egg &amp; Chickpea Bowl</v>
      </c>
      <c r="C1292" s="7" t="s">
        <v>643</v>
      </c>
      <c r="D1292" s="34">
        <v>1</v>
      </c>
      <c r="E1292" s="22" t="s">
        <v>2748</v>
      </c>
      <c r="F1292" s="22" t="s">
        <v>642</v>
      </c>
      <c r="G1292" s="22" t="s">
        <v>2755</v>
      </c>
      <c r="H1292" s="7"/>
      <c r="I1292" s="35">
        <v>30</v>
      </c>
      <c r="J1292" s="30">
        <f>IF(OR($F1292="",$I1292=""),0,IFERROR(INDEX(Nutrition!$D$2:$D$300,MATCH($F1292,Nutrition!$A$2:$A$300,0))*$I1292/100,0))</f>
        <v>0.66</v>
      </c>
      <c r="K1292" s="30">
        <f>IF(OR($F1292="",$I1292=""),0,IFERROR(INDEX(Nutrition!$E$2:$E$300,MATCH($F1292,Nutrition!$A$2:$A$300,0))*$I1292/100,0))</f>
        <v>8.43</v>
      </c>
      <c r="L1292" s="30">
        <f>IF(OR($F1292="",$I1292=""),0,IFERROR(INDEX(Nutrition!$F$2:$F$300,MATCH($F1292,Nutrition!$A$2:$A$300,0))*$I1292/100,0))</f>
        <v>140.69999999999999</v>
      </c>
      <c r="M1292" s="30">
        <f>IF(OR($F1292="",$I1292=""),0,IFERROR(INDEX(Nutrition!$G$2:$G$300,MATCH($F1292,Nutrition!$A$2:$A$300,0))*$I1292/100,0))</f>
        <v>144.87</v>
      </c>
      <c r="N1292" s="30">
        <f>IF(OR($F1292="",$I1292=""),0,IFERROR(INDEX(Nutrition!$H$2:$H$300,MATCH($F1292,Nutrition!$A$2:$A$300,0))*$I1292/100,0))</f>
        <v>58.2</v>
      </c>
      <c r="O1292" s="30">
        <f>IF(OR($F1292="",$I1292=""),0,IFERROR(INDEX(Nutrition!$I$2:$I$300,MATCH($F1292,Nutrition!$A$2:$A$300,0))*$I1292/100,0))</f>
        <v>167.4</v>
      </c>
      <c r="P1292" s="30">
        <f>IF(OR($F1292="",$I1292=""),0,IFERROR(INDEX(Nutrition!$J$2:$J$300,MATCH($F1292,Nutrition!$A$2:$A$300,0))*$I1292/100,0))</f>
        <v>0.60899999999999987</v>
      </c>
      <c r="Q1292" s="30">
        <f>IF(OR($F1292="",$I1292=""),0,IFERROR(INDEX(Nutrition!$K$2:$K$300,MATCH($F1292,Nutrition!$A$2:$A$300,0))*$I1292/100,0))</f>
        <v>5.8500000000000003E-2</v>
      </c>
      <c r="R1292" s="30">
        <f>IF(OR($F1292="",$I1292=""),0,IFERROR(INDEX(Nutrition!$L$2:$L$300,MATCH($F1292,Nutrition!$A$2:$A$300,0))*$I1292/100,0))</f>
        <v>23.7</v>
      </c>
      <c r="S1292" s="30">
        <f>IF(OR($F1292="",$I1292=""),0,IFERROR(INDEX(Nutrition!$M$2:$M$300,MATCH($F1292,Nutrition!$A$2:$A$300,0))*$I1292/100,0))</f>
        <v>0.81299999999999994</v>
      </c>
    </row>
    <row r="1293" spans="1:19" ht="15" customHeight="1" x14ac:dyDescent="0.25">
      <c r="A1293" s="22" t="s">
        <v>2612</v>
      </c>
      <c r="B1293" s="33" t="str">
        <f>IFERROR(INDEX(Recipes!$B$2:$B$500,MATCH(A1293,Recipes!$A$2:$A$500,0)),"")</f>
        <v>Mediterranean Garden Egg &amp; Chickpea Bowl</v>
      </c>
      <c r="C1293" s="7" t="s">
        <v>3099</v>
      </c>
      <c r="D1293" s="34">
        <v>400</v>
      </c>
      <c r="E1293" s="22" t="s">
        <v>2813</v>
      </c>
      <c r="F1293" s="22"/>
      <c r="G1293" s="22" t="s">
        <v>2749</v>
      </c>
      <c r="H1293" s="7" t="s">
        <v>3100</v>
      </c>
      <c r="I1293" s="35"/>
      <c r="J1293" s="30">
        <f>IF(OR($F1293="",$I1293=""),0,IFERROR(INDEX(Nutrition!$D$2:$D$300,MATCH($F1293,Nutrition!$A$2:$A$300,0))*$I1293/100,0))</f>
        <v>0</v>
      </c>
      <c r="K1293" s="30">
        <f>IF(OR($F1293="",$I1293=""),0,IFERROR(INDEX(Nutrition!$E$2:$E$300,MATCH($F1293,Nutrition!$A$2:$A$300,0))*$I1293/100,0))</f>
        <v>0</v>
      </c>
      <c r="L1293" s="30">
        <f>IF(OR($F1293="",$I1293=""),0,IFERROR(INDEX(Nutrition!$F$2:$F$300,MATCH($F1293,Nutrition!$A$2:$A$300,0))*$I1293/100,0))</f>
        <v>0</v>
      </c>
      <c r="M1293" s="30">
        <f>IF(OR($F1293="",$I1293=""),0,IFERROR(INDEX(Nutrition!$G$2:$G$300,MATCH($F1293,Nutrition!$A$2:$A$300,0))*$I1293/100,0))</f>
        <v>0</v>
      </c>
      <c r="N1293" s="30">
        <f>IF(OR($F1293="",$I1293=""),0,IFERROR(INDEX(Nutrition!$H$2:$H$300,MATCH($F1293,Nutrition!$A$2:$A$300,0))*$I1293/100,0))</f>
        <v>0</v>
      </c>
      <c r="O1293" s="30">
        <f>IF(OR($F1293="",$I1293=""),0,IFERROR(INDEX(Nutrition!$I$2:$I$300,MATCH($F1293,Nutrition!$A$2:$A$300,0))*$I1293/100,0))</f>
        <v>0</v>
      </c>
      <c r="P1293" s="30">
        <f>IF(OR($F1293="",$I1293=""),0,IFERROR(INDEX(Nutrition!$J$2:$J$300,MATCH($F1293,Nutrition!$A$2:$A$300,0))*$I1293/100,0))</f>
        <v>0</v>
      </c>
      <c r="Q1293" s="30">
        <f>IF(OR($F1293="",$I1293=""),0,IFERROR(INDEX(Nutrition!$K$2:$K$300,MATCH($F1293,Nutrition!$A$2:$A$300,0))*$I1293/100,0))</f>
        <v>0</v>
      </c>
      <c r="R1293" s="30">
        <f>IF(OR($F1293="",$I1293=""),0,IFERROR(INDEX(Nutrition!$L$2:$L$300,MATCH($F1293,Nutrition!$A$2:$A$300,0))*$I1293/100,0))</f>
        <v>0</v>
      </c>
      <c r="S1293" s="30">
        <f>IF(OR($F1293="",$I1293=""),0,IFERROR(INDEX(Nutrition!$M$2:$M$300,MATCH($F1293,Nutrition!$A$2:$A$300,0))*$I1293/100,0))</f>
        <v>0</v>
      </c>
    </row>
    <row r="1294" spans="1:19" ht="15" customHeight="1" x14ac:dyDescent="0.25">
      <c r="A1294" s="22" t="s">
        <v>2612</v>
      </c>
      <c r="B1294" s="33" t="str">
        <f>IFERROR(INDEX(Recipes!$B$2:$B$500,MATCH(A1294,Recipes!$A$2:$A$500,0)),"")</f>
        <v>Mediterranean Garden Egg &amp; Chickpea Bowl</v>
      </c>
      <c r="C1294" s="7" t="s">
        <v>3101</v>
      </c>
      <c r="D1294" s="34">
        <v>3</v>
      </c>
      <c r="E1294" s="22" t="s">
        <v>2790</v>
      </c>
      <c r="F1294" s="22"/>
      <c r="G1294" s="22" t="s">
        <v>2749</v>
      </c>
      <c r="H1294" s="7"/>
      <c r="I1294" s="35"/>
      <c r="J1294" s="30">
        <f>IF(OR($F1294="",$I1294=""),0,IFERROR(INDEX(Nutrition!$D$2:$D$300,MATCH($F1294,Nutrition!$A$2:$A$300,0))*$I1294/100,0))</f>
        <v>0</v>
      </c>
      <c r="K1294" s="30">
        <f>IF(OR($F1294="",$I1294=""),0,IFERROR(INDEX(Nutrition!$E$2:$E$300,MATCH($F1294,Nutrition!$A$2:$A$300,0))*$I1294/100,0))</f>
        <v>0</v>
      </c>
      <c r="L1294" s="30">
        <f>IF(OR($F1294="",$I1294=""),0,IFERROR(INDEX(Nutrition!$F$2:$F$300,MATCH($F1294,Nutrition!$A$2:$A$300,0))*$I1294/100,0))</f>
        <v>0</v>
      </c>
      <c r="M1294" s="30">
        <f>IF(OR($F1294="",$I1294=""),0,IFERROR(INDEX(Nutrition!$G$2:$G$300,MATCH($F1294,Nutrition!$A$2:$A$300,0))*$I1294/100,0))</f>
        <v>0</v>
      </c>
      <c r="N1294" s="30">
        <f>IF(OR($F1294="",$I1294=""),0,IFERROR(INDEX(Nutrition!$H$2:$H$300,MATCH($F1294,Nutrition!$A$2:$A$300,0))*$I1294/100,0))</f>
        <v>0</v>
      </c>
      <c r="O1294" s="30">
        <f>IF(OR($F1294="",$I1294=""),0,IFERROR(INDEX(Nutrition!$I$2:$I$300,MATCH($F1294,Nutrition!$A$2:$A$300,0))*$I1294/100,0))</f>
        <v>0</v>
      </c>
      <c r="P1294" s="30">
        <f>IF(OR($F1294="",$I1294=""),0,IFERROR(INDEX(Nutrition!$J$2:$J$300,MATCH($F1294,Nutrition!$A$2:$A$300,0))*$I1294/100,0))</f>
        <v>0</v>
      </c>
      <c r="Q1294" s="30">
        <f>IF(OR($F1294="",$I1294=""),0,IFERROR(INDEX(Nutrition!$K$2:$K$300,MATCH($F1294,Nutrition!$A$2:$A$300,0))*$I1294/100,0))</f>
        <v>0</v>
      </c>
      <c r="R1294" s="30">
        <f>IF(OR($F1294="",$I1294=""),0,IFERROR(INDEX(Nutrition!$L$2:$L$300,MATCH($F1294,Nutrition!$A$2:$A$300,0))*$I1294/100,0))</f>
        <v>0</v>
      </c>
      <c r="S1294" s="30">
        <f>IF(OR($F1294="",$I1294=""),0,IFERROR(INDEX(Nutrition!$M$2:$M$300,MATCH($F1294,Nutrition!$A$2:$A$300,0))*$I1294/100,0))</f>
        <v>0</v>
      </c>
    </row>
    <row r="1295" spans="1:19" ht="15" customHeight="1" x14ac:dyDescent="0.25">
      <c r="A1295" s="22" t="s">
        <v>2612</v>
      </c>
      <c r="B1295" s="33" t="str">
        <f>IFERROR(INDEX(Recipes!$B$2:$B$500,MATCH(A1295,Recipes!$A$2:$A$500,0)),"")</f>
        <v>Mediterranean Garden Egg &amp; Chickpea Bowl</v>
      </c>
      <c r="C1295" s="7" t="s">
        <v>2805</v>
      </c>
      <c r="D1295" s="34">
        <v>3</v>
      </c>
      <c r="E1295" s="22" t="s">
        <v>2753</v>
      </c>
      <c r="F1295" s="22"/>
      <c r="G1295" s="22" t="s">
        <v>2773</v>
      </c>
      <c r="H1295" s="7"/>
      <c r="I1295" s="35"/>
      <c r="J1295" s="30">
        <f>IF(OR($F1295="",$I1295=""),0,IFERROR(INDEX(Nutrition!$D$2:$D$300,MATCH($F1295,Nutrition!$A$2:$A$300,0))*$I1295/100,0))</f>
        <v>0</v>
      </c>
      <c r="K1295" s="30">
        <f>IF(OR($F1295="",$I1295=""),0,IFERROR(INDEX(Nutrition!$E$2:$E$300,MATCH($F1295,Nutrition!$A$2:$A$300,0))*$I1295/100,0))</f>
        <v>0</v>
      </c>
      <c r="L1295" s="30">
        <f>IF(OR($F1295="",$I1295=""),0,IFERROR(INDEX(Nutrition!$F$2:$F$300,MATCH($F1295,Nutrition!$A$2:$A$300,0))*$I1295/100,0))</f>
        <v>0</v>
      </c>
      <c r="M1295" s="30">
        <f>IF(OR($F1295="",$I1295=""),0,IFERROR(INDEX(Nutrition!$G$2:$G$300,MATCH($F1295,Nutrition!$A$2:$A$300,0))*$I1295/100,0))</f>
        <v>0</v>
      </c>
      <c r="N1295" s="30">
        <f>IF(OR($F1295="",$I1295=""),0,IFERROR(INDEX(Nutrition!$H$2:$H$300,MATCH($F1295,Nutrition!$A$2:$A$300,0))*$I1295/100,0))</f>
        <v>0</v>
      </c>
      <c r="O1295" s="30">
        <f>IF(OR($F1295="",$I1295=""),0,IFERROR(INDEX(Nutrition!$I$2:$I$300,MATCH($F1295,Nutrition!$A$2:$A$300,0))*$I1295/100,0))</f>
        <v>0</v>
      </c>
      <c r="P1295" s="30">
        <f>IF(OR($F1295="",$I1295=""),0,IFERROR(INDEX(Nutrition!$J$2:$J$300,MATCH($F1295,Nutrition!$A$2:$A$300,0))*$I1295/100,0))</f>
        <v>0</v>
      </c>
      <c r="Q1295" s="30">
        <f>IF(OR($F1295="",$I1295=""),0,IFERROR(INDEX(Nutrition!$K$2:$K$300,MATCH($F1295,Nutrition!$A$2:$A$300,0))*$I1295/100,0))</f>
        <v>0</v>
      </c>
      <c r="R1295" s="30">
        <f>IF(OR($F1295="",$I1295=""),0,IFERROR(INDEX(Nutrition!$L$2:$L$300,MATCH($F1295,Nutrition!$A$2:$A$300,0))*$I1295/100,0))</f>
        <v>0</v>
      </c>
      <c r="S1295" s="30">
        <f>IF(OR($F1295="",$I1295=""),0,IFERROR(INDEX(Nutrition!$M$2:$M$300,MATCH($F1295,Nutrition!$A$2:$A$300,0))*$I1295/100,0))</f>
        <v>0</v>
      </c>
    </row>
    <row r="1296" spans="1:19" ht="15" customHeight="1" x14ac:dyDescent="0.25">
      <c r="A1296" s="22" t="s">
        <v>2612</v>
      </c>
      <c r="B1296" s="33" t="str">
        <f>IFERROR(INDEX(Recipes!$B$2:$B$500,MATCH(A1296,Recipes!$A$2:$A$500,0)),"")</f>
        <v>Mediterranean Garden Egg &amp; Chickpea Bowl</v>
      </c>
      <c r="C1296" s="7" t="s">
        <v>2751</v>
      </c>
      <c r="D1296" s="34">
        <v>0.5</v>
      </c>
      <c r="E1296" s="22" t="s">
        <v>2748</v>
      </c>
      <c r="F1296" s="22"/>
      <c r="G1296" s="22" t="s">
        <v>2749</v>
      </c>
      <c r="H1296" s="7"/>
      <c r="I1296" s="35"/>
      <c r="J1296" s="30">
        <f>IF(OR($F1296="",$I1296=""),0,IFERROR(INDEX(Nutrition!$D$2:$D$300,MATCH($F1296,Nutrition!$A$2:$A$300,0))*$I1296/100,0))</f>
        <v>0</v>
      </c>
      <c r="K1296" s="30">
        <f>IF(OR($F1296="",$I1296=""),0,IFERROR(INDEX(Nutrition!$E$2:$E$300,MATCH($F1296,Nutrition!$A$2:$A$300,0))*$I1296/100,0))</f>
        <v>0</v>
      </c>
      <c r="L1296" s="30">
        <f>IF(OR($F1296="",$I1296=""),0,IFERROR(INDEX(Nutrition!$F$2:$F$300,MATCH($F1296,Nutrition!$A$2:$A$300,0))*$I1296/100,0))</f>
        <v>0</v>
      </c>
      <c r="M1296" s="30">
        <f>IF(OR($F1296="",$I1296=""),0,IFERROR(INDEX(Nutrition!$G$2:$G$300,MATCH($F1296,Nutrition!$A$2:$A$300,0))*$I1296/100,0))</f>
        <v>0</v>
      </c>
      <c r="N1296" s="30">
        <f>IF(OR($F1296="",$I1296=""),0,IFERROR(INDEX(Nutrition!$H$2:$H$300,MATCH($F1296,Nutrition!$A$2:$A$300,0))*$I1296/100,0))</f>
        <v>0</v>
      </c>
      <c r="O1296" s="30">
        <f>IF(OR($F1296="",$I1296=""),0,IFERROR(INDEX(Nutrition!$I$2:$I$300,MATCH($F1296,Nutrition!$A$2:$A$300,0))*$I1296/100,0))</f>
        <v>0</v>
      </c>
      <c r="P1296" s="30">
        <f>IF(OR($F1296="",$I1296=""),0,IFERROR(INDEX(Nutrition!$J$2:$J$300,MATCH($F1296,Nutrition!$A$2:$A$300,0))*$I1296/100,0))</f>
        <v>0</v>
      </c>
      <c r="Q1296" s="30">
        <f>IF(OR($F1296="",$I1296=""),0,IFERROR(INDEX(Nutrition!$K$2:$K$300,MATCH($F1296,Nutrition!$A$2:$A$300,0))*$I1296/100,0))</f>
        <v>0</v>
      </c>
      <c r="R1296" s="30">
        <f>IF(OR($F1296="",$I1296=""),0,IFERROR(INDEX(Nutrition!$L$2:$L$300,MATCH($F1296,Nutrition!$A$2:$A$300,0))*$I1296/100,0))</f>
        <v>0</v>
      </c>
      <c r="S1296" s="30">
        <f>IF(OR($F1296="",$I1296=""),0,IFERROR(INDEX(Nutrition!$M$2:$M$300,MATCH($F1296,Nutrition!$A$2:$A$300,0))*$I1296/100,0))</f>
        <v>0</v>
      </c>
    </row>
    <row r="1297" spans="1:19" ht="15" customHeight="1" x14ac:dyDescent="0.25">
      <c r="A1297" s="22" t="s">
        <v>2612</v>
      </c>
      <c r="B1297" s="33" t="str">
        <f>IFERROR(INDEX(Recipes!$B$2:$B$500,MATCH(A1297,Recipes!$A$2:$A$500,0)),"")</f>
        <v>Mediterranean Garden Egg &amp; Chickpea Bowl</v>
      </c>
      <c r="C1297" s="7" t="s">
        <v>2781</v>
      </c>
      <c r="D1297" s="34">
        <v>0.5</v>
      </c>
      <c r="E1297" s="22" t="s">
        <v>2759</v>
      </c>
      <c r="F1297" s="22"/>
      <c r="G1297" s="22" t="s">
        <v>2773</v>
      </c>
      <c r="H1297" s="7"/>
      <c r="I1297" s="35"/>
      <c r="J1297" s="30">
        <f>IF(OR($F1297="",$I1297=""),0,IFERROR(INDEX(Nutrition!$D$2:$D$300,MATCH($F1297,Nutrition!$A$2:$A$300,0))*$I1297/100,0))</f>
        <v>0</v>
      </c>
      <c r="K1297" s="30">
        <f>IF(OR($F1297="",$I1297=""),0,IFERROR(INDEX(Nutrition!$E$2:$E$300,MATCH($F1297,Nutrition!$A$2:$A$300,0))*$I1297/100,0))</f>
        <v>0</v>
      </c>
      <c r="L1297" s="30">
        <f>IF(OR($F1297="",$I1297=""),0,IFERROR(INDEX(Nutrition!$F$2:$F$300,MATCH($F1297,Nutrition!$A$2:$A$300,0))*$I1297/100,0))</f>
        <v>0</v>
      </c>
      <c r="M1297" s="30">
        <f>IF(OR($F1297="",$I1297=""),0,IFERROR(INDEX(Nutrition!$G$2:$G$300,MATCH($F1297,Nutrition!$A$2:$A$300,0))*$I1297/100,0))</f>
        <v>0</v>
      </c>
      <c r="N1297" s="30">
        <f>IF(OR($F1297="",$I1297=""),0,IFERROR(INDEX(Nutrition!$H$2:$H$300,MATCH($F1297,Nutrition!$A$2:$A$300,0))*$I1297/100,0))</f>
        <v>0</v>
      </c>
      <c r="O1297" s="30">
        <f>IF(OR($F1297="",$I1297=""),0,IFERROR(INDEX(Nutrition!$I$2:$I$300,MATCH($F1297,Nutrition!$A$2:$A$300,0))*$I1297/100,0))</f>
        <v>0</v>
      </c>
      <c r="P1297" s="30">
        <f>IF(OR($F1297="",$I1297=""),0,IFERROR(INDEX(Nutrition!$J$2:$J$300,MATCH($F1297,Nutrition!$A$2:$A$300,0))*$I1297/100,0))</f>
        <v>0</v>
      </c>
      <c r="Q1297" s="30">
        <f>IF(OR($F1297="",$I1297=""),0,IFERROR(INDEX(Nutrition!$K$2:$K$300,MATCH($F1297,Nutrition!$A$2:$A$300,0))*$I1297/100,0))</f>
        <v>0</v>
      </c>
      <c r="R1297" s="30">
        <f>IF(OR($F1297="",$I1297=""),0,IFERROR(INDEX(Nutrition!$L$2:$L$300,MATCH($F1297,Nutrition!$A$2:$A$300,0))*$I1297/100,0))</f>
        <v>0</v>
      </c>
      <c r="S1297" s="30">
        <f>IF(OR($F1297="",$I1297=""),0,IFERROR(INDEX(Nutrition!$M$2:$M$300,MATCH($F1297,Nutrition!$A$2:$A$300,0))*$I1297/100,0))</f>
        <v>0</v>
      </c>
    </row>
    <row r="1298" spans="1:19" ht="15" customHeight="1" x14ac:dyDescent="0.25">
      <c r="A1298" s="22" t="s">
        <v>2623</v>
      </c>
      <c r="B1298" s="33" t="str">
        <f>IFERROR(INDEX(Recipes!$B$2:$B$500,MATCH(A1298,Recipes!$A$2:$A$500,0)),"")</f>
        <v>Roasted Vegetable &amp; Hummus Bowl</v>
      </c>
      <c r="C1298" s="7" t="s">
        <v>462</v>
      </c>
      <c r="D1298" s="34">
        <v>1</v>
      </c>
      <c r="E1298" s="22" t="s">
        <v>2754</v>
      </c>
      <c r="F1298" s="22" t="s">
        <v>461</v>
      </c>
      <c r="G1298" s="22" t="s">
        <v>2755</v>
      </c>
      <c r="H1298" s="7" t="s">
        <v>3102</v>
      </c>
      <c r="I1298" s="35">
        <v>119</v>
      </c>
      <c r="J1298" s="30">
        <f>IF(OR($F1298="",$I1298=""),0,IFERROR(INDEX(Nutrition!$D$2:$D$300,MATCH($F1298,Nutrition!$A$2:$A$300,0))*$I1298/100,0))</f>
        <v>2.4990000000000001</v>
      </c>
      <c r="K1298" s="30">
        <f>IF(OR($F1298="",$I1298=""),0,IFERROR(INDEX(Nutrition!$E$2:$E$300,MATCH($F1298,Nutrition!$A$2:$A$300,0))*$I1298/100,0))</f>
        <v>151.96300000000002</v>
      </c>
      <c r="L1298" s="30">
        <f>IF(OR($F1298="",$I1298=""),0,IFERROR(INDEX(Nutrition!$F$2:$F$300,MATCH($F1298,Nutrition!$A$2:$A$300,0))*$I1298/100,0))</f>
        <v>186.83</v>
      </c>
      <c r="M1298" s="30">
        <f>IF(OR($F1298="",$I1298=""),0,IFERROR(INDEX(Nutrition!$G$2:$G$300,MATCH($F1298,Nutrition!$A$2:$A$300,0))*$I1298/100,0))</f>
        <v>5.8310000000000004</v>
      </c>
      <c r="N1298" s="30">
        <f>IF(OR($F1298="",$I1298=""),0,IFERROR(INDEX(Nutrition!$H$2:$H$300,MATCH($F1298,Nutrition!$A$2:$A$300,0))*$I1298/100,0))</f>
        <v>54.74</v>
      </c>
      <c r="O1298" s="30">
        <f>IF(OR($F1298="",$I1298=""),0,IFERROR(INDEX(Nutrition!$I$2:$I$300,MATCH($F1298,Nutrition!$A$2:$A$300,0))*$I1298/100,0))</f>
        <v>251.09</v>
      </c>
      <c r="P1298" s="30">
        <f>IF(OR($F1298="",$I1298=""),0,IFERROR(INDEX(Nutrition!$J$2:$J$300,MATCH($F1298,Nutrition!$A$2:$A$300,0))*$I1298/100,0))</f>
        <v>1.8802000000000001</v>
      </c>
      <c r="Q1298" s="30">
        <f>IF(OR($F1298="",$I1298=""),0,IFERROR(INDEX(Nutrition!$K$2:$K$300,MATCH($F1298,Nutrition!$A$2:$A$300,0))*$I1298/100,0))</f>
        <v>0.34628999999999999</v>
      </c>
      <c r="R1298" s="30">
        <f>IF(OR($F1298="",$I1298=""),0,IFERROR(INDEX(Nutrition!$L$2:$L$300,MATCH($F1298,Nutrition!$A$2:$A$300,0))*$I1298/100,0))</f>
        <v>14.28</v>
      </c>
      <c r="S1298" s="30">
        <f>IF(OR($F1298="",$I1298=""),0,IFERROR(INDEX(Nutrition!$M$2:$M$300,MATCH($F1298,Nutrition!$A$2:$A$300,0))*$I1298/100,0))</f>
        <v>0.51170000000000004</v>
      </c>
    </row>
    <row r="1299" spans="1:19" ht="15" customHeight="1" x14ac:dyDescent="0.25">
      <c r="A1299" s="22" t="s">
        <v>2623</v>
      </c>
      <c r="B1299" s="33" t="str">
        <f>IFERROR(INDEX(Recipes!$B$2:$B$500,MATCH(A1299,Recipes!$A$2:$A$500,0)),"")</f>
        <v>Roasted Vegetable &amp; Hummus Bowl</v>
      </c>
      <c r="C1299" s="7" t="s">
        <v>566</v>
      </c>
      <c r="D1299" s="34">
        <v>6</v>
      </c>
      <c r="E1299" s="22" t="s">
        <v>2754</v>
      </c>
      <c r="F1299" s="22" t="s">
        <v>565</v>
      </c>
      <c r="G1299" s="22" t="s">
        <v>2755</v>
      </c>
      <c r="H1299" s="7" t="s">
        <v>2907</v>
      </c>
      <c r="I1299" s="35">
        <v>240</v>
      </c>
      <c r="J1299" s="30">
        <f>IF(OR($F1299="",$I1299=""),0,IFERROR(INDEX(Nutrition!$D$2:$D$300,MATCH($F1299,Nutrition!$A$2:$A$300,0))*$I1299/100,0))</f>
        <v>8.4</v>
      </c>
      <c r="K1299" s="30">
        <f>IF(OR($F1299="",$I1299=""),0,IFERROR(INDEX(Nutrition!$E$2:$E$300,MATCH($F1299,Nutrition!$A$2:$A$300,0))*$I1299/100,0))</f>
        <v>27.84</v>
      </c>
      <c r="L1299" s="30">
        <f>IF(OR($F1299="",$I1299=""),0,IFERROR(INDEX(Nutrition!$F$2:$F$300,MATCH($F1299,Nutrition!$A$2:$A$300,0))*$I1299/100,0))</f>
        <v>4.8</v>
      </c>
      <c r="M1299" s="30">
        <f>IF(OR($F1299="",$I1299=""),0,IFERROR(INDEX(Nutrition!$G$2:$G$300,MATCH($F1299,Nutrition!$A$2:$A$300,0))*$I1299/100,0))</f>
        <v>8.4</v>
      </c>
      <c r="N1299" s="30">
        <f>IF(OR($F1299="",$I1299=""),0,IFERROR(INDEX(Nutrition!$H$2:$H$300,MATCH($F1299,Nutrition!$A$2:$A$300,0))*$I1299/100,0))</f>
        <v>52.8</v>
      </c>
      <c r="O1299" s="30">
        <f>IF(OR($F1299="",$I1299=""),0,IFERROR(INDEX(Nutrition!$I$2:$I$300,MATCH($F1299,Nutrition!$A$2:$A$300,0))*$I1299/100,0))</f>
        <v>576</v>
      </c>
      <c r="P1299" s="30">
        <f>IF(OR($F1299="",$I1299=""),0,IFERROR(INDEX(Nutrition!$J$2:$J$300,MATCH($F1299,Nutrition!$A$2:$A$300,0))*$I1299/100,0))</f>
        <v>0.72</v>
      </c>
      <c r="Q1299" s="30">
        <f>IF(OR($F1299="",$I1299=""),0,IFERROR(INDEX(Nutrition!$K$2:$K$300,MATCH($F1299,Nutrition!$A$2:$A$300,0))*$I1299/100,0))</f>
        <v>0.192</v>
      </c>
      <c r="R1299" s="30">
        <f>IF(OR($F1299="",$I1299=""),0,IFERROR(INDEX(Nutrition!$L$2:$L$300,MATCH($F1299,Nutrition!$A$2:$A$300,0))*$I1299/100,0))</f>
        <v>36</v>
      </c>
      <c r="S1299" s="30">
        <f>IF(OR($F1299="",$I1299=""),0,IFERROR(INDEX(Nutrition!$M$2:$M$300,MATCH($F1299,Nutrition!$A$2:$A$300,0))*$I1299/100,0))</f>
        <v>1.2</v>
      </c>
    </row>
    <row r="1300" spans="1:19" ht="15" customHeight="1" x14ac:dyDescent="0.25">
      <c r="A1300" s="22" t="s">
        <v>2623</v>
      </c>
      <c r="B1300" s="33" t="str">
        <f>IFERROR(INDEX(Recipes!$B$2:$B$500,MATCH(A1300,Recipes!$A$2:$A$500,0)),"")</f>
        <v>Roasted Vegetable &amp; Hummus Bowl</v>
      </c>
      <c r="C1300" s="7" t="s">
        <v>595</v>
      </c>
      <c r="D1300" s="34">
        <v>225</v>
      </c>
      <c r="E1300" s="22" t="s">
        <v>2813</v>
      </c>
      <c r="F1300" s="22" t="s">
        <v>594</v>
      </c>
      <c r="G1300" s="22" t="s">
        <v>2755</v>
      </c>
      <c r="H1300" s="7" t="s">
        <v>2907</v>
      </c>
      <c r="I1300" s="35">
        <v>225</v>
      </c>
      <c r="J1300" s="30">
        <f>IF(OR($F1300="",$I1300=""),0,IFERROR(INDEX(Nutrition!$D$2:$D$300,MATCH($F1300,Nutrition!$A$2:$A$300,0))*$I1300/100,0))</f>
        <v>5.1749999999999998</v>
      </c>
      <c r="K1300" s="30">
        <f>IF(OR($F1300="",$I1300=""),0,IFERROR(INDEX(Nutrition!$E$2:$E$300,MATCH($F1300,Nutrition!$A$2:$A$300,0))*$I1300/100,0))</f>
        <v>0</v>
      </c>
      <c r="L1300" s="30">
        <f>IF(OR($F1300="",$I1300=""),0,IFERROR(INDEX(Nutrition!$F$2:$F$300,MATCH($F1300,Nutrition!$A$2:$A$300,0))*$I1300/100,0))</f>
        <v>0</v>
      </c>
      <c r="M1300" s="30">
        <f>IF(OR($F1300="",$I1300=""),0,IFERROR(INDEX(Nutrition!$G$2:$G$300,MATCH($F1300,Nutrition!$A$2:$A$300,0))*$I1300/100,0))</f>
        <v>0</v>
      </c>
      <c r="N1300" s="30">
        <f>IF(OR($F1300="",$I1300=""),0,IFERROR(INDEX(Nutrition!$H$2:$H$300,MATCH($F1300,Nutrition!$A$2:$A$300,0))*$I1300/100,0))</f>
        <v>85.5</v>
      </c>
      <c r="O1300" s="30">
        <f>IF(OR($F1300="",$I1300=""),0,IFERROR(INDEX(Nutrition!$I$2:$I$300,MATCH($F1300,Nutrition!$A$2:$A$300,0))*$I1300/100,0))</f>
        <v>945</v>
      </c>
      <c r="P1300" s="30">
        <f>IF(OR($F1300="",$I1300=""),0,IFERROR(INDEX(Nutrition!$J$2:$J$300,MATCH($F1300,Nutrition!$A$2:$A$300,0))*$I1300/100,0))</f>
        <v>0</v>
      </c>
      <c r="Q1300" s="30">
        <f>IF(OR($F1300="",$I1300=""),0,IFERROR(INDEX(Nutrition!$K$2:$K$300,MATCH($F1300,Nutrition!$A$2:$A$300,0))*$I1300/100,0))</f>
        <v>0.2475</v>
      </c>
      <c r="R1300" s="30">
        <f>IF(OR($F1300="",$I1300=""),0,IFERROR(INDEX(Nutrition!$L$2:$L$300,MATCH($F1300,Nutrition!$A$2:$A$300,0))*$I1300/100,0))</f>
        <v>40.5</v>
      </c>
      <c r="S1300" s="30">
        <f>IF(OR($F1300="",$I1300=""),0,IFERROR(INDEX(Nutrition!$M$2:$M$300,MATCH($F1300,Nutrition!$A$2:$A$300,0))*$I1300/100,0))</f>
        <v>2.9925000000000002</v>
      </c>
    </row>
    <row r="1301" spans="1:19" ht="15" customHeight="1" x14ac:dyDescent="0.25">
      <c r="A1301" s="22" t="s">
        <v>2623</v>
      </c>
      <c r="B1301" s="33" t="str">
        <f>IFERROR(INDEX(Recipes!$B$2:$B$500,MATCH(A1301,Recipes!$A$2:$A$500,0)),"")</f>
        <v>Roasted Vegetable &amp; Hummus Bowl</v>
      </c>
      <c r="C1301" s="7" t="s">
        <v>592</v>
      </c>
      <c r="D1301" s="34">
        <v>1</v>
      </c>
      <c r="E1301" s="22" t="s">
        <v>2754</v>
      </c>
      <c r="F1301" s="22" t="s">
        <v>591</v>
      </c>
      <c r="G1301" s="22" t="s">
        <v>2755</v>
      </c>
      <c r="H1301" s="7" t="s">
        <v>3008</v>
      </c>
      <c r="I1301" s="35">
        <v>196</v>
      </c>
      <c r="J1301" s="30">
        <f>IF(OR($F1301="",$I1301=""),0,IFERROR(INDEX(Nutrition!$D$2:$D$300,MATCH($F1301,Nutrition!$A$2:$A$300,0))*$I1301/100,0))</f>
        <v>1.96</v>
      </c>
      <c r="K1301" s="30">
        <f>IF(OR($F1301="",$I1301=""),0,IFERROR(INDEX(Nutrition!$E$2:$E$300,MATCH($F1301,Nutrition!$A$2:$A$300,0))*$I1301/100,0))</f>
        <v>35.083999999999996</v>
      </c>
      <c r="L1301" s="30">
        <f>IF(OR($F1301="",$I1301=""),0,IFERROR(INDEX(Nutrition!$F$2:$F$300,MATCH($F1301,Nutrition!$A$2:$A$300,0))*$I1301/100,0))</f>
        <v>19.600000000000001</v>
      </c>
      <c r="M1301" s="30">
        <f>IF(OR($F1301="",$I1301=""),0,IFERROR(INDEX(Nutrition!$G$2:$G$300,MATCH($F1301,Nutrition!$A$2:$A$300,0))*$I1301/100,0))</f>
        <v>8.427999999999999</v>
      </c>
      <c r="N1301" s="30">
        <f>IF(OR($F1301="",$I1301=""),0,IFERROR(INDEX(Nutrition!$H$2:$H$300,MATCH($F1301,Nutrition!$A$2:$A$300,0))*$I1301/100,0))</f>
        <v>47.04</v>
      </c>
      <c r="O1301" s="30">
        <f>IF(OR($F1301="",$I1301=""),0,IFERROR(INDEX(Nutrition!$I$2:$I$300,MATCH($F1301,Nutrition!$A$2:$A$300,0))*$I1301/100,0))</f>
        <v>511.56</v>
      </c>
      <c r="P1301" s="30">
        <f>IF(OR($F1301="",$I1301=""),0,IFERROR(INDEX(Nutrition!$J$2:$J$300,MATCH($F1301,Nutrition!$A$2:$A$300,0))*$I1301/100,0))</f>
        <v>0.23519999999999999</v>
      </c>
      <c r="Q1301" s="30">
        <f>IF(OR($F1301="",$I1301=""),0,IFERROR(INDEX(Nutrition!$K$2:$K$300,MATCH($F1301,Nutrition!$A$2:$A$300,0))*$I1301/100,0))</f>
        <v>0.31947999999999999</v>
      </c>
      <c r="R1301" s="30">
        <f>IF(OR($F1301="",$I1301=""),0,IFERROR(INDEX(Nutrition!$L$2:$L$300,MATCH($F1301,Nutrition!$A$2:$A$300,0))*$I1301/100,0))</f>
        <v>35.28</v>
      </c>
      <c r="S1301" s="30">
        <f>IF(OR($F1301="",$I1301=""),0,IFERROR(INDEX(Nutrition!$M$2:$M$300,MATCH($F1301,Nutrition!$A$2:$A$300,0))*$I1301/100,0))</f>
        <v>0.72519999999999996</v>
      </c>
    </row>
    <row r="1302" spans="1:19" ht="15" customHeight="1" x14ac:dyDescent="0.25">
      <c r="A1302" s="22" t="s">
        <v>2623</v>
      </c>
      <c r="B1302" s="33" t="str">
        <f>IFERROR(INDEX(Recipes!$B$2:$B$500,MATCH(A1302,Recipes!$A$2:$A$500,0)),"")</f>
        <v>Roasted Vegetable &amp; Hummus Bowl</v>
      </c>
      <c r="C1302" s="7" t="s">
        <v>482</v>
      </c>
      <c r="D1302" s="34">
        <v>1</v>
      </c>
      <c r="E1302" s="22" t="s">
        <v>2754</v>
      </c>
      <c r="F1302" s="22" t="s">
        <v>481</v>
      </c>
      <c r="G1302" s="22" t="s">
        <v>2755</v>
      </c>
      <c r="H1302" s="7" t="s">
        <v>3103</v>
      </c>
      <c r="I1302" s="35">
        <v>110</v>
      </c>
      <c r="J1302" s="30">
        <f>IF(OR($F1302="",$I1302=""),0,IFERROR(INDEX(Nutrition!$D$2:$D$300,MATCH($F1302,Nutrition!$A$2:$A$300,0))*$I1302/100,0))</f>
        <v>1.87</v>
      </c>
      <c r="K1302" s="30">
        <f>IF(OR($F1302="",$I1302=""),0,IFERROR(INDEX(Nutrition!$E$2:$E$300,MATCH($F1302,Nutrition!$A$2:$A$300,0))*$I1302/100,0))</f>
        <v>8.14</v>
      </c>
      <c r="L1302" s="30">
        <f>IF(OR($F1302="",$I1302=""),0,IFERROR(INDEX(Nutrition!$F$2:$F$300,MATCH($F1302,Nutrition!$A$2:$A$300,0))*$I1302/100,0))</f>
        <v>0</v>
      </c>
      <c r="M1302" s="30">
        <f>IF(OR($F1302="",$I1302=""),0,IFERROR(INDEX(Nutrition!$G$2:$G$300,MATCH($F1302,Nutrition!$A$2:$A$300,0))*$I1302/100,0))</f>
        <v>0.44</v>
      </c>
      <c r="N1302" s="30">
        <f>IF(OR($F1302="",$I1302=""),0,IFERROR(INDEX(Nutrition!$H$2:$H$300,MATCH($F1302,Nutrition!$A$2:$A$300,0))*$I1302/100,0))</f>
        <v>20.9</v>
      </c>
      <c r="O1302" s="30">
        <f>IF(OR($F1302="",$I1302=""),0,IFERROR(INDEX(Nutrition!$I$2:$I$300,MATCH($F1302,Nutrition!$A$2:$A$300,0))*$I1302/100,0))</f>
        <v>160.6</v>
      </c>
      <c r="P1302" s="30">
        <f>IF(OR($F1302="",$I1302=""),0,IFERROR(INDEX(Nutrition!$J$2:$J$300,MATCH($F1302,Nutrition!$A$2:$A$300,0))*$I1302/100,0))</f>
        <v>2.2000000000000002E-2</v>
      </c>
      <c r="Q1302" s="30">
        <f>IF(OR($F1302="",$I1302=""),0,IFERROR(INDEX(Nutrition!$K$2:$K$300,MATCH($F1302,Nutrition!$A$2:$A$300,0))*$I1302/100,0))</f>
        <v>0.13200000000000001</v>
      </c>
      <c r="R1302" s="30">
        <f>IF(OR($F1302="",$I1302=""),0,IFERROR(INDEX(Nutrition!$L$2:$L$300,MATCH($F1302,Nutrition!$A$2:$A$300,0))*$I1302/100,0))</f>
        <v>11</v>
      </c>
      <c r="S1302" s="30">
        <f>IF(OR($F1302="",$I1302=""),0,IFERROR(INDEX(Nutrition!$M$2:$M$300,MATCH($F1302,Nutrition!$A$2:$A$300,0))*$I1302/100,0))</f>
        <v>0.23099999999999998</v>
      </c>
    </row>
    <row r="1303" spans="1:19" ht="15" customHeight="1" x14ac:dyDescent="0.25">
      <c r="A1303" s="22" t="s">
        <v>2623</v>
      </c>
      <c r="B1303" s="33" t="str">
        <f>IFERROR(INDEX(Recipes!$B$2:$B$500,MATCH(A1303,Recipes!$A$2:$A$500,0)),"")</f>
        <v>Roasted Vegetable &amp; Hummus Bowl</v>
      </c>
      <c r="C1303" s="7" t="s">
        <v>643</v>
      </c>
      <c r="D1303" s="34">
        <v>4</v>
      </c>
      <c r="E1303" s="22" t="s">
        <v>2790</v>
      </c>
      <c r="F1303" s="22" t="s">
        <v>642</v>
      </c>
      <c r="G1303" s="22" t="s">
        <v>2755</v>
      </c>
      <c r="H1303" s="7"/>
      <c r="I1303" s="35">
        <v>120</v>
      </c>
      <c r="J1303" s="30">
        <f>IF(OR($F1303="",$I1303=""),0,IFERROR(INDEX(Nutrition!$D$2:$D$300,MATCH($F1303,Nutrition!$A$2:$A$300,0))*$I1303/100,0))</f>
        <v>2.64</v>
      </c>
      <c r="K1303" s="30">
        <f>IF(OR($F1303="",$I1303=""),0,IFERROR(INDEX(Nutrition!$E$2:$E$300,MATCH($F1303,Nutrition!$A$2:$A$300,0))*$I1303/100,0))</f>
        <v>33.72</v>
      </c>
      <c r="L1303" s="30">
        <f>IF(OR($F1303="",$I1303=""),0,IFERROR(INDEX(Nutrition!$F$2:$F$300,MATCH($F1303,Nutrition!$A$2:$A$300,0))*$I1303/100,0))</f>
        <v>562.79999999999995</v>
      </c>
      <c r="M1303" s="30">
        <f>IF(OR($F1303="",$I1303=""),0,IFERROR(INDEX(Nutrition!$G$2:$G$300,MATCH($F1303,Nutrition!$A$2:$A$300,0))*$I1303/100,0))</f>
        <v>579.48</v>
      </c>
      <c r="N1303" s="30">
        <f>IF(OR($F1303="",$I1303=""),0,IFERROR(INDEX(Nutrition!$H$2:$H$300,MATCH($F1303,Nutrition!$A$2:$A$300,0))*$I1303/100,0))</f>
        <v>232.8</v>
      </c>
      <c r="O1303" s="30">
        <f>IF(OR($F1303="",$I1303=""),0,IFERROR(INDEX(Nutrition!$I$2:$I$300,MATCH($F1303,Nutrition!$A$2:$A$300,0))*$I1303/100,0))</f>
        <v>669.6</v>
      </c>
      <c r="P1303" s="30">
        <f>IF(OR($F1303="",$I1303=""),0,IFERROR(INDEX(Nutrition!$J$2:$J$300,MATCH($F1303,Nutrition!$A$2:$A$300,0))*$I1303/100,0))</f>
        <v>2.4359999999999995</v>
      </c>
      <c r="Q1303" s="30">
        <f>IF(OR($F1303="",$I1303=""),0,IFERROR(INDEX(Nutrition!$K$2:$K$300,MATCH($F1303,Nutrition!$A$2:$A$300,0))*$I1303/100,0))</f>
        <v>0.23400000000000001</v>
      </c>
      <c r="R1303" s="30">
        <f>IF(OR($F1303="",$I1303=""),0,IFERROR(INDEX(Nutrition!$L$2:$L$300,MATCH($F1303,Nutrition!$A$2:$A$300,0))*$I1303/100,0))</f>
        <v>94.8</v>
      </c>
      <c r="S1303" s="30">
        <f>IF(OR($F1303="",$I1303=""),0,IFERROR(INDEX(Nutrition!$M$2:$M$300,MATCH($F1303,Nutrition!$A$2:$A$300,0))*$I1303/100,0))</f>
        <v>3.2519999999999998</v>
      </c>
    </row>
    <row r="1304" spans="1:19" ht="15" customHeight="1" x14ac:dyDescent="0.25">
      <c r="A1304" s="22" t="s">
        <v>2623</v>
      </c>
      <c r="B1304" s="33" t="str">
        <f>IFERROR(INDEX(Recipes!$B$2:$B$500,MATCH(A1304,Recipes!$A$2:$A$500,0)),"")</f>
        <v>Roasted Vegetable &amp; Hummus Bowl</v>
      </c>
      <c r="C1304" s="7" t="s">
        <v>490</v>
      </c>
      <c r="D1304" s="34">
        <v>0.5</v>
      </c>
      <c r="E1304" s="22" t="s">
        <v>2748</v>
      </c>
      <c r="F1304" s="22" t="s">
        <v>489</v>
      </c>
      <c r="G1304" s="22" t="s">
        <v>2755</v>
      </c>
      <c r="H1304" s="7" t="s">
        <v>3104</v>
      </c>
      <c r="I1304" s="35">
        <v>50</v>
      </c>
      <c r="J1304" s="30">
        <f>IF(OR($F1304="",$I1304=""),0,IFERROR(INDEX(Nutrition!$D$2:$D$300,MATCH($F1304,Nutrition!$A$2:$A$300,0))*$I1304/100,0))</f>
        <v>1.3</v>
      </c>
      <c r="K1304" s="30">
        <f>IF(OR($F1304="",$I1304=""),0,IFERROR(INDEX(Nutrition!$E$2:$E$300,MATCH($F1304,Nutrition!$A$2:$A$300,0))*$I1304/100,0))</f>
        <v>9.4</v>
      </c>
      <c r="L1304" s="30">
        <f>IF(OR($F1304="",$I1304=""),0,IFERROR(INDEX(Nutrition!$F$2:$F$300,MATCH($F1304,Nutrition!$A$2:$A$300,0))*$I1304/100,0))</f>
        <v>25</v>
      </c>
      <c r="M1304" s="30">
        <f>IF(OR($F1304="",$I1304=""),0,IFERROR(INDEX(Nutrition!$G$2:$G$300,MATCH($F1304,Nutrition!$A$2:$A$300,0))*$I1304/100,0))</f>
        <v>103.5</v>
      </c>
      <c r="N1304" s="30">
        <f>IF(OR($F1304="",$I1304=""),0,IFERROR(INDEX(Nutrition!$H$2:$H$300,MATCH($F1304,Nutrition!$A$2:$A$300,0))*$I1304/100,0))</f>
        <v>32</v>
      </c>
      <c r="O1304" s="30">
        <f>IF(OR($F1304="",$I1304=""),0,IFERROR(INDEX(Nutrition!$I$2:$I$300,MATCH($F1304,Nutrition!$A$2:$A$300,0))*$I1304/100,0))</f>
        <v>138</v>
      </c>
      <c r="P1304" s="30">
        <f>IF(OR($F1304="",$I1304=""),0,IFERROR(INDEX(Nutrition!$J$2:$J$300,MATCH($F1304,Nutrition!$A$2:$A$300,0))*$I1304/100,0))</f>
        <v>0.27500000000000002</v>
      </c>
      <c r="Q1304" s="30">
        <f>IF(OR($F1304="",$I1304=""),0,IFERROR(INDEX(Nutrition!$K$2:$K$300,MATCH($F1304,Nutrition!$A$2:$A$300,0))*$I1304/100,0))</f>
        <v>3.0499999999999999E-2</v>
      </c>
      <c r="R1304" s="30">
        <f>IF(OR($F1304="",$I1304=""),0,IFERROR(INDEX(Nutrition!$L$2:$L$300,MATCH($F1304,Nutrition!$A$2:$A$300,0))*$I1304/100,0))</f>
        <v>10</v>
      </c>
      <c r="S1304" s="30">
        <f>IF(OR($F1304="",$I1304=""),0,IFERROR(INDEX(Nutrition!$M$2:$M$300,MATCH($F1304,Nutrition!$A$2:$A$300,0))*$I1304/100,0))</f>
        <v>0.74</v>
      </c>
    </row>
    <row r="1305" spans="1:19" ht="15" customHeight="1" x14ac:dyDescent="0.25">
      <c r="A1305" s="22" t="s">
        <v>2623</v>
      </c>
      <c r="B1305" s="33" t="str">
        <f>IFERROR(INDEX(Recipes!$B$2:$B$500,MATCH(A1305,Recipes!$A$2:$A$500,0)),"")</f>
        <v>Roasted Vegetable &amp; Hummus Bowl</v>
      </c>
      <c r="C1305" s="7" t="s">
        <v>206</v>
      </c>
      <c r="D1305" s="34">
        <v>1</v>
      </c>
      <c r="E1305" s="22" t="s">
        <v>2754</v>
      </c>
      <c r="F1305" s="22" t="s">
        <v>205</v>
      </c>
      <c r="G1305" s="22" t="s">
        <v>2755</v>
      </c>
      <c r="H1305" s="7" t="s">
        <v>2912</v>
      </c>
      <c r="I1305" s="35">
        <v>58</v>
      </c>
      <c r="J1305" s="30">
        <f>IF(OR($F1305="",$I1305=""),0,IFERROR(INDEX(Nutrition!$D$2:$D$300,MATCH($F1305,Nutrition!$A$2:$A$300,0))*$I1305/100,0))</f>
        <v>1.6239999999999997</v>
      </c>
      <c r="K1305" s="30">
        <f>IF(OR($F1305="",$I1305=""),0,IFERROR(INDEX(Nutrition!$E$2:$E$300,MATCH($F1305,Nutrition!$A$2:$A$300,0))*$I1305/100,0))</f>
        <v>30.74</v>
      </c>
      <c r="L1305" s="30">
        <f>IF(OR($F1305="",$I1305=""),0,IFERROR(INDEX(Nutrition!$F$2:$F$300,MATCH($F1305,Nutrition!$A$2:$A$300,0))*$I1305/100,0))</f>
        <v>0.57999999999999996</v>
      </c>
      <c r="M1305" s="30">
        <f>IF(OR($F1305="",$I1305=""),0,IFERROR(INDEX(Nutrition!$G$2:$G$300,MATCH($F1305,Nutrition!$A$2:$A$300,0))*$I1305/100,0))</f>
        <v>0</v>
      </c>
      <c r="N1305" s="30">
        <f>IF(OR($F1305="",$I1305=""),0,IFERROR(INDEX(Nutrition!$H$2:$H$300,MATCH($F1305,Nutrition!$A$2:$A$300,0))*$I1305/100,0))</f>
        <v>6.38</v>
      </c>
      <c r="O1305" s="30">
        <f>IF(OR($F1305="",$I1305=""),0,IFERROR(INDEX(Nutrition!$I$2:$I$300,MATCH($F1305,Nutrition!$A$2:$A$300,0))*$I1305/100,0))</f>
        <v>80.040000000000006</v>
      </c>
      <c r="P1305" s="30">
        <f>IF(OR($F1305="",$I1305=""),0,IFERROR(INDEX(Nutrition!$J$2:$J$300,MATCH($F1305,Nutrition!$A$2:$A$300,0))*$I1305/100,0))</f>
        <v>8.6999999999999994E-2</v>
      </c>
      <c r="Q1305" s="30">
        <f>IF(OR($F1305="",$I1305=""),0,IFERROR(INDEX(Nutrition!$K$2:$K$300,MATCH($F1305,Nutrition!$A$2:$A$300,0))*$I1305/100,0))</f>
        <v>4.6399999999999997E-2</v>
      </c>
      <c r="R1305" s="30">
        <f>IF(OR($F1305="",$I1305=""),0,IFERROR(INDEX(Nutrition!$L$2:$L$300,MATCH($F1305,Nutrition!$A$2:$A$300,0))*$I1305/100,0))</f>
        <v>4.6399999999999997</v>
      </c>
      <c r="S1305" s="30">
        <f>IF(OR($F1305="",$I1305=""),0,IFERROR(INDEX(Nutrition!$M$2:$M$300,MATCH($F1305,Nutrition!$A$2:$A$300,0))*$I1305/100,0))</f>
        <v>0.34799999999999998</v>
      </c>
    </row>
    <row r="1306" spans="1:19" ht="15" customHeight="1" x14ac:dyDescent="0.25">
      <c r="A1306" s="22" t="s">
        <v>2623</v>
      </c>
      <c r="B1306" s="33" t="str">
        <f>IFERROR(INDEX(Recipes!$B$2:$B$500,MATCH(A1306,Recipes!$A$2:$A$500,0)),"")</f>
        <v>Roasted Vegetable &amp; Hummus Bowl</v>
      </c>
      <c r="C1306" s="7" t="s">
        <v>671</v>
      </c>
      <c r="D1306" s="34">
        <v>2</v>
      </c>
      <c r="E1306" s="22" t="s">
        <v>2753</v>
      </c>
      <c r="F1306" s="22" t="s">
        <v>670</v>
      </c>
      <c r="G1306" s="22" t="s">
        <v>2755</v>
      </c>
      <c r="H1306" s="7" t="s">
        <v>2775</v>
      </c>
      <c r="I1306" s="35">
        <v>8</v>
      </c>
      <c r="J1306" s="30">
        <f>IF(OR($F1306="",$I1306=""),0,IFERROR(INDEX(Nutrition!$D$2:$D$300,MATCH($F1306,Nutrition!$A$2:$A$300,0))*$I1306/100,0))</f>
        <v>0.26400000000000001</v>
      </c>
      <c r="K1306" s="30">
        <f>IF(OR($F1306="",$I1306=""),0,IFERROR(INDEX(Nutrition!$E$2:$E$300,MATCH($F1306,Nutrition!$A$2:$A$300,0))*$I1306/100,0))</f>
        <v>10.64</v>
      </c>
      <c r="L1306" s="30">
        <f>IF(OR($F1306="",$I1306=""),0,IFERROR(INDEX(Nutrition!$F$2:$F$300,MATCH($F1306,Nutrition!$A$2:$A$300,0))*$I1306/100,0))</f>
        <v>33.68</v>
      </c>
      <c r="M1306" s="30">
        <f>IF(OR($F1306="",$I1306=""),0,IFERROR(INDEX(Nutrition!$G$2:$G$300,MATCH($F1306,Nutrition!$A$2:$A$300,0))*$I1306/100,0))</f>
        <v>131.19999999999999</v>
      </c>
      <c r="N1306" s="30">
        <f>IF(OR($F1306="",$I1306=""),0,IFERROR(INDEX(Nutrition!$H$2:$H$300,MATCH($F1306,Nutrition!$A$2:$A$300,0))*$I1306/100,0))</f>
        <v>12.16</v>
      </c>
      <c r="O1306" s="30">
        <f>IF(OR($F1306="",$I1306=""),0,IFERROR(INDEX(Nutrition!$I$2:$I$300,MATCH($F1306,Nutrition!$A$2:$A$300,0))*$I1306/100,0))</f>
        <v>44.32</v>
      </c>
      <c r="P1306" s="30">
        <f>IF(OR($F1306="",$I1306=""),0,IFERROR(INDEX(Nutrition!$J$2:$J$300,MATCH($F1306,Nutrition!$A$2:$A$300,0))*$I1306/100,0))</f>
        <v>0.06</v>
      </c>
      <c r="Q1306" s="30">
        <f>IF(OR($F1306="",$I1306=""),0,IFERROR(INDEX(Nutrition!$K$2:$K$300,MATCH($F1306,Nutrition!$A$2:$A$300,0))*$I1306/100,0))</f>
        <v>7.1999999999999998E-3</v>
      </c>
      <c r="R1306" s="30">
        <f>IF(OR($F1306="",$I1306=""),0,IFERROR(INDEX(Nutrition!$L$2:$L$300,MATCH($F1306,Nutrition!$A$2:$A$300,0))*$I1306/100,0))</f>
        <v>4</v>
      </c>
      <c r="S1306" s="30">
        <f>IF(OR($F1306="",$I1306=""),0,IFERROR(INDEX(Nutrition!$M$2:$M$300,MATCH($F1306,Nutrition!$A$2:$A$300,0))*$I1306/100,0))</f>
        <v>0.496</v>
      </c>
    </row>
    <row r="1307" spans="1:19" ht="15" customHeight="1" x14ac:dyDescent="0.25">
      <c r="A1307" s="22" t="s">
        <v>2623</v>
      </c>
      <c r="B1307" s="33" t="str">
        <f>IFERROR(INDEX(Recipes!$B$2:$B$500,MATCH(A1307,Recipes!$A$2:$A$500,0)),"")</f>
        <v>Roasted Vegetable &amp; Hummus Bowl</v>
      </c>
      <c r="C1307" s="7" t="s">
        <v>3105</v>
      </c>
      <c r="D1307" s="34">
        <v>4</v>
      </c>
      <c r="E1307" s="22" t="s">
        <v>2790</v>
      </c>
      <c r="F1307" s="22"/>
      <c r="G1307" s="22" t="s">
        <v>2749</v>
      </c>
      <c r="H1307" s="7"/>
      <c r="I1307" s="35"/>
      <c r="J1307" s="30">
        <f>IF(OR($F1307="",$I1307=""),0,IFERROR(INDEX(Nutrition!$D$2:$D$300,MATCH($F1307,Nutrition!$A$2:$A$300,0))*$I1307/100,0))</f>
        <v>0</v>
      </c>
      <c r="K1307" s="30">
        <f>IF(OR($F1307="",$I1307=""),0,IFERROR(INDEX(Nutrition!$E$2:$E$300,MATCH($F1307,Nutrition!$A$2:$A$300,0))*$I1307/100,0))</f>
        <v>0</v>
      </c>
      <c r="L1307" s="30">
        <f>IF(OR($F1307="",$I1307=""),0,IFERROR(INDEX(Nutrition!$F$2:$F$300,MATCH($F1307,Nutrition!$A$2:$A$300,0))*$I1307/100,0))</f>
        <v>0</v>
      </c>
      <c r="M1307" s="30">
        <f>IF(OR($F1307="",$I1307=""),0,IFERROR(INDEX(Nutrition!$G$2:$G$300,MATCH($F1307,Nutrition!$A$2:$A$300,0))*$I1307/100,0))</f>
        <v>0</v>
      </c>
      <c r="N1307" s="30">
        <f>IF(OR($F1307="",$I1307=""),0,IFERROR(INDEX(Nutrition!$H$2:$H$300,MATCH($F1307,Nutrition!$A$2:$A$300,0))*$I1307/100,0))</f>
        <v>0</v>
      </c>
      <c r="O1307" s="30">
        <f>IF(OR($F1307="",$I1307=""),0,IFERROR(INDEX(Nutrition!$I$2:$I$300,MATCH($F1307,Nutrition!$A$2:$A$300,0))*$I1307/100,0))</f>
        <v>0</v>
      </c>
      <c r="P1307" s="30">
        <f>IF(OR($F1307="",$I1307=""),0,IFERROR(INDEX(Nutrition!$J$2:$J$300,MATCH($F1307,Nutrition!$A$2:$A$300,0))*$I1307/100,0))</f>
        <v>0</v>
      </c>
      <c r="Q1307" s="30">
        <f>IF(OR($F1307="",$I1307=""),0,IFERROR(INDEX(Nutrition!$K$2:$K$300,MATCH($F1307,Nutrition!$A$2:$A$300,0))*$I1307/100,0))</f>
        <v>0</v>
      </c>
      <c r="R1307" s="30">
        <f>IF(OR($F1307="",$I1307=""),0,IFERROR(INDEX(Nutrition!$L$2:$L$300,MATCH($F1307,Nutrition!$A$2:$A$300,0))*$I1307/100,0))</f>
        <v>0</v>
      </c>
      <c r="S1307" s="30">
        <f>IF(OR($F1307="",$I1307=""),0,IFERROR(INDEX(Nutrition!$M$2:$M$300,MATCH($F1307,Nutrition!$A$2:$A$300,0))*$I1307/100,0))</f>
        <v>0</v>
      </c>
    </row>
    <row r="1308" spans="1:19" ht="15" customHeight="1" x14ac:dyDescent="0.25">
      <c r="A1308" s="22" t="s">
        <v>2623</v>
      </c>
      <c r="B1308" s="33" t="str">
        <f>IFERROR(INDEX(Recipes!$B$2:$B$500,MATCH(A1308,Recipes!$A$2:$A$500,0)),"")</f>
        <v>Roasted Vegetable &amp; Hummus Bowl</v>
      </c>
      <c r="C1308" s="7" t="s">
        <v>3106</v>
      </c>
      <c r="D1308" s="34">
        <v>1.5</v>
      </c>
      <c r="E1308" s="22" t="s">
        <v>2790</v>
      </c>
      <c r="F1308" s="22"/>
      <c r="G1308" s="22" t="s">
        <v>2749</v>
      </c>
      <c r="H1308" s="7" t="s">
        <v>3107</v>
      </c>
      <c r="I1308" s="35"/>
      <c r="J1308" s="30">
        <f>IF(OR($F1308="",$I1308=""),0,IFERROR(INDEX(Nutrition!$D$2:$D$300,MATCH($F1308,Nutrition!$A$2:$A$300,0))*$I1308/100,0))</f>
        <v>0</v>
      </c>
      <c r="K1308" s="30">
        <f>IF(OR($F1308="",$I1308=""),0,IFERROR(INDEX(Nutrition!$E$2:$E$300,MATCH($F1308,Nutrition!$A$2:$A$300,0))*$I1308/100,0))</f>
        <v>0</v>
      </c>
      <c r="L1308" s="30">
        <f>IF(OR($F1308="",$I1308=""),0,IFERROR(INDEX(Nutrition!$F$2:$F$300,MATCH($F1308,Nutrition!$A$2:$A$300,0))*$I1308/100,0))</f>
        <v>0</v>
      </c>
      <c r="M1308" s="30">
        <f>IF(OR($F1308="",$I1308=""),0,IFERROR(INDEX(Nutrition!$G$2:$G$300,MATCH($F1308,Nutrition!$A$2:$A$300,0))*$I1308/100,0))</f>
        <v>0</v>
      </c>
      <c r="N1308" s="30">
        <f>IF(OR($F1308="",$I1308=""),0,IFERROR(INDEX(Nutrition!$H$2:$H$300,MATCH($F1308,Nutrition!$A$2:$A$300,0))*$I1308/100,0))</f>
        <v>0</v>
      </c>
      <c r="O1308" s="30">
        <f>IF(OR($F1308="",$I1308=""),0,IFERROR(INDEX(Nutrition!$I$2:$I$300,MATCH($F1308,Nutrition!$A$2:$A$300,0))*$I1308/100,0))</f>
        <v>0</v>
      </c>
      <c r="P1308" s="30">
        <f>IF(OR($F1308="",$I1308=""),0,IFERROR(INDEX(Nutrition!$J$2:$J$300,MATCH($F1308,Nutrition!$A$2:$A$300,0))*$I1308/100,0))</f>
        <v>0</v>
      </c>
      <c r="Q1308" s="30">
        <f>IF(OR($F1308="",$I1308=""),0,IFERROR(INDEX(Nutrition!$K$2:$K$300,MATCH($F1308,Nutrition!$A$2:$A$300,0))*$I1308/100,0))</f>
        <v>0</v>
      </c>
      <c r="R1308" s="30">
        <f>IF(OR($F1308="",$I1308=""),0,IFERROR(INDEX(Nutrition!$L$2:$L$300,MATCH($F1308,Nutrition!$A$2:$A$300,0))*$I1308/100,0))</f>
        <v>0</v>
      </c>
      <c r="S1308" s="30">
        <f>IF(OR($F1308="",$I1308=""),0,IFERROR(INDEX(Nutrition!$M$2:$M$300,MATCH($F1308,Nutrition!$A$2:$A$300,0))*$I1308/100,0))</f>
        <v>0</v>
      </c>
    </row>
    <row r="1309" spans="1:19" ht="15" customHeight="1" x14ac:dyDescent="0.25">
      <c r="A1309" s="22" t="s">
        <v>2623</v>
      </c>
      <c r="B1309" s="33" t="str">
        <f>IFERROR(INDEX(Recipes!$B$2:$B$500,MATCH(A1309,Recipes!$A$2:$A$500,0)),"")</f>
        <v>Roasted Vegetable &amp; Hummus Bowl</v>
      </c>
      <c r="C1309" s="7" t="s">
        <v>2805</v>
      </c>
      <c r="D1309" s="34">
        <v>2</v>
      </c>
      <c r="E1309" s="22" t="s">
        <v>2753</v>
      </c>
      <c r="F1309" s="22"/>
      <c r="G1309" s="22" t="s">
        <v>2773</v>
      </c>
      <c r="H1309" s="7"/>
      <c r="I1309" s="35"/>
      <c r="J1309" s="30">
        <f>IF(OR($F1309="",$I1309=""),0,IFERROR(INDEX(Nutrition!$D$2:$D$300,MATCH($F1309,Nutrition!$A$2:$A$300,0))*$I1309/100,0))</f>
        <v>0</v>
      </c>
      <c r="K1309" s="30">
        <f>IF(OR($F1309="",$I1309=""),0,IFERROR(INDEX(Nutrition!$E$2:$E$300,MATCH($F1309,Nutrition!$A$2:$A$300,0))*$I1309/100,0))</f>
        <v>0</v>
      </c>
      <c r="L1309" s="30">
        <f>IF(OR($F1309="",$I1309=""),0,IFERROR(INDEX(Nutrition!$F$2:$F$300,MATCH($F1309,Nutrition!$A$2:$A$300,0))*$I1309/100,0))</f>
        <v>0</v>
      </c>
      <c r="M1309" s="30">
        <f>IF(OR($F1309="",$I1309=""),0,IFERROR(INDEX(Nutrition!$G$2:$G$300,MATCH($F1309,Nutrition!$A$2:$A$300,0))*$I1309/100,0))</f>
        <v>0</v>
      </c>
      <c r="N1309" s="30">
        <f>IF(OR($F1309="",$I1309=""),0,IFERROR(INDEX(Nutrition!$H$2:$H$300,MATCH($F1309,Nutrition!$A$2:$A$300,0))*$I1309/100,0))</f>
        <v>0</v>
      </c>
      <c r="O1309" s="30">
        <f>IF(OR($F1309="",$I1309=""),0,IFERROR(INDEX(Nutrition!$I$2:$I$300,MATCH($F1309,Nutrition!$A$2:$A$300,0))*$I1309/100,0))</f>
        <v>0</v>
      </c>
      <c r="P1309" s="30">
        <f>IF(OR($F1309="",$I1309=""),0,IFERROR(INDEX(Nutrition!$J$2:$J$300,MATCH($F1309,Nutrition!$A$2:$A$300,0))*$I1309/100,0))</f>
        <v>0</v>
      </c>
      <c r="Q1309" s="30">
        <f>IF(OR($F1309="",$I1309=""),0,IFERROR(INDEX(Nutrition!$K$2:$K$300,MATCH($F1309,Nutrition!$A$2:$A$300,0))*$I1309/100,0))</f>
        <v>0</v>
      </c>
      <c r="R1309" s="30">
        <f>IF(OR($F1309="",$I1309=""),0,IFERROR(INDEX(Nutrition!$L$2:$L$300,MATCH($F1309,Nutrition!$A$2:$A$300,0))*$I1309/100,0))</f>
        <v>0</v>
      </c>
      <c r="S1309" s="30">
        <f>IF(OR($F1309="",$I1309=""),0,IFERROR(INDEX(Nutrition!$M$2:$M$300,MATCH($F1309,Nutrition!$A$2:$A$300,0))*$I1309/100,0))</f>
        <v>0</v>
      </c>
    </row>
    <row r="1310" spans="1:19" ht="15" customHeight="1" x14ac:dyDescent="0.25">
      <c r="A1310" s="22" t="s">
        <v>2623</v>
      </c>
      <c r="B1310" s="33" t="str">
        <f>IFERROR(INDEX(Recipes!$B$2:$B$500,MATCH(A1310,Recipes!$A$2:$A$500,0)),"")</f>
        <v>Roasted Vegetable &amp; Hummus Bowl</v>
      </c>
      <c r="C1310" s="7" t="s">
        <v>2906</v>
      </c>
      <c r="D1310" s="34">
        <v>0.5</v>
      </c>
      <c r="E1310" s="22" t="s">
        <v>2759</v>
      </c>
      <c r="F1310" s="22"/>
      <c r="G1310" s="22" t="s">
        <v>2773</v>
      </c>
      <c r="H1310" s="7"/>
      <c r="I1310" s="35"/>
      <c r="J1310" s="30">
        <f>IF(OR($F1310="",$I1310=""),0,IFERROR(INDEX(Nutrition!$D$2:$D$300,MATCH($F1310,Nutrition!$A$2:$A$300,0))*$I1310/100,0))</f>
        <v>0</v>
      </c>
      <c r="K1310" s="30">
        <f>IF(OR($F1310="",$I1310=""),0,IFERROR(INDEX(Nutrition!$E$2:$E$300,MATCH($F1310,Nutrition!$A$2:$A$300,0))*$I1310/100,0))</f>
        <v>0</v>
      </c>
      <c r="L1310" s="30">
        <f>IF(OR($F1310="",$I1310=""),0,IFERROR(INDEX(Nutrition!$F$2:$F$300,MATCH($F1310,Nutrition!$A$2:$A$300,0))*$I1310/100,0))</f>
        <v>0</v>
      </c>
      <c r="M1310" s="30">
        <f>IF(OR($F1310="",$I1310=""),0,IFERROR(INDEX(Nutrition!$G$2:$G$300,MATCH($F1310,Nutrition!$A$2:$A$300,0))*$I1310/100,0))</f>
        <v>0</v>
      </c>
      <c r="N1310" s="30">
        <f>IF(OR($F1310="",$I1310=""),0,IFERROR(INDEX(Nutrition!$H$2:$H$300,MATCH($F1310,Nutrition!$A$2:$A$300,0))*$I1310/100,0))</f>
        <v>0</v>
      </c>
      <c r="O1310" s="30">
        <f>IF(OR($F1310="",$I1310=""),0,IFERROR(INDEX(Nutrition!$I$2:$I$300,MATCH($F1310,Nutrition!$A$2:$A$300,0))*$I1310/100,0))</f>
        <v>0</v>
      </c>
      <c r="P1310" s="30">
        <f>IF(OR($F1310="",$I1310=""),0,IFERROR(INDEX(Nutrition!$J$2:$J$300,MATCH($F1310,Nutrition!$A$2:$A$300,0))*$I1310/100,0))</f>
        <v>0</v>
      </c>
      <c r="Q1310" s="30">
        <f>IF(OR($F1310="",$I1310=""),0,IFERROR(INDEX(Nutrition!$K$2:$K$300,MATCH($F1310,Nutrition!$A$2:$A$300,0))*$I1310/100,0))</f>
        <v>0</v>
      </c>
      <c r="R1310" s="30">
        <f>IF(OR($F1310="",$I1310=""),0,IFERROR(INDEX(Nutrition!$L$2:$L$300,MATCH($F1310,Nutrition!$A$2:$A$300,0))*$I1310/100,0))</f>
        <v>0</v>
      </c>
      <c r="S1310" s="30">
        <f>IF(OR($F1310="",$I1310=""),0,IFERROR(INDEX(Nutrition!$M$2:$M$300,MATCH($F1310,Nutrition!$A$2:$A$300,0))*$I1310/100,0))</f>
        <v>0</v>
      </c>
    </row>
    <row r="1311" spans="1:19" ht="15" customHeight="1" x14ac:dyDescent="0.25">
      <c r="A1311" s="22" t="s">
        <v>2635</v>
      </c>
      <c r="B1311" s="33" t="str">
        <f>IFERROR(INDEX(Recipes!$B$2:$B$500,MATCH(A1311,Recipes!$A$2:$A$500,0)),"")</f>
        <v>Mexican Street Corn &amp; Chicken Bowl</v>
      </c>
      <c r="C1311" s="7" t="s">
        <v>556</v>
      </c>
      <c r="D1311" s="34">
        <v>3</v>
      </c>
      <c r="E1311" s="22" t="s">
        <v>2841</v>
      </c>
      <c r="F1311" s="22" t="s">
        <v>555</v>
      </c>
      <c r="G1311" s="22" t="s">
        <v>2755</v>
      </c>
      <c r="H1311" s="7" t="s">
        <v>3108</v>
      </c>
      <c r="I1311" s="35">
        <v>270</v>
      </c>
      <c r="J1311" s="30">
        <f>IF(OR($F1311="",$I1311=""),0,IFERROR(INDEX(Nutrition!$D$2:$D$300,MATCH($F1311,Nutrition!$A$2:$A$300,0))*$I1311/100,0))</f>
        <v>7.29</v>
      </c>
      <c r="K1311" s="30">
        <f>IF(OR($F1311="",$I1311=""),0,IFERROR(INDEX(Nutrition!$E$2:$E$300,MATCH($F1311,Nutrition!$A$2:$A$300,0))*$I1311/100,0))</f>
        <v>18.36</v>
      </c>
      <c r="L1311" s="30">
        <f>IF(OR($F1311="",$I1311=""),0,IFERROR(INDEX(Nutrition!$F$2:$F$300,MATCH($F1311,Nutrition!$A$2:$A$300,0))*$I1311/100,0))</f>
        <v>24.3</v>
      </c>
      <c r="M1311" s="30">
        <f>IF(OR($F1311="",$I1311=""),0,IFERROR(INDEX(Nutrition!$G$2:$G$300,MATCH($F1311,Nutrition!$A$2:$A$300,0))*$I1311/100,0))</f>
        <v>0.81</v>
      </c>
      <c r="N1311" s="30">
        <f>IF(OR($F1311="",$I1311=""),0,IFERROR(INDEX(Nutrition!$H$2:$H$300,MATCH($F1311,Nutrition!$A$2:$A$300,0))*$I1311/100,0))</f>
        <v>113.4</v>
      </c>
      <c r="O1311" s="30">
        <f>IF(OR($F1311="",$I1311=""),0,IFERROR(INDEX(Nutrition!$I$2:$I$300,MATCH($F1311,Nutrition!$A$2:$A$300,0))*$I1311/100,0))</f>
        <v>729</v>
      </c>
      <c r="P1311" s="30">
        <f>IF(OR($F1311="",$I1311=""),0,IFERROR(INDEX(Nutrition!$J$2:$J$300,MATCH($F1311,Nutrition!$A$2:$A$300,0))*$I1311/100,0))</f>
        <v>0.18900000000000003</v>
      </c>
      <c r="Q1311" s="30">
        <f>IF(OR($F1311="",$I1311=""),0,IFERROR(INDEX(Nutrition!$K$2:$K$300,MATCH($F1311,Nutrition!$A$2:$A$300,0))*$I1311/100,0))</f>
        <v>0.25109999999999999</v>
      </c>
      <c r="R1311" s="30">
        <f>IF(OR($F1311="",$I1311=""),0,IFERROR(INDEX(Nutrition!$L$2:$L$300,MATCH($F1311,Nutrition!$A$2:$A$300,0))*$I1311/100,0))</f>
        <v>99.9</v>
      </c>
      <c r="S1311" s="30">
        <f>IF(OR($F1311="",$I1311=""),0,IFERROR(INDEX(Nutrition!$M$2:$M$300,MATCH($F1311,Nutrition!$A$2:$A$300,0))*$I1311/100,0))</f>
        <v>1.4040000000000001</v>
      </c>
    </row>
    <row r="1312" spans="1:19" ht="15" customHeight="1" x14ac:dyDescent="0.25">
      <c r="A1312" s="22" t="s">
        <v>2635</v>
      </c>
      <c r="B1312" s="33" t="str">
        <f>IFERROR(INDEX(Recipes!$B$2:$B$500,MATCH(A1312,Recipes!$A$2:$A$500,0)),"")</f>
        <v>Mexican Street Corn &amp; Chicken Bowl</v>
      </c>
      <c r="C1312" s="7" t="s">
        <v>227</v>
      </c>
      <c r="D1312" s="34">
        <v>1</v>
      </c>
      <c r="E1312" s="22" t="s">
        <v>2754</v>
      </c>
      <c r="F1312" s="22" t="s">
        <v>226</v>
      </c>
      <c r="G1312" s="22" t="s">
        <v>2755</v>
      </c>
      <c r="H1312" s="7" t="s">
        <v>2775</v>
      </c>
      <c r="I1312" s="35">
        <v>201</v>
      </c>
      <c r="J1312" s="30">
        <f>IF(OR($F1312="",$I1312=""),0,IFERROR(INDEX(Nutrition!$D$2:$D$300,MATCH($F1312,Nutrition!$A$2:$A$300,0))*$I1312/100,0))</f>
        <v>13.467000000000001</v>
      </c>
      <c r="K1312" s="30">
        <f>IF(OR($F1312="",$I1312=""),0,IFERROR(INDEX(Nutrition!$E$2:$E$300,MATCH($F1312,Nutrition!$A$2:$A$300,0))*$I1312/100,0))</f>
        <v>20.100000000000001</v>
      </c>
      <c r="L1312" s="30">
        <f>IF(OR($F1312="",$I1312=""),0,IFERROR(INDEX(Nutrition!$F$2:$F$300,MATCH($F1312,Nutrition!$A$2:$A$300,0))*$I1312/100,0))</f>
        <v>14.07</v>
      </c>
      <c r="M1312" s="30">
        <f>IF(OR($F1312="",$I1312=""),0,IFERROR(INDEX(Nutrition!$G$2:$G$300,MATCH($F1312,Nutrition!$A$2:$A$300,0))*$I1312/100,0))</f>
        <v>42.21</v>
      </c>
      <c r="N1312" s="30">
        <f>IF(OR($F1312="",$I1312=""),0,IFERROR(INDEX(Nutrition!$H$2:$H$300,MATCH($F1312,Nutrition!$A$2:$A$300,0))*$I1312/100,0))</f>
        <v>162.81</v>
      </c>
      <c r="O1312" s="30">
        <f>IF(OR($F1312="",$I1312=""),0,IFERROR(INDEX(Nutrition!$I$2:$I$300,MATCH($F1312,Nutrition!$A$2:$A$300,0))*$I1312/100,0))</f>
        <v>974.85</v>
      </c>
      <c r="P1312" s="30">
        <f>IF(OR($F1312="",$I1312=""),0,IFERROR(INDEX(Nutrition!$J$2:$J$300,MATCH($F1312,Nutrition!$A$2:$A$300,0))*$I1312/100,0))</f>
        <v>4.1607000000000003</v>
      </c>
      <c r="Q1312" s="30">
        <f>IF(OR($F1312="",$I1312=""),0,IFERROR(INDEX(Nutrition!$K$2:$K$300,MATCH($F1312,Nutrition!$A$2:$A$300,0))*$I1312/100,0))</f>
        <v>0.51657000000000008</v>
      </c>
      <c r="R1312" s="30">
        <f>IF(OR($F1312="",$I1312=""),0,IFERROR(INDEX(Nutrition!$L$2:$L$300,MATCH($F1312,Nutrition!$A$2:$A$300,0))*$I1312/100,0))</f>
        <v>58.29</v>
      </c>
      <c r="S1312" s="30">
        <f>IF(OR($F1312="",$I1312=""),0,IFERROR(INDEX(Nutrition!$M$2:$M$300,MATCH($F1312,Nutrition!$A$2:$A$300,0))*$I1312/100,0))</f>
        <v>1.1055000000000001</v>
      </c>
    </row>
    <row r="1313" spans="1:19" ht="15" customHeight="1" x14ac:dyDescent="0.25">
      <c r="A1313" s="22" t="s">
        <v>2635</v>
      </c>
      <c r="B1313" s="33" t="str">
        <f>IFERROR(INDEX(Recipes!$B$2:$B$500,MATCH(A1313,Recipes!$A$2:$A$500,0)),"")</f>
        <v>Mexican Street Corn &amp; Chicken Bowl</v>
      </c>
      <c r="C1313" s="7" t="s">
        <v>668</v>
      </c>
      <c r="D1313" s="34">
        <v>1</v>
      </c>
      <c r="E1313" s="22" t="s">
        <v>2748</v>
      </c>
      <c r="F1313" s="22" t="s">
        <v>667</v>
      </c>
      <c r="G1313" s="22" t="s">
        <v>2755</v>
      </c>
      <c r="H1313" s="7" t="s">
        <v>2775</v>
      </c>
      <c r="I1313" s="35">
        <v>16</v>
      </c>
      <c r="J1313" s="30">
        <f>IF(OR($F1313="",$I1313=""),0,IFERROR(INDEX(Nutrition!$D$2:$D$300,MATCH($F1313,Nutrition!$A$2:$A$300,0))*$I1313/100,0))</f>
        <v>0.44799999999999995</v>
      </c>
      <c r="K1313" s="30">
        <f>IF(OR($F1313="",$I1313=""),0,IFERROR(INDEX(Nutrition!$E$2:$E$300,MATCH($F1313,Nutrition!$A$2:$A$300,0))*$I1313/100,0))</f>
        <v>4.32</v>
      </c>
      <c r="L1313" s="30">
        <f>IF(OR($F1313="",$I1313=""),0,IFERROR(INDEX(Nutrition!$F$2:$F$300,MATCH($F1313,Nutrition!$A$2:$A$300,0))*$I1313/100,0))</f>
        <v>53.92</v>
      </c>
      <c r="M1313" s="30">
        <f>IF(OR($F1313="",$I1313=""),0,IFERROR(INDEX(Nutrition!$G$2:$G$300,MATCH($F1313,Nutrition!$A$2:$A$300,0))*$I1313/100,0))</f>
        <v>49.6</v>
      </c>
      <c r="N1313" s="30">
        <f>IF(OR($F1313="",$I1313=""),0,IFERROR(INDEX(Nutrition!$H$2:$H$300,MATCH($F1313,Nutrition!$A$2:$A$300,0))*$I1313/100,0))</f>
        <v>9.92</v>
      </c>
      <c r="O1313" s="30">
        <f>IF(OR($F1313="",$I1313=""),0,IFERROR(INDEX(Nutrition!$I$2:$I$300,MATCH($F1313,Nutrition!$A$2:$A$300,0))*$I1313/100,0))</f>
        <v>83.36</v>
      </c>
      <c r="P1313" s="30">
        <f>IF(OR($F1313="",$I1313=""),0,IFERROR(INDEX(Nutrition!$J$2:$J$300,MATCH($F1313,Nutrition!$A$2:$A$300,0))*$I1313/100,0))</f>
        <v>0.4</v>
      </c>
      <c r="Q1313" s="30">
        <f>IF(OR($F1313="",$I1313=""),0,IFERROR(INDEX(Nutrition!$K$2:$K$300,MATCH($F1313,Nutrition!$A$2:$A$300,0))*$I1313/100,0))</f>
        <v>2.384E-2</v>
      </c>
      <c r="R1313" s="30">
        <f>IF(OR($F1313="",$I1313=""),0,IFERROR(INDEX(Nutrition!$L$2:$L$300,MATCH($F1313,Nutrition!$A$2:$A$300,0))*$I1313/100,0))</f>
        <v>4.16</v>
      </c>
      <c r="S1313" s="30">
        <f>IF(OR($F1313="",$I1313=""),0,IFERROR(INDEX(Nutrition!$M$2:$M$300,MATCH($F1313,Nutrition!$A$2:$A$300,0))*$I1313/100,0))</f>
        <v>0.28320000000000001</v>
      </c>
    </row>
    <row r="1314" spans="1:19" ht="15" customHeight="1" x14ac:dyDescent="0.25">
      <c r="A1314" s="22" t="s">
        <v>2635</v>
      </c>
      <c r="B1314" s="33" t="str">
        <f>IFERROR(INDEX(Recipes!$B$2:$B$500,MATCH(A1314,Recipes!$A$2:$A$500,0)),"")</f>
        <v>Mexican Street Corn &amp; Chicken Bowl</v>
      </c>
      <c r="C1314" s="7" t="s">
        <v>213</v>
      </c>
      <c r="D1314" s="34">
        <v>3</v>
      </c>
      <c r="E1314" s="22" t="s">
        <v>2754</v>
      </c>
      <c r="F1314" s="22" t="s">
        <v>212</v>
      </c>
      <c r="G1314" s="22" t="s">
        <v>2755</v>
      </c>
      <c r="H1314" s="7" t="s">
        <v>2912</v>
      </c>
      <c r="I1314" s="35">
        <v>201</v>
      </c>
      <c r="J1314" s="30">
        <f>IF(OR($F1314="",$I1314=""),0,IFERROR(INDEX(Nutrition!$D$2:$D$300,MATCH($F1314,Nutrition!$A$2:$A$300,0))*$I1314/100,0))</f>
        <v>5.6279999999999992</v>
      </c>
      <c r="K1314" s="30">
        <f>IF(OR($F1314="",$I1314=""),0,IFERROR(INDEX(Nutrition!$E$2:$E$300,MATCH($F1314,Nutrition!$A$2:$A$300,0))*$I1314/100,0))</f>
        <v>58.491000000000007</v>
      </c>
      <c r="L1314" s="30">
        <f>IF(OR($F1314="",$I1314=""),0,IFERROR(INDEX(Nutrition!$F$2:$F$300,MATCH($F1314,Nutrition!$A$2:$A$300,0))*$I1314/100,0))</f>
        <v>4.0199999999999996</v>
      </c>
      <c r="M1314" s="30">
        <f>IF(OR($F1314="",$I1314=""),0,IFERROR(INDEX(Nutrition!$G$2:$G$300,MATCH($F1314,Nutrition!$A$2:$A$300,0))*$I1314/100,0))</f>
        <v>1.206</v>
      </c>
      <c r="N1314" s="30">
        <f>IF(OR($F1314="",$I1314=""),0,IFERROR(INDEX(Nutrition!$H$2:$H$300,MATCH($F1314,Nutrition!$A$2:$A$300,0))*$I1314/100,0))</f>
        <v>16.079999999999998</v>
      </c>
      <c r="O1314" s="30">
        <f>IF(OR($F1314="",$I1314=""),0,IFERROR(INDEX(Nutrition!$I$2:$I$300,MATCH($F1314,Nutrition!$A$2:$A$300,0))*$I1314/100,0))</f>
        <v>205.02</v>
      </c>
      <c r="P1314" s="30">
        <f>IF(OR($F1314="",$I1314=""),0,IFERROR(INDEX(Nutrition!$J$2:$J$300,MATCH($F1314,Nutrition!$A$2:$A$300,0))*$I1314/100,0))</f>
        <v>0.44219999999999998</v>
      </c>
      <c r="Q1314" s="30">
        <f>IF(OR($F1314="",$I1314=""),0,IFERROR(INDEX(Nutrition!$K$2:$K$300,MATCH($F1314,Nutrition!$A$2:$A$300,0))*$I1314/100,0))</f>
        <v>8.6429999999999993E-2</v>
      </c>
      <c r="R1314" s="30">
        <f>IF(OR($F1314="",$I1314=""),0,IFERROR(INDEX(Nutrition!$L$2:$L$300,MATCH($F1314,Nutrition!$A$2:$A$300,0))*$I1314/100,0))</f>
        <v>12.06</v>
      </c>
      <c r="S1314" s="30">
        <f>IF(OR($F1314="",$I1314=""),0,IFERROR(INDEX(Nutrition!$M$2:$M$300,MATCH($F1314,Nutrition!$A$2:$A$300,0))*$I1314/100,0))</f>
        <v>1.206</v>
      </c>
    </row>
    <row r="1315" spans="1:19" ht="15" customHeight="1" x14ac:dyDescent="0.25">
      <c r="A1315" s="22" t="s">
        <v>2635</v>
      </c>
      <c r="B1315" s="33" t="str">
        <f>IFERROR(INDEX(Recipes!$B$2:$B$500,MATCH(A1315,Recipes!$A$2:$A$500,0)),"")</f>
        <v>Mexican Street Corn &amp; Chicken Bowl</v>
      </c>
      <c r="C1315" s="7" t="s">
        <v>500</v>
      </c>
      <c r="D1315" s="34">
        <v>3</v>
      </c>
      <c r="E1315" s="22" t="s">
        <v>2776</v>
      </c>
      <c r="F1315" s="22" t="s">
        <v>499</v>
      </c>
      <c r="G1315" s="22" t="s">
        <v>2755</v>
      </c>
      <c r="H1315" s="7" t="s">
        <v>2791</v>
      </c>
      <c r="I1315" s="35">
        <v>9</v>
      </c>
      <c r="J1315" s="30">
        <f>IF(OR($F1315="",$I1315=""),0,IFERROR(INDEX(Nutrition!$D$2:$D$300,MATCH($F1315,Nutrition!$A$2:$A$300,0))*$I1315/100,0))</f>
        <v>0.18900000000000003</v>
      </c>
      <c r="K1315" s="30">
        <f>IF(OR($F1315="",$I1315=""),0,IFERROR(INDEX(Nutrition!$E$2:$E$300,MATCH($F1315,Nutrition!$A$2:$A$300,0))*$I1315/100,0))</f>
        <v>2.8080000000000003</v>
      </c>
      <c r="L1315" s="30">
        <f>IF(OR($F1315="",$I1315=""),0,IFERROR(INDEX(Nutrition!$F$2:$F$300,MATCH($F1315,Nutrition!$A$2:$A$300,0))*$I1315/100,0))</f>
        <v>0</v>
      </c>
      <c r="M1315" s="30">
        <f>IF(OR($F1315="",$I1315=""),0,IFERROR(INDEX(Nutrition!$G$2:$G$300,MATCH($F1315,Nutrition!$A$2:$A$300,0))*$I1315/100,0))</f>
        <v>0.153</v>
      </c>
      <c r="N1315" s="30">
        <f>IF(OR($F1315="",$I1315=""),0,IFERROR(INDEX(Nutrition!$H$2:$H$300,MATCH($F1315,Nutrition!$A$2:$A$300,0))*$I1315/100,0))</f>
        <v>0.27</v>
      </c>
      <c r="O1315" s="30">
        <f>IF(OR($F1315="",$I1315=""),0,IFERROR(INDEX(Nutrition!$I$2:$I$300,MATCH($F1315,Nutrition!$A$2:$A$300,0))*$I1315/100,0))</f>
        <v>36.090000000000003</v>
      </c>
      <c r="P1315" s="30">
        <f>IF(OR($F1315="",$I1315=""),0,IFERROR(INDEX(Nutrition!$J$2:$J$300,MATCH($F1315,Nutrition!$A$2:$A$300,0))*$I1315/100,0))</f>
        <v>7.1999999999999998E-3</v>
      </c>
      <c r="Q1315" s="30">
        <f>IF(OR($F1315="",$I1315=""),0,IFERROR(INDEX(Nutrition!$K$2:$K$300,MATCH($F1315,Nutrition!$A$2:$A$300,0))*$I1315/100,0))</f>
        <v>0.11115</v>
      </c>
      <c r="R1315" s="30">
        <f>IF(OR($F1315="",$I1315=""),0,IFERROR(INDEX(Nutrition!$L$2:$L$300,MATCH($F1315,Nutrition!$A$2:$A$300,0))*$I1315/100,0))</f>
        <v>2.25</v>
      </c>
      <c r="S1315" s="30">
        <f>IF(OR($F1315="",$I1315=""),0,IFERROR(INDEX(Nutrition!$M$2:$M$300,MATCH($F1315,Nutrition!$A$2:$A$300,0))*$I1315/100,0))</f>
        <v>0.153</v>
      </c>
    </row>
    <row r="1316" spans="1:19" ht="15" customHeight="1" x14ac:dyDescent="0.25">
      <c r="A1316" s="22" t="s">
        <v>2635</v>
      </c>
      <c r="B1316" s="33" t="str">
        <f>IFERROR(INDEX(Recipes!$B$2:$B$500,MATCH(A1316,Recipes!$A$2:$A$500,0)),"")</f>
        <v>Mexican Street Corn &amp; Chicken Bowl</v>
      </c>
      <c r="C1316" s="7" t="s">
        <v>473</v>
      </c>
      <c r="D1316" s="34">
        <v>1</v>
      </c>
      <c r="E1316" s="22" t="s">
        <v>2754</v>
      </c>
      <c r="F1316" s="22" t="s">
        <v>472</v>
      </c>
      <c r="G1316" s="22" t="s">
        <v>2755</v>
      </c>
      <c r="H1316" s="7" t="s">
        <v>3109</v>
      </c>
      <c r="I1316" s="35">
        <v>10</v>
      </c>
      <c r="J1316" s="30">
        <f>IF(OR($F1316="",$I1316=""),0,IFERROR(INDEX(Nutrition!$D$2:$D$300,MATCH($F1316,Nutrition!$A$2:$A$300,0))*$I1316/100,0))</f>
        <v>0.15</v>
      </c>
      <c r="K1316" s="30">
        <f>IF(OR($F1316="",$I1316=""),0,IFERROR(INDEX(Nutrition!$E$2:$E$300,MATCH($F1316,Nutrition!$A$2:$A$300,0))*$I1316/100,0))</f>
        <v>14.37</v>
      </c>
      <c r="L1316" s="30">
        <f>IF(OR($F1316="",$I1316=""),0,IFERROR(INDEX(Nutrition!$F$2:$F$300,MATCH($F1316,Nutrition!$A$2:$A$300,0))*$I1316/100,0))</f>
        <v>4.8</v>
      </c>
      <c r="M1316" s="30">
        <f>IF(OR($F1316="",$I1316=""),0,IFERROR(INDEX(Nutrition!$G$2:$G$300,MATCH($F1316,Nutrition!$A$2:$A$300,0))*$I1316/100,0))</f>
        <v>1.4</v>
      </c>
      <c r="N1316" s="30">
        <f>IF(OR($F1316="",$I1316=""),0,IFERROR(INDEX(Nutrition!$H$2:$H$300,MATCH($F1316,Nutrition!$A$2:$A$300,0))*$I1316/100,0))</f>
        <v>2.2999999999999998</v>
      </c>
      <c r="O1316" s="30">
        <f>IF(OR($F1316="",$I1316=""),0,IFERROR(INDEX(Nutrition!$I$2:$I$300,MATCH($F1316,Nutrition!$A$2:$A$300,0))*$I1316/100,0))</f>
        <v>32.200000000000003</v>
      </c>
      <c r="P1316" s="30">
        <f>IF(OR($F1316="",$I1316=""),0,IFERROR(INDEX(Nutrition!$J$2:$J$300,MATCH($F1316,Nutrition!$A$2:$A$300,0))*$I1316/100,0))</f>
        <v>6.8999999999999992E-2</v>
      </c>
      <c r="Q1316" s="30">
        <f>IF(OR($F1316="",$I1316=""),0,IFERROR(INDEX(Nutrition!$K$2:$K$300,MATCH($F1316,Nutrition!$A$2:$A$300,0))*$I1316/100,0))</f>
        <v>5.0600000000000006E-2</v>
      </c>
      <c r="R1316" s="30">
        <f>IF(OR($F1316="",$I1316=""),0,IFERROR(INDEX(Nutrition!$L$2:$L$300,MATCH($F1316,Nutrition!$A$2:$A$300,0))*$I1316/100,0))</f>
        <v>2.2999999999999998</v>
      </c>
      <c r="S1316" s="30">
        <f>IF(OR($F1316="",$I1316=""),0,IFERROR(INDEX(Nutrition!$M$2:$M$300,MATCH($F1316,Nutrition!$A$2:$A$300,0))*$I1316/100,0))</f>
        <v>0.10300000000000001</v>
      </c>
    </row>
    <row r="1317" spans="1:19" ht="15" customHeight="1" x14ac:dyDescent="0.25">
      <c r="A1317" s="22" t="s">
        <v>2635</v>
      </c>
      <c r="B1317" s="33" t="str">
        <f>IFERROR(INDEX(Recipes!$B$2:$B$500,MATCH(A1317,Recipes!$A$2:$A$500,0)),"")</f>
        <v>Mexican Street Corn &amp; Chicken Bowl</v>
      </c>
      <c r="C1317" s="7" t="s">
        <v>456</v>
      </c>
      <c r="D1317" s="34">
        <v>1</v>
      </c>
      <c r="E1317" s="22" t="s">
        <v>2748</v>
      </c>
      <c r="F1317" s="22" t="s">
        <v>455</v>
      </c>
      <c r="G1317" s="22" t="s">
        <v>2755</v>
      </c>
      <c r="H1317" s="7" t="s">
        <v>2907</v>
      </c>
      <c r="I1317" s="35">
        <v>149</v>
      </c>
      <c r="J1317" s="30">
        <f>IF(OR($F1317="",$I1317=""),0,IFERROR(INDEX(Nutrition!$D$2:$D$300,MATCH($F1317,Nutrition!$A$2:$A$300,0))*$I1317/100,0))</f>
        <v>3.1290000000000004</v>
      </c>
      <c r="K1317" s="30">
        <f>IF(OR($F1317="",$I1317=""),0,IFERROR(INDEX(Nutrition!$E$2:$E$300,MATCH($F1317,Nutrition!$A$2:$A$300,0))*$I1317/100,0))</f>
        <v>40.527999999999999</v>
      </c>
      <c r="L1317" s="30">
        <f>IF(OR($F1317="",$I1317=""),0,IFERROR(INDEX(Nutrition!$F$2:$F$300,MATCH($F1317,Nutrition!$A$2:$A$300,0))*$I1317/100,0))</f>
        <v>62.58</v>
      </c>
      <c r="M1317" s="30">
        <f>IF(OR($F1317="",$I1317=""),0,IFERROR(INDEX(Nutrition!$G$2:$G$300,MATCH($F1317,Nutrition!$A$2:$A$300,0))*$I1317/100,0))</f>
        <v>11.771000000000001</v>
      </c>
      <c r="N1317" s="30">
        <f>IF(OR($F1317="",$I1317=""),0,IFERROR(INDEX(Nutrition!$H$2:$H$300,MATCH($F1317,Nutrition!$A$2:$A$300,0))*$I1317/100,0))</f>
        <v>22.35</v>
      </c>
      <c r="O1317" s="30">
        <f>IF(OR($F1317="",$I1317=""),0,IFERROR(INDEX(Nutrition!$I$2:$I$300,MATCH($F1317,Nutrition!$A$2:$A$300,0))*$I1317/100,0))</f>
        <v>387.4</v>
      </c>
      <c r="P1317" s="30">
        <f>IF(OR($F1317="",$I1317=""),0,IFERROR(INDEX(Nutrition!$J$2:$J$300,MATCH($F1317,Nutrition!$A$2:$A$300,0))*$I1317/100,0))</f>
        <v>0.80460000000000009</v>
      </c>
      <c r="Q1317" s="30">
        <f>IF(OR($F1317="",$I1317=""),0,IFERROR(INDEX(Nutrition!$K$2:$K$300,MATCH($F1317,Nutrition!$A$2:$A$300,0))*$I1317/100,0))</f>
        <v>0.1192</v>
      </c>
      <c r="R1317" s="30">
        <f>IF(OR($F1317="",$I1317=""),0,IFERROR(INDEX(Nutrition!$L$2:$L$300,MATCH($F1317,Nutrition!$A$2:$A$300,0))*$I1317/100,0))</f>
        <v>14.9</v>
      </c>
      <c r="S1317" s="30">
        <f>IF(OR($F1317="",$I1317=""),0,IFERROR(INDEX(Nutrition!$M$2:$M$300,MATCH($F1317,Nutrition!$A$2:$A$300,0))*$I1317/100,0))</f>
        <v>0.44699999999999995</v>
      </c>
    </row>
    <row r="1318" spans="1:19" ht="15" customHeight="1" x14ac:dyDescent="0.25">
      <c r="A1318" s="22" t="s">
        <v>2635</v>
      </c>
      <c r="B1318" s="33" t="str">
        <f>IFERROR(INDEX(Recipes!$B$2:$B$500,MATCH(A1318,Recipes!$A$2:$A$500,0)),"")</f>
        <v>Mexican Street Corn &amp; Chicken Bowl</v>
      </c>
      <c r="C1318" s="7" t="s">
        <v>544</v>
      </c>
      <c r="D1318" s="34">
        <v>1</v>
      </c>
      <c r="E1318" s="22" t="s">
        <v>2748</v>
      </c>
      <c r="F1318" s="22" t="s">
        <v>543</v>
      </c>
      <c r="G1318" s="22" t="s">
        <v>2755</v>
      </c>
      <c r="H1318" s="7" t="s">
        <v>3054</v>
      </c>
      <c r="I1318" s="35">
        <v>89</v>
      </c>
      <c r="J1318" s="30">
        <f>IF(OR($F1318="",$I1318=""),0,IFERROR(INDEX(Nutrition!$D$2:$D$300,MATCH($F1318,Nutrition!$A$2:$A$300,0))*$I1318/100,0))</f>
        <v>1.869</v>
      </c>
      <c r="K1318" s="30">
        <f>IF(OR($F1318="",$I1318=""),0,IFERROR(INDEX(Nutrition!$E$2:$E$300,MATCH($F1318,Nutrition!$A$2:$A$300,0))*$I1318/100,0))</f>
        <v>50.73</v>
      </c>
      <c r="L1318" s="30">
        <f>IF(OR($F1318="",$I1318=""),0,IFERROR(INDEX(Nutrition!$F$2:$F$300,MATCH($F1318,Nutrition!$A$2:$A$300,0))*$I1318/100,0))</f>
        <v>49.84</v>
      </c>
      <c r="M1318" s="30">
        <f>IF(OR($F1318="",$I1318=""),0,IFERROR(INDEX(Nutrition!$G$2:$G$300,MATCH($F1318,Nutrition!$A$2:$A$300,0))*$I1318/100,0))</f>
        <v>33.998000000000005</v>
      </c>
      <c r="N1318" s="30">
        <f>IF(OR($F1318="",$I1318=""),0,IFERROR(INDEX(Nutrition!$H$2:$H$300,MATCH($F1318,Nutrition!$A$2:$A$300,0))*$I1318/100,0))</f>
        <v>16.02</v>
      </c>
      <c r="O1318" s="30">
        <f>IF(OR($F1318="",$I1318=""),0,IFERROR(INDEX(Nutrition!$I$2:$I$300,MATCH($F1318,Nutrition!$A$2:$A$300,0))*$I1318/100,0))</f>
        <v>216.27</v>
      </c>
      <c r="P1318" s="30">
        <f>IF(OR($F1318="",$I1318=""),0,IFERROR(INDEX(Nutrition!$J$2:$J$300,MATCH($F1318,Nutrition!$A$2:$A$300,0))*$I1318/100,0))</f>
        <v>9.7900000000000015E-2</v>
      </c>
      <c r="Q1318" s="30">
        <f>IF(OR($F1318="",$I1318=""),0,IFERROR(INDEX(Nutrition!$K$2:$K$300,MATCH($F1318,Nutrition!$A$2:$A$300,0))*$I1318/100,0))</f>
        <v>0.18600999999999998</v>
      </c>
      <c r="R1318" s="30">
        <f>IF(OR($F1318="",$I1318=""),0,IFERROR(INDEX(Nutrition!$L$2:$L$300,MATCH($F1318,Nutrition!$A$2:$A$300,0))*$I1318/100,0))</f>
        <v>14.24</v>
      </c>
      <c r="S1318" s="30">
        <f>IF(OR($F1318="",$I1318=""),0,IFERROR(INDEX(Nutrition!$M$2:$M$300,MATCH($F1318,Nutrition!$A$2:$A$300,0))*$I1318/100,0))</f>
        <v>0.71200000000000008</v>
      </c>
    </row>
    <row r="1319" spans="1:19" ht="15" customHeight="1" x14ac:dyDescent="0.25">
      <c r="A1319" s="22" t="s">
        <v>2635</v>
      </c>
      <c r="B1319" s="33" t="str">
        <f>IFERROR(INDEX(Recipes!$B$2:$B$500,MATCH(A1319,Recipes!$A$2:$A$500,0)),"")</f>
        <v>Mexican Street Corn &amp; Chicken Bowl</v>
      </c>
      <c r="C1319" s="7" t="s">
        <v>3090</v>
      </c>
      <c r="D1319" s="34">
        <v>500</v>
      </c>
      <c r="E1319" s="22" t="s">
        <v>2813</v>
      </c>
      <c r="F1319" s="22"/>
      <c r="G1319" s="22" t="s">
        <v>2768</v>
      </c>
      <c r="H1319" s="7" t="s">
        <v>3091</v>
      </c>
      <c r="I1319" s="35"/>
      <c r="J1319" s="30">
        <f>IF(OR($F1319="",$I1319=""),0,IFERROR(INDEX(Nutrition!$D$2:$D$300,MATCH($F1319,Nutrition!$A$2:$A$300,0))*$I1319/100,0))</f>
        <v>0</v>
      </c>
      <c r="K1319" s="30">
        <f>IF(OR($F1319="",$I1319=""),0,IFERROR(INDEX(Nutrition!$E$2:$E$300,MATCH($F1319,Nutrition!$A$2:$A$300,0))*$I1319/100,0))</f>
        <v>0</v>
      </c>
      <c r="L1319" s="30">
        <f>IF(OR($F1319="",$I1319=""),0,IFERROR(INDEX(Nutrition!$F$2:$F$300,MATCH($F1319,Nutrition!$A$2:$A$300,0))*$I1319/100,0))</f>
        <v>0</v>
      </c>
      <c r="M1319" s="30">
        <f>IF(OR($F1319="",$I1319=""),0,IFERROR(INDEX(Nutrition!$G$2:$G$300,MATCH($F1319,Nutrition!$A$2:$A$300,0))*$I1319/100,0))</f>
        <v>0</v>
      </c>
      <c r="N1319" s="30">
        <f>IF(OR($F1319="",$I1319=""),0,IFERROR(INDEX(Nutrition!$H$2:$H$300,MATCH($F1319,Nutrition!$A$2:$A$300,0))*$I1319/100,0))</f>
        <v>0</v>
      </c>
      <c r="O1319" s="30">
        <f>IF(OR($F1319="",$I1319=""),0,IFERROR(INDEX(Nutrition!$I$2:$I$300,MATCH($F1319,Nutrition!$A$2:$A$300,0))*$I1319/100,0))</f>
        <v>0</v>
      </c>
      <c r="P1319" s="30">
        <f>IF(OR($F1319="",$I1319=""),0,IFERROR(INDEX(Nutrition!$J$2:$J$300,MATCH($F1319,Nutrition!$A$2:$A$300,0))*$I1319/100,0))</f>
        <v>0</v>
      </c>
      <c r="Q1319" s="30">
        <f>IF(OR($F1319="",$I1319=""),0,IFERROR(INDEX(Nutrition!$K$2:$K$300,MATCH($F1319,Nutrition!$A$2:$A$300,0))*$I1319/100,0))</f>
        <v>0</v>
      </c>
      <c r="R1319" s="30">
        <f>IF(OR($F1319="",$I1319=""),0,IFERROR(INDEX(Nutrition!$L$2:$L$300,MATCH($F1319,Nutrition!$A$2:$A$300,0))*$I1319/100,0))</f>
        <v>0</v>
      </c>
      <c r="S1319" s="30">
        <f>IF(OR($F1319="",$I1319=""),0,IFERROR(INDEX(Nutrition!$M$2:$M$300,MATCH($F1319,Nutrition!$A$2:$A$300,0))*$I1319/100,0))</f>
        <v>0</v>
      </c>
    </row>
    <row r="1320" spans="1:19" ht="15" customHeight="1" x14ac:dyDescent="0.25">
      <c r="A1320" s="22" t="s">
        <v>2635</v>
      </c>
      <c r="B1320" s="33" t="str">
        <f>IFERROR(INDEX(Recipes!$B$2:$B$500,MATCH(A1320,Recipes!$A$2:$A$500,0)),"")</f>
        <v>Mexican Street Corn &amp; Chicken Bowl</v>
      </c>
      <c r="C1320" s="7" t="s">
        <v>2801</v>
      </c>
      <c r="D1320" s="34">
        <v>1</v>
      </c>
      <c r="E1320" s="22" t="s">
        <v>2748</v>
      </c>
      <c r="F1320" s="22"/>
      <c r="G1320" s="22" t="s">
        <v>2749</v>
      </c>
      <c r="H1320" s="7" t="s">
        <v>2844</v>
      </c>
      <c r="I1320" s="35"/>
      <c r="J1320" s="30">
        <f>IF(OR($F1320="",$I1320=""),0,IFERROR(INDEX(Nutrition!$D$2:$D$300,MATCH($F1320,Nutrition!$A$2:$A$300,0))*$I1320/100,0))</f>
        <v>0</v>
      </c>
      <c r="K1320" s="30">
        <f>IF(OR($F1320="",$I1320=""),0,IFERROR(INDEX(Nutrition!$E$2:$E$300,MATCH($F1320,Nutrition!$A$2:$A$300,0))*$I1320/100,0))</f>
        <v>0</v>
      </c>
      <c r="L1320" s="30">
        <f>IF(OR($F1320="",$I1320=""),0,IFERROR(INDEX(Nutrition!$F$2:$F$300,MATCH($F1320,Nutrition!$A$2:$A$300,0))*$I1320/100,0))</f>
        <v>0</v>
      </c>
      <c r="M1320" s="30">
        <f>IF(OR($F1320="",$I1320=""),0,IFERROR(INDEX(Nutrition!$G$2:$G$300,MATCH($F1320,Nutrition!$A$2:$A$300,0))*$I1320/100,0))</f>
        <v>0</v>
      </c>
      <c r="N1320" s="30">
        <f>IF(OR($F1320="",$I1320=""),0,IFERROR(INDEX(Nutrition!$H$2:$H$300,MATCH($F1320,Nutrition!$A$2:$A$300,0))*$I1320/100,0))</f>
        <v>0</v>
      </c>
      <c r="O1320" s="30">
        <f>IF(OR($F1320="",$I1320=""),0,IFERROR(INDEX(Nutrition!$I$2:$I$300,MATCH($F1320,Nutrition!$A$2:$A$300,0))*$I1320/100,0))</f>
        <v>0</v>
      </c>
      <c r="P1320" s="30">
        <f>IF(OR($F1320="",$I1320=""),0,IFERROR(INDEX(Nutrition!$J$2:$J$300,MATCH($F1320,Nutrition!$A$2:$A$300,0))*$I1320/100,0))</f>
        <v>0</v>
      </c>
      <c r="Q1320" s="30">
        <f>IF(OR($F1320="",$I1320=""),0,IFERROR(INDEX(Nutrition!$K$2:$K$300,MATCH($F1320,Nutrition!$A$2:$A$300,0))*$I1320/100,0))</f>
        <v>0</v>
      </c>
      <c r="R1320" s="30">
        <f>IF(OR($F1320="",$I1320=""),0,IFERROR(INDEX(Nutrition!$L$2:$L$300,MATCH($F1320,Nutrition!$A$2:$A$300,0))*$I1320/100,0))</f>
        <v>0</v>
      </c>
      <c r="S1320" s="30">
        <f>IF(OR($F1320="",$I1320=""),0,IFERROR(INDEX(Nutrition!$M$2:$M$300,MATCH($F1320,Nutrition!$A$2:$A$300,0))*$I1320/100,0))</f>
        <v>0</v>
      </c>
    </row>
    <row r="1321" spans="1:19" ht="15" customHeight="1" x14ac:dyDescent="0.25">
      <c r="A1321" s="22" t="s">
        <v>2635</v>
      </c>
      <c r="B1321" s="33" t="str">
        <f>IFERROR(INDEX(Recipes!$B$2:$B$500,MATCH(A1321,Recipes!$A$2:$A$500,0)),"")</f>
        <v>Mexican Street Corn &amp; Chicken Bowl</v>
      </c>
      <c r="C1321" s="7" t="s">
        <v>2994</v>
      </c>
      <c r="D1321" s="34">
        <v>0.33</v>
      </c>
      <c r="E1321" s="22" t="s">
        <v>2748</v>
      </c>
      <c r="F1321" s="22"/>
      <c r="G1321" s="22" t="s">
        <v>2749</v>
      </c>
      <c r="H1321" s="7"/>
      <c r="I1321" s="35"/>
      <c r="J1321" s="30">
        <f>IF(OR($F1321="",$I1321=""),0,IFERROR(INDEX(Nutrition!$D$2:$D$300,MATCH($F1321,Nutrition!$A$2:$A$300,0))*$I1321/100,0))</f>
        <v>0</v>
      </c>
      <c r="K1321" s="30">
        <f>IF(OR($F1321="",$I1321=""),0,IFERROR(INDEX(Nutrition!$E$2:$E$300,MATCH($F1321,Nutrition!$A$2:$A$300,0))*$I1321/100,0))</f>
        <v>0</v>
      </c>
      <c r="L1321" s="30">
        <f>IF(OR($F1321="",$I1321=""),0,IFERROR(INDEX(Nutrition!$F$2:$F$300,MATCH($F1321,Nutrition!$A$2:$A$300,0))*$I1321/100,0))</f>
        <v>0</v>
      </c>
      <c r="M1321" s="30">
        <f>IF(OR($F1321="",$I1321=""),0,IFERROR(INDEX(Nutrition!$G$2:$G$300,MATCH($F1321,Nutrition!$A$2:$A$300,0))*$I1321/100,0))</f>
        <v>0</v>
      </c>
      <c r="N1321" s="30">
        <f>IF(OR($F1321="",$I1321=""),0,IFERROR(INDEX(Nutrition!$H$2:$H$300,MATCH($F1321,Nutrition!$A$2:$A$300,0))*$I1321/100,0))</f>
        <v>0</v>
      </c>
      <c r="O1321" s="30">
        <f>IF(OR($F1321="",$I1321=""),0,IFERROR(INDEX(Nutrition!$I$2:$I$300,MATCH($F1321,Nutrition!$A$2:$A$300,0))*$I1321/100,0))</f>
        <v>0</v>
      </c>
      <c r="P1321" s="30">
        <f>IF(OR($F1321="",$I1321=""),0,IFERROR(INDEX(Nutrition!$J$2:$J$300,MATCH($F1321,Nutrition!$A$2:$A$300,0))*$I1321/100,0))</f>
        <v>0</v>
      </c>
      <c r="Q1321" s="30">
        <f>IF(OR($F1321="",$I1321=""),0,IFERROR(INDEX(Nutrition!$K$2:$K$300,MATCH($F1321,Nutrition!$A$2:$A$300,0))*$I1321/100,0))</f>
        <v>0</v>
      </c>
      <c r="R1321" s="30">
        <f>IF(OR($F1321="",$I1321=""),0,IFERROR(INDEX(Nutrition!$L$2:$L$300,MATCH($F1321,Nutrition!$A$2:$A$300,0))*$I1321/100,0))</f>
        <v>0</v>
      </c>
      <c r="S1321" s="30">
        <f>IF(OR($F1321="",$I1321=""),0,IFERROR(INDEX(Nutrition!$M$2:$M$300,MATCH($F1321,Nutrition!$A$2:$A$300,0))*$I1321/100,0))</f>
        <v>0</v>
      </c>
    </row>
    <row r="1322" spans="1:19" ht="15" customHeight="1" x14ac:dyDescent="0.25">
      <c r="A1322" s="22" t="s">
        <v>2635</v>
      </c>
      <c r="B1322" s="33" t="str">
        <f>IFERROR(INDEX(Recipes!$B$2:$B$500,MATCH(A1322,Recipes!$A$2:$A$500,0)),"")</f>
        <v>Mexican Street Corn &amp; Chicken Bowl</v>
      </c>
      <c r="C1322" s="7" t="s">
        <v>2758</v>
      </c>
      <c r="D1322" s="34">
        <v>1</v>
      </c>
      <c r="E1322" s="22" t="s">
        <v>2753</v>
      </c>
      <c r="F1322" s="22"/>
      <c r="G1322" s="22" t="s">
        <v>2749</v>
      </c>
      <c r="H1322" s="7"/>
      <c r="I1322" s="35"/>
      <c r="J1322" s="30">
        <f>IF(OR($F1322="",$I1322=""),0,IFERROR(INDEX(Nutrition!$D$2:$D$300,MATCH($F1322,Nutrition!$A$2:$A$300,0))*$I1322/100,0))</f>
        <v>0</v>
      </c>
      <c r="K1322" s="30">
        <f>IF(OR($F1322="",$I1322=""),0,IFERROR(INDEX(Nutrition!$E$2:$E$300,MATCH($F1322,Nutrition!$A$2:$A$300,0))*$I1322/100,0))</f>
        <v>0</v>
      </c>
      <c r="L1322" s="30">
        <f>IF(OR($F1322="",$I1322=""),0,IFERROR(INDEX(Nutrition!$F$2:$F$300,MATCH($F1322,Nutrition!$A$2:$A$300,0))*$I1322/100,0))</f>
        <v>0</v>
      </c>
      <c r="M1322" s="30">
        <f>IF(OR($F1322="",$I1322=""),0,IFERROR(INDEX(Nutrition!$G$2:$G$300,MATCH($F1322,Nutrition!$A$2:$A$300,0))*$I1322/100,0))</f>
        <v>0</v>
      </c>
      <c r="N1322" s="30">
        <f>IF(OR($F1322="",$I1322=""),0,IFERROR(INDEX(Nutrition!$H$2:$H$300,MATCH($F1322,Nutrition!$A$2:$A$300,0))*$I1322/100,0))</f>
        <v>0</v>
      </c>
      <c r="O1322" s="30">
        <f>IF(OR($F1322="",$I1322=""),0,IFERROR(INDEX(Nutrition!$I$2:$I$300,MATCH($F1322,Nutrition!$A$2:$A$300,0))*$I1322/100,0))</f>
        <v>0</v>
      </c>
      <c r="P1322" s="30">
        <f>IF(OR($F1322="",$I1322=""),0,IFERROR(INDEX(Nutrition!$J$2:$J$300,MATCH($F1322,Nutrition!$A$2:$A$300,0))*$I1322/100,0))</f>
        <v>0</v>
      </c>
      <c r="Q1322" s="30">
        <f>IF(OR($F1322="",$I1322=""),0,IFERROR(INDEX(Nutrition!$K$2:$K$300,MATCH($F1322,Nutrition!$A$2:$A$300,0))*$I1322/100,0))</f>
        <v>0</v>
      </c>
      <c r="R1322" s="30">
        <f>IF(OR($F1322="",$I1322=""),0,IFERROR(INDEX(Nutrition!$L$2:$L$300,MATCH($F1322,Nutrition!$A$2:$A$300,0))*$I1322/100,0))</f>
        <v>0</v>
      </c>
      <c r="S1322" s="30">
        <f>IF(OR($F1322="",$I1322=""),0,IFERROR(INDEX(Nutrition!$M$2:$M$300,MATCH($F1322,Nutrition!$A$2:$A$300,0))*$I1322/100,0))</f>
        <v>0</v>
      </c>
    </row>
    <row r="1323" spans="1:19" ht="15" customHeight="1" x14ac:dyDescent="0.25">
      <c r="A1323" s="22" t="s">
        <v>2635</v>
      </c>
      <c r="B1323" s="33" t="str">
        <f>IFERROR(INDEX(Recipes!$B$2:$B$500,MATCH(A1323,Recipes!$A$2:$A$500,0)),"")</f>
        <v>Mexican Street Corn &amp; Chicken Bowl</v>
      </c>
      <c r="C1323" s="7" t="s">
        <v>2805</v>
      </c>
      <c r="D1323" s="34">
        <v>3</v>
      </c>
      <c r="E1323" s="22" t="s">
        <v>2753</v>
      </c>
      <c r="F1323" s="22"/>
      <c r="G1323" s="22" t="s">
        <v>2773</v>
      </c>
      <c r="H1323" s="7"/>
      <c r="I1323" s="35"/>
      <c r="J1323" s="30">
        <f>IF(OR($F1323="",$I1323=""),0,IFERROR(INDEX(Nutrition!$D$2:$D$300,MATCH($F1323,Nutrition!$A$2:$A$300,0))*$I1323/100,0))</f>
        <v>0</v>
      </c>
      <c r="K1323" s="30">
        <f>IF(OR($F1323="",$I1323=""),0,IFERROR(INDEX(Nutrition!$E$2:$E$300,MATCH($F1323,Nutrition!$A$2:$A$300,0))*$I1323/100,0))</f>
        <v>0</v>
      </c>
      <c r="L1323" s="30">
        <f>IF(OR($F1323="",$I1323=""),0,IFERROR(INDEX(Nutrition!$F$2:$F$300,MATCH($F1323,Nutrition!$A$2:$A$300,0))*$I1323/100,0))</f>
        <v>0</v>
      </c>
      <c r="M1323" s="30">
        <f>IF(OR($F1323="",$I1323=""),0,IFERROR(INDEX(Nutrition!$G$2:$G$300,MATCH($F1323,Nutrition!$A$2:$A$300,0))*$I1323/100,0))</f>
        <v>0</v>
      </c>
      <c r="N1323" s="30">
        <f>IF(OR($F1323="",$I1323=""),0,IFERROR(INDEX(Nutrition!$H$2:$H$300,MATCH($F1323,Nutrition!$A$2:$A$300,0))*$I1323/100,0))</f>
        <v>0</v>
      </c>
      <c r="O1323" s="30">
        <f>IF(OR($F1323="",$I1323=""),0,IFERROR(INDEX(Nutrition!$I$2:$I$300,MATCH($F1323,Nutrition!$A$2:$A$300,0))*$I1323/100,0))</f>
        <v>0</v>
      </c>
      <c r="P1323" s="30">
        <f>IF(OR($F1323="",$I1323=""),0,IFERROR(INDEX(Nutrition!$J$2:$J$300,MATCH($F1323,Nutrition!$A$2:$A$300,0))*$I1323/100,0))</f>
        <v>0</v>
      </c>
      <c r="Q1323" s="30">
        <f>IF(OR($F1323="",$I1323=""),0,IFERROR(INDEX(Nutrition!$K$2:$K$300,MATCH($F1323,Nutrition!$A$2:$A$300,0))*$I1323/100,0))</f>
        <v>0</v>
      </c>
      <c r="R1323" s="30">
        <f>IF(OR($F1323="",$I1323=""),0,IFERROR(INDEX(Nutrition!$L$2:$L$300,MATCH($F1323,Nutrition!$A$2:$A$300,0))*$I1323/100,0))</f>
        <v>0</v>
      </c>
      <c r="S1323" s="30">
        <f>IF(OR($F1323="",$I1323=""),0,IFERROR(INDEX(Nutrition!$M$2:$M$300,MATCH($F1323,Nutrition!$A$2:$A$300,0))*$I1323/100,0))</f>
        <v>0</v>
      </c>
    </row>
    <row r="1324" spans="1:19" ht="15" customHeight="1" x14ac:dyDescent="0.25">
      <c r="A1324" s="22" t="s">
        <v>2635</v>
      </c>
      <c r="B1324" s="33" t="str">
        <f>IFERROR(INDEX(Recipes!$B$2:$B$500,MATCH(A1324,Recipes!$A$2:$A$500,0)),"")</f>
        <v>Mexican Street Corn &amp; Chicken Bowl</v>
      </c>
      <c r="C1324" s="7" t="s">
        <v>2904</v>
      </c>
      <c r="D1324" s="34">
        <v>50</v>
      </c>
      <c r="E1324" s="22" t="s">
        <v>2813</v>
      </c>
      <c r="F1324" s="22"/>
      <c r="G1324" s="22" t="s">
        <v>2749</v>
      </c>
      <c r="H1324" s="7" t="s">
        <v>2905</v>
      </c>
      <c r="I1324" s="35"/>
      <c r="J1324" s="30">
        <f>IF(OR($F1324="",$I1324=""),0,IFERROR(INDEX(Nutrition!$D$2:$D$300,MATCH($F1324,Nutrition!$A$2:$A$300,0))*$I1324/100,0))</f>
        <v>0</v>
      </c>
      <c r="K1324" s="30">
        <f>IF(OR($F1324="",$I1324=""),0,IFERROR(INDEX(Nutrition!$E$2:$E$300,MATCH($F1324,Nutrition!$A$2:$A$300,0))*$I1324/100,0))</f>
        <v>0</v>
      </c>
      <c r="L1324" s="30">
        <f>IF(OR($F1324="",$I1324=""),0,IFERROR(INDEX(Nutrition!$F$2:$F$300,MATCH($F1324,Nutrition!$A$2:$A$300,0))*$I1324/100,0))</f>
        <v>0</v>
      </c>
      <c r="M1324" s="30">
        <f>IF(OR($F1324="",$I1324=""),0,IFERROR(INDEX(Nutrition!$G$2:$G$300,MATCH($F1324,Nutrition!$A$2:$A$300,0))*$I1324/100,0))</f>
        <v>0</v>
      </c>
      <c r="N1324" s="30">
        <f>IF(OR($F1324="",$I1324=""),0,IFERROR(INDEX(Nutrition!$H$2:$H$300,MATCH($F1324,Nutrition!$A$2:$A$300,0))*$I1324/100,0))</f>
        <v>0</v>
      </c>
      <c r="O1324" s="30">
        <f>IF(OR($F1324="",$I1324=""),0,IFERROR(INDEX(Nutrition!$I$2:$I$300,MATCH($F1324,Nutrition!$A$2:$A$300,0))*$I1324/100,0))</f>
        <v>0</v>
      </c>
      <c r="P1324" s="30">
        <f>IF(OR($F1324="",$I1324=""),0,IFERROR(INDEX(Nutrition!$J$2:$J$300,MATCH($F1324,Nutrition!$A$2:$A$300,0))*$I1324/100,0))</f>
        <v>0</v>
      </c>
      <c r="Q1324" s="30">
        <f>IF(OR($F1324="",$I1324=""),0,IFERROR(INDEX(Nutrition!$K$2:$K$300,MATCH($F1324,Nutrition!$A$2:$A$300,0))*$I1324/100,0))</f>
        <v>0</v>
      </c>
      <c r="R1324" s="30">
        <f>IF(OR($F1324="",$I1324=""),0,IFERROR(INDEX(Nutrition!$L$2:$L$300,MATCH($F1324,Nutrition!$A$2:$A$300,0))*$I1324/100,0))</f>
        <v>0</v>
      </c>
      <c r="S1324" s="30">
        <f>IF(OR($F1324="",$I1324=""),0,IFERROR(INDEX(Nutrition!$M$2:$M$300,MATCH($F1324,Nutrition!$A$2:$A$300,0))*$I1324/100,0))</f>
        <v>0</v>
      </c>
    </row>
    <row r="1325" spans="1:19" ht="15" customHeight="1" x14ac:dyDescent="0.25">
      <c r="A1325" s="22" t="s">
        <v>2635</v>
      </c>
      <c r="B1325" s="33" t="str">
        <f>IFERROR(INDEX(Recipes!$B$2:$B$500,MATCH(A1325,Recipes!$A$2:$A$500,0)),"")</f>
        <v>Mexican Street Corn &amp; Chicken Bowl</v>
      </c>
      <c r="C1325" s="7" t="s">
        <v>2781</v>
      </c>
      <c r="D1325" s="34">
        <v>1</v>
      </c>
      <c r="E1325" s="22" t="s">
        <v>2759</v>
      </c>
      <c r="F1325" s="22"/>
      <c r="G1325" s="22" t="s">
        <v>2773</v>
      </c>
      <c r="H1325" s="7"/>
      <c r="I1325" s="35"/>
      <c r="J1325" s="30">
        <f>IF(OR($F1325="",$I1325=""),0,IFERROR(INDEX(Nutrition!$D$2:$D$300,MATCH($F1325,Nutrition!$A$2:$A$300,0))*$I1325/100,0))</f>
        <v>0</v>
      </c>
      <c r="K1325" s="30">
        <f>IF(OR($F1325="",$I1325=""),0,IFERROR(INDEX(Nutrition!$E$2:$E$300,MATCH($F1325,Nutrition!$A$2:$A$300,0))*$I1325/100,0))</f>
        <v>0</v>
      </c>
      <c r="L1325" s="30">
        <f>IF(OR($F1325="",$I1325=""),0,IFERROR(INDEX(Nutrition!$F$2:$F$300,MATCH($F1325,Nutrition!$A$2:$A$300,0))*$I1325/100,0))</f>
        <v>0</v>
      </c>
      <c r="M1325" s="30">
        <f>IF(OR($F1325="",$I1325=""),0,IFERROR(INDEX(Nutrition!$G$2:$G$300,MATCH($F1325,Nutrition!$A$2:$A$300,0))*$I1325/100,0))</f>
        <v>0</v>
      </c>
      <c r="N1325" s="30">
        <f>IF(OR($F1325="",$I1325=""),0,IFERROR(INDEX(Nutrition!$H$2:$H$300,MATCH($F1325,Nutrition!$A$2:$A$300,0))*$I1325/100,0))</f>
        <v>0</v>
      </c>
      <c r="O1325" s="30">
        <f>IF(OR($F1325="",$I1325=""),0,IFERROR(INDEX(Nutrition!$I$2:$I$300,MATCH($F1325,Nutrition!$A$2:$A$300,0))*$I1325/100,0))</f>
        <v>0</v>
      </c>
      <c r="P1325" s="30">
        <f>IF(OR($F1325="",$I1325=""),0,IFERROR(INDEX(Nutrition!$J$2:$J$300,MATCH($F1325,Nutrition!$A$2:$A$300,0))*$I1325/100,0))</f>
        <v>0</v>
      </c>
      <c r="Q1325" s="30">
        <f>IF(OR($F1325="",$I1325=""),0,IFERROR(INDEX(Nutrition!$K$2:$K$300,MATCH($F1325,Nutrition!$A$2:$A$300,0))*$I1325/100,0))</f>
        <v>0</v>
      </c>
      <c r="R1325" s="30">
        <f>IF(OR($F1325="",$I1325=""),0,IFERROR(INDEX(Nutrition!$L$2:$L$300,MATCH($F1325,Nutrition!$A$2:$A$300,0))*$I1325/100,0))</f>
        <v>0</v>
      </c>
      <c r="S1325" s="30">
        <f>IF(OR($F1325="",$I1325=""),0,IFERROR(INDEX(Nutrition!$M$2:$M$300,MATCH($F1325,Nutrition!$A$2:$A$300,0))*$I1325/100,0))</f>
        <v>0</v>
      </c>
    </row>
    <row r="1326" spans="1:19" ht="15" customHeight="1" x14ac:dyDescent="0.25">
      <c r="A1326" s="22" t="s">
        <v>2647</v>
      </c>
      <c r="B1326" s="33" t="str">
        <f>IFERROR(INDEX(Recipes!$B$2:$B$500,MATCH(A1326,Recipes!$A$2:$A$500,0)),"")</f>
        <v>Grilled Vegetable Couscous Bowl with Yoghurt</v>
      </c>
      <c r="C1326" s="7" t="s">
        <v>462</v>
      </c>
      <c r="D1326" s="34">
        <v>1</v>
      </c>
      <c r="E1326" s="22" t="s">
        <v>2754</v>
      </c>
      <c r="F1326" s="22" t="s">
        <v>461</v>
      </c>
      <c r="G1326" s="22" t="s">
        <v>2755</v>
      </c>
      <c r="H1326" s="7" t="s">
        <v>3110</v>
      </c>
      <c r="I1326" s="35">
        <v>119</v>
      </c>
      <c r="J1326" s="30">
        <f>IF(OR($F1326="",$I1326=""),0,IFERROR(INDEX(Nutrition!$D$2:$D$300,MATCH($F1326,Nutrition!$A$2:$A$300,0))*$I1326/100,0))</f>
        <v>2.4990000000000001</v>
      </c>
      <c r="K1326" s="30">
        <f>IF(OR($F1326="",$I1326=""),0,IFERROR(INDEX(Nutrition!$E$2:$E$300,MATCH($F1326,Nutrition!$A$2:$A$300,0))*$I1326/100,0))</f>
        <v>151.96300000000002</v>
      </c>
      <c r="L1326" s="30">
        <f>IF(OR($F1326="",$I1326=""),0,IFERROR(INDEX(Nutrition!$F$2:$F$300,MATCH($F1326,Nutrition!$A$2:$A$300,0))*$I1326/100,0))</f>
        <v>186.83</v>
      </c>
      <c r="M1326" s="30">
        <f>IF(OR($F1326="",$I1326=""),0,IFERROR(INDEX(Nutrition!$G$2:$G$300,MATCH($F1326,Nutrition!$A$2:$A$300,0))*$I1326/100,0))</f>
        <v>5.8310000000000004</v>
      </c>
      <c r="N1326" s="30">
        <f>IF(OR($F1326="",$I1326=""),0,IFERROR(INDEX(Nutrition!$H$2:$H$300,MATCH($F1326,Nutrition!$A$2:$A$300,0))*$I1326/100,0))</f>
        <v>54.74</v>
      </c>
      <c r="O1326" s="30">
        <f>IF(OR($F1326="",$I1326=""),0,IFERROR(INDEX(Nutrition!$I$2:$I$300,MATCH($F1326,Nutrition!$A$2:$A$300,0))*$I1326/100,0))</f>
        <v>251.09</v>
      </c>
      <c r="P1326" s="30">
        <f>IF(OR($F1326="",$I1326=""),0,IFERROR(INDEX(Nutrition!$J$2:$J$300,MATCH($F1326,Nutrition!$A$2:$A$300,0))*$I1326/100,0))</f>
        <v>1.8802000000000001</v>
      </c>
      <c r="Q1326" s="30">
        <f>IF(OR($F1326="",$I1326=""),0,IFERROR(INDEX(Nutrition!$K$2:$K$300,MATCH($F1326,Nutrition!$A$2:$A$300,0))*$I1326/100,0))</f>
        <v>0.34628999999999999</v>
      </c>
      <c r="R1326" s="30">
        <f>IF(OR($F1326="",$I1326=""),0,IFERROR(INDEX(Nutrition!$L$2:$L$300,MATCH($F1326,Nutrition!$A$2:$A$300,0))*$I1326/100,0))</f>
        <v>14.28</v>
      </c>
      <c r="S1326" s="30">
        <f>IF(OR($F1326="",$I1326=""),0,IFERROR(INDEX(Nutrition!$M$2:$M$300,MATCH($F1326,Nutrition!$A$2:$A$300,0))*$I1326/100,0))</f>
        <v>0.51170000000000004</v>
      </c>
    </row>
    <row r="1327" spans="1:19" ht="15" customHeight="1" x14ac:dyDescent="0.25">
      <c r="A1327" s="22" t="s">
        <v>2647</v>
      </c>
      <c r="B1327" s="33" t="str">
        <f>IFERROR(INDEX(Recipes!$B$2:$B$500,MATCH(A1327,Recipes!$A$2:$A$500,0)),"")</f>
        <v>Grilled Vegetable Couscous Bowl with Yoghurt</v>
      </c>
      <c r="C1327" s="7" t="s">
        <v>468</v>
      </c>
      <c r="D1327" s="34">
        <v>1</v>
      </c>
      <c r="E1327" s="22" t="s">
        <v>2754</v>
      </c>
      <c r="F1327" s="22" t="s">
        <v>467</v>
      </c>
      <c r="G1327" s="22" t="s">
        <v>2755</v>
      </c>
      <c r="H1327" s="7" t="s">
        <v>2911</v>
      </c>
      <c r="I1327" s="35">
        <v>119</v>
      </c>
      <c r="J1327" s="30">
        <f>IF(OR($F1327="",$I1327=""),0,IFERROR(INDEX(Nutrition!$D$2:$D$300,MATCH($F1327,Nutrition!$A$2:$A$300,0))*$I1327/100,0))</f>
        <v>2.0229999999999997</v>
      </c>
      <c r="K1327" s="30">
        <f>IF(OR($F1327="",$I1327=""),0,IFERROR(INDEX(Nutrition!$E$2:$E$300,MATCH($F1327,Nutrition!$A$2:$A$300,0))*$I1327/100,0))</f>
        <v>95.676000000000002</v>
      </c>
      <c r="L1327" s="30">
        <f>IF(OR($F1327="",$I1327=""),0,IFERROR(INDEX(Nutrition!$F$2:$F$300,MATCH($F1327,Nutrition!$A$2:$A$300,0))*$I1327/100,0))</f>
        <v>21.42</v>
      </c>
      <c r="M1327" s="30">
        <f>IF(OR($F1327="",$I1327=""),0,IFERROR(INDEX(Nutrition!$G$2:$G$300,MATCH($F1327,Nutrition!$A$2:$A$300,0))*$I1327/100,0))</f>
        <v>8.8060000000000009</v>
      </c>
      <c r="N1327" s="30">
        <f>IF(OR($F1327="",$I1327=""),0,IFERROR(INDEX(Nutrition!$H$2:$H$300,MATCH($F1327,Nutrition!$A$2:$A$300,0))*$I1327/100,0))</f>
        <v>11.9</v>
      </c>
      <c r="O1327" s="30">
        <f>IF(OR($F1327="",$I1327=""),0,IFERROR(INDEX(Nutrition!$I$2:$I$300,MATCH($F1327,Nutrition!$A$2:$A$300,0))*$I1327/100,0))</f>
        <v>208.25</v>
      </c>
      <c r="P1327" s="30">
        <f>IF(OR($F1327="",$I1327=""),0,IFERROR(INDEX(Nutrition!$J$2:$J$300,MATCH($F1327,Nutrition!$A$2:$A$300,0))*$I1327/100,0))</f>
        <v>0.44030000000000002</v>
      </c>
      <c r="Q1327" s="30">
        <f>IF(OR($F1327="",$I1327=""),0,IFERROR(INDEX(Nutrition!$K$2:$K$300,MATCH($F1327,Nutrition!$A$2:$A$300,0))*$I1327/100,0))</f>
        <v>0.26655999999999996</v>
      </c>
      <c r="R1327" s="30">
        <f>IF(OR($F1327="",$I1327=""),0,IFERROR(INDEX(Nutrition!$L$2:$L$300,MATCH($F1327,Nutrition!$A$2:$A$300,0))*$I1327/100,0))</f>
        <v>11.9</v>
      </c>
      <c r="S1327" s="30">
        <f>IF(OR($F1327="",$I1327=""),0,IFERROR(INDEX(Nutrition!$M$2:$M$300,MATCH($F1327,Nutrition!$A$2:$A$300,0))*$I1327/100,0))</f>
        <v>0.40460000000000002</v>
      </c>
    </row>
    <row r="1328" spans="1:19" ht="15" customHeight="1" x14ac:dyDescent="0.25">
      <c r="A1328" s="22" t="s">
        <v>2647</v>
      </c>
      <c r="B1328" s="33" t="str">
        <f>IFERROR(INDEX(Recipes!$B$2:$B$500,MATCH(A1328,Recipes!$A$2:$A$500,0)),"")</f>
        <v>Grilled Vegetable Couscous Bowl with Yoghurt</v>
      </c>
      <c r="C1328" s="7" t="s">
        <v>592</v>
      </c>
      <c r="D1328" s="34">
        <v>1</v>
      </c>
      <c r="E1328" s="22" t="s">
        <v>2754</v>
      </c>
      <c r="F1328" s="22" t="s">
        <v>591</v>
      </c>
      <c r="G1328" s="22" t="s">
        <v>2755</v>
      </c>
      <c r="H1328" s="7" t="s">
        <v>3111</v>
      </c>
      <c r="I1328" s="35">
        <v>196</v>
      </c>
      <c r="J1328" s="30">
        <f>IF(OR($F1328="",$I1328=""),0,IFERROR(INDEX(Nutrition!$D$2:$D$300,MATCH($F1328,Nutrition!$A$2:$A$300,0))*$I1328/100,0))</f>
        <v>1.96</v>
      </c>
      <c r="K1328" s="30">
        <f>IF(OR($F1328="",$I1328=""),0,IFERROR(INDEX(Nutrition!$E$2:$E$300,MATCH($F1328,Nutrition!$A$2:$A$300,0))*$I1328/100,0))</f>
        <v>35.083999999999996</v>
      </c>
      <c r="L1328" s="30">
        <f>IF(OR($F1328="",$I1328=""),0,IFERROR(INDEX(Nutrition!$F$2:$F$300,MATCH($F1328,Nutrition!$A$2:$A$300,0))*$I1328/100,0))</f>
        <v>19.600000000000001</v>
      </c>
      <c r="M1328" s="30">
        <f>IF(OR($F1328="",$I1328=""),0,IFERROR(INDEX(Nutrition!$G$2:$G$300,MATCH($F1328,Nutrition!$A$2:$A$300,0))*$I1328/100,0))</f>
        <v>8.427999999999999</v>
      </c>
      <c r="N1328" s="30">
        <f>IF(OR($F1328="",$I1328=""),0,IFERROR(INDEX(Nutrition!$H$2:$H$300,MATCH($F1328,Nutrition!$A$2:$A$300,0))*$I1328/100,0))</f>
        <v>47.04</v>
      </c>
      <c r="O1328" s="30">
        <f>IF(OR($F1328="",$I1328=""),0,IFERROR(INDEX(Nutrition!$I$2:$I$300,MATCH($F1328,Nutrition!$A$2:$A$300,0))*$I1328/100,0))</f>
        <v>511.56</v>
      </c>
      <c r="P1328" s="30">
        <f>IF(OR($F1328="",$I1328=""),0,IFERROR(INDEX(Nutrition!$J$2:$J$300,MATCH($F1328,Nutrition!$A$2:$A$300,0))*$I1328/100,0))</f>
        <v>0.23519999999999999</v>
      </c>
      <c r="Q1328" s="30">
        <f>IF(OR($F1328="",$I1328=""),0,IFERROR(INDEX(Nutrition!$K$2:$K$300,MATCH($F1328,Nutrition!$A$2:$A$300,0))*$I1328/100,0))</f>
        <v>0.31947999999999999</v>
      </c>
      <c r="R1328" s="30">
        <f>IF(OR($F1328="",$I1328=""),0,IFERROR(INDEX(Nutrition!$L$2:$L$300,MATCH($F1328,Nutrition!$A$2:$A$300,0))*$I1328/100,0))</f>
        <v>35.28</v>
      </c>
      <c r="S1328" s="30">
        <f>IF(OR($F1328="",$I1328=""),0,IFERROR(INDEX(Nutrition!$M$2:$M$300,MATCH($F1328,Nutrition!$A$2:$A$300,0))*$I1328/100,0))</f>
        <v>0.72519999999999996</v>
      </c>
    </row>
    <row r="1329" spans="1:19" ht="15" customHeight="1" x14ac:dyDescent="0.25">
      <c r="A1329" s="22" t="s">
        <v>2647</v>
      </c>
      <c r="B1329" s="33" t="str">
        <f>IFERROR(INDEX(Recipes!$B$2:$B$500,MATCH(A1329,Recipes!$A$2:$A$500,0)),"")</f>
        <v>Grilled Vegetable Couscous Bowl with Yoghurt</v>
      </c>
      <c r="C1329" s="7" t="s">
        <v>595</v>
      </c>
      <c r="D1329" s="34">
        <v>225</v>
      </c>
      <c r="E1329" s="22" t="s">
        <v>2813</v>
      </c>
      <c r="F1329" s="22" t="s">
        <v>594</v>
      </c>
      <c r="G1329" s="22" t="s">
        <v>2755</v>
      </c>
      <c r="H1329" s="7"/>
      <c r="I1329" s="35">
        <v>225</v>
      </c>
      <c r="J1329" s="30">
        <f>IF(OR($F1329="",$I1329=""),0,IFERROR(INDEX(Nutrition!$D$2:$D$300,MATCH($F1329,Nutrition!$A$2:$A$300,0))*$I1329/100,0))</f>
        <v>5.1749999999999998</v>
      </c>
      <c r="K1329" s="30">
        <f>IF(OR($F1329="",$I1329=""),0,IFERROR(INDEX(Nutrition!$E$2:$E$300,MATCH($F1329,Nutrition!$A$2:$A$300,0))*$I1329/100,0))</f>
        <v>0</v>
      </c>
      <c r="L1329" s="30">
        <f>IF(OR($F1329="",$I1329=""),0,IFERROR(INDEX(Nutrition!$F$2:$F$300,MATCH($F1329,Nutrition!$A$2:$A$300,0))*$I1329/100,0))</f>
        <v>0</v>
      </c>
      <c r="M1329" s="30">
        <f>IF(OR($F1329="",$I1329=""),0,IFERROR(INDEX(Nutrition!$G$2:$G$300,MATCH($F1329,Nutrition!$A$2:$A$300,0))*$I1329/100,0))</f>
        <v>0</v>
      </c>
      <c r="N1329" s="30">
        <f>IF(OR($F1329="",$I1329=""),0,IFERROR(INDEX(Nutrition!$H$2:$H$300,MATCH($F1329,Nutrition!$A$2:$A$300,0))*$I1329/100,0))</f>
        <v>85.5</v>
      </c>
      <c r="O1329" s="30">
        <f>IF(OR($F1329="",$I1329=""),0,IFERROR(INDEX(Nutrition!$I$2:$I$300,MATCH($F1329,Nutrition!$A$2:$A$300,0))*$I1329/100,0))</f>
        <v>945</v>
      </c>
      <c r="P1329" s="30">
        <f>IF(OR($F1329="",$I1329=""),0,IFERROR(INDEX(Nutrition!$J$2:$J$300,MATCH($F1329,Nutrition!$A$2:$A$300,0))*$I1329/100,0))</f>
        <v>0</v>
      </c>
      <c r="Q1329" s="30">
        <f>IF(OR($F1329="",$I1329=""),0,IFERROR(INDEX(Nutrition!$K$2:$K$300,MATCH($F1329,Nutrition!$A$2:$A$300,0))*$I1329/100,0))</f>
        <v>0.2475</v>
      </c>
      <c r="R1329" s="30">
        <f>IF(OR($F1329="",$I1329=""),0,IFERROR(INDEX(Nutrition!$L$2:$L$300,MATCH($F1329,Nutrition!$A$2:$A$300,0))*$I1329/100,0))</f>
        <v>40.5</v>
      </c>
      <c r="S1329" s="30">
        <f>IF(OR($F1329="",$I1329=""),0,IFERROR(INDEX(Nutrition!$M$2:$M$300,MATCH($F1329,Nutrition!$A$2:$A$300,0))*$I1329/100,0))</f>
        <v>2.9925000000000002</v>
      </c>
    </row>
    <row r="1330" spans="1:19" ht="15" customHeight="1" x14ac:dyDescent="0.25">
      <c r="A1330" s="22" t="s">
        <v>2647</v>
      </c>
      <c r="B1330" s="33" t="str">
        <f>IFERROR(INDEX(Recipes!$B$2:$B$500,MATCH(A1330,Recipes!$A$2:$A$500,0)),"")</f>
        <v>Grilled Vegetable Couscous Bowl with Yoghurt</v>
      </c>
      <c r="C1330" s="7" t="s">
        <v>482</v>
      </c>
      <c r="D1330" s="34">
        <v>1</v>
      </c>
      <c r="E1330" s="22" t="s">
        <v>2754</v>
      </c>
      <c r="F1330" s="22" t="s">
        <v>481</v>
      </c>
      <c r="G1330" s="22" t="s">
        <v>2755</v>
      </c>
      <c r="H1330" s="7" t="s">
        <v>3112</v>
      </c>
      <c r="I1330" s="35">
        <v>110</v>
      </c>
      <c r="J1330" s="30">
        <f>IF(OR($F1330="",$I1330=""),0,IFERROR(INDEX(Nutrition!$D$2:$D$300,MATCH($F1330,Nutrition!$A$2:$A$300,0))*$I1330/100,0))</f>
        <v>1.87</v>
      </c>
      <c r="K1330" s="30">
        <f>IF(OR($F1330="",$I1330=""),0,IFERROR(INDEX(Nutrition!$E$2:$E$300,MATCH($F1330,Nutrition!$A$2:$A$300,0))*$I1330/100,0))</f>
        <v>8.14</v>
      </c>
      <c r="L1330" s="30">
        <f>IF(OR($F1330="",$I1330=""),0,IFERROR(INDEX(Nutrition!$F$2:$F$300,MATCH($F1330,Nutrition!$A$2:$A$300,0))*$I1330/100,0))</f>
        <v>0</v>
      </c>
      <c r="M1330" s="30">
        <f>IF(OR($F1330="",$I1330=""),0,IFERROR(INDEX(Nutrition!$G$2:$G$300,MATCH($F1330,Nutrition!$A$2:$A$300,0))*$I1330/100,0))</f>
        <v>0.44</v>
      </c>
      <c r="N1330" s="30">
        <f>IF(OR($F1330="",$I1330=""),0,IFERROR(INDEX(Nutrition!$H$2:$H$300,MATCH($F1330,Nutrition!$A$2:$A$300,0))*$I1330/100,0))</f>
        <v>20.9</v>
      </c>
      <c r="O1330" s="30">
        <f>IF(OR($F1330="",$I1330=""),0,IFERROR(INDEX(Nutrition!$I$2:$I$300,MATCH($F1330,Nutrition!$A$2:$A$300,0))*$I1330/100,0))</f>
        <v>160.6</v>
      </c>
      <c r="P1330" s="30">
        <f>IF(OR($F1330="",$I1330=""),0,IFERROR(INDEX(Nutrition!$J$2:$J$300,MATCH($F1330,Nutrition!$A$2:$A$300,0))*$I1330/100,0))</f>
        <v>2.2000000000000002E-2</v>
      </c>
      <c r="Q1330" s="30">
        <f>IF(OR($F1330="",$I1330=""),0,IFERROR(INDEX(Nutrition!$K$2:$K$300,MATCH($F1330,Nutrition!$A$2:$A$300,0))*$I1330/100,0))</f>
        <v>0.13200000000000001</v>
      </c>
      <c r="R1330" s="30">
        <f>IF(OR($F1330="",$I1330=""),0,IFERROR(INDEX(Nutrition!$L$2:$L$300,MATCH($F1330,Nutrition!$A$2:$A$300,0))*$I1330/100,0))</f>
        <v>11</v>
      </c>
      <c r="S1330" s="30">
        <f>IF(OR($F1330="",$I1330=""),0,IFERROR(INDEX(Nutrition!$M$2:$M$300,MATCH($F1330,Nutrition!$A$2:$A$300,0))*$I1330/100,0))</f>
        <v>0.23099999999999998</v>
      </c>
    </row>
    <row r="1331" spans="1:19" ht="15" customHeight="1" x14ac:dyDescent="0.25">
      <c r="A1331" s="22" t="s">
        <v>2647</v>
      </c>
      <c r="B1331" s="33" t="str">
        <f>IFERROR(INDEX(Recipes!$B$2:$B$500,MATCH(A1331,Recipes!$A$2:$A$500,0)),"")</f>
        <v>Grilled Vegetable Couscous Bowl with Yoghurt</v>
      </c>
      <c r="C1331" s="7" t="s">
        <v>500</v>
      </c>
      <c r="D1331" s="34">
        <v>2</v>
      </c>
      <c r="E1331" s="22" t="s">
        <v>2776</v>
      </c>
      <c r="F1331" s="22" t="s">
        <v>499</v>
      </c>
      <c r="G1331" s="22" t="s">
        <v>2755</v>
      </c>
      <c r="H1331" s="7"/>
      <c r="I1331" s="35">
        <v>6</v>
      </c>
      <c r="J1331" s="30">
        <f>IF(OR($F1331="",$I1331=""),0,IFERROR(INDEX(Nutrition!$D$2:$D$300,MATCH($F1331,Nutrition!$A$2:$A$300,0))*$I1331/100,0))</f>
        <v>0.126</v>
      </c>
      <c r="K1331" s="30">
        <f>IF(OR($F1331="",$I1331=""),0,IFERROR(INDEX(Nutrition!$E$2:$E$300,MATCH($F1331,Nutrition!$A$2:$A$300,0))*$I1331/100,0))</f>
        <v>1.8719999999999999</v>
      </c>
      <c r="L1331" s="30">
        <f>IF(OR($F1331="",$I1331=""),0,IFERROR(INDEX(Nutrition!$F$2:$F$300,MATCH($F1331,Nutrition!$A$2:$A$300,0))*$I1331/100,0))</f>
        <v>0</v>
      </c>
      <c r="M1331" s="30">
        <f>IF(OR($F1331="",$I1331=""),0,IFERROR(INDEX(Nutrition!$G$2:$G$300,MATCH($F1331,Nutrition!$A$2:$A$300,0))*$I1331/100,0))</f>
        <v>0.10199999999999999</v>
      </c>
      <c r="N1331" s="30">
        <f>IF(OR($F1331="",$I1331=""),0,IFERROR(INDEX(Nutrition!$H$2:$H$300,MATCH($F1331,Nutrition!$A$2:$A$300,0))*$I1331/100,0))</f>
        <v>0.18</v>
      </c>
      <c r="O1331" s="30">
        <f>IF(OR($F1331="",$I1331=""),0,IFERROR(INDEX(Nutrition!$I$2:$I$300,MATCH($F1331,Nutrition!$A$2:$A$300,0))*$I1331/100,0))</f>
        <v>24.06</v>
      </c>
      <c r="P1331" s="30">
        <f>IF(OR($F1331="",$I1331=""),0,IFERROR(INDEX(Nutrition!$J$2:$J$300,MATCH($F1331,Nutrition!$A$2:$A$300,0))*$I1331/100,0))</f>
        <v>4.7999999999999996E-3</v>
      </c>
      <c r="Q1331" s="30">
        <f>IF(OR($F1331="",$I1331=""),0,IFERROR(INDEX(Nutrition!$K$2:$K$300,MATCH($F1331,Nutrition!$A$2:$A$300,0))*$I1331/100,0))</f>
        <v>7.4099999999999999E-2</v>
      </c>
      <c r="R1331" s="30">
        <f>IF(OR($F1331="",$I1331=""),0,IFERROR(INDEX(Nutrition!$L$2:$L$300,MATCH($F1331,Nutrition!$A$2:$A$300,0))*$I1331/100,0))</f>
        <v>1.5</v>
      </c>
      <c r="S1331" s="30">
        <f>IF(OR($F1331="",$I1331=""),0,IFERROR(INDEX(Nutrition!$M$2:$M$300,MATCH($F1331,Nutrition!$A$2:$A$300,0))*$I1331/100,0))</f>
        <v>0.10199999999999999</v>
      </c>
    </row>
    <row r="1332" spans="1:19" ht="15" customHeight="1" x14ac:dyDescent="0.25">
      <c r="A1332" s="22" t="s">
        <v>2647</v>
      </c>
      <c r="B1332" s="33" t="str">
        <f>IFERROR(INDEX(Recipes!$B$2:$B$500,MATCH(A1332,Recipes!$A$2:$A$500,0)),"")</f>
        <v>Grilled Vegetable Couscous Bowl with Yoghurt</v>
      </c>
      <c r="C1332" s="7" t="s">
        <v>684</v>
      </c>
      <c r="D1332" s="34">
        <v>2</v>
      </c>
      <c r="E1332" s="22" t="s">
        <v>2976</v>
      </c>
      <c r="F1332" s="22" t="s">
        <v>683</v>
      </c>
      <c r="G1332" s="22" t="s">
        <v>2755</v>
      </c>
      <c r="H1332" s="7"/>
      <c r="I1332" s="35">
        <v>4</v>
      </c>
      <c r="J1332" s="30">
        <f>IF(OR($F1332="",$I1332=""),0,IFERROR(INDEX(Nutrition!$D$2:$D$300,MATCH($F1332,Nutrition!$A$2:$A$300,0))*$I1332/100,0))</f>
        <v>0.56399999999999995</v>
      </c>
      <c r="K1332" s="30">
        <f>IF(OR($F1332="",$I1332=""),0,IFERROR(INDEX(Nutrition!$E$2:$E$300,MATCH($F1332,Nutrition!$A$2:$A$300,0))*$I1332/100,0))</f>
        <v>0.872</v>
      </c>
      <c r="L1332" s="30">
        <f>IF(OR($F1332="",$I1332=""),0,IFERROR(INDEX(Nutrition!$F$2:$F$300,MATCH($F1332,Nutrition!$A$2:$A$300,0))*$I1332/100,0))</f>
        <v>5.84</v>
      </c>
      <c r="M1332" s="30">
        <f>IF(OR($F1332="",$I1332=""),0,IFERROR(INDEX(Nutrition!$G$2:$G$300,MATCH($F1332,Nutrition!$A$2:$A$300,0))*$I1332/100,0))</f>
        <v>0</v>
      </c>
      <c r="N1332" s="30">
        <f>IF(OR($F1332="",$I1332=""),0,IFERROR(INDEX(Nutrition!$H$2:$H$300,MATCH($F1332,Nutrition!$A$2:$A$300,0))*$I1332/100,0))</f>
        <v>4.3600000000000003</v>
      </c>
      <c r="O1332" s="30">
        <f>IF(OR($F1332="",$I1332=""),0,IFERROR(INDEX(Nutrition!$I$2:$I$300,MATCH($F1332,Nutrition!$A$2:$A$300,0))*$I1332/100,0))</f>
        <v>26.72</v>
      </c>
      <c r="P1332" s="30">
        <f>IF(OR($F1332="",$I1332=""),0,IFERROR(INDEX(Nutrition!$J$2:$J$300,MATCH($F1332,Nutrition!$A$2:$A$300,0))*$I1332/100,0))</f>
        <v>0</v>
      </c>
      <c r="Q1332" s="30">
        <f>IF(OR($F1332="",$I1332=""),0,IFERROR(INDEX(Nutrition!$K$2:$K$300,MATCH($F1332,Nutrition!$A$2:$A$300,0))*$I1332/100,0))</f>
        <v>1.3440000000000001E-2</v>
      </c>
      <c r="R1332" s="30">
        <f>IF(OR($F1332="",$I1332=""),0,IFERROR(INDEX(Nutrition!$L$2:$L$300,MATCH($F1332,Nutrition!$A$2:$A$300,0))*$I1332/100,0))</f>
        <v>3.64</v>
      </c>
      <c r="S1332" s="30">
        <f>IF(OR($F1332="",$I1332=""),0,IFERROR(INDEX(Nutrition!$M$2:$M$300,MATCH($F1332,Nutrition!$A$2:$A$300,0))*$I1332/100,0))</f>
        <v>0.26600000000000001</v>
      </c>
    </row>
    <row r="1333" spans="1:19" ht="15" customHeight="1" x14ac:dyDescent="0.25">
      <c r="A1333" s="22" t="s">
        <v>2647</v>
      </c>
      <c r="B1333" s="33" t="str">
        <f>IFERROR(INDEX(Recipes!$B$2:$B$500,MATCH(A1333,Recipes!$A$2:$A$500,0)),"")</f>
        <v>Grilled Vegetable Couscous Bowl with Yoghurt</v>
      </c>
      <c r="C1333" s="7" t="s">
        <v>428</v>
      </c>
      <c r="D1333" s="34">
        <v>0.25</v>
      </c>
      <c r="E1333" s="22" t="s">
        <v>2748</v>
      </c>
      <c r="F1333" s="22" t="s">
        <v>427</v>
      </c>
      <c r="G1333" s="22" t="s">
        <v>2755</v>
      </c>
      <c r="H1333" s="7" t="s">
        <v>2765</v>
      </c>
      <c r="I1333" s="35">
        <v>36</v>
      </c>
      <c r="J1333" s="30">
        <f>IF(OR($F1333="",$I1333=""),0,IFERROR(INDEX(Nutrition!$D$2:$D$300,MATCH($F1333,Nutrition!$A$2:$A$300,0))*$I1333/100,0))</f>
        <v>3.06</v>
      </c>
      <c r="K1333" s="30">
        <f>IF(OR($F1333="",$I1333=""),0,IFERROR(INDEX(Nutrition!$E$2:$E$300,MATCH($F1333,Nutrition!$A$2:$A$300,0))*$I1333/100,0))</f>
        <v>0</v>
      </c>
      <c r="L1333" s="30">
        <f>IF(OR($F1333="",$I1333=""),0,IFERROR(INDEX(Nutrition!$F$2:$F$300,MATCH($F1333,Nutrition!$A$2:$A$300,0))*$I1333/100,0))</f>
        <v>0</v>
      </c>
      <c r="M1333" s="30">
        <f>IF(OR($F1333="",$I1333=""),0,IFERROR(INDEX(Nutrition!$G$2:$G$300,MATCH($F1333,Nutrition!$A$2:$A$300,0))*$I1333/100,0))</f>
        <v>0</v>
      </c>
      <c r="N1333" s="30">
        <f>IF(OR($F1333="",$I1333=""),0,IFERROR(INDEX(Nutrition!$H$2:$H$300,MATCH($F1333,Nutrition!$A$2:$A$300,0))*$I1333/100,0))</f>
        <v>86.4</v>
      </c>
      <c r="O1333" s="30">
        <f>IF(OR($F1333="",$I1333=""),0,IFERROR(INDEX(Nutrition!$I$2:$I$300,MATCH($F1333,Nutrition!$A$2:$A$300,0))*$I1333/100,0))</f>
        <v>253.8</v>
      </c>
      <c r="P1333" s="30">
        <f>IF(OR($F1333="",$I1333=""),0,IFERROR(INDEX(Nutrition!$J$2:$J$300,MATCH($F1333,Nutrition!$A$2:$A$300,0))*$I1333/100,0))</f>
        <v>2.9988000000000001</v>
      </c>
      <c r="Q1333" s="30">
        <f>IF(OR($F1333="",$I1333=""),0,IFERROR(INDEX(Nutrition!$K$2:$K$300,MATCH($F1333,Nutrition!$A$2:$A$300,0))*$I1333/100,0))</f>
        <v>0.12527999999999997</v>
      </c>
      <c r="R1333" s="30">
        <f>IF(OR($F1333="",$I1333=""),0,IFERROR(INDEX(Nutrition!$L$2:$L$300,MATCH($F1333,Nutrition!$A$2:$A$300,0))*$I1333/100,0))</f>
        <v>60.48</v>
      </c>
      <c r="S1333" s="30">
        <f>IF(OR($F1333="",$I1333=""),0,IFERROR(INDEX(Nutrition!$M$2:$M$300,MATCH($F1333,Nutrition!$A$2:$A$300,0))*$I1333/100,0))</f>
        <v>1.6488</v>
      </c>
    </row>
    <row r="1334" spans="1:19" ht="15" customHeight="1" x14ac:dyDescent="0.25">
      <c r="A1334" s="22" t="s">
        <v>2647</v>
      </c>
      <c r="B1334" s="33" t="str">
        <f>IFERROR(INDEX(Recipes!$B$2:$B$500,MATCH(A1334,Recipes!$A$2:$A$500,0)),"")</f>
        <v>Grilled Vegetable Couscous Bowl with Yoghurt</v>
      </c>
      <c r="C1334" s="7" t="s">
        <v>3113</v>
      </c>
      <c r="D1334" s="34">
        <v>280</v>
      </c>
      <c r="E1334" s="22" t="s">
        <v>2813</v>
      </c>
      <c r="F1334" s="22"/>
      <c r="G1334" s="22" t="s">
        <v>2749</v>
      </c>
      <c r="H1334" s="7" t="s">
        <v>3114</v>
      </c>
      <c r="I1334" s="35"/>
      <c r="J1334" s="30">
        <f>IF(OR($F1334="",$I1334=""),0,IFERROR(INDEX(Nutrition!$D$2:$D$300,MATCH($F1334,Nutrition!$A$2:$A$300,0))*$I1334/100,0))</f>
        <v>0</v>
      </c>
      <c r="K1334" s="30">
        <f>IF(OR($F1334="",$I1334=""),0,IFERROR(INDEX(Nutrition!$E$2:$E$300,MATCH($F1334,Nutrition!$A$2:$A$300,0))*$I1334/100,0))</f>
        <v>0</v>
      </c>
      <c r="L1334" s="30">
        <f>IF(OR($F1334="",$I1334=""),0,IFERROR(INDEX(Nutrition!$F$2:$F$300,MATCH($F1334,Nutrition!$A$2:$A$300,0))*$I1334/100,0))</f>
        <v>0</v>
      </c>
      <c r="M1334" s="30">
        <f>IF(OR($F1334="",$I1334=""),0,IFERROR(INDEX(Nutrition!$G$2:$G$300,MATCH($F1334,Nutrition!$A$2:$A$300,0))*$I1334/100,0))</f>
        <v>0</v>
      </c>
      <c r="N1334" s="30">
        <f>IF(OR($F1334="",$I1334=""),0,IFERROR(INDEX(Nutrition!$H$2:$H$300,MATCH($F1334,Nutrition!$A$2:$A$300,0))*$I1334/100,0))</f>
        <v>0</v>
      </c>
      <c r="O1334" s="30">
        <f>IF(OR($F1334="",$I1334=""),0,IFERROR(INDEX(Nutrition!$I$2:$I$300,MATCH($F1334,Nutrition!$A$2:$A$300,0))*$I1334/100,0))</f>
        <v>0</v>
      </c>
      <c r="P1334" s="30">
        <f>IF(OR($F1334="",$I1334=""),0,IFERROR(INDEX(Nutrition!$J$2:$J$300,MATCH($F1334,Nutrition!$A$2:$A$300,0))*$I1334/100,0))</f>
        <v>0</v>
      </c>
      <c r="Q1334" s="30">
        <f>IF(OR($F1334="",$I1334=""),0,IFERROR(INDEX(Nutrition!$K$2:$K$300,MATCH($F1334,Nutrition!$A$2:$A$300,0))*$I1334/100,0))</f>
        <v>0</v>
      </c>
      <c r="R1334" s="30">
        <f>IF(OR($F1334="",$I1334=""),0,IFERROR(INDEX(Nutrition!$L$2:$L$300,MATCH($F1334,Nutrition!$A$2:$A$300,0))*$I1334/100,0))</f>
        <v>0</v>
      </c>
      <c r="S1334" s="30">
        <f>IF(OR($F1334="",$I1334=""),0,IFERROR(INDEX(Nutrition!$M$2:$M$300,MATCH($F1334,Nutrition!$A$2:$A$300,0))*$I1334/100,0))</f>
        <v>0</v>
      </c>
    </row>
    <row r="1335" spans="1:19" ht="15" customHeight="1" x14ac:dyDescent="0.25">
      <c r="A1335" s="22" t="s">
        <v>2647</v>
      </c>
      <c r="B1335" s="33" t="str">
        <f>IFERROR(INDEX(Recipes!$B$2:$B$500,MATCH(A1335,Recipes!$A$2:$A$500,0)),"")</f>
        <v>Grilled Vegetable Couscous Bowl with Yoghurt</v>
      </c>
      <c r="C1335" s="7" t="s">
        <v>2762</v>
      </c>
      <c r="D1335" s="34">
        <v>0.5</v>
      </c>
      <c r="E1335" s="22" t="s">
        <v>2748</v>
      </c>
      <c r="F1335" s="22"/>
      <c r="G1335" s="22" t="s">
        <v>2749</v>
      </c>
      <c r="H1335" s="7"/>
      <c r="I1335" s="35"/>
      <c r="J1335" s="30">
        <f>IF(OR($F1335="",$I1335=""),0,IFERROR(INDEX(Nutrition!$D$2:$D$300,MATCH($F1335,Nutrition!$A$2:$A$300,0))*$I1335/100,0))</f>
        <v>0</v>
      </c>
      <c r="K1335" s="30">
        <f>IF(OR($F1335="",$I1335=""),0,IFERROR(INDEX(Nutrition!$E$2:$E$300,MATCH($F1335,Nutrition!$A$2:$A$300,0))*$I1335/100,0))</f>
        <v>0</v>
      </c>
      <c r="L1335" s="30">
        <f>IF(OR($F1335="",$I1335=""),0,IFERROR(INDEX(Nutrition!$F$2:$F$300,MATCH($F1335,Nutrition!$A$2:$A$300,0))*$I1335/100,0))</f>
        <v>0</v>
      </c>
      <c r="M1335" s="30">
        <f>IF(OR($F1335="",$I1335=""),0,IFERROR(INDEX(Nutrition!$G$2:$G$300,MATCH($F1335,Nutrition!$A$2:$A$300,0))*$I1335/100,0))</f>
        <v>0</v>
      </c>
      <c r="N1335" s="30">
        <f>IF(OR($F1335="",$I1335=""),0,IFERROR(INDEX(Nutrition!$H$2:$H$300,MATCH($F1335,Nutrition!$A$2:$A$300,0))*$I1335/100,0))</f>
        <v>0</v>
      </c>
      <c r="O1335" s="30">
        <f>IF(OR($F1335="",$I1335=""),0,IFERROR(INDEX(Nutrition!$I$2:$I$300,MATCH($F1335,Nutrition!$A$2:$A$300,0))*$I1335/100,0))</f>
        <v>0</v>
      </c>
      <c r="P1335" s="30">
        <f>IF(OR($F1335="",$I1335=""),0,IFERROR(INDEX(Nutrition!$J$2:$J$300,MATCH($F1335,Nutrition!$A$2:$A$300,0))*$I1335/100,0))</f>
        <v>0</v>
      </c>
      <c r="Q1335" s="30">
        <f>IF(OR($F1335="",$I1335=""),0,IFERROR(INDEX(Nutrition!$K$2:$K$300,MATCH($F1335,Nutrition!$A$2:$A$300,0))*$I1335/100,0))</f>
        <v>0</v>
      </c>
      <c r="R1335" s="30">
        <f>IF(OR($F1335="",$I1335=""),0,IFERROR(INDEX(Nutrition!$L$2:$L$300,MATCH($F1335,Nutrition!$A$2:$A$300,0))*$I1335/100,0))</f>
        <v>0</v>
      </c>
      <c r="S1335" s="30">
        <f>IF(OR($F1335="",$I1335=""),0,IFERROR(INDEX(Nutrition!$M$2:$M$300,MATCH($F1335,Nutrition!$A$2:$A$300,0))*$I1335/100,0))</f>
        <v>0</v>
      </c>
    </row>
    <row r="1336" spans="1:19" ht="15" customHeight="1" x14ac:dyDescent="0.25">
      <c r="A1336" s="22" t="s">
        <v>2647</v>
      </c>
      <c r="B1336" s="33" t="str">
        <f>IFERROR(INDEX(Recipes!$B$2:$B$500,MATCH(A1336,Recipes!$A$2:$A$500,0)),"")</f>
        <v>Grilled Vegetable Couscous Bowl with Yoghurt</v>
      </c>
      <c r="C1336" s="7" t="s">
        <v>2805</v>
      </c>
      <c r="D1336" s="34">
        <v>3</v>
      </c>
      <c r="E1336" s="22" t="s">
        <v>2753</v>
      </c>
      <c r="F1336" s="22"/>
      <c r="G1336" s="22" t="s">
        <v>2773</v>
      </c>
      <c r="H1336" s="7"/>
      <c r="I1336" s="35"/>
      <c r="J1336" s="30">
        <f>IF(OR($F1336="",$I1336=""),0,IFERROR(INDEX(Nutrition!$D$2:$D$300,MATCH($F1336,Nutrition!$A$2:$A$300,0))*$I1336/100,0))</f>
        <v>0</v>
      </c>
      <c r="K1336" s="30">
        <f>IF(OR($F1336="",$I1336=""),0,IFERROR(INDEX(Nutrition!$E$2:$E$300,MATCH($F1336,Nutrition!$A$2:$A$300,0))*$I1336/100,0))</f>
        <v>0</v>
      </c>
      <c r="L1336" s="30">
        <f>IF(OR($F1336="",$I1336=""),0,IFERROR(INDEX(Nutrition!$F$2:$F$300,MATCH($F1336,Nutrition!$A$2:$A$300,0))*$I1336/100,0))</f>
        <v>0</v>
      </c>
      <c r="M1336" s="30">
        <f>IF(OR($F1336="",$I1336=""),0,IFERROR(INDEX(Nutrition!$G$2:$G$300,MATCH($F1336,Nutrition!$A$2:$A$300,0))*$I1336/100,0))</f>
        <v>0</v>
      </c>
      <c r="N1336" s="30">
        <f>IF(OR($F1336="",$I1336=""),0,IFERROR(INDEX(Nutrition!$H$2:$H$300,MATCH($F1336,Nutrition!$A$2:$A$300,0))*$I1336/100,0))</f>
        <v>0</v>
      </c>
      <c r="O1336" s="30">
        <f>IF(OR($F1336="",$I1336=""),0,IFERROR(INDEX(Nutrition!$I$2:$I$300,MATCH($F1336,Nutrition!$A$2:$A$300,0))*$I1336/100,0))</f>
        <v>0</v>
      </c>
      <c r="P1336" s="30">
        <f>IF(OR($F1336="",$I1336=""),0,IFERROR(INDEX(Nutrition!$J$2:$J$300,MATCH($F1336,Nutrition!$A$2:$A$300,0))*$I1336/100,0))</f>
        <v>0</v>
      </c>
      <c r="Q1336" s="30">
        <f>IF(OR($F1336="",$I1336=""),0,IFERROR(INDEX(Nutrition!$K$2:$K$300,MATCH($F1336,Nutrition!$A$2:$A$300,0))*$I1336/100,0))</f>
        <v>0</v>
      </c>
      <c r="R1336" s="30">
        <f>IF(OR($F1336="",$I1336=""),0,IFERROR(INDEX(Nutrition!$L$2:$L$300,MATCH($F1336,Nutrition!$A$2:$A$300,0))*$I1336/100,0))</f>
        <v>0</v>
      </c>
      <c r="S1336" s="30">
        <f>IF(OR($F1336="",$I1336=""),0,IFERROR(INDEX(Nutrition!$M$2:$M$300,MATCH($F1336,Nutrition!$A$2:$A$300,0))*$I1336/100,0))</f>
        <v>0</v>
      </c>
    </row>
    <row r="1337" spans="1:19" ht="15" customHeight="1" x14ac:dyDescent="0.25">
      <c r="A1337" s="22" t="s">
        <v>2647</v>
      </c>
      <c r="B1337" s="33" t="str">
        <f>IFERROR(INDEX(Recipes!$B$2:$B$500,MATCH(A1337,Recipes!$A$2:$A$500,0)),"")</f>
        <v>Grilled Vegetable Couscous Bowl with Yoghurt</v>
      </c>
      <c r="C1337" s="7" t="s">
        <v>2906</v>
      </c>
      <c r="D1337" s="34">
        <v>0.5</v>
      </c>
      <c r="E1337" s="22" t="s">
        <v>2759</v>
      </c>
      <c r="F1337" s="22"/>
      <c r="G1337" s="22" t="s">
        <v>2773</v>
      </c>
      <c r="H1337" s="7"/>
      <c r="I1337" s="35"/>
      <c r="J1337" s="30">
        <f>IF(OR($F1337="",$I1337=""),0,IFERROR(INDEX(Nutrition!$D$2:$D$300,MATCH($F1337,Nutrition!$A$2:$A$300,0))*$I1337/100,0))</f>
        <v>0</v>
      </c>
      <c r="K1337" s="30">
        <f>IF(OR($F1337="",$I1337=""),0,IFERROR(INDEX(Nutrition!$E$2:$E$300,MATCH($F1337,Nutrition!$A$2:$A$300,0))*$I1337/100,0))</f>
        <v>0</v>
      </c>
      <c r="L1337" s="30">
        <f>IF(OR($F1337="",$I1337=""),0,IFERROR(INDEX(Nutrition!$F$2:$F$300,MATCH($F1337,Nutrition!$A$2:$A$300,0))*$I1337/100,0))</f>
        <v>0</v>
      </c>
      <c r="M1337" s="30">
        <f>IF(OR($F1337="",$I1337=""),0,IFERROR(INDEX(Nutrition!$G$2:$G$300,MATCH($F1337,Nutrition!$A$2:$A$300,0))*$I1337/100,0))</f>
        <v>0</v>
      </c>
      <c r="N1337" s="30">
        <f>IF(OR($F1337="",$I1337=""),0,IFERROR(INDEX(Nutrition!$H$2:$H$300,MATCH($F1337,Nutrition!$A$2:$A$300,0))*$I1337/100,0))</f>
        <v>0</v>
      </c>
      <c r="O1337" s="30">
        <f>IF(OR($F1337="",$I1337=""),0,IFERROR(INDEX(Nutrition!$I$2:$I$300,MATCH($F1337,Nutrition!$A$2:$A$300,0))*$I1337/100,0))</f>
        <v>0</v>
      </c>
      <c r="P1337" s="30">
        <f>IF(OR($F1337="",$I1337=""),0,IFERROR(INDEX(Nutrition!$J$2:$J$300,MATCH($F1337,Nutrition!$A$2:$A$300,0))*$I1337/100,0))</f>
        <v>0</v>
      </c>
      <c r="Q1337" s="30">
        <f>IF(OR($F1337="",$I1337=""),0,IFERROR(INDEX(Nutrition!$K$2:$K$300,MATCH($F1337,Nutrition!$A$2:$A$300,0))*$I1337/100,0))</f>
        <v>0</v>
      </c>
      <c r="R1337" s="30">
        <f>IF(OR($F1337="",$I1337=""),0,IFERROR(INDEX(Nutrition!$L$2:$L$300,MATCH($F1337,Nutrition!$A$2:$A$300,0))*$I1337/100,0))</f>
        <v>0</v>
      </c>
      <c r="S1337" s="30">
        <f>IF(OR($F1337="",$I1337=""),0,IFERROR(INDEX(Nutrition!$M$2:$M$300,MATCH($F1337,Nutrition!$A$2:$A$300,0))*$I1337/100,0))</f>
        <v>0</v>
      </c>
    </row>
    <row r="1338" spans="1:19" ht="15" customHeight="1" x14ac:dyDescent="0.25">
      <c r="A1338" s="22" t="s">
        <v>2658</v>
      </c>
      <c r="B1338" s="33" t="str">
        <f>IFERROR(INDEX(Recipes!$B$2:$B$500,MATCH(A1338,Recipes!$A$2:$A$500,0)),"")</f>
        <v>Esquites (Mexican Street Corn Cups)</v>
      </c>
      <c r="C1338" s="7" t="s">
        <v>556</v>
      </c>
      <c r="D1338" s="34">
        <v>4</v>
      </c>
      <c r="E1338" s="22" t="s">
        <v>2841</v>
      </c>
      <c r="F1338" s="22" t="s">
        <v>555</v>
      </c>
      <c r="G1338" s="22" t="s">
        <v>2755</v>
      </c>
      <c r="H1338" s="7" t="s">
        <v>3115</v>
      </c>
      <c r="I1338" s="35">
        <v>360</v>
      </c>
      <c r="J1338" s="30">
        <f>IF(OR($F1338="",$I1338=""),0,IFERROR(INDEX(Nutrition!$D$2:$D$300,MATCH($F1338,Nutrition!$A$2:$A$300,0))*$I1338/100,0))</f>
        <v>9.7200000000000006</v>
      </c>
      <c r="K1338" s="30">
        <f>IF(OR($F1338="",$I1338=""),0,IFERROR(INDEX(Nutrition!$E$2:$E$300,MATCH($F1338,Nutrition!$A$2:$A$300,0))*$I1338/100,0))</f>
        <v>24.48</v>
      </c>
      <c r="L1338" s="30">
        <f>IF(OR($F1338="",$I1338=""),0,IFERROR(INDEX(Nutrition!$F$2:$F$300,MATCH($F1338,Nutrition!$A$2:$A$300,0))*$I1338/100,0))</f>
        <v>32.4</v>
      </c>
      <c r="M1338" s="30">
        <f>IF(OR($F1338="",$I1338=""),0,IFERROR(INDEX(Nutrition!$G$2:$G$300,MATCH($F1338,Nutrition!$A$2:$A$300,0))*$I1338/100,0))</f>
        <v>1.08</v>
      </c>
      <c r="N1338" s="30">
        <f>IF(OR($F1338="",$I1338=""),0,IFERROR(INDEX(Nutrition!$H$2:$H$300,MATCH($F1338,Nutrition!$A$2:$A$300,0))*$I1338/100,0))</f>
        <v>151.19999999999999</v>
      </c>
      <c r="O1338" s="30">
        <f>IF(OR($F1338="",$I1338=""),0,IFERROR(INDEX(Nutrition!$I$2:$I$300,MATCH($F1338,Nutrition!$A$2:$A$300,0))*$I1338/100,0))</f>
        <v>972</v>
      </c>
      <c r="P1338" s="30">
        <f>IF(OR($F1338="",$I1338=""),0,IFERROR(INDEX(Nutrition!$J$2:$J$300,MATCH($F1338,Nutrition!$A$2:$A$300,0))*$I1338/100,0))</f>
        <v>0.252</v>
      </c>
      <c r="Q1338" s="30">
        <f>IF(OR($F1338="",$I1338=""),0,IFERROR(INDEX(Nutrition!$K$2:$K$300,MATCH($F1338,Nutrition!$A$2:$A$300,0))*$I1338/100,0))</f>
        <v>0.33479999999999999</v>
      </c>
      <c r="R1338" s="30">
        <f>IF(OR($F1338="",$I1338=""),0,IFERROR(INDEX(Nutrition!$L$2:$L$300,MATCH($F1338,Nutrition!$A$2:$A$300,0))*$I1338/100,0))</f>
        <v>133.19999999999999</v>
      </c>
      <c r="S1338" s="30">
        <f>IF(OR($F1338="",$I1338=""),0,IFERROR(INDEX(Nutrition!$M$2:$M$300,MATCH($F1338,Nutrition!$A$2:$A$300,0))*$I1338/100,0))</f>
        <v>1.8720000000000001</v>
      </c>
    </row>
    <row r="1339" spans="1:19" ht="15" customHeight="1" x14ac:dyDescent="0.25">
      <c r="A1339" s="22" t="s">
        <v>2658</v>
      </c>
      <c r="B1339" s="33" t="str">
        <f>IFERROR(INDEX(Recipes!$B$2:$B$500,MATCH(A1339,Recipes!$A$2:$A$500,0)),"")</f>
        <v>Esquites (Mexican Street Corn Cups)</v>
      </c>
      <c r="C1339" s="7" t="s">
        <v>490</v>
      </c>
      <c r="D1339" s="34">
        <v>0.5</v>
      </c>
      <c r="E1339" s="22" t="s">
        <v>2748</v>
      </c>
      <c r="F1339" s="22" t="s">
        <v>489</v>
      </c>
      <c r="G1339" s="22" t="s">
        <v>2755</v>
      </c>
      <c r="H1339" s="7" t="s">
        <v>3116</v>
      </c>
      <c r="I1339" s="35">
        <v>50</v>
      </c>
      <c r="J1339" s="30">
        <f>IF(OR($F1339="",$I1339=""),0,IFERROR(INDEX(Nutrition!$D$2:$D$300,MATCH($F1339,Nutrition!$A$2:$A$300,0))*$I1339/100,0))</f>
        <v>1.3</v>
      </c>
      <c r="K1339" s="30">
        <f>IF(OR($F1339="",$I1339=""),0,IFERROR(INDEX(Nutrition!$E$2:$E$300,MATCH($F1339,Nutrition!$A$2:$A$300,0))*$I1339/100,0))</f>
        <v>9.4</v>
      </c>
      <c r="L1339" s="30">
        <f>IF(OR($F1339="",$I1339=""),0,IFERROR(INDEX(Nutrition!$F$2:$F$300,MATCH($F1339,Nutrition!$A$2:$A$300,0))*$I1339/100,0))</f>
        <v>25</v>
      </c>
      <c r="M1339" s="30">
        <f>IF(OR($F1339="",$I1339=""),0,IFERROR(INDEX(Nutrition!$G$2:$G$300,MATCH($F1339,Nutrition!$A$2:$A$300,0))*$I1339/100,0))</f>
        <v>103.5</v>
      </c>
      <c r="N1339" s="30">
        <f>IF(OR($F1339="",$I1339=""),0,IFERROR(INDEX(Nutrition!$H$2:$H$300,MATCH($F1339,Nutrition!$A$2:$A$300,0))*$I1339/100,0))</f>
        <v>32</v>
      </c>
      <c r="O1339" s="30">
        <f>IF(OR($F1339="",$I1339=""),0,IFERROR(INDEX(Nutrition!$I$2:$I$300,MATCH($F1339,Nutrition!$A$2:$A$300,0))*$I1339/100,0))</f>
        <v>138</v>
      </c>
      <c r="P1339" s="30">
        <f>IF(OR($F1339="",$I1339=""),0,IFERROR(INDEX(Nutrition!$J$2:$J$300,MATCH($F1339,Nutrition!$A$2:$A$300,0))*$I1339/100,0))</f>
        <v>0.27500000000000002</v>
      </c>
      <c r="Q1339" s="30">
        <f>IF(OR($F1339="",$I1339=""),0,IFERROR(INDEX(Nutrition!$K$2:$K$300,MATCH($F1339,Nutrition!$A$2:$A$300,0))*$I1339/100,0))</f>
        <v>3.0499999999999999E-2</v>
      </c>
      <c r="R1339" s="30">
        <f>IF(OR($F1339="",$I1339=""),0,IFERROR(INDEX(Nutrition!$L$2:$L$300,MATCH($F1339,Nutrition!$A$2:$A$300,0))*$I1339/100,0))</f>
        <v>10</v>
      </c>
      <c r="S1339" s="30">
        <f>IF(OR($F1339="",$I1339=""),0,IFERROR(INDEX(Nutrition!$M$2:$M$300,MATCH($F1339,Nutrition!$A$2:$A$300,0))*$I1339/100,0))</f>
        <v>0.74</v>
      </c>
    </row>
    <row r="1340" spans="1:19" ht="15" customHeight="1" x14ac:dyDescent="0.25">
      <c r="A1340" s="22" t="s">
        <v>2658</v>
      </c>
      <c r="B1340" s="33" t="str">
        <f>IFERROR(INDEX(Recipes!$B$2:$B$500,MATCH(A1340,Recipes!$A$2:$A$500,0)),"")</f>
        <v>Esquites (Mexican Street Corn Cups)</v>
      </c>
      <c r="C1340" s="7" t="s">
        <v>668</v>
      </c>
      <c r="D1340" s="34">
        <v>0.5</v>
      </c>
      <c r="E1340" s="22" t="s">
        <v>2748</v>
      </c>
      <c r="F1340" s="22" t="s">
        <v>667</v>
      </c>
      <c r="G1340" s="22" t="s">
        <v>2755</v>
      </c>
      <c r="H1340" s="7" t="s">
        <v>2775</v>
      </c>
      <c r="I1340" s="35">
        <v>8</v>
      </c>
      <c r="J1340" s="30">
        <f>IF(OR($F1340="",$I1340=""),0,IFERROR(INDEX(Nutrition!$D$2:$D$300,MATCH($F1340,Nutrition!$A$2:$A$300,0))*$I1340/100,0))</f>
        <v>0.22399999999999998</v>
      </c>
      <c r="K1340" s="30">
        <f>IF(OR($F1340="",$I1340=""),0,IFERROR(INDEX(Nutrition!$E$2:$E$300,MATCH($F1340,Nutrition!$A$2:$A$300,0))*$I1340/100,0))</f>
        <v>2.16</v>
      </c>
      <c r="L1340" s="30">
        <f>IF(OR($F1340="",$I1340=""),0,IFERROR(INDEX(Nutrition!$F$2:$F$300,MATCH($F1340,Nutrition!$A$2:$A$300,0))*$I1340/100,0))</f>
        <v>26.96</v>
      </c>
      <c r="M1340" s="30">
        <f>IF(OR($F1340="",$I1340=""),0,IFERROR(INDEX(Nutrition!$G$2:$G$300,MATCH($F1340,Nutrition!$A$2:$A$300,0))*$I1340/100,0))</f>
        <v>24.8</v>
      </c>
      <c r="N1340" s="30">
        <f>IF(OR($F1340="",$I1340=""),0,IFERROR(INDEX(Nutrition!$H$2:$H$300,MATCH($F1340,Nutrition!$A$2:$A$300,0))*$I1340/100,0))</f>
        <v>4.96</v>
      </c>
      <c r="O1340" s="30">
        <f>IF(OR($F1340="",$I1340=""),0,IFERROR(INDEX(Nutrition!$I$2:$I$300,MATCH($F1340,Nutrition!$A$2:$A$300,0))*$I1340/100,0))</f>
        <v>41.68</v>
      </c>
      <c r="P1340" s="30">
        <f>IF(OR($F1340="",$I1340=""),0,IFERROR(INDEX(Nutrition!$J$2:$J$300,MATCH($F1340,Nutrition!$A$2:$A$300,0))*$I1340/100,0))</f>
        <v>0.2</v>
      </c>
      <c r="Q1340" s="30">
        <f>IF(OR($F1340="",$I1340=""),0,IFERROR(INDEX(Nutrition!$K$2:$K$300,MATCH($F1340,Nutrition!$A$2:$A$300,0))*$I1340/100,0))</f>
        <v>1.192E-2</v>
      </c>
      <c r="R1340" s="30">
        <f>IF(OR($F1340="",$I1340=""),0,IFERROR(INDEX(Nutrition!$L$2:$L$300,MATCH($F1340,Nutrition!$A$2:$A$300,0))*$I1340/100,0))</f>
        <v>2.08</v>
      </c>
      <c r="S1340" s="30">
        <f>IF(OR($F1340="",$I1340=""),0,IFERROR(INDEX(Nutrition!$M$2:$M$300,MATCH($F1340,Nutrition!$A$2:$A$300,0))*$I1340/100,0))</f>
        <v>0.1416</v>
      </c>
    </row>
    <row r="1341" spans="1:19" ht="15" customHeight="1" x14ac:dyDescent="0.25">
      <c r="A1341" s="22" t="s">
        <v>2658</v>
      </c>
      <c r="B1341" s="33" t="str">
        <f>IFERROR(INDEX(Recipes!$B$2:$B$500,MATCH(A1341,Recipes!$A$2:$A$500,0)),"")</f>
        <v>Esquites (Mexican Street Corn Cups)</v>
      </c>
      <c r="C1341" s="7" t="s">
        <v>478</v>
      </c>
      <c r="D1341" s="34">
        <v>1</v>
      </c>
      <c r="E1341" s="22" t="s">
        <v>2754</v>
      </c>
      <c r="F1341" s="22" t="s">
        <v>477</v>
      </c>
      <c r="G1341" s="22" t="s">
        <v>2755</v>
      </c>
      <c r="H1341" s="7" t="s">
        <v>2960</v>
      </c>
      <c r="I1341" s="35">
        <v>20</v>
      </c>
      <c r="J1341" s="30">
        <f>IF(OR($F1341="",$I1341=""),0,IFERROR(INDEX(Nutrition!$D$2:$D$300,MATCH($F1341,Nutrition!$A$2:$A$300,0))*$I1341/100,0))</f>
        <v>0.3</v>
      </c>
      <c r="K1341" s="30">
        <f>IF(OR($F1341="",$I1341=""),0,IFERROR(INDEX(Nutrition!$E$2:$E$300,MATCH($F1341,Nutrition!$A$2:$A$300,0))*$I1341/100,0))</f>
        <v>28.74</v>
      </c>
      <c r="L1341" s="30">
        <f>IF(OR($F1341="",$I1341=""),0,IFERROR(INDEX(Nutrition!$F$2:$F$300,MATCH($F1341,Nutrition!$A$2:$A$300,0))*$I1341/100,0))</f>
        <v>9.6</v>
      </c>
      <c r="M1341" s="30">
        <f>IF(OR($F1341="",$I1341=""),0,IFERROR(INDEX(Nutrition!$G$2:$G$300,MATCH($F1341,Nutrition!$A$2:$A$300,0))*$I1341/100,0))</f>
        <v>2.8</v>
      </c>
      <c r="N1341" s="30">
        <f>IF(OR($F1341="",$I1341=""),0,IFERROR(INDEX(Nutrition!$H$2:$H$300,MATCH($F1341,Nutrition!$A$2:$A$300,0))*$I1341/100,0))</f>
        <v>4.5999999999999996</v>
      </c>
      <c r="O1341" s="30">
        <f>IF(OR($F1341="",$I1341=""),0,IFERROR(INDEX(Nutrition!$I$2:$I$300,MATCH($F1341,Nutrition!$A$2:$A$300,0))*$I1341/100,0))</f>
        <v>64.400000000000006</v>
      </c>
      <c r="P1341" s="30">
        <f>IF(OR($F1341="",$I1341=""),0,IFERROR(INDEX(Nutrition!$J$2:$J$300,MATCH($F1341,Nutrition!$A$2:$A$300,0))*$I1341/100,0))</f>
        <v>0.13799999999999998</v>
      </c>
      <c r="Q1341" s="30">
        <f>IF(OR($F1341="",$I1341=""),0,IFERROR(INDEX(Nutrition!$K$2:$K$300,MATCH($F1341,Nutrition!$A$2:$A$300,0))*$I1341/100,0))</f>
        <v>0.10120000000000001</v>
      </c>
      <c r="R1341" s="30">
        <f>IF(OR($F1341="",$I1341=""),0,IFERROR(INDEX(Nutrition!$L$2:$L$300,MATCH($F1341,Nutrition!$A$2:$A$300,0))*$I1341/100,0))</f>
        <v>4.5999999999999996</v>
      </c>
      <c r="S1341" s="30">
        <f>IF(OR($F1341="",$I1341=""),0,IFERROR(INDEX(Nutrition!$M$2:$M$300,MATCH($F1341,Nutrition!$A$2:$A$300,0))*$I1341/100,0))</f>
        <v>0.20600000000000002</v>
      </c>
    </row>
    <row r="1342" spans="1:19" ht="15" customHeight="1" x14ac:dyDescent="0.25">
      <c r="A1342" s="22" t="s">
        <v>2658</v>
      </c>
      <c r="B1342" s="33" t="str">
        <f>IFERROR(INDEX(Recipes!$B$2:$B$500,MATCH(A1342,Recipes!$A$2:$A$500,0)),"")</f>
        <v>Esquites (Mexican Street Corn Cups)</v>
      </c>
      <c r="C1342" s="7" t="s">
        <v>500</v>
      </c>
      <c r="D1342" s="34">
        <v>1</v>
      </c>
      <c r="E1342" s="22" t="s">
        <v>2816</v>
      </c>
      <c r="F1342" s="22" t="s">
        <v>499</v>
      </c>
      <c r="G1342" s="22" t="s">
        <v>2755</v>
      </c>
      <c r="H1342" s="7" t="s">
        <v>2896</v>
      </c>
      <c r="I1342" s="35">
        <v>3</v>
      </c>
      <c r="J1342" s="30">
        <f>IF(OR($F1342="",$I1342=""),0,IFERROR(INDEX(Nutrition!$D$2:$D$300,MATCH($F1342,Nutrition!$A$2:$A$300,0))*$I1342/100,0))</f>
        <v>6.3E-2</v>
      </c>
      <c r="K1342" s="30">
        <f>IF(OR($F1342="",$I1342=""),0,IFERROR(INDEX(Nutrition!$E$2:$E$300,MATCH($F1342,Nutrition!$A$2:$A$300,0))*$I1342/100,0))</f>
        <v>0.93599999999999994</v>
      </c>
      <c r="L1342" s="30">
        <f>IF(OR($F1342="",$I1342=""),0,IFERROR(INDEX(Nutrition!$F$2:$F$300,MATCH($F1342,Nutrition!$A$2:$A$300,0))*$I1342/100,0))</f>
        <v>0</v>
      </c>
      <c r="M1342" s="30">
        <f>IF(OR($F1342="",$I1342=""),0,IFERROR(INDEX(Nutrition!$G$2:$G$300,MATCH($F1342,Nutrition!$A$2:$A$300,0))*$I1342/100,0))</f>
        <v>5.0999999999999997E-2</v>
      </c>
      <c r="N1342" s="30">
        <f>IF(OR($F1342="",$I1342=""),0,IFERROR(INDEX(Nutrition!$H$2:$H$300,MATCH($F1342,Nutrition!$A$2:$A$300,0))*$I1342/100,0))</f>
        <v>0.09</v>
      </c>
      <c r="O1342" s="30">
        <f>IF(OR($F1342="",$I1342=""),0,IFERROR(INDEX(Nutrition!$I$2:$I$300,MATCH($F1342,Nutrition!$A$2:$A$300,0))*$I1342/100,0))</f>
        <v>12.03</v>
      </c>
      <c r="P1342" s="30">
        <f>IF(OR($F1342="",$I1342=""),0,IFERROR(INDEX(Nutrition!$J$2:$J$300,MATCH($F1342,Nutrition!$A$2:$A$300,0))*$I1342/100,0))</f>
        <v>2.3999999999999998E-3</v>
      </c>
      <c r="Q1342" s="30">
        <f>IF(OR($F1342="",$I1342=""),0,IFERROR(INDEX(Nutrition!$K$2:$K$300,MATCH($F1342,Nutrition!$A$2:$A$300,0))*$I1342/100,0))</f>
        <v>3.705E-2</v>
      </c>
      <c r="R1342" s="30">
        <f>IF(OR($F1342="",$I1342=""),0,IFERROR(INDEX(Nutrition!$L$2:$L$300,MATCH($F1342,Nutrition!$A$2:$A$300,0))*$I1342/100,0))</f>
        <v>0.75</v>
      </c>
      <c r="S1342" s="30">
        <f>IF(OR($F1342="",$I1342=""),0,IFERROR(INDEX(Nutrition!$M$2:$M$300,MATCH($F1342,Nutrition!$A$2:$A$300,0))*$I1342/100,0))</f>
        <v>5.0999999999999997E-2</v>
      </c>
    </row>
    <row r="1343" spans="1:19" ht="15" customHeight="1" x14ac:dyDescent="0.25">
      <c r="A1343" s="22" t="s">
        <v>2658</v>
      </c>
      <c r="B1343" s="33" t="str">
        <f>IFERROR(INDEX(Recipes!$B$2:$B$500,MATCH(A1343,Recipes!$A$2:$A$500,0)),"")</f>
        <v>Esquites (Mexican Street Corn Cups)</v>
      </c>
      <c r="C1343" s="7" t="s">
        <v>213</v>
      </c>
      <c r="D1343" s="34">
        <v>1</v>
      </c>
      <c r="E1343" s="22" t="s">
        <v>2754</v>
      </c>
      <c r="F1343" s="22" t="s">
        <v>212</v>
      </c>
      <c r="G1343" s="22" t="s">
        <v>2755</v>
      </c>
      <c r="H1343" s="7" t="s">
        <v>2912</v>
      </c>
      <c r="I1343" s="35">
        <v>67</v>
      </c>
      <c r="J1343" s="30">
        <f>IF(OR($F1343="",$I1343=""),0,IFERROR(INDEX(Nutrition!$D$2:$D$300,MATCH($F1343,Nutrition!$A$2:$A$300,0))*$I1343/100,0))</f>
        <v>1.8759999999999999</v>
      </c>
      <c r="K1343" s="30">
        <f>IF(OR($F1343="",$I1343=""),0,IFERROR(INDEX(Nutrition!$E$2:$E$300,MATCH($F1343,Nutrition!$A$2:$A$300,0))*$I1343/100,0))</f>
        <v>19.497</v>
      </c>
      <c r="L1343" s="30">
        <f>IF(OR($F1343="",$I1343=""),0,IFERROR(INDEX(Nutrition!$F$2:$F$300,MATCH($F1343,Nutrition!$A$2:$A$300,0))*$I1343/100,0))</f>
        <v>1.34</v>
      </c>
      <c r="M1343" s="30">
        <f>IF(OR($F1343="",$I1343=""),0,IFERROR(INDEX(Nutrition!$G$2:$G$300,MATCH($F1343,Nutrition!$A$2:$A$300,0))*$I1343/100,0))</f>
        <v>0.40199999999999997</v>
      </c>
      <c r="N1343" s="30">
        <f>IF(OR($F1343="",$I1343=""),0,IFERROR(INDEX(Nutrition!$H$2:$H$300,MATCH($F1343,Nutrition!$A$2:$A$300,0))*$I1343/100,0))</f>
        <v>5.36</v>
      </c>
      <c r="O1343" s="30">
        <f>IF(OR($F1343="",$I1343=""),0,IFERROR(INDEX(Nutrition!$I$2:$I$300,MATCH($F1343,Nutrition!$A$2:$A$300,0))*$I1343/100,0))</f>
        <v>68.34</v>
      </c>
      <c r="P1343" s="30">
        <f>IF(OR($F1343="",$I1343=""),0,IFERROR(INDEX(Nutrition!$J$2:$J$300,MATCH($F1343,Nutrition!$A$2:$A$300,0))*$I1343/100,0))</f>
        <v>0.1474</v>
      </c>
      <c r="Q1343" s="30">
        <f>IF(OR($F1343="",$I1343=""),0,IFERROR(INDEX(Nutrition!$K$2:$K$300,MATCH($F1343,Nutrition!$A$2:$A$300,0))*$I1343/100,0))</f>
        <v>2.8809999999999999E-2</v>
      </c>
      <c r="R1343" s="30">
        <f>IF(OR($F1343="",$I1343=""),0,IFERROR(INDEX(Nutrition!$L$2:$L$300,MATCH($F1343,Nutrition!$A$2:$A$300,0))*$I1343/100,0))</f>
        <v>4.0199999999999996</v>
      </c>
      <c r="S1343" s="30">
        <f>IF(OR($F1343="",$I1343=""),0,IFERROR(INDEX(Nutrition!$M$2:$M$300,MATCH($F1343,Nutrition!$A$2:$A$300,0))*$I1343/100,0))</f>
        <v>0.40199999999999997</v>
      </c>
    </row>
    <row r="1344" spans="1:19" ht="15" customHeight="1" x14ac:dyDescent="0.25">
      <c r="A1344" s="22" t="s">
        <v>2658</v>
      </c>
      <c r="B1344" s="33" t="str">
        <f>IFERROR(INDEX(Recipes!$B$2:$B$500,MATCH(A1344,Recipes!$A$2:$A$500,0)),"")</f>
        <v>Esquites (Mexican Street Corn Cups)</v>
      </c>
      <c r="C1344" s="7" t="s">
        <v>2898</v>
      </c>
      <c r="D1344" s="34">
        <v>2</v>
      </c>
      <c r="E1344" s="22" t="s">
        <v>2753</v>
      </c>
      <c r="F1344" s="22"/>
      <c r="G1344" s="22" t="s">
        <v>2773</v>
      </c>
      <c r="H1344" s="7"/>
      <c r="I1344" s="35"/>
      <c r="J1344" s="30">
        <f>IF(OR($F1344="",$I1344=""),0,IFERROR(INDEX(Nutrition!$D$2:$D$300,MATCH($F1344,Nutrition!$A$2:$A$300,0))*$I1344/100,0))</f>
        <v>0</v>
      </c>
      <c r="K1344" s="30">
        <f>IF(OR($F1344="",$I1344=""),0,IFERROR(INDEX(Nutrition!$E$2:$E$300,MATCH($F1344,Nutrition!$A$2:$A$300,0))*$I1344/100,0))</f>
        <v>0</v>
      </c>
      <c r="L1344" s="30">
        <f>IF(OR($F1344="",$I1344=""),0,IFERROR(INDEX(Nutrition!$F$2:$F$300,MATCH($F1344,Nutrition!$A$2:$A$300,0))*$I1344/100,0))</f>
        <v>0</v>
      </c>
      <c r="M1344" s="30">
        <f>IF(OR($F1344="",$I1344=""),0,IFERROR(INDEX(Nutrition!$G$2:$G$300,MATCH($F1344,Nutrition!$A$2:$A$300,0))*$I1344/100,0))</f>
        <v>0</v>
      </c>
      <c r="N1344" s="30">
        <f>IF(OR($F1344="",$I1344=""),0,IFERROR(INDEX(Nutrition!$H$2:$H$300,MATCH($F1344,Nutrition!$A$2:$A$300,0))*$I1344/100,0))</f>
        <v>0</v>
      </c>
      <c r="O1344" s="30">
        <f>IF(OR($F1344="",$I1344=""),0,IFERROR(INDEX(Nutrition!$I$2:$I$300,MATCH($F1344,Nutrition!$A$2:$A$300,0))*$I1344/100,0))</f>
        <v>0</v>
      </c>
      <c r="P1344" s="30">
        <f>IF(OR($F1344="",$I1344=""),0,IFERROR(INDEX(Nutrition!$J$2:$J$300,MATCH($F1344,Nutrition!$A$2:$A$300,0))*$I1344/100,0))</f>
        <v>0</v>
      </c>
      <c r="Q1344" s="30">
        <f>IF(OR($F1344="",$I1344=""),0,IFERROR(INDEX(Nutrition!$K$2:$K$300,MATCH($F1344,Nutrition!$A$2:$A$300,0))*$I1344/100,0))</f>
        <v>0</v>
      </c>
      <c r="R1344" s="30">
        <f>IF(OR($F1344="",$I1344=""),0,IFERROR(INDEX(Nutrition!$L$2:$L$300,MATCH($F1344,Nutrition!$A$2:$A$300,0))*$I1344/100,0))</f>
        <v>0</v>
      </c>
      <c r="S1344" s="30">
        <f>IF(OR($F1344="",$I1344=""),0,IFERROR(INDEX(Nutrition!$M$2:$M$300,MATCH($F1344,Nutrition!$A$2:$A$300,0))*$I1344/100,0))</f>
        <v>0</v>
      </c>
    </row>
    <row r="1345" spans="1:19" ht="15" customHeight="1" x14ac:dyDescent="0.25">
      <c r="A1345" s="22" t="s">
        <v>2658</v>
      </c>
      <c r="B1345" s="33" t="str">
        <f>IFERROR(INDEX(Recipes!$B$2:$B$500,MATCH(A1345,Recipes!$A$2:$A$500,0)),"")</f>
        <v>Esquites (Mexican Street Corn Cups)</v>
      </c>
      <c r="C1345" s="7" t="s">
        <v>2994</v>
      </c>
      <c r="D1345" s="34">
        <v>2</v>
      </c>
      <c r="E1345" s="22" t="s">
        <v>2753</v>
      </c>
      <c r="F1345" s="22"/>
      <c r="G1345" s="22" t="s">
        <v>2749</v>
      </c>
      <c r="H1345" s="7"/>
      <c r="I1345" s="35"/>
      <c r="J1345" s="30">
        <f>IF(OR($F1345="",$I1345=""),0,IFERROR(INDEX(Nutrition!$D$2:$D$300,MATCH($F1345,Nutrition!$A$2:$A$300,0))*$I1345/100,0))</f>
        <v>0</v>
      </c>
      <c r="K1345" s="30">
        <f>IF(OR($F1345="",$I1345=""),0,IFERROR(INDEX(Nutrition!$E$2:$E$300,MATCH($F1345,Nutrition!$A$2:$A$300,0))*$I1345/100,0))</f>
        <v>0</v>
      </c>
      <c r="L1345" s="30">
        <f>IF(OR($F1345="",$I1345=""),0,IFERROR(INDEX(Nutrition!$F$2:$F$300,MATCH($F1345,Nutrition!$A$2:$A$300,0))*$I1345/100,0))</f>
        <v>0</v>
      </c>
      <c r="M1345" s="30">
        <f>IF(OR($F1345="",$I1345=""),0,IFERROR(INDEX(Nutrition!$G$2:$G$300,MATCH($F1345,Nutrition!$A$2:$A$300,0))*$I1345/100,0))</f>
        <v>0</v>
      </c>
      <c r="N1345" s="30">
        <f>IF(OR($F1345="",$I1345=""),0,IFERROR(INDEX(Nutrition!$H$2:$H$300,MATCH($F1345,Nutrition!$A$2:$A$300,0))*$I1345/100,0))</f>
        <v>0</v>
      </c>
      <c r="O1345" s="30">
        <f>IF(OR($F1345="",$I1345=""),0,IFERROR(INDEX(Nutrition!$I$2:$I$300,MATCH($F1345,Nutrition!$A$2:$A$300,0))*$I1345/100,0))</f>
        <v>0</v>
      </c>
      <c r="P1345" s="30">
        <f>IF(OR($F1345="",$I1345=""),0,IFERROR(INDEX(Nutrition!$J$2:$J$300,MATCH($F1345,Nutrition!$A$2:$A$300,0))*$I1345/100,0))</f>
        <v>0</v>
      </c>
      <c r="Q1345" s="30">
        <f>IF(OR($F1345="",$I1345=""),0,IFERROR(INDEX(Nutrition!$K$2:$K$300,MATCH($F1345,Nutrition!$A$2:$A$300,0))*$I1345/100,0))</f>
        <v>0</v>
      </c>
      <c r="R1345" s="30">
        <f>IF(OR($F1345="",$I1345=""),0,IFERROR(INDEX(Nutrition!$L$2:$L$300,MATCH($F1345,Nutrition!$A$2:$A$300,0))*$I1345/100,0))</f>
        <v>0</v>
      </c>
      <c r="S1345" s="30">
        <f>IF(OR($F1345="",$I1345=""),0,IFERROR(INDEX(Nutrition!$M$2:$M$300,MATCH($F1345,Nutrition!$A$2:$A$300,0))*$I1345/100,0))</f>
        <v>0</v>
      </c>
    </row>
    <row r="1346" spans="1:19" ht="15" customHeight="1" x14ac:dyDescent="0.25">
      <c r="A1346" s="22" t="s">
        <v>2658</v>
      </c>
      <c r="B1346" s="33" t="str">
        <f>IFERROR(INDEX(Recipes!$B$2:$B$500,MATCH(A1346,Recipes!$A$2:$A$500,0)),"")</f>
        <v>Esquites (Mexican Street Corn Cups)</v>
      </c>
      <c r="C1346" s="7" t="s">
        <v>2904</v>
      </c>
      <c r="D1346" s="34">
        <v>60</v>
      </c>
      <c r="E1346" s="22" t="s">
        <v>2813</v>
      </c>
      <c r="F1346" s="22"/>
      <c r="G1346" s="22" t="s">
        <v>2749</v>
      </c>
      <c r="H1346" s="7" t="s">
        <v>2905</v>
      </c>
      <c r="I1346" s="35"/>
      <c r="J1346" s="30">
        <f>IF(OR($F1346="",$I1346=""),0,IFERROR(INDEX(Nutrition!$D$2:$D$300,MATCH($F1346,Nutrition!$A$2:$A$300,0))*$I1346/100,0))</f>
        <v>0</v>
      </c>
      <c r="K1346" s="30">
        <f>IF(OR($F1346="",$I1346=""),0,IFERROR(INDEX(Nutrition!$E$2:$E$300,MATCH($F1346,Nutrition!$A$2:$A$300,0))*$I1346/100,0))</f>
        <v>0</v>
      </c>
      <c r="L1346" s="30">
        <f>IF(OR($F1346="",$I1346=""),0,IFERROR(INDEX(Nutrition!$F$2:$F$300,MATCH($F1346,Nutrition!$A$2:$A$300,0))*$I1346/100,0))</f>
        <v>0</v>
      </c>
      <c r="M1346" s="30">
        <f>IF(OR($F1346="",$I1346=""),0,IFERROR(INDEX(Nutrition!$G$2:$G$300,MATCH($F1346,Nutrition!$A$2:$A$300,0))*$I1346/100,0))</f>
        <v>0</v>
      </c>
      <c r="N1346" s="30">
        <f>IF(OR($F1346="",$I1346=""),0,IFERROR(INDEX(Nutrition!$H$2:$H$300,MATCH($F1346,Nutrition!$A$2:$A$300,0))*$I1346/100,0))</f>
        <v>0</v>
      </c>
      <c r="O1346" s="30">
        <f>IF(OR($F1346="",$I1346=""),0,IFERROR(INDEX(Nutrition!$I$2:$I$300,MATCH($F1346,Nutrition!$A$2:$A$300,0))*$I1346/100,0))</f>
        <v>0</v>
      </c>
      <c r="P1346" s="30">
        <f>IF(OR($F1346="",$I1346=""),0,IFERROR(INDEX(Nutrition!$J$2:$J$300,MATCH($F1346,Nutrition!$A$2:$A$300,0))*$I1346/100,0))</f>
        <v>0</v>
      </c>
      <c r="Q1346" s="30">
        <f>IF(OR($F1346="",$I1346=""),0,IFERROR(INDEX(Nutrition!$K$2:$K$300,MATCH($F1346,Nutrition!$A$2:$A$300,0))*$I1346/100,0))</f>
        <v>0</v>
      </c>
      <c r="R1346" s="30">
        <f>IF(OR($F1346="",$I1346=""),0,IFERROR(INDEX(Nutrition!$L$2:$L$300,MATCH($F1346,Nutrition!$A$2:$A$300,0))*$I1346/100,0))</f>
        <v>0</v>
      </c>
      <c r="S1346" s="30">
        <f>IF(OR($F1346="",$I1346=""),0,IFERROR(INDEX(Nutrition!$M$2:$M$300,MATCH($F1346,Nutrition!$A$2:$A$300,0))*$I1346/100,0))</f>
        <v>0</v>
      </c>
    </row>
    <row r="1347" spans="1:19" ht="15" customHeight="1" x14ac:dyDescent="0.25">
      <c r="A1347" s="22" t="s">
        <v>2658</v>
      </c>
      <c r="B1347" s="33" t="str">
        <f>IFERROR(INDEX(Recipes!$B$2:$B$500,MATCH(A1347,Recipes!$A$2:$A$500,0)),"")</f>
        <v>Esquites (Mexican Street Corn Cups)</v>
      </c>
      <c r="C1347" s="7" t="s">
        <v>3031</v>
      </c>
      <c r="D1347" s="34">
        <v>0.5</v>
      </c>
      <c r="E1347" s="22" t="s">
        <v>2759</v>
      </c>
      <c r="F1347" s="22"/>
      <c r="G1347" s="22" t="s">
        <v>2749</v>
      </c>
      <c r="H1347" s="7"/>
      <c r="I1347" s="35"/>
      <c r="J1347" s="30">
        <f>IF(OR($F1347="",$I1347=""),0,IFERROR(INDEX(Nutrition!$D$2:$D$300,MATCH($F1347,Nutrition!$A$2:$A$300,0))*$I1347/100,0))</f>
        <v>0</v>
      </c>
      <c r="K1347" s="30">
        <f>IF(OR($F1347="",$I1347=""),0,IFERROR(INDEX(Nutrition!$E$2:$E$300,MATCH($F1347,Nutrition!$A$2:$A$300,0))*$I1347/100,0))</f>
        <v>0</v>
      </c>
      <c r="L1347" s="30">
        <f>IF(OR($F1347="",$I1347=""),0,IFERROR(INDEX(Nutrition!$F$2:$F$300,MATCH($F1347,Nutrition!$A$2:$A$300,0))*$I1347/100,0))</f>
        <v>0</v>
      </c>
      <c r="M1347" s="30">
        <f>IF(OR($F1347="",$I1347=""),0,IFERROR(INDEX(Nutrition!$G$2:$G$300,MATCH($F1347,Nutrition!$A$2:$A$300,0))*$I1347/100,0))</f>
        <v>0</v>
      </c>
      <c r="N1347" s="30">
        <f>IF(OR($F1347="",$I1347=""),0,IFERROR(INDEX(Nutrition!$H$2:$H$300,MATCH($F1347,Nutrition!$A$2:$A$300,0))*$I1347/100,0))</f>
        <v>0</v>
      </c>
      <c r="O1347" s="30">
        <f>IF(OR($F1347="",$I1347=""),0,IFERROR(INDEX(Nutrition!$I$2:$I$300,MATCH($F1347,Nutrition!$A$2:$A$300,0))*$I1347/100,0))</f>
        <v>0</v>
      </c>
      <c r="P1347" s="30">
        <f>IF(OR($F1347="",$I1347=""),0,IFERROR(INDEX(Nutrition!$J$2:$J$300,MATCH($F1347,Nutrition!$A$2:$A$300,0))*$I1347/100,0))</f>
        <v>0</v>
      </c>
      <c r="Q1347" s="30">
        <f>IF(OR($F1347="",$I1347=""),0,IFERROR(INDEX(Nutrition!$K$2:$K$300,MATCH($F1347,Nutrition!$A$2:$A$300,0))*$I1347/100,0))</f>
        <v>0</v>
      </c>
      <c r="R1347" s="30">
        <f>IF(OR($F1347="",$I1347=""),0,IFERROR(INDEX(Nutrition!$L$2:$L$300,MATCH($F1347,Nutrition!$A$2:$A$300,0))*$I1347/100,0))</f>
        <v>0</v>
      </c>
      <c r="S1347" s="30">
        <f>IF(OR($F1347="",$I1347=""),0,IFERROR(INDEX(Nutrition!$M$2:$M$300,MATCH($F1347,Nutrition!$A$2:$A$300,0))*$I1347/100,0))</f>
        <v>0</v>
      </c>
    </row>
    <row r="1348" spans="1:19" ht="15" customHeight="1" x14ac:dyDescent="0.25">
      <c r="A1348" s="22" t="s">
        <v>2658</v>
      </c>
      <c r="B1348" s="33" t="str">
        <f>IFERROR(INDEX(Recipes!$B$2:$B$500,MATCH(A1348,Recipes!$A$2:$A$500,0)),"")</f>
        <v>Esquites (Mexican Street Corn Cups)</v>
      </c>
      <c r="C1348" s="7" t="s">
        <v>2781</v>
      </c>
      <c r="D1348" s="34">
        <v>1</v>
      </c>
      <c r="E1348" s="22" t="s">
        <v>2782</v>
      </c>
      <c r="F1348" s="22"/>
      <c r="G1348" s="22" t="s">
        <v>2773</v>
      </c>
      <c r="H1348" s="7"/>
      <c r="I1348" s="35"/>
      <c r="J1348" s="30">
        <f>IF(OR($F1348="",$I1348=""),0,IFERROR(INDEX(Nutrition!$D$2:$D$300,MATCH($F1348,Nutrition!$A$2:$A$300,0))*$I1348/100,0))</f>
        <v>0</v>
      </c>
      <c r="K1348" s="30">
        <f>IF(OR($F1348="",$I1348=""),0,IFERROR(INDEX(Nutrition!$E$2:$E$300,MATCH($F1348,Nutrition!$A$2:$A$300,0))*$I1348/100,0))</f>
        <v>0</v>
      </c>
      <c r="L1348" s="30">
        <f>IF(OR($F1348="",$I1348=""),0,IFERROR(INDEX(Nutrition!$F$2:$F$300,MATCH($F1348,Nutrition!$A$2:$A$300,0))*$I1348/100,0))</f>
        <v>0</v>
      </c>
      <c r="M1348" s="30">
        <f>IF(OR($F1348="",$I1348=""),0,IFERROR(INDEX(Nutrition!$G$2:$G$300,MATCH($F1348,Nutrition!$A$2:$A$300,0))*$I1348/100,0))</f>
        <v>0</v>
      </c>
      <c r="N1348" s="30">
        <f>IF(OR($F1348="",$I1348=""),0,IFERROR(INDEX(Nutrition!$H$2:$H$300,MATCH($F1348,Nutrition!$A$2:$A$300,0))*$I1348/100,0))</f>
        <v>0</v>
      </c>
      <c r="O1348" s="30">
        <f>IF(OR($F1348="",$I1348=""),0,IFERROR(INDEX(Nutrition!$I$2:$I$300,MATCH($F1348,Nutrition!$A$2:$A$300,0))*$I1348/100,0))</f>
        <v>0</v>
      </c>
      <c r="P1348" s="30">
        <f>IF(OR($F1348="",$I1348=""),0,IFERROR(INDEX(Nutrition!$J$2:$J$300,MATCH($F1348,Nutrition!$A$2:$A$300,0))*$I1348/100,0))</f>
        <v>0</v>
      </c>
      <c r="Q1348" s="30">
        <f>IF(OR($F1348="",$I1348=""),0,IFERROR(INDEX(Nutrition!$K$2:$K$300,MATCH($F1348,Nutrition!$A$2:$A$300,0))*$I1348/100,0))</f>
        <v>0</v>
      </c>
      <c r="R1348" s="30">
        <f>IF(OR($F1348="",$I1348=""),0,IFERROR(INDEX(Nutrition!$L$2:$L$300,MATCH($F1348,Nutrition!$A$2:$A$300,0))*$I1348/100,0))</f>
        <v>0</v>
      </c>
      <c r="S1348" s="30">
        <f>IF(OR($F1348="",$I1348=""),0,IFERROR(INDEX(Nutrition!$M$2:$M$300,MATCH($F1348,Nutrition!$A$2:$A$300,0))*$I1348/100,0))</f>
        <v>0</v>
      </c>
    </row>
    <row r="1349" spans="1:19" ht="15" customHeight="1" x14ac:dyDescent="0.25">
      <c r="A1349" s="22" t="s">
        <v>2669</v>
      </c>
      <c r="B1349" s="33" t="str">
        <f>IFERROR(INDEX(Recipes!$B$2:$B$500,MATCH(A1349,Recipes!$A$2:$A$500,0)),"")</f>
        <v>Sweet Corn Fritters</v>
      </c>
      <c r="C1349" s="7" t="s">
        <v>556</v>
      </c>
      <c r="D1349" s="34">
        <v>2</v>
      </c>
      <c r="E1349" s="22" t="s">
        <v>2841</v>
      </c>
      <c r="F1349" s="22" t="s">
        <v>555</v>
      </c>
      <c r="G1349" s="22" t="s">
        <v>2755</v>
      </c>
      <c r="H1349" s="7" t="s">
        <v>3117</v>
      </c>
      <c r="I1349" s="35">
        <v>180</v>
      </c>
      <c r="J1349" s="30">
        <f>IF(OR($F1349="",$I1349=""),0,IFERROR(INDEX(Nutrition!$D$2:$D$300,MATCH($F1349,Nutrition!$A$2:$A$300,0))*$I1349/100,0))</f>
        <v>4.8600000000000003</v>
      </c>
      <c r="K1349" s="30">
        <f>IF(OR($F1349="",$I1349=""),0,IFERROR(INDEX(Nutrition!$E$2:$E$300,MATCH($F1349,Nutrition!$A$2:$A$300,0))*$I1349/100,0))</f>
        <v>12.24</v>
      </c>
      <c r="L1349" s="30">
        <f>IF(OR($F1349="",$I1349=""),0,IFERROR(INDEX(Nutrition!$F$2:$F$300,MATCH($F1349,Nutrition!$A$2:$A$300,0))*$I1349/100,0))</f>
        <v>16.2</v>
      </c>
      <c r="M1349" s="30">
        <f>IF(OR($F1349="",$I1349=""),0,IFERROR(INDEX(Nutrition!$G$2:$G$300,MATCH($F1349,Nutrition!$A$2:$A$300,0))*$I1349/100,0))</f>
        <v>0.54</v>
      </c>
      <c r="N1349" s="30">
        <f>IF(OR($F1349="",$I1349=""),0,IFERROR(INDEX(Nutrition!$H$2:$H$300,MATCH($F1349,Nutrition!$A$2:$A$300,0))*$I1349/100,0))</f>
        <v>75.599999999999994</v>
      </c>
      <c r="O1349" s="30">
        <f>IF(OR($F1349="",$I1349=""),0,IFERROR(INDEX(Nutrition!$I$2:$I$300,MATCH($F1349,Nutrition!$A$2:$A$300,0))*$I1349/100,0))</f>
        <v>486</v>
      </c>
      <c r="P1349" s="30">
        <f>IF(OR($F1349="",$I1349=""),0,IFERROR(INDEX(Nutrition!$J$2:$J$300,MATCH($F1349,Nutrition!$A$2:$A$300,0))*$I1349/100,0))</f>
        <v>0.126</v>
      </c>
      <c r="Q1349" s="30">
        <f>IF(OR($F1349="",$I1349=""),0,IFERROR(INDEX(Nutrition!$K$2:$K$300,MATCH($F1349,Nutrition!$A$2:$A$300,0))*$I1349/100,0))</f>
        <v>0.16739999999999999</v>
      </c>
      <c r="R1349" s="30">
        <f>IF(OR($F1349="",$I1349=""),0,IFERROR(INDEX(Nutrition!$L$2:$L$300,MATCH($F1349,Nutrition!$A$2:$A$300,0))*$I1349/100,0))</f>
        <v>66.599999999999994</v>
      </c>
      <c r="S1349" s="30">
        <f>IF(OR($F1349="",$I1349=""),0,IFERROR(INDEX(Nutrition!$M$2:$M$300,MATCH($F1349,Nutrition!$A$2:$A$300,0))*$I1349/100,0))</f>
        <v>0.93600000000000005</v>
      </c>
    </row>
    <row r="1350" spans="1:19" ht="15" customHeight="1" x14ac:dyDescent="0.25">
      <c r="A1350" s="22" t="s">
        <v>2669</v>
      </c>
      <c r="B1350" s="33" t="str">
        <f>IFERROR(INDEX(Recipes!$B$2:$B$500,MATCH(A1350,Recipes!$A$2:$A$500,0)),"")</f>
        <v>Sweet Corn Fritters</v>
      </c>
      <c r="C1350" s="7" t="s">
        <v>490</v>
      </c>
      <c r="D1350" s="34">
        <v>0.75</v>
      </c>
      <c r="E1350" s="22" t="s">
        <v>2748</v>
      </c>
      <c r="F1350" s="22" t="s">
        <v>489</v>
      </c>
      <c r="G1350" s="22" t="s">
        <v>2755</v>
      </c>
      <c r="H1350" s="7" t="s">
        <v>2830</v>
      </c>
      <c r="I1350" s="35">
        <v>75</v>
      </c>
      <c r="J1350" s="30">
        <f>IF(OR($F1350="",$I1350=""),0,IFERROR(INDEX(Nutrition!$D$2:$D$300,MATCH($F1350,Nutrition!$A$2:$A$300,0))*$I1350/100,0))</f>
        <v>1.95</v>
      </c>
      <c r="K1350" s="30">
        <f>IF(OR($F1350="",$I1350=""),0,IFERROR(INDEX(Nutrition!$E$2:$E$300,MATCH($F1350,Nutrition!$A$2:$A$300,0))*$I1350/100,0))</f>
        <v>14.1</v>
      </c>
      <c r="L1350" s="30">
        <f>IF(OR($F1350="",$I1350=""),0,IFERROR(INDEX(Nutrition!$F$2:$F$300,MATCH($F1350,Nutrition!$A$2:$A$300,0))*$I1350/100,0))</f>
        <v>37.5</v>
      </c>
      <c r="M1350" s="30">
        <f>IF(OR($F1350="",$I1350=""),0,IFERROR(INDEX(Nutrition!$G$2:$G$300,MATCH($F1350,Nutrition!$A$2:$A$300,0))*$I1350/100,0))</f>
        <v>155.25</v>
      </c>
      <c r="N1350" s="30">
        <f>IF(OR($F1350="",$I1350=""),0,IFERROR(INDEX(Nutrition!$H$2:$H$300,MATCH($F1350,Nutrition!$A$2:$A$300,0))*$I1350/100,0))</f>
        <v>48</v>
      </c>
      <c r="O1350" s="30">
        <f>IF(OR($F1350="",$I1350=""),0,IFERROR(INDEX(Nutrition!$I$2:$I$300,MATCH($F1350,Nutrition!$A$2:$A$300,0))*$I1350/100,0))</f>
        <v>207</v>
      </c>
      <c r="P1350" s="30">
        <f>IF(OR($F1350="",$I1350=""),0,IFERROR(INDEX(Nutrition!$J$2:$J$300,MATCH($F1350,Nutrition!$A$2:$A$300,0))*$I1350/100,0))</f>
        <v>0.41249999999999998</v>
      </c>
      <c r="Q1350" s="30">
        <f>IF(OR($F1350="",$I1350=""),0,IFERROR(INDEX(Nutrition!$K$2:$K$300,MATCH($F1350,Nutrition!$A$2:$A$300,0))*$I1350/100,0))</f>
        <v>4.5749999999999999E-2</v>
      </c>
      <c r="R1350" s="30">
        <f>IF(OR($F1350="",$I1350=""),0,IFERROR(INDEX(Nutrition!$L$2:$L$300,MATCH($F1350,Nutrition!$A$2:$A$300,0))*$I1350/100,0))</f>
        <v>15</v>
      </c>
      <c r="S1350" s="30">
        <f>IF(OR($F1350="",$I1350=""),0,IFERROR(INDEX(Nutrition!$M$2:$M$300,MATCH($F1350,Nutrition!$A$2:$A$300,0))*$I1350/100,0))</f>
        <v>1.1100000000000001</v>
      </c>
    </row>
    <row r="1351" spans="1:19" ht="15" customHeight="1" x14ac:dyDescent="0.25">
      <c r="A1351" s="22" t="s">
        <v>2669</v>
      </c>
      <c r="B1351" s="33" t="str">
        <f>IFERROR(INDEX(Recipes!$B$2:$B$500,MATCH(A1351,Recipes!$A$2:$A$500,0)),"")</f>
        <v>Sweet Corn Fritters</v>
      </c>
      <c r="C1351" s="7" t="s">
        <v>668</v>
      </c>
      <c r="D1351" s="34">
        <v>0.5</v>
      </c>
      <c r="E1351" s="22" t="s">
        <v>2748</v>
      </c>
      <c r="F1351" s="22" t="s">
        <v>667</v>
      </c>
      <c r="G1351" s="22" t="s">
        <v>2755</v>
      </c>
      <c r="H1351" s="7" t="s">
        <v>2775</v>
      </c>
      <c r="I1351" s="35">
        <v>8</v>
      </c>
      <c r="J1351" s="30">
        <f>IF(OR($F1351="",$I1351=""),0,IFERROR(INDEX(Nutrition!$D$2:$D$300,MATCH($F1351,Nutrition!$A$2:$A$300,0))*$I1351/100,0))</f>
        <v>0.22399999999999998</v>
      </c>
      <c r="K1351" s="30">
        <f>IF(OR($F1351="",$I1351=""),0,IFERROR(INDEX(Nutrition!$E$2:$E$300,MATCH($F1351,Nutrition!$A$2:$A$300,0))*$I1351/100,0))</f>
        <v>2.16</v>
      </c>
      <c r="L1351" s="30">
        <f>IF(OR($F1351="",$I1351=""),0,IFERROR(INDEX(Nutrition!$F$2:$F$300,MATCH($F1351,Nutrition!$A$2:$A$300,0))*$I1351/100,0))</f>
        <v>26.96</v>
      </c>
      <c r="M1351" s="30">
        <f>IF(OR($F1351="",$I1351=""),0,IFERROR(INDEX(Nutrition!$G$2:$G$300,MATCH($F1351,Nutrition!$A$2:$A$300,0))*$I1351/100,0))</f>
        <v>24.8</v>
      </c>
      <c r="N1351" s="30">
        <f>IF(OR($F1351="",$I1351=""),0,IFERROR(INDEX(Nutrition!$H$2:$H$300,MATCH($F1351,Nutrition!$A$2:$A$300,0))*$I1351/100,0))</f>
        <v>4.96</v>
      </c>
      <c r="O1351" s="30">
        <f>IF(OR($F1351="",$I1351=""),0,IFERROR(INDEX(Nutrition!$I$2:$I$300,MATCH($F1351,Nutrition!$A$2:$A$300,0))*$I1351/100,0))</f>
        <v>41.68</v>
      </c>
      <c r="P1351" s="30">
        <f>IF(OR($F1351="",$I1351=""),0,IFERROR(INDEX(Nutrition!$J$2:$J$300,MATCH($F1351,Nutrition!$A$2:$A$300,0))*$I1351/100,0))</f>
        <v>0.2</v>
      </c>
      <c r="Q1351" s="30">
        <f>IF(OR($F1351="",$I1351=""),0,IFERROR(INDEX(Nutrition!$K$2:$K$300,MATCH($F1351,Nutrition!$A$2:$A$300,0))*$I1351/100,0))</f>
        <v>1.192E-2</v>
      </c>
      <c r="R1351" s="30">
        <f>IF(OR($F1351="",$I1351=""),0,IFERROR(INDEX(Nutrition!$L$2:$L$300,MATCH($F1351,Nutrition!$A$2:$A$300,0))*$I1351/100,0))</f>
        <v>2.08</v>
      </c>
      <c r="S1351" s="30">
        <f>IF(OR($F1351="",$I1351=""),0,IFERROR(INDEX(Nutrition!$M$2:$M$300,MATCH($F1351,Nutrition!$A$2:$A$300,0))*$I1351/100,0))</f>
        <v>0.1416</v>
      </c>
    </row>
    <row r="1352" spans="1:19" ht="15" customHeight="1" x14ac:dyDescent="0.25">
      <c r="A1352" s="22" t="s">
        <v>2669</v>
      </c>
      <c r="B1352" s="33" t="str">
        <f>IFERROR(INDEX(Recipes!$B$2:$B$500,MATCH(A1352,Recipes!$A$2:$A$500,0)),"")</f>
        <v>Sweet Corn Fritters</v>
      </c>
      <c r="C1352" s="7" t="s">
        <v>462</v>
      </c>
      <c r="D1352" s="34">
        <v>0.5</v>
      </c>
      <c r="E1352" s="22" t="s">
        <v>2754</v>
      </c>
      <c r="F1352" s="22" t="s">
        <v>461</v>
      </c>
      <c r="G1352" s="22" t="s">
        <v>2755</v>
      </c>
      <c r="H1352" s="7" t="s">
        <v>3118</v>
      </c>
      <c r="I1352" s="35">
        <v>60</v>
      </c>
      <c r="J1352" s="30">
        <f>IF(OR($F1352="",$I1352=""),0,IFERROR(INDEX(Nutrition!$D$2:$D$300,MATCH($F1352,Nutrition!$A$2:$A$300,0))*$I1352/100,0))</f>
        <v>1.26</v>
      </c>
      <c r="K1352" s="30">
        <f>IF(OR($F1352="",$I1352=""),0,IFERROR(INDEX(Nutrition!$E$2:$E$300,MATCH($F1352,Nutrition!$A$2:$A$300,0))*$I1352/100,0))</f>
        <v>76.62</v>
      </c>
      <c r="L1352" s="30">
        <f>IF(OR($F1352="",$I1352=""),0,IFERROR(INDEX(Nutrition!$F$2:$F$300,MATCH($F1352,Nutrition!$A$2:$A$300,0))*$I1352/100,0))</f>
        <v>94.2</v>
      </c>
      <c r="M1352" s="30">
        <f>IF(OR($F1352="",$I1352=""),0,IFERROR(INDEX(Nutrition!$G$2:$G$300,MATCH($F1352,Nutrition!$A$2:$A$300,0))*$I1352/100,0))</f>
        <v>2.94</v>
      </c>
      <c r="N1352" s="30">
        <f>IF(OR($F1352="",$I1352=""),0,IFERROR(INDEX(Nutrition!$H$2:$H$300,MATCH($F1352,Nutrition!$A$2:$A$300,0))*$I1352/100,0))</f>
        <v>27.6</v>
      </c>
      <c r="O1352" s="30">
        <f>IF(OR($F1352="",$I1352=""),0,IFERROR(INDEX(Nutrition!$I$2:$I$300,MATCH($F1352,Nutrition!$A$2:$A$300,0))*$I1352/100,0))</f>
        <v>126.6</v>
      </c>
      <c r="P1352" s="30">
        <f>IF(OR($F1352="",$I1352=""),0,IFERROR(INDEX(Nutrition!$J$2:$J$300,MATCH($F1352,Nutrition!$A$2:$A$300,0))*$I1352/100,0))</f>
        <v>0.94800000000000006</v>
      </c>
      <c r="Q1352" s="30">
        <f>IF(OR($F1352="",$I1352=""),0,IFERROR(INDEX(Nutrition!$K$2:$K$300,MATCH($F1352,Nutrition!$A$2:$A$300,0))*$I1352/100,0))</f>
        <v>0.17459999999999998</v>
      </c>
      <c r="R1352" s="30">
        <f>IF(OR($F1352="",$I1352=""),0,IFERROR(INDEX(Nutrition!$L$2:$L$300,MATCH($F1352,Nutrition!$A$2:$A$300,0))*$I1352/100,0))</f>
        <v>7.2</v>
      </c>
      <c r="S1352" s="30">
        <f>IF(OR($F1352="",$I1352=""),0,IFERROR(INDEX(Nutrition!$M$2:$M$300,MATCH($F1352,Nutrition!$A$2:$A$300,0))*$I1352/100,0))</f>
        <v>0.25800000000000001</v>
      </c>
    </row>
    <row r="1353" spans="1:19" ht="15" customHeight="1" x14ac:dyDescent="0.25">
      <c r="A1353" s="22" t="s">
        <v>2669</v>
      </c>
      <c r="B1353" s="33" t="str">
        <f>IFERROR(INDEX(Recipes!$B$2:$B$500,MATCH(A1353,Recipes!$A$2:$A$500,0)),"")</f>
        <v>Sweet Corn Fritters</v>
      </c>
      <c r="C1353" s="7" t="s">
        <v>3119</v>
      </c>
      <c r="D1353" s="34">
        <v>0.25</v>
      </c>
      <c r="E1353" s="22" t="s">
        <v>2748</v>
      </c>
      <c r="F1353" s="22"/>
      <c r="G1353" s="22" t="s">
        <v>2749</v>
      </c>
      <c r="H1353" s="7"/>
      <c r="I1353" s="35"/>
      <c r="J1353" s="30">
        <f>IF(OR($F1353="",$I1353=""),0,IFERROR(INDEX(Nutrition!$D$2:$D$300,MATCH($F1353,Nutrition!$A$2:$A$300,0))*$I1353/100,0))</f>
        <v>0</v>
      </c>
      <c r="K1353" s="30">
        <f>IF(OR($F1353="",$I1353=""),0,IFERROR(INDEX(Nutrition!$E$2:$E$300,MATCH($F1353,Nutrition!$A$2:$A$300,0))*$I1353/100,0))</f>
        <v>0</v>
      </c>
      <c r="L1353" s="30">
        <f>IF(OR($F1353="",$I1353=""),0,IFERROR(INDEX(Nutrition!$F$2:$F$300,MATCH($F1353,Nutrition!$A$2:$A$300,0))*$I1353/100,0))</f>
        <v>0</v>
      </c>
      <c r="M1353" s="30">
        <f>IF(OR($F1353="",$I1353=""),0,IFERROR(INDEX(Nutrition!$G$2:$G$300,MATCH($F1353,Nutrition!$A$2:$A$300,0))*$I1353/100,0))</f>
        <v>0</v>
      </c>
      <c r="N1353" s="30">
        <f>IF(OR($F1353="",$I1353=""),0,IFERROR(INDEX(Nutrition!$H$2:$H$300,MATCH($F1353,Nutrition!$A$2:$A$300,0))*$I1353/100,0))</f>
        <v>0</v>
      </c>
      <c r="O1353" s="30">
        <f>IF(OR($F1353="",$I1353=""),0,IFERROR(INDEX(Nutrition!$I$2:$I$300,MATCH($F1353,Nutrition!$A$2:$A$300,0))*$I1353/100,0))</f>
        <v>0</v>
      </c>
      <c r="P1353" s="30">
        <f>IF(OR($F1353="",$I1353=""),0,IFERROR(INDEX(Nutrition!$J$2:$J$300,MATCH($F1353,Nutrition!$A$2:$A$300,0))*$I1353/100,0))</f>
        <v>0</v>
      </c>
      <c r="Q1353" s="30">
        <f>IF(OR($F1353="",$I1353=""),0,IFERROR(INDEX(Nutrition!$K$2:$K$300,MATCH($F1353,Nutrition!$A$2:$A$300,0))*$I1353/100,0))</f>
        <v>0</v>
      </c>
      <c r="R1353" s="30">
        <f>IF(OR($F1353="",$I1353=""),0,IFERROR(INDEX(Nutrition!$L$2:$L$300,MATCH($F1353,Nutrition!$A$2:$A$300,0))*$I1353/100,0))</f>
        <v>0</v>
      </c>
      <c r="S1353" s="30">
        <f>IF(OR($F1353="",$I1353=""),0,IFERROR(INDEX(Nutrition!$M$2:$M$300,MATCH($F1353,Nutrition!$A$2:$A$300,0))*$I1353/100,0))</f>
        <v>0</v>
      </c>
    </row>
    <row r="1354" spans="1:19" ht="15" customHeight="1" x14ac:dyDescent="0.25">
      <c r="A1354" s="22" t="s">
        <v>2669</v>
      </c>
      <c r="B1354" s="33" t="str">
        <f>IFERROR(INDEX(Recipes!$B$2:$B$500,MATCH(A1354,Recipes!$A$2:$A$500,0)),"")</f>
        <v>Sweet Corn Fritters</v>
      </c>
      <c r="C1354" s="7" t="s">
        <v>2872</v>
      </c>
      <c r="D1354" s="34">
        <v>0.25</v>
      </c>
      <c r="E1354" s="22" t="s">
        <v>2748</v>
      </c>
      <c r="F1354" s="22"/>
      <c r="G1354" s="22" t="s">
        <v>2749</v>
      </c>
      <c r="H1354" s="7"/>
      <c r="I1354" s="35"/>
      <c r="J1354" s="30">
        <f>IF(OR($F1354="",$I1354=""),0,IFERROR(INDEX(Nutrition!$D$2:$D$300,MATCH($F1354,Nutrition!$A$2:$A$300,0))*$I1354/100,0))</f>
        <v>0</v>
      </c>
      <c r="K1354" s="30">
        <f>IF(OR($F1354="",$I1354=""),0,IFERROR(INDEX(Nutrition!$E$2:$E$300,MATCH($F1354,Nutrition!$A$2:$A$300,0))*$I1354/100,0))</f>
        <v>0</v>
      </c>
      <c r="L1354" s="30">
        <f>IF(OR($F1354="",$I1354=""),0,IFERROR(INDEX(Nutrition!$F$2:$F$300,MATCH($F1354,Nutrition!$A$2:$A$300,0))*$I1354/100,0))</f>
        <v>0</v>
      </c>
      <c r="M1354" s="30">
        <f>IF(OR($F1354="",$I1354=""),0,IFERROR(INDEX(Nutrition!$G$2:$G$300,MATCH($F1354,Nutrition!$A$2:$A$300,0))*$I1354/100,0))</f>
        <v>0</v>
      </c>
      <c r="N1354" s="30">
        <f>IF(OR($F1354="",$I1354=""),0,IFERROR(INDEX(Nutrition!$H$2:$H$300,MATCH($F1354,Nutrition!$A$2:$A$300,0))*$I1354/100,0))</f>
        <v>0</v>
      </c>
      <c r="O1354" s="30">
        <f>IF(OR($F1354="",$I1354=""),0,IFERROR(INDEX(Nutrition!$I$2:$I$300,MATCH($F1354,Nutrition!$A$2:$A$300,0))*$I1354/100,0))</f>
        <v>0</v>
      </c>
      <c r="P1354" s="30">
        <f>IF(OR($F1354="",$I1354=""),0,IFERROR(INDEX(Nutrition!$J$2:$J$300,MATCH($F1354,Nutrition!$A$2:$A$300,0))*$I1354/100,0))</f>
        <v>0</v>
      </c>
      <c r="Q1354" s="30">
        <f>IF(OR($F1354="",$I1354=""),0,IFERROR(INDEX(Nutrition!$K$2:$K$300,MATCH($F1354,Nutrition!$A$2:$A$300,0))*$I1354/100,0))</f>
        <v>0</v>
      </c>
      <c r="R1354" s="30">
        <f>IF(OR($F1354="",$I1354=""),0,IFERROR(INDEX(Nutrition!$L$2:$L$300,MATCH($F1354,Nutrition!$A$2:$A$300,0))*$I1354/100,0))</f>
        <v>0</v>
      </c>
      <c r="S1354" s="30">
        <f>IF(OR($F1354="",$I1354=""),0,IFERROR(INDEX(Nutrition!$M$2:$M$300,MATCH($F1354,Nutrition!$A$2:$A$300,0))*$I1354/100,0))</f>
        <v>0</v>
      </c>
    </row>
    <row r="1355" spans="1:19" ht="15" customHeight="1" x14ac:dyDescent="0.25">
      <c r="A1355" s="22" t="s">
        <v>2669</v>
      </c>
      <c r="B1355" s="33" t="str">
        <f>IFERROR(INDEX(Recipes!$B$2:$B$500,MATCH(A1355,Recipes!$A$2:$A$500,0)),"")</f>
        <v>Sweet Corn Fritters</v>
      </c>
      <c r="C1355" s="7" t="s">
        <v>3120</v>
      </c>
      <c r="D1355" s="34">
        <v>0.75</v>
      </c>
      <c r="E1355" s="22" t="s">
        <v>2759</v>
      </c>
      <c r="F1355" s="22"/>
      <c r="G1355" s="22" t="s">
        <v>2749</v>
      </c>
      <c r="H1355" s="7"/>
      <c r="I1355" s="35"/>
      <c r="J1355" s="30">
        <f>IF(OR($F1355="",$I1355=""),0,IFERROR(INDEX(Nutrition!$D$2:$D$300,MATCH($F1355,Nutrition!$A$2:$A$300,0))*$I1355/100,0))</f>
        <v>0</v>
      </c>
      <c r="K1355" s="30">
        <f>IF(OR($F1355="",$I1355=""),0,IFERROR(INDEX(Nutrition!$E$2:$E$300,MATCH($F1355,Nutrition!$A$2:$A$300,0))*$I1355/100,0))</f>
        <v>0</v>
      </c>
      <c r="L1355" s="30">
        <f>IF(OR($F1355="",$I1355=""),0,IFERROR(INDEX(Nutrition!$F$2:$F$300,MATCH($F1355,Nutrition!$A$2:$A$300,0))*$I1355/100,0))</f>
        <v>0</v>
      </c>
      <c r="M1355" s="30">
        <f>IF(OR($F1355="",$I1355=""),0,IFERROR(INDEX(Nutrition!$G$2:$G$300,MATCH($F1355,Nutrition!$A$2:$A$300,0))*$I1355/100,0))</f>
        <v>0</v>
      </c>
      <c r="N1355" s="30">
        <f>IF(OR($F1355="",$I1355=""),0,IFERROR(INDEX(Nutrition!$H$2:$H$300,MATCH($F1355,Nutrition!$A$2:$A$300,0))*$I1355/100,0))</f>
        <v>0</v>
      </c>
      <c r="O1355" s="30">
        <f>IF(OR($F1355="",$I1355=""),0,IFERROR(INDEX(Nutrition!$I$2:$I$300,MATCH($F1355,Nutrition!$A$2:$A$300,0))*$I1355/100,0))</f>
        <v>0</v>
      </c>
      <c r="P1355" s="30">
        <f>IF(OR($F1355="",$I1355=""),0,IFERROR(INDEX(Nutrition!$J$2:$J$300,MATCH($F1355,Nutrition!$A$2:$A$300,0))*$I1355/100,0))</f>
        <v>0</v>
      </c>
      <c r="Q1355" s="30">
        <f>IF(OR($F1355="",$I1355=""),0,IFERROR(INDEX(Nutrition!$K$2:$K$300,MATCH($F1355,Nutrition!$A$2:$A$300,0))*$I1355/100,0))</f>
        <v>0</v>
      </c>
      <c r="R1355" s="30">
        <f>IF(OR($F1355="",$I1355=""),0,IFERROR(INDEX(Nutrition!$L$2:$L$300,MATCH($F1355,Nutrition!$A$2:$A$300,0))*$I1355/100,0))</f>
        <v>0</v>
      </c>
      <c r="S1355" s="30">
        <f>IF(OR($F1355="",$I1355=""),0,IFERROR(INDEX(Nutrition!$M$2:$M$300,MATCH($F1355,Nutrition!$A$2:$A$300,0))*$I1355/100,0))</f>
        <v>0</v>
      </c>
    </row>
    <row r="1356" spans="1:19" ht="15" customHeight="1" x14ac:dyDescent="0.25">
      <c r="A1356" s="22" t="s">
        <v>2669</v>
      </c>
      <c r="B1356" s="33" t="str">
        <f>IFERROR(INDEX(Recipes!$B$2:$B$500,MATCH(A1356,Recipes!$A$2:$A$500,0)),"")</f>
        <v>Sweet Corn Fritters</v>
      </c>
      <c r="C1356" s="7" t="s">
        <v>3121</v>
      </c>
      <c r="D1356" s="34">
        <v>1</v>
      </c>
      <c r="E1356" s="22" t="s">
        <v>2754</v>
      </c>
      <c r="F1356" s="22"/>
      <c r="G1356" s="22" t="s">
        <v>2768</v>
      </c>
      <c r="H1356" s="7"/>
      <c r="I1356" s="35"/>
      <c r="J1356" s="30">
        <f>IF(OR($F1356="",$I1356=""),0,IFERROR(INDEX(Nutrition!$D$2:$D$300,MATCH($F1356,Nutrition!$A$2:$A$300,0))*$I1356/100,0))</f>
        <v>0</v>
      </c>
      <c r="K1356" s="30">
        <f>IF(OR($F1356="",$I1356=""),0,IFERROR(INDEX(Nutrition!$E$2:$E$300,MATCH($F1356,Nutrition!$A$2:$A$300,0))*$I1356/100,0))</f>
        <v>0</v>
      </c>
      <c r="L1356" s="30">
        <f>IF(OR($F1356="",$I1356=""),0,IFERROR(INDEX(Nutrition!$F$2:$F$300,MATCH($F1356,Nutrition!$A$2:$A$300,0))*$I1356/100,0))</f>
        <v>0</v>
      </c>
      <c r="M1356" s="30">
        <f>IF(OR($F1356="",$I1356=""),0,IFERROR(INDEX(Nutrition!$G$2:$G$300,MATCH($F1356,Nutrition!$A$2:$A$300,0))*$I1356/100,0))</f>
        <v>0</v>
      </c>
      <c r="N1356" s="30">
        <f>IF(OR($F1356="",$I1356=""),0,IFERROR(INDEX(Nutrition!$H$2:$H$300,MATCH($F1356,Nutrition!$A$2:$A$300,0))*$I1356/100,0))</f>
        <v>0</v>
      </c>
      <c r="O1356" s="30">
        <f>IF(OR($F1356="",$I1356=""),0,IFERROR(INDEX(Nutrition!$I$2:$I$300,MATCH($F1356,Nutrition!$A$2:$A$300,0))*$I1356/100,0))</f>
        <v>0</v>
      </c>
      <c r="P1356" s="30">
        <f>IF(OR($F1356="",$I1356=""),0,IFERROR(INDEX(Nutrition!$J$2:$J$300,MATCH($F1356,Nutrition!$A$2:$A$300,0))*$I1356/100,0))</f>
        <v>0</v>
      </c>
      <c r="Q1356" s="30">
        <f>IF(OR($F1356="",$I1356=""),0,IFERROR(INDEX(Nutrition!$K$2:$K$300,MATCH($F1356,Nutrition!$A$2:$A$300,0))*$I1356/100,0))</f>
        <v>0</v>
      </c>
      <c r="R1356" s="30">
        <f>IF(OR($F1356="",$I1356=""),0,IFERROR(INDEX(Nutrition!$L$2:$L$300,MATCH($F1356,Nutrition!$A$2:$A$300,0))*$I1356/100,0))</f>
        <v>0</v>
      </c>
      <c r="S1356" s="30">
        <f>IF(OR($F1356="",$I1356=""),0,IFERROR(INDEX(Nutrition!$M$2:$M$300,MATCH($F1356,Nutrition!$A$2:$A$300,0))*$I1356/100,0))</f>
        <v>0</v>
      </c>
    </row>
    <row r="1357" spans="1:19" ht="15" customHeight="1" x14ac:dyDescent="0.25">
      <c r="A1357" s="22" t="s">
        <v>2669</v>
      </c>
      <c r="B1357" s="33" t="str">
        <f>IFERROR(INDEX(Recipes!$B$2:$B$500,MATCH(A1357,Recipes!$A$2:$A$500,0)),"")</f>
        <v>Sweet Corn Fritters</v>
      </c>
      <c r="C1357" s="7" t="s">
        <v>2926</v>
      </c>
      <c r="D1357" s="34">
        <v>2</v>
      </c>
      <c r="E1357" s="22" t="s">
        <v>2753</v>
      </c>
      <c r="F1357" s="22"/>
      <c r="G1357" s="22" t="s">
        <v>2749</v>
      </c>
      <c r="H1357" s="7"/>
      <c r="I1357" s="35"/>
      <c r="J1357" s="30">
        <f>IF(OR($F1357="",$I1357=""),0,IFERROR(INDEX(Nutrition!$D$2:$D$300,MATCH($F1357,Nutrition!$A$2:$A$300,0))*$I1357/100,0))</f>
        <v>0</v>
      </c>
      <c r="K1357" s="30">
        <f>IF(OR($F1357="",$I1357=""),0,IFERROR(INDEX(Nutrition!$E$2:$E$300,MATCH($F1357,Nutrition!$A$2:$A$300,0))*$I1357/100,0))</f>
        <v>0</v>
      </c>
      <c r="L1357" s="30">
        <f>IF(OR($F1357="",$I1357=""),0,IFERROR(INDEX(Nutrition!$F$2:$F$300,MATCH($F1357,Nutrition!$A$2:$A$300,0))*$I1357/100,0))</f>
        <v>0</v>
      </c>
      <c r="M1357" s="30">
        <f>IF(OR($F1357="",$I1357=""),0,IFERROR(INDEX(Nutrition!$G$2:$G$300,MATCH($F1357,Nutrition!$A$2:$A$300,0))*$I1357/100,0))</f>
        <v>0</v>
      </c>
      <c r="N1357" s="30">
        <f>IF(OR($F1357="",$I1357=""),0,IFERROR(INDEX(Nutrition!$H$2:$H$300,MATCH($F1357,Nutrition!$A$2:$A$300,0))*$I1357/100,0))</f>
        <v>0</v>
      </c>
      <c r="O1357" s="30">
        <f>IF(OR($F1357="",$I1357=""),0,IFERROR(INDEX(Nutrition!$I$2:$I$300,MATCH($F1357,Nutrition!$A$2:$A$300,0))*$I1357/100,0))</f>
        <v>0</v>
      </c>
      <c r="P1357" s="30">
        <f>IF(OR($F1357="",$I1357=""),0,IFERROR(INDEX(Nutrition!$J$2:$J$300,MATCH($F1357,Nutrition!$A$2:$A$300,0))*$I1357/100,0))</f>
        <v>0</v>
      </c>
      <c r="Q1357" s="30">
        <f>IF(OR($F1357="",$I1357=""),0,IFERROR(INDEX(Nutrition!$K$2:$K$300,MATCH($F1357,Nutrition!$A$2:$A$300,0))*$I1357/100,0))</f>
        <v>0</v>
      </c>
      <c r="R1357" s="30">
        <f>IF(OR($F1357="",$I1357=""),0,IFERROR(INDEX(Nutrition!$L$2:$L$300,MATCH($F1357,Nutrition!$A$2:$A$300,0))*$I1357/100,0))</f>
        <v>0</v>
      </c>
      <c r="S1357" s="30">
        <f>IF(OR($F1357="",$I1357=""),0,IFERROR(INDEX(Nutrition!$M$2:$M$300,MATCH($F1357,Nutrition!$A$2:$A$300,0))*$I1357/100,0))</f>
        <v>0</v>
      </c>
    </row>
    <row r="1358" spans="1:19" ht="15" customHeight="1" x14ac:dyDescent="0.25">
      <c r="A1358" s="22" t="s">
        <v>2669</v>
      </c>
      <c r="B1358" s="33" t="str">
        <f>IFERROR(INDEX(Recipes!$B$2:$B$500,MATCH(A1358,Recipes!$A$2:$A$500,0)),"")</f>
        <v>Sweet Corn Fritters</v>
      </c>
      <c r="C1358" s="7" t="s">
        <v>2898</v>
      </c>
      <c r="D1358" s="34">
        <v>0.5</v>
      </c>
      <c r="E1358" s="22" t="s">
        <v>2748</v>
      </c>
      <c r="F1358" s="22"/>
      <c r="G1358" s="22" t="s">
        <v>2773</v>
      </c>
      <c r="H1358" s="7" t="s">
        <v>3122</v>
      </c>
      <c r="I1358" s="35"/>
      <c r="J1358" s="30">
        <f>IF(OR($F1358="",$I1358=""),0,IFERROR(INDEX(Nutrition!$D$2:$D$300,MATCH($F1358,Nutrition!$A$2:$A$300,0))*$I1358/100,0))</f>
        <v>0</v>
      </c>
      <c r="K1358" s="30">
        <f>IF(OR($F1358="",$I1358=""),0,IFERROR(INDEX(Nutrition!$E$2:$E$300,MATCH($F1358,Nutrition!$A$2:$A$300,0))*$I1358/100,0))</f>
        <v>0</v>
      </c>
      <c r="L1358" s="30">
        <f>IF(OR($F1358="",$I1358=""),0,IFERROR(INDEX(Nutrition!$F$2:$F$300,MATCH($F1358,Nutrition!$A$2:$A$300,0))*$I1358/100,0))</f>
        <v>0</v>
      </c>
      <c r="M1358" s="30">
        <f>IF(OR($F1358="",$I1358=""),0,IFERROR(INDEX(Nutrition!$G$2:$G$300,MATCH($F1358,Nutrition!$A$2:$A$300,0))*$I1358/100,0))</f>
        <v>0</v>
      </c>
      <c r="N1358" s="30">
        <f>IF(OR($F1358="",$I1358=""),0,IFERROR(INDEX(Nutrition!$H$2:$H$300,MATCH($F1358,Nutrition!$A$2:$A$300,0))*$I1358/100,0))</f>
        <v>0</v>
      </c>
      <c r="O1358" s="30">
        <f>IF(OR($F1358="",$I1358=""),0,IFERROR(INDEX(Nutrition!$I$2:$I$300,MATCH($F1358,Nutrition!$A$2:$A$300,0))*$I1358/100,0))</f>
        <v>0</v>
      </c>
      <c r="P1358" s="30">
        <f>IF(OR($F1358="",$I1358=""),0,IFERROR(INDEX(Nutrition!$J$2:$J$300,MATCH($F1358,Nutrition!$A$2:$A$300,0))*$I1358/100,0))</f>
        <v>0</v>
      </c>
      <c r="Q1358" s="30">
        <f>IF(OR($F1358="",$I1358=""),0,IFERROR(INDEX(Nutrition!$K$2:$K$300,MATCH($F1358,Nutrition!$A$2:$A$300,0))*$I1358/100,0))</f>
        <v>0</v>
      </c>
      <c r="R1358" s="30">
        <f>IF(OR($F1358="",$I1358=""),0,IFERROR(INDEX(Nutrition!$L$2:$L$300,MATCH($F1358,Nutrition!$A$2:$A$300,0))*$I1358/100,0))</f>
        <v>0</v>
      </c>
      <c r="S1358" s="30">
        <f>IF(OR($F1358="",$I1358=""),0,IFERROR(INDEX(Nutrition!$M$2:$M$300,MATCH($F1358,Nutrition!$A$2:$A$300,0))*$I1358/100,0))</f>
        <v>0</v>
      </c>
    </row>
    <row r="1359" spans="1:19" ht="15" customHeight="1" x14ac:dyDescent="0.25">
      <c r="A1359" s="22" t="s">
        <v>2669</v>
      </c>
      <c r="B1359" s="33" t="str">
        <f>IFERROR(INDEX(Recipes!$B$2:$B$500,MATCH(A1359,Recipes!$A$2:$A$500,0)),"")</f>
        <v>Sweet Corn Fritters</v>
      </c>
      <c r="C1359" s="7" t="s">
        <v>2781</v>
      </c>
      <c r="D1359" s="34">
        <v>0.5</v>
      </c>
      <c r="E1359" s="22" t="s">
        <v>2759</v>
      </c>
      <c r="F1359" s="22"/>
      <c r="G1359" s="22" t="s">
        <v>2773</v>
      </c>
      <c r="H1359" s="7"/>
      <c r="I1359" s="35"/>
      <c r="J1359" s="30">
        <f>IF(OR($F1359="",$I1359=""),0,IFERROR(INDEX(Nutrition!$D$2:$D$300,MATCH($F1359,Nutrition!$A$2:$A$300,0))*$I1359/100,0))</f>
        <v>0</v>
      </c>
      <c r="K1359" s="30">
        <f>IF(OR($F1359="",$I1359=""),0,IFERROR(INDEX(Nutrition!$E$2:$E$300,MATCH($F1359,Nutrition!$A$2:$A$300,0))*$I1359/100,0))</f>
        <v>0</v>
      </c>
      <c r="L1359" s="30">
        <f>IF(OR($F1359="",$I1359=""),0,IFERROR(INDEX(Nutrition!$F$2:$F$300,MATCH($F1359,Nutrition!$A$2:$A$300,0))*$I1359/100,0))</f>
        <v>0</v>
      </c>
      <c r="M1359" s="30">
        <f>IF(OR($F1359="",$I1359=""),0,IFERROR(INDEX(Nutrition!$G$2:$G$300,MATCH($F1359,Nutrition!$A$2:$A$300,0))*$I1359/100,0))</f>
        <v>0</v>
      </c>
      <c r="N1359" s="30">
        <f>IF(OR($F1359="",$I1359=""),0,IFERROR(INDEX(Nutrition!$H$2:$H$300,MATCH($F1359,Nutrition!$A$2:$A$300,0))*$I1359/100,0))</f>
        <v>0</v>
      </c>
      <c r="O1359" s="30">
        <f>IF(OR($F1359="",$I1359=""),0,IFERROR(INDEX(Nutrition!$I$2:$I$300,MATCH($F1359,Nutrition!$A$2:$A$300,0))*$I1359/100,0))</f>
        <v>0</v>
      </c>
      <c r="P1359" s="30">
        <f>IF(OR($F1359="",$I1359=""),0,IFERROR(INDEX(Nutrition!$J$2:$J$300,MATCH($F1359,Nutrition!$A$2:$A$300,0))*$I1359/100,0))</f>
        <v>0</v>
      </c>
      <c r="Q1359" s="30">
        <f>IF(OR($F1359="",$I1359=""),0,IFERROR(INDEX(Nutrition!$K$2:$K$300,MATCH($F1359,Nutrition!$A$2:$A$300,0))*$I1359/100,0))</f>
        <v>0</v>
      </c>
      <c r="R1359" s="30">
        <f>IF(OR($F1359="",$I1359=""),0,IFERROR(INDEX(Nutrition!$L$2:$L$300,MATCH($F1359,Nutrition!$A$2:$A$300,0))*$I1359/100,0))</f>
        <v>0</v>
      </c>
      <c r="S1359" s="30">
        <f>IF(OR($F1359="",$I1359=""),0,IFERROR(INDEX(Nutrition!$M$2:$M$300,MATCH($F1359,Nutrition!$A$2:$A$300,0))*$I1359/100,0))</f>
        <v>0</v>
      </c>
    </row>
    <row r="1360" spans="1:19" ht="15" customHeight="1" x14ac:dyDescent="0.25">
      <c r="A1360" s="22" t="s">
        <v>2680</v>
      </c>
      <c r="B1360" s="33" t="str">
        <f>IFERROR(INDEX(Recipes!$B$2:$B$500,MATCH(A1360,Recipes!$A$2:$A$500,0)),"")</f>
        <v>Oven-Baked Yam Chips with Salsa</v>
      </c>
      <c r="C1360" s="7" t="s">
        <v>622</v>
      </c>
      <c r="D1360" s="34">
        <v>300</v>
      </c>
      <c r="E1360" s="22" t="s">
        <v>2813</v>
      </c>
      <c r="F1360" s="22" t="s">
        <v>621</v>
      </c>
      <c r="G1360" s="22" t="s">
        <v>2755</v>
      </c>
      <c r="H1360" s="7" t="s">
        <v>3123</v>
      </c>
      <c r="I1360" s="35">
        <v>300</v>
      </c>
      <c r="J1360" s="30">
        <f>IF(OR($F1360="",$I1360=""),0,IFERROR(INDEX(Nutrition!$D$2:$D$300,MATCH($F1360,Nutrition!$A$2:$A$300,0))*$I1360/100,0))</f>
        <v>12.3</v>
      </c>
      <c r="K1360" s="30">
        <f>IF(OR($F1360="",$I1360=""),0,IFERROR(INDEX(Nutrition!$E$2:$E$300,MATCH($F1360,Nutrition!$A$2:$A$300,0))*$I1360/100,0))</f>
        <v>51.3</v>
      </c>
      <c r="L1360" s="30">
        <f>IF(OR($F1360="",$I1360=""),0,IFERROR(INDEX(Nutrition!$F$2:$F$300,MATCH($F1360,Nutrition!$A$2:$A$300,0))*$I1360/100,0))</f>
        <v>21</v>
      </c>
      <c r="M1360" s="30">
        <f>IF(OR($F1360="",$I1360=""),0,IFERROR(INDEX(Nutrition!$G$2:$G$300,MATCH($F1360,Nutrition!$A$2:$A$300,0))*$I1360/100,0))</f>
        <v>6.9</v>
      </c>
      <c r="N1360" s="30">
        <f>IF(OR($F1360="",$I1360=""),0,IFERROR(INDEX(Nutrition!$H$2:$H$300,MATCH($F1360,Nutrition!$A$2:$A$300,0))*$I1360/100,0))</f>
        <v>69</v>
      </c>
      <c r="O1360" s="30">
        <f>IF(OR($F1360="",$I1360=""),0,IFERROR(INDEX(Nutrition!$I$2:$I$300,MATCH($F1360,Nutrition!$A$2:$A$300,0))*$I1360/100,0))</f>
        <v>2448</v>
      </c>
      <c r="P1360" s="30">
        <f>IF(OR($F1360="",$I1360=""),0,IFERROR(INDEX(Nutrition!$J$2:$J$300,MATCH($F1360,Nutrition!$A$2:$A$300,0))*$I1360/100,0))</f>
        <v>1.05</v>
      </c>
      <c r="Q1360" s="30">
        <f>IF(OR($F1360="",$I1360=""),0,IFERROR(INDEX(Nutrition!$K$2:$K$300,MATCH($F1360,Nutrition!$A$2:$A$300,0))*$I1360/100,0))</f>
        <v>0.87899999999999989</v>
      </c>
      <c r="R1360" s="30">
        <f>IF(OR($F1360="",$I1360=""),0,IFERROR(INDEX(Nutrition!$L$2:$L$300,MATCH($F1360,Nutrition!$A$2:$A$300,0))*$I1360/100,0))</f>
        <v>63</v>
      </c>
      <c r="S1360" s="30">
        <f>IF(OR($F1360="",$I1360=""),0,IFERROR(INDEX(Nutrition!$M$2:$M$300,MATCH($F1360,Nutrition!$A$2:$A$300,0))*$I1360/100,0))</f>
        <v>1.62</v>
      </c>
    </row>
    <row r="1361" spans="1:19" ht="15" customHeight="1" x14ac:dyDescent="0.25">
      <c r="A1361" s="22" t="s">
        <v>2680</v>
      </c>
      <c r="B1361" s="33" t="str">
        <f>IFERROR(INDEX(Recipes!$B$2:$B$500,MATCH(A1361,Recipes!$A$2:$A$500,0)),"")</f>
        <v>Oven-Baked Yam Chips with Salsa</v>
      </c>
      <c r="C1361" s="7" t="s">
        <v>500</v>
      </c>
      <c r="D1361" s="34">
        <v>2</v>
      </c>
      <c r="E1361" s="22" t="s">
        <v>2776</v>
      </c>
      <c r="F1361" s="22" t="s">
        <v>499</v>
      </c>
      <c r="G1361" s="22" t="s">
        <v>2755</v>
      </c>
      <c r="H1361" s="7" t="s">
        <v>2915</v>
      </c>
      <c r="I1361" s="35">
        <v>6</v>
      </c>
      <c r="J1361" s="30">
        <f>IF(OR($F1361="",$I1361=""),0,IFERROR(INDEX(Nutrition!$D$2:$D$300,MATCH($F1361,Nutrition!$A$2:$A$300,0))*$I1361/100,0))</f>
        <v>0.126</v>
      </c>
      <c r="K1361" s="30">
        <f>IF(OR($F1361="",$I1361=""),0,IFERROR(INDEX(Nutrition!$E$2:$E$300,MATCH($F1361,Nutrition!$A$2:$A$300,0))*$I1361/100,0))</f>
        <v>1.8719999999999999</v>
      </c>
      <c r="L1361" s="30">
        <f>IF(OR($F1361="",$I1361=""),0,IFERROR(INDEX(Nutrition!$F$2:$F$300,MATCH($F1361,Nutrition!$A$2:$A$300,0))*$I1361/100,0))</f>
        <v>0</v>
      </c>
      <c r="M1361" s="30">
        <f>IF(OR($F1361="",$I1361=""),0,IFERROR(INDEX(Nutrition!$G$2:$G$300,MATCH($F1361,Nutrition!$A$2:$A$300,0))*$I1361/100,0))</f>
        <v>0.10199999999999999</v>
      </c>
      <c r="N1361" s="30">
        <f>IF(OR($F1361="",$I1361=""),0,IFERROR(INDEX(Nutrition!$H$2:$H$300,MATCH($F1361,Nutrition!$A$2:$A$300,0))*$I1361/100,0))</f>
        <v>0.18</v>
      </c>
      <c r="O1361" s="30">
        <f>IF(OR($F1361="",$I1361=""),0,IFERROR(INDEX(Nutrition!$I$2:$I$300,MATCH($F1361,Nutrition!$A$2:$A$300,0))*$I1361/100,0))</f>
        <v>24.06</v>
      </c>
      <c r="P1361" s="30">
        <f>IF(OR($F1361="",$I1361=""),0,IFERROR(INDEX(Nutrition!$J$2:$J$300,MATCH($F1361,Nutrition!$A$2:$A$300,0))*$I1361/100,0))</f>
        <v>4.7999999999999996E-3</v>
      </c>
      <c r="Q1361" s="30">
        <f>IF(OR($F1361="",$I1361=""),0,IFERROR(INDEX(Nutrition!$K$2:$K$300,MATCH($F1361,Nutrition!$A$2:$A$300,0))*$I1361/100,0))</f>
        <v>7.4099999999999999E-2</v>
      </c>
      <c r="R1361" s="30">
        <f>IF(OR($F1361="",$I1361=""),0,IFERROR(INDEX(Nutrition!$L$2:$L$300,MATCH($F1361,Nutrition!$A$2:$A$300,0))*$I1361/100,0))</f>
        <v>1.5</v>
      </c>
      <c r="S1361" s="30">
        <f>IF(OR($F1361="",$I1361=""),0,IFERROR(INDEX(Nutrition!$M$2:$M$300,MATCH($F1361,Nutrition!$A$2:$A$300,0))*$I1361/100,0))</f>
        <v>0.10199999999999999</v>
      </c>
    </row>
    <row r="1362" spans="1:19" ht="15" customHeight="1" x14ac:dyDescent="0.25">
      <c r="A1362" s="22" t="s">
        <v>2680</v>
      </c>
      <c r="B1362" s="33" t="str">
        <f>IFERROR(INDEX(Recipes!$B$2:$B$500,MATCH(A1362,Recipes!$A$2:$A$500,0)),"")</f>
        <v>Oven-Baked Yam Chips with Salsa</v>
      </c>
      <c r="C1362" s="7" t="s">
        <v>446</v>
      </c>
      <c r="D1362" s="34">
        <v>2</v>
      </c>
      <c r="E1362" s="22" t="s">
        <v>2754</v>
      </c>
      <c r="F1362" s="22" t="s">
        <v>445</v>
      </c>
      <c r="G1362" s="22" t="s">
        <v>2755</v>
      </c>
      <c r="H1362" s="7" t="s">
        <v>2771</v>
      </c>
      <c r="I1362" s="35">
        <v>124</v>
      </c>
      <c r="J1362" s="30">
        <f>IF(OR($F1362="",$I1362=""),0,IFERROR(INDEX(Nutrition!$D$2:$D$300,MATCH($F1362,Nutrition!$A$2:$A$300,0))*$I1362/100,0))</f>
        <v>1.4879999999999998</v>
      </c>
      <c r="K1362" s="30">
        <f>IF(OR($F1362="",$I1362=""),0,IFERROR(INDEX(Nutrition!$E$2:$E$300,MATCH($F1362,Nutrition!$A$2:$A$300,0))*$I1362/100,0))</f>
        <v>16.988</v>
      </c>
      <c r="L1362" s="30">
        <f>IF(OR($F1362="",$I1362=""),0,IFERROR(INDEX(Nutrition!$F$2:$F$300,MATCH($F1362,Nutrition!$A$2:$A$300,0))*$I1362/100,0))</f>
        <v>52.08</v>
      </c>
      <c r="M1362" s="30">
        <f>IF(OR($F1362="",$I1362=""),0,IFERROR(INDEX(Nutrition!$G$2:$G$300,MATCH($F1362,Nutrition!$A$2:$A$300,0))*$I1362/100,0))</f>
        <v>9.7959999999999994</v>
      </c>
      <c r="N1362" s="30">
        <f>IF(OR($F1362="",$I1362=""),0,IFERROR(INDEX(Nutrition!$H$2:$H$300,MATCH($F1362,Nutrition!$A$2:$A$300,0))*$I1362/100,0))</f>
        <v>18.600000000000001</v>
      </c>
      <c r="O1362" s="30">
        <f>IF(OR($F1362="",$I1362=""),0,IFERROR(INDEX(Nutrition!$I$2:$I$300,MATCH($F1362,Nutrition!$A$2:$A$300,0))*$I1362/100,0))</f>
        <v>293.88</v>
      </c>
      <c r="P1362" s="30">
        <f>IF(OR($F1362="",$I1362=""),0,IFERROR(INDEX(Nutrition!$J$2:$J$300,MATCH($F1362,Nutrition!$A$2:$A$300,0))*$I1362/100,0))</f>
        <v>0.66960000000000008</v>
      </c>
      <c r="Q1362" s="30">
        <f>IF(OR($F1362="",$I1362=""),0,IFERROR(INDEX(Nutrition!$K$2:$K$300,MATCH($F1362,Nutrition!$A$2:$A$300,0))*$I1362/100,0))</f>
        <v>9.9199999999999997E-2</v>
      </c>
      <c r="R1362" s="30">
        <f>IF(OR($F1362="",$I1362=""),0,IFERROR(INDEX(Nutrition!$L$2:$L$300,MATCH($F1362,Nutrition!$A$2:$A$300,0))*$I1362/100,0))</f>
        <v>13.64</v>
      </c>
      <c r="S1362" s="30">
        <f>IF(OR($F1362="",$I1362=""),0,IFERROR(INDEX(Nutrition!$M$2:$M$300,MATCH($F1362,Nutrition!$A$2:$A$300,0))*$I1362/100,0))</f>
        <v>0.33480000000000004</v>
      </c>
    </row>
    <row r="1363" spans="1:19" ht="15" customHeight="1" x14ac:dyDescent="0.25">
      <c r="A1363" s="22" t="s">
        <v>2680</v>
      </c>
      <c r="B1363" s="33" t="str">
        <f>IFERROR(INDEX(Recipes!$B$2:$B$500,MATCH(A1363,Recipes!$A$2:$A$500,0)),"")</f>
        <v>Oven-Baked Yam Chips with Salsa</v>
      </c>
      <c r="C1363" s="7" t="s">
        <v>482</v>
      </c>
      <c r="D1363" s="34">
        <v>0.25</v>
      </c>
      <c r="E1363" s="22" t="s">
        <v>2754</v>
      </c>
      <c r="F1363" s="22" t="s">
        <v>481</v>
      </c>
      <c r="G1363" s="22" t="s">
        <v>2755</v>
      </c>
      <c r="H1363" s="7" t="s">
        <v>2771</v>
      </c>
      <c r="I1363" s="35">
        <v>28</v>
      </c>
      <c r="J1363" s="30">
        <f>IF(OR($F1363="",$I1363=""),0,IFERROR(INDEX(Nutrition!$D$2:$D$300,MATCH($F1363,Nutrition!$A$2:$A$300,0))*$I1363/100,0))</f>
        <v>0.47600000000000003</v>
      </c>
      <c r="K1363" s="30">
        <f>IF(OR($F1363="",$I1363=""),0,IFERROR(INDEX(Nutrition!$E$2:$E$300,MATCH($F1363,Nutrition!$A$2:$A$300,0))*$I1363/100,0))</f>
        <v>2.0720000000000001</v>
      </c>
      <c r="L1363" s="30">
        <f>IF(OR($F1363="",$I1363=""),0,IFERROR(INDEX(Nutrition!$F$2:$F$300,MATCH($F1363,Nutrition!$A$2:$A$300,0))*$I1363/100,0))</f>
        <v>0</v>
      </c>
      <c r="M1363" s="30">
        <f>IF(OR($F1363="",$I1363=""),0,IFERROR(INDEX(Nutrition!$G$2:$G$300,MATCH($F1363,Nutrition!$A$2:$A$300,0))*$I1363/100,0))</f>
        <v>0.11200000000000002</v>
      </c>
      <c r="N1363" s="30">
        <f>IF(OR($F1363="",$I1363=""),0,IFERROR(INDEX(Nutrition!$H$2:$H$300,MATCH($F1363,Nutrition!$A$2:$A$300,0))*$I1363/100,0))</f>
        <v>5.32</v>
      </c>
      <c r="O1363" s="30">
        <f>IF(OR($F1363="",$I1363=""),0,IFERROR(INDEX(Nutrition!$I$2:$I$300,MATCH($F1363,Nutrition!$A$2:$A$300,0))*$I1363/100,0))</f>
        <v>40.880000000000003</v>
      </c>
      <c r="P1363" s="30">
        <f>IF(OR($F1363="",$I1363=""),0,IFERROR(INDEX(Nutrition!$J$2:$J$300,MATCH($F1363,Nutrition!$A$2:$A$300,0))*$I1363/100,0))</f>
        <v>5.6000000000000008E-3</v>
      </c>
      <c r="Q1363" s="30">
        <f>IF(OR($F1363="",$I1363=""),0,IFERROR(INDEX(Nutrition!$K$2:$K$300,MATCH($F1363,Nutrition!$A$2:$A$300,0))*$I1363/100,0))</f>
        <v>3.3599999999999998E-2</v>
      </c>
      <c r="R1363" s="30">
        <f>IF(OR($F1363="",$I1363=""),0,IFERROR(INDEX(Nutrition!$L$2:$L$300,MATCH($F1363,Nutrition!$A$2:$A$300,0))*$I1363/100,0))</f>
        <v>2.8</v>
      </c>
      <c r="S1363" s="30">
        <f>IF(OR($F1363="",$I1363=""),0,IFERROR(INDEX(Nutrition!$M$2:$M$300,MATCH($F1363,Nutrition!$A$2:$A$300,0))*$I1363/100,0))</f>
        <v>5.8799999999999998E-2</v>
      </c>
    </row>
    <row r="1364" spans="1:19" ht="15" customHeight="1" x14ac:dyDescent="0.25">
      <c r="A1364" s="22" t="s">
        <v>2680</v>
      </c>
      <c r="B1364" s="33" t="str">
        <f>IFERROR(INDEX(Recipes!$B$2:$B$500,MATCH(A1364,Recipes!$A$2:$A$500,0)),"")</f>
        <v>Oven-Baked Yam Chips with Salsa</v>
      </c>
      <c r="C1364" s="7" t="s">
        <v>473</v>
      </c>
      <c r="D1364" s="34">
        <v>0.5</v>
      </c>
      <c r="E1364" s="22" t="s">
        <v>2754</v>
      </c>
      <c r="F1364" s="22" t="s">
        <v>472</v>
      </c>
      <c r="G1364" s="22" t="s">
        <v>2755</v>
      </c>
      <c r="H1364" s="7" t="s">
        <v>2903</v>
      </c>
      <c r="I1364" s="35">
        <v>5</v>
      </c>
      <c r="J1364" s="30">
        <f>IF(OR($F1364="",$I1364=""),0,IFERROR(INDEX(Nutrition!$D$2:$D$300,MATCH($F1364,Nutrition!$A$2:$A$300,0))*$I1364/100,0))</f>
        <v>7.4999999999999997E-2</v>
      </c>
      <c r="K1364" s="30">
        <f>IF(OR($F1364="",$I1364=""),0,IFERROR(INDEX(Nutrition!$E$2:$E$300,MATCH($F1364,Nutrition!$A$2:$A$300,0))*$I1364/100,0))</f>
        <v>7.1849999999999996</v>
      </c>
      <c r="L1364" s="30">
        <f>IF(OR($F1364="",$I1364=""),0,IFERROR(INDEX(Nutrition!$F$2:$F$300,MATCH($F1364,Nutrition!$A$2:$A$300,0))*$I1364/100,0))</f>
        <v>2.4</v>
      </c>
      <c r="M1364" s="30">
        <f>IF(OR($F1364="",$I1364=""),0,IFERROR(INDEX(Nutrition!$G$2:$G$300,MATCH($F1364,Nutrition!$A$2:$A$300,0))*$I1364/100,0))</f>
        <v>0.7</v>
      </c>
      <c r="N1364" s="30">
        <f>IF(OR($F1364="",$I1364=""),0,IFERROR(INDEX(Nutrition!$H$2:$H$300,MATCH($F1364,Nutrition!$A$2:$A$300,0))*$I1364/100,0))</f>
        <v>1.1499999999999999</v>
      </c>
      <c r="O1364" s="30">
        <f>IF(OR($F1364="",$I1364=""),0,IFERROR(INDEX(Nutrition!$I$2:$I$300,MATCH($F1364,Nutrition!$A$2:$A$300,0))*$I1364/100,0))</f>
        <v>16.100000000000001</v>
      </c>
      <c r="P1364" s="30">
        <f>IF(OR($F1364="",$I1364=""),0,IFERROR(INDEX(Nutrition!$J$2:$J$300,MATCH($F1364,Nutrition!$A$2:$A$300,0))*$I1364/100,0))</f>
        <v>3.4499999999999996E-2</v>
      </c>
      <c r="Q1364" s="30">
        <f>IF(OR($F1364="",$I1364=""),0,IFERROR(INDEX(Nutrition!$K$2:$K$300,MATCH($F1364,Nutrition!$A$2:$A$300,0))*$I1364/100,0))</f>
        <v>2.5300000000000003E-2</v>
      </c>
      <c r="R1364" s="30">
        <f>IF(OR($F1364="",$I1364=""),0,IFERROR(INDEX(Nutrition!$L$2:$L$300,MATCH($F1364,Nutrition!$A$2:$A$300,0))*$I1364/100,0))</f>
        <v>1.1499999999999999</v>
      </c>
      <c r="S1364" s="30">
        <f>IF(OR($F1364="",$I1364=""),0,IFERROR(INDEX(Nutrition!$M$2:$M$300,MATCH($F1364,Nutrition!$A$2:$A$300,0))*$I1364/100,0))</f>
        <v>5.1500000000000004E-2</v>
      </c>
    </row>
    <row r="1365" spans="1:19" ht="15" customHeight="1" x14ac:dyDescent="0.25">
      <c r="A1365" s="22" t="s">
        <v>2680</v>
      </c>
      <c r="B1365" s="33" t="str">
        <f>IFERROR(INDEX(Recipes!$B$2:$B$500,MATCH(A1365,Recipes!$A$2:$A$500,0)),"")</f>
        <v>Oven-Baked Yam Chips with Salsa</v>
      </c>
      <c r="C1365" s="7" t="s">
        <v>668</v>
      </c>
      <c r="D1365" s="34">
        <v>2</v>
      </c>
      <c r="E1365" s="22" t="s">
        <v>2753</v>
      </c>
      <c r="F1365" s="22" t="s">
        <v>667</v>
      </c>
      <c r="G1365" s="22" t="s">
        <v>2755</v>
      </c>
      <c r="H1365" s="7" t="s">
        <v>2775</v>
      </c>
      <c r="I1365" s="35">
        <v>8</v>
      </c>
      <c r="J1365" s="30">
        <f>IF(OR($F1365="",$I1365=""),0,IFERROR(INDEX(Nutrition!$D$2:$D$300,MATCH($F1365,Nutrition!$A$2:$A$300,0))*$I1365/100,0))</f>
        <v>0.22399999999999998</v>
      </c>
      <c r="K1365" s="30">
        <f>IF(OR($F1365="",$I1365=""),0,IFERROR(INDEX(Nutrition!$E$2:$E$300,MATCH($F1365,Nutrition!$A$2:$A$300,0))*$I1365/100,0))</f>
        <v>2.16</v>
      </c>
      <c r="L1365" s="30">
        <f>IF(OR($F1365="",$I1365=""),0,IFERROR(INDEX(Nutrition!$F$2:$F$300,MATCH($F1365,Nutrition!$A$2:$A$300,0))*$I1365/100,0))</f>
        <v>26.96</v>
      </c>
      <c r="M1365" s="30">
        <f>IF(OR($F1365="",$I1365=""),0,IFERROR(INDEX(Nutrition!$G$2:$G$300,MATCH($F1365,Nutrition!$A$2:$A$300,0))*$I1365/100,0))</f>
        <v>24.8</v>
      </c>
      <c r="N1365" s="30">
        <f>IF(OR($F1365="",$I1365=""),0,IFERROR(INDEX(Nutrition!$H$2:$H$300,MATCH($F1365,Nutrition!$A$2:$A$300,0))*$I1365/100,0))</f>
        <v>4.96</v>
      </c>
      <c r="O1365" s="30">
        <f>IF(OR($F1365="",$I1365=""),0,IFERROR(INDEX(Nutrition!$I$2:$I$300,MATCH($F1365,Nutrition!$A$2:$A$300,0))*$I1365/100,0))</f>
        <v>41.68</v>
      </c>
      <c r="P1365" s="30">
        <f>IF(OR($F1365="",$I1365=""),0,IFERROR(INDEX(Nutrition!$J$2:$J$300,MATCH($F1365,Nutrition!$A$2:$A$300,0))*$I1365/100,0))</f>
        <v>0.2</v>
      </c>
      <c r="Q1365" s="30">
        <f>IF(OR($F1365="",$I1365=""),0,IFERROR(INDEX(Nutrition!$K$2:$K$300,MATCH($F1365,Nutrition!$A$2:$A$300,0))*$I1365/100,0))</f>
        <v>1.192E-2</v>
      </c>
      <c r="R1365" s="30">
        <f>IF(OR($F1365="",$I1365=""),0,IFERROR(INDEX(Nutrition!$L$2:$L$300,MATCH($F1365,Nutrition!$A$2:$A$300,0))*$I1365/100,0))</f>
        <v>2.08</v>
      </c>
      <c r="S1365" s="30">
        <f>IF(OR($F1365="",$I1365=""),0,IFERROR(INDEX(Nutrition!$M$2:$M$300,MATCH($F1365,Nutrition!$A$2:$A$300,0))*$I1365/100,0))</f>
        <v>0.1416</v>
      </c>
    </row>
    <row r="1366" spans="1:19" ht="15" customHeight="1" x14ac:dyDescent="0.25">
      <c r="A1366" s="22" t="s">
        <v>2680</v>
      </c>
      <c r="B1366" s="33" t="str">
        <f>IFERROR(INDEX(Recipes!$B$2:$B$500,MATCH(A1366,Recipes!$A$2:$A$500,0)),"")</f>
        <v>Oven-Baked Yam Chips with Salsa</v>
      </c>
      <c r="C1366" s="7" t="s">
        <v>213</v>
      </c>
      <c r="D1366" s="34">
        <v>0.5</v>
      </c>
      <c r="E1366" s="22" t="s">
        <v>2754</v>
      </c>
      <c r="F1366" s="22" t="s">
        <v>212</v>
      </c>
      <c r="G1366" s="22" t="s">
        <v>2755</v>
      </c>
      <c r="H1366" s="7" t="s">
        <v>2912</v>
      </c>
      <c r="I1366" s="35">
        <v>34</v>
      </c>
      <c r="J1366" s="30">
        <f>IF(OR($F1366="",$I1366=""),0,IFERROR(INDEX(Nutrition!$D$2:$D$300,MATCH($F1366,Nutrition!$A$2:$A$300,0))*$I1366/100,0))</f>
        <v>0.95199999999999985</v>
      </c>
      <c r="K1366" s="30">
        <f>IF(OR($F1366="",$I1366=""),0,IFERROR(INDEX(Nutrition!$E$2:$E$300,MATCH($F1366,Nutrition!$A$2:$A$300,0))*$I1366/100,0))</f>
        <v>9.8940000000000001</v>
      </c>
      <c r="L1366" s="30">
        <f>IF(OR($F1366="",$I1366=""),0,IFERROR(INDEX(Nutrition!$F$2:$F$300,MATCH($F1366,Nutrition!$A$2:$A$300,0))*$I1366/100,0))</f>
        <v>0.68</v>
      </c>
      <c r="M1366" s="30">
        <f>IF(OR($F1366="",$I1366=""),0,IFERROR(INDEX(Nutrition!$G$2:$G$300,MATCH($F1366,Nutrition!$A$2:$A$300,0))*$I1366/100,0))</f>
        <v>0.20399999999999999</v>
      </c>
      <c r="N1366" s="30">
        <f>IF(OR($F1366="",$I1366=""),0,IFERROR(INDEX(Nutrition!$H$2:$H$300,MATCH($F1366,Nutrition!$A$2:$A$300,0))*$I1366/100,0))</f>
        <v>2.72</v>
      </c>
      <c r="O1366" s="30">
        <f>IF(OR($F1366="",$I1366=""),0,IFERROR(INDEX(Nutrition!$I$2:$I$300,MATCH($F1366,Nutrition!$A$2:$A$300,0))*$I1366/100,0))</f>
        <v>34.68</v>
      </c>
      <c r="P1366" s="30">
        <f>IF(OR($F1366="",$I1366=""),0,IFERROR(INDEX(Nutrition!$J$2:$J$300,MATCH($F1366,Nutrition!$A$2:$A$300,0))*$I1366/100,0))</f>
        <v>7.4800000000000005E-2</v>
      </c>
      <c r="Q1366" s="30">
        <f>IF(OR($F1366="",$I1366=""),0,IFERROR(INDEX(Nutrition!$K$2:$K$300,MATCH($F1366,Nutrition!$A$2:$A$300,0))*$I1366/100,0))</f>
        <v>1.4619999999999999E-2</v>
      </c>
      <c r="R1366" s="30">
        <f>IF(OR($F1366="",$I1366=""),0,IFERROR(INDEX(Nutrition!$L$2:$L$300,MATCH($F1366,Nutrition!$A$2:$A$300,0))*$I1366/100,0))</f>
        <v>2.04</v>
      </c>
      <c r="S1366" s="30">
        <f>IF(OR($F1366="",$I1366=""),0,IFERROR(INDEX(Nutrition!$M$2:$M$300,MATCH($F1366,Nutrition!$A$2:$A$300,0))*$I1366/100,0))</f>
        <v>0.20399999999999999</v>
      </c>
    </row>
    <row r="1367" spans="1:19" ht="15" customHeight="1" x14ac:dyDescent="0.25">
      <c r="A1367" s="22" t="s">
        <v>2680</v>
      </c>
      <c r="B1367" s="33" t="str">
        <f>IFERROR(INDEX(Recipes!$B$2:$B$500,MATCH(A1367,Recipes!$A$2:$A$500,0)),"")</f>
        <v>Oven-Baked Yam Chips with Salsa</v>
      </c>
      <c r="C1367" s="7" t="s">
        <v>2898</v>
      </c>
      <c r="D1367" s="34">
        <v>2</v>
      </c>
      <c r="E1367" s="22" t="s">
        <v>2753</v>
      </c>
      <c r="F1367" s="22"/>
      <c r="G1367" s="22" t="s">
        <v>2773</v>
      </c>
      <c r="H1367" s="7"/>
      <c r="I1367" s="35"/>
      <c r="J1367" s="30">
        <f>IF(OR($F1367="",$I1367=""),0,IFERROR(INDEX(Nutrition!$D$2:$D$300,MATCH($F1367,Nutrition!$A$2:$A$300,0))*$I1367/100,0))</f>
        <v>0</v>
      </c>
      <c r="K1367" s="30">
        <f>IF(OR($F1367="",$I1367=""),0,IFERROR(INDEX(Nutrition!$E$2:$E$300,MATCH($F1367,Nutrition!$A$2:$A$300,0))*$I1367/100,0))</f>
        <v>0</v>
      </c>
      <c r="L1367" s="30">
        <f>IF(OR($F1367="",$I1367=""),0,IFERROR(INDEX(Nutrition!$F$2:$F$300,MATCH($F1367,Nutrition!$A$2:$A$300,0))*$I1367/100,0))</f>
        <v>0</v>
      </c>
      <c r="M1367" s="30">
        <f>IF(OR($F1367="",$I1367=""),0,IFERROR(INDEX(Nutrition!$G$2:$G$300,MATCH($F1367,Nutrition!$A$2:$A$300,0))*$I1367/100,0))</f>
        <v>0</v>
      </c>
      <c r="N1367" s="30">
        <f>IF(OR($F1367="",$I1367=""),0,IFERROR(INDEX(Nutrition!$H$2:$H$300,MATCH($F1367,Nutrition!$A$2:$A$300,0))*$I1367/100,0))</f>
        <v>0</v>
      </c>
      <c r="O1367" s="30">
        <f>IF(OR($F1367="",$I1367=""),0,IFERROR(INDEX(Nutrition!$I$2:$I$300,MATCH($F1367,Nutrition!$A$2:$A$300,0))*$I1367/100,0))</f>
        <v>0</v>
      </c>
      <c r="P1367" s="30">
        <f>IF(OR($F1367="",$I1367=""),0,IFERROR(INDEX(Nutrition!$J$2:$J$300,MATCH($F1367,Nutrition!$A$2:$A$300,0))*$I1367/100,0))</f>
        <v>0</v>
      </c>
      <c r="Q1367" s="30">
        <f>IF(OR($F1367="",$I1367=""),0,IFERROR(INDEX(Nutrition!$K$2:$K$300,MATCH($F1367,Nutrition!$A$2:$A$300,0))*$I1367/100,0))</f>
        <v>0</v>
      </c>
      <c r="R1367" s="30">
        <f>IF(OR($F1367="",$I1367=""),0,IFERROR(INDEX(Nutrition!$L$2:$L$300,MATCH($F1367,Nutrition!$A$2:$A$300,0))*$I1367/100,0))</f>
        <v>0</v>
      </c>
      <c r="S1367" s="30">
        <f>IF(OR($F1367="",$I1367=""),0,IFERROR(INDEX(Nutrition!$M$2:$M$300,MATCH($F1367,Nutrition!$A$2:$A$300,0))*$I1367/100,0))</f>
        <v>0</v>
      </c>
    </row>
    <row r="1368" spans="1:19" ht="15" customHeight="1" x14ac:dyDescent="0.25">
      <c r="A1368" s="22" t="s">
        <v>2680</v>
      </c>
      <c r="B1368" s="33" t="str">
        <f>IFERROR(INDEX(Recipes!$B$2:$B$500,MATCH(A1368,Recipes!$A$2:$A$500,0)),"")</f>
        <v>Oven-Baked Yam Chips with Salsa</v>
      </c>
      <c r="C1368" s="7" t="s">
        <v>2798</v>
      </c>
      <c r="D1368" s="34">
        <v>0.5</v>
      </c>
      <c r="E1368" s="22" t="s">
        <v>2759</v>
      </c>
      <c r="F1368" s="22"/>
      <c r="G1368" s="22" t="s">
        <v>2749</v>
      </c>
      <c r="H1368" s="7"/>
      <c r="I1368" s="35"/>
      <c r="J1368" s="30">
        <f>IF(OR($F1368="",$I1368=""),0,IFERROR(INDEX(Nutrition!$D$2:$D$300,MATCH($F1368,Nutrition!$A$2:$A$300,0))*$I1368/100,0))</f>
        <v>0</v>
      </c>
      <c r="K1368" s="30">
        <f>IF(OR($F1368="",$I1368=""),0,IFERROR(INDEX(Nutrition!$E$2:$E$300,MATCH($F1368,Nutrition!$A$2:$A$300,0))*$I1368/100,0))</f>
        <v>0</v>
      </c>
      <c r="L1368" s="30">
        <f>IF(OR($F1368="",$I1368=""),0,IFERROR(INDEX(Nutrition!$F$2:$F$300,MATCH($F1368,Nutrition!$A$2:$A$300,0))*$I1368/100,0))</f>
        <v>0</v>
      </c>
      <c r="M1368" s="30">
        <f>IF(OR($F1368="",$I1368=""),0,IFERROR(INDEX(Nutrition!$G$2:$G$300,MATCH($F1368,Nutrition!$A$2:$A$300,0))*$I1368/100,0))</f>
        <v>0</v>
      </c>
      <c r="N1368" s="30">
        <f>IF(OR($F1368="",$I1368=""),0,IFERROR(INDEX(Nutrition!$H$2:$H$300,MATCH($F1368,Nutrition!$A$2:$A$300,0))*$I1368/100,0))</f>
        <v>0</v>
      </c>
      <c r="O1368" s="30">
        <f>IF(OR($F1368="",$I1368=""),0,IFERROR(INDEX(Nutrition!$I$2:$I$300,MATCH($F1368,Nutrition!$A$2:$A$300,0))*$I1368/100,0))</f>
        <v>0</v>
      </c>
      <c r="P1368" s="30">
        <f>IF(OR($F1368="",$I1368=""),0,IFERROR(INDEX(Nutrition!$J$2:$J$300,MATCH($F1368,Nutrition!$A$2:$A$300,0))*$I1368/100,0))</f>
        <v>0</v>
      </c>
      <c r="Q1368" s="30">
        <f>IF(OR($F1368="",$I1368=""),0,IFERROR(INDEX(Nutrition!$K$2:$K$300,MATCH($F1368,Nutrition!$A$2:$A$300,0))*$I1368/100,0))</f>
        <v>0</v>
      </c>
      <c r="R1368" s="30">
        <f>IF(OR($F1368="",$I1368=""),0,IFERROR(INDEX(Nutrition!$L$2:$L$300,MATCH($F1368,Nutrition!$A$2:$A$300,0))*$I1368/100,0))</f>
        <v>0</v>
      </c>
      <c r="S1368" s="30">
        <f>IF(OR($F1368="",$I1368=""),0,IFERROR(INDEX(Nutrition!$M$2:$M$300,MATCH($F1368,Nutrition!$A$2:$A$300,0))*$I1368/100,0))</f>
        <v>0</v>
      </c>
    </row>
    <row r="1369" spans="1:19" ht="15" customHeight="1" x14ac:dyDescent="0.25">
      <c r="A1369" s="22" t="s">
        <v>2680</v>
      </c>
      <c r="B1369" s="33" t="str">
        <f>IFERROR(INDEX(Recipes!$B$2:$B$500,MATCH(A1369,Recipes!$A$2:$A$500,0)),"")</f>
        <v>Oven-Baked Yam Chips with Salsa</v>
      </c>
      <c r="C1369" s="7" t="s">
        <v>2781</v>
      </c>
      <c r="D1369" s="34">
        <v>0.5</v>
      </c>
      <c r="E1369" s="22" t="s">
        <v>2759</v>
      </c>
      <c r="F1369" s="22"/>
      <c r="G1369" s="22" t="s">
        <v>2773</v>
      </c>
      <c r="H1369" s="7"/>
      <c r="I1369" s="35"/>
      <c r="J1369" s="30">
        <f>IF(OR($F1369="",$I1369=""),0,IFERROR(INDEX(Nutrition!$D$2:$D$300,MATCH($F1369,Nutrition!$A$2:$A$300,0))*$I1369/100,0))</f>
        <v>0</v>
      </c>
      <c r="K1369" s="30">
        <f>IF(OR($F1369="",$I1369=""),0,IFERROR(INDEX(Nutrition!$E$2:$E$300,MATCH($F1369,Nutrition!$A$2:$A$300,0))*$I1369/100,0))</f>
        <v>0</v>
      </c>
      <c r="L1369" s="30">
        <f>IF(OR($F1369="",$I1369=""),0,IFERROR(INDEX(Nutrition!$F$2:$F$300,MATCH($F1369,Nutrition!$A$2:$A$300,0))*$I1369/100,0))</f>
        <v>0</v>
      </c>
      <c r="M1369" s="30">
        <f>IF(OR($F1369="",$I1369=""),0,IFERROR(INDEX(Nutrition!$G$2:$G$300,MATCH($F1369,Nutrition!$A$2:$A$300,0))*$I1369/100,0))</f>
        <v>0</v>
      </c>
      <c r="N1369" s="30">
        <f>IF(OR($F1369="",$I1369=""),0,IFERROR(INDEX(Nutrition!$H$2:$H$300,MATCH($F1369,Nutrition!$A$2:$A$300,0))*$I1369/100,0))</f>
        <v>0</v>
      </c>
      <c r="O1369" s="30">
        <f>IF(OR($F1369="",$I1369=""),0,IFERROR(INDEX(Nutrition!$I$2:$I$300,MATCH($F1369,Nutrition!$A$2:$A$300,0))*$I1369/100,0))</f>
        <v>0</v>
      </c>
      <c r="P1369" s="30">
        <f>IF(OR($F1369="",$I1369=""),0,IFERROR(INDEX(Nutrition!$J$2:$J$300,MATCH($F1369,Nutrition!$A$2:$A$300,0))*$I1369/100,0))</f>
        <v>0</v>
      </c>
      <c r="Q1369" s="30">
        <f>IF(OR($F1369="",$I1369=""),0,IFERROR(INDEX(Nutrition!$K$2:$K$300,MATCH($F1369,Nutrition!$A$2:$A$300,0))*$I1369/100,0))</f>
        <v>0</v>
      </c>
      <c r="R1369" s="30">
        <f>IF(OR($F1369="",$I1369=""),0,IFERROR(INDEX(Nutrition!$L$2:$L$300,MATCH($F1369,Nutrition!$A$2:$A$300,0))*$I1369/100,0))</f>
        <v>0</v>
      </c>
      <c r="S1369" s="30">
        <f>IF(OR($F1369="",$I1369=""),0,IFERROR(INDEX(Nutrition!$M$2:$M$300,MATCH($F1369,Nutrition!$A$2:$A$300,0))*$I1369/100,0))</f>
        <v>0</v>
      </c>
    </row>
    <row r="1370" spans="1:19" ht="15" customHeight="1" x14ac:dyDescent="0.25">
      <c r="A1370" s="22" t="s">
        <v>2690</v>
      </c>
      <c r="B1370" s="33" t="str">
        <f>IFERROR(INDEX(Recipes!$B$2:$B$500,MATCH(A1370,Recipes!$A$2:$A$500,0)),"")</f>
        <v>Crispy Kale Chips</v>
      </c>
      <c r="C1370" s="7" t="s">
        <v>648</v>
      </c>
      <c r="D1370" s="34">
        <v>1</v>
      </c>
      <c r="E1370" s="22" t="s">
        <v>635</v>
      </c>
      <c r="F1370" s="22" t="s">
        <v>647</v>
      </c>
      <c r="G1370" s="22" t="s">
        <v>2755</v>
      </c>
      <c r="H1370" s="7" t="s">
        <v>3124</v>
      </c>
      <c r="I1370" s="35">
        <v>200</v>
      </c>
      <c r="J1370" s="30">
        <f>IF(OR($F1370="",$I1370=""),0,IFERROR(INDEX(Nutrition!$D$2:$D$300,MATCH($F1370,Nutrition!$A$2:$A$300,0))*$I1370/100,0))</f>
        <v>8.1999999999999993</v>
      </c>
      <c r="K1370" s="30">
        <f>IF(OR($F1370="",$I1370=""),0,IFERROR(INDEX(Nutrition!$E$2:$E$300,MATCH($F1370,Nutrition!$A$2:$A$300,0))*$I1370/100,0))</f>
        <v>186.8</v>
      </c>
      <c r="L1370" s="30">
        <f>IF(OR($F1370="",$I1370=""),0,IFERROR(INDEX(Nutrition!$F$2:$F$300,MATCH($F1370,Nutrition!$A$2:$A$300,0))*$I1370/100,0))</f>
        <v>482</v>
      </c>
      <c r="M1370" s="30">
        <f>IF(OR($F1370="",$I1370=""),0,IFERROR(INDEX(Nutrition!$G$2:$G$300,MATCH($F1370,Nutrition!$A$2:$A$300,0))*$I1370/100,0))</f>
        <v>780</v>
      </c>
      <c r="N1370" s="30">
        <f>IF(OR($F1370="",$I1370=""),0,IFERROR(INDEX(Nutrition!$H$2:$H$300,MATCH($F1370,Nutrition!$A$2:$A$300,0))*$I1370/100,0))</f>
        <v>124</v>
      </c>
      <c r="O1370" s="30">
        <f>IF(OR($F1370="",$I1370=""),0,IFERROR(INDEX(Nutrition!$I$2:$I$300,MATCH($F1370,Nutrition!$A$2:$A$300,0))*$I1370/100,0))</f>
        <v>696</v>
      </c>
      <c r="P1370" s="30">
        <f>IF(OR($F1370="",$I1370=""),0,IFERROR(INDEX(Nutrition!$J$2:$J$300,MATCH($F1370,Nutrition!$A$2:$A$300,0))*$I1370/100,0))</f>
        <v>1.32</v>
      </c>
      <c r="Q1370" s="30">
        <f>IF(OR($F1370="",$I1370=""),0,IFERROR(INDEX(Nutrition!$K$2:$K$300,MATCH($F1370,Nutrition!$A$2:$A$300,0))*$I1370/100,0))</f>
        <v>0.29399999999999998</v>
      </c>
      <c r="R1370" s="30">
        <f>IF(OR($F1370="",$I1370=""),0,IFERROR(INDEX(Nutrition!$L$2:$L$300,MATCH($F1370,Nutrition!$A$2:$A$300,0))*$I1370/100,0))</f>
        <v>66</v>
      </c>
      <c r="S1370" s="30">
        <f>IF(OR($F1370="",$I1370=""),0,IFERROR(INDEX(Nutrition!$M$2:$M$300,MATCH($F1370,Nutrition!$A$2:$A$300,0))*$I1370/100,0))</f>
        <v>3.2</v>
      </c>
    </row>
    <row r="1371" spans="1:19" ht="15" customHeight="1" x14ac:dyDescent="0.25">
      <c r="A1371" s="22" t="s">
        <v>2690</v>
      </c>
      <c r="B1371" s="33" t="str">
        <f>IFERROR(INDEX(Recipes!$B$2:$B$500,MATCH(A1371,Recipes!$A$2:$A$500,0)),"")</f>
        <v>Crispy Kale Chips</v>
      </c>
      <c r="C1371" s="7" t="s">
        <v>2805</v>
      </c>
      <c r="D1371" s="34">
        <v>2</v>
      </c>
      <c r="E1371" s="22" t="s">
        <v>2753</v>
      </c>
      <c r="F1371" s="22"/>
      <c r="G1371" s="22" t="s">
        <v>2773</v>
      </c>
      <c r="H1371" s="7"/>
      <c r="I1371" s="35"/>
      <c r="J1371" s="30">
        <f>IF(OR($F1371="",$I1371=""),0,IFERROR(INDEX(Nutrition!$D$2:$D$300,MATCH($F1371,Nutrition!$A$2:$A$300,0))*$I1371/100,0))</f>
        <v>0</v>
      </c>
      <c r="K1371" s="30">
        <f>IF(OR($F1371="",$I1371=""),0,IFERROR(INDEX(Nutrition!$E$2:$E$300,MATCH($F1371,Nutrition!$A$2:$A$300,0))*$I1371/100,0))</f>
        <v>0</v>
      </c>
      <c r="L1371" s="30">
        <f>IF(OR($F1371="",$I1371=""),0,IFERROR(INDEX(Nutrition!$F$2:$F$300,MATCH($F1371,Nutrition!$A$2:$A$300,0))*$I1371/100,0))</f>
        <v>0</v>
      </c>
      <c r="M1371" s="30">
        <f>IF(OR($F1371="",$I1371=""),0,IFERROR(INDEX(Nutrition!$G$2:$G$300,MATCH($F1371,Nutrition!$A$2:$A$300,0))*$I1371/100,0))</f>
        <v>0</v>
      </c>
      <c r="N1371" s="30">
        <f>IF(OR($F1371="",$I1371=""),0,IFERROR(INDEX(Nutrition!$H$2:$H$300,MATCH($F1371,Nutrition!$A$2:$A$300,0))*$I1371/100,0))</f>
        <v>0</v>
      </c>
      <c r="O1371" s="30">
        <f>IF(OR($F1371="",$I1371=""),0,IFERROR(INDEX(Nutrition!$I$2:$I$300,MATCH($F1371,Nutrition!$A$2:$A$300,0))*$I1371/100,0))</f>
        <v>0</v>
      </c>
      <c r="P1371" s="30">
        <f>IF(OR($F1371="",$I1371=""),0,IFERROR(INDEX(Nutrition!$J$2:$J$300,MATCH($F1371,Nutrition!$A$2:$A$300,0))*$I1371/100,0))</f>
        <v>0</v>
      </c>
      <c r="Q1371" s="30">
        <f>IF(OR($F1371="",$I1371=""),0,IFERROR(INDEX(Nutrition!$K$2:$K$300,MATCH($F1371,Nutrition!$A$2:$A$300,0))*$I1371/100,0))</f>
        <v>0</v>
      </c>
      <c r="R1371" s="30">
        <f>IF(OR($F1371="",$I1371=""),0,IFERROR(INDEX(Nutrition!$L$2:$L$300,MATCH($F1371,Nutrition!$A$2:$A$300,0))*$I1371/100,0))</f>
        <v>0</v>
      </c>
      <c r="S1371" s="30">
        <f>IF(OR($F1371="",$I1371=""),0,IFERROR(INDEX(Nutrition!$M$2:$M$300,MATCH($F1371,Nutrition!$A$2:$A$300,0))*$I1371/100,0))</f>
        <v>0</v>
      </c>
    </row>
    <row r="1372" spans="1:19" ht="15" customHeight="1" x14ac:dyDescent="0.25">
      <c r="A1372" s="22" t="s">
        <v>2690</v>
      </c>
      <c r="B1372" s="33" t="str">
        <f>IFERROR(INDEX(Recipes!$B$2:$B$500,MATCH(A1372,Recipes!$A$2:$A$500,0)),"")</f>
        <v>Crispy Kale Chips</v>
      </c>
      <c r="C1372" s="7" t="s">
        <v>2781</v>
      </c>
      <c r="D1372" s="34">
        <v>0.5</v>
      </c>
      <c r="E1372" s="22" t="s">
        <v>2759</v>
      </c>
      <c r="F1372" s="22"/>
      <c r="G1372" s="22" t="s">
        <v>2773</v>
      </c>
      <c r="H1372" s="7"/>
      <c r="I1372" s="35"/>
      <c r="J1372" s="30">
        <f>IF(OR($F1372="",$I1372=""),0,IFERROR(INDEX(Nutrition!$D$2:$D$300,MATCH($F1372,Nutrition!$A$2:$A$300,0))*$I1372/100,0))</f>
        <v>0</v>
      </c>
      <c r="K1372" s="30">
        <f>IF(OR($F1372="",$I1372=""),0,IFERROR(INDEX(Nutrition!$E$2:$E$300,MATCH($F1372,Nutrition!$A$2:$A$300,0))*$I1372/100,0))</f>
        <v>0</v>
      </c>
      <c r="L1372" s="30">
        <f>IF(OR($F1372="",$I1372=""),0,IFERROR(INDEX(Nutrition!$F$2:$F$300,MATCH($F1372,Nutrition!$A$2:$A$300,0))*$I1372/100,0))</f>
        <v>0</v>
      </c>
      <c r="M1372" s="30">
        <f>IF(OR($F1372="",$I1372=""),0,IFERROR(INDEX(Nutrition!$G$2:$G$300,MATCH($F1372,Nutrition!$A$2:$A$300,0))*$I1372/100,0))</f>
        <v>0</v>
      </c>
      <c r="N1372" s="30">
        <f>IF(OR($F1372="",$I1372=""),0,IFERROR(INDEX(Nutrition!$H$2:$H$300,MATCH($F1372,Nutrition!$A$2:$A$300,0))*$I1372/100,0))</f>
        <v>0</v>
      </c>
      <c r="O1372" s="30">
        <f>IF(OR($F1372="",$I1372=""),0,IFERROR(INDEX(Nutrition!$I$2:$I$300,MATCH($F1372,Nutrition!$A$2:$A$300,0))*$I1372/100,0))</f>
        <v>0</v>
      </c>
      <c r="P1372" s="30">
        <f>IF(OR($F1372="",$I1372=""),0,IFERROR(INDEX(Nutrition!$J$2:$J$300,MATCH($F1372,Nutrition!$A$2:$A$300,0))*$I1372/100,0))</f>
        <v>0</v>
      </c>
      <c r="Q1372" s="30">
        <f>IF(OR($F1372="",$I1372=""),0,IFERROR(INDEX(Nutrition!$K$2:$K$300,MATCH($F1372,Nutrition!$A$2:$A$300,0))*$I1372/100,0))</f>
        <v>0</v>
      </c>
      <c r="R1372" s="30">
        <f>IF(OR($F1372="",$I1372=""),0,IFERROR(INDEX(Nutrition!$L$2:$L$300,MATCH($F1372,Nutrition!$A$2:$A$300,0))*$I1372/100,0))</f>
        <v>0</v>
      </c>
      <c r="S1372" s="30">
        <f>IF(OR($F1372="",$I1372=""),0,IFERROR(INDEX(Nutrition!$M$2:$M$300,MATCH($F1372,Nutrition!$A$2:$A$300,0))*$I1372/100,0))</f>
        <v>0</v>
      </c>
    </row>
    <row r="1373" spans="1:19" ht="15" customHeight="1" x14ac:dyDescent="0.25">
      <c r="A1373" s="22" t="s">
        <v>2690</v>
      </c>
      <c r="B1373" s="33" t="str">
        <f>IFERROR(INDEX(Recipes!$B$2:$B$500,MATCH(A1373,Recipes!$A$2:$A$500,0)),"")</f>
        <v>Crispy Kale Chips</v>
      </c>
      <c r="C1373" s="7" t="s">
        <v>2798</v>
      </c>
      <c r="D1373" s="34">
        <v>0.5</v>
      </c>
      <c r="E1373" s="22" t="s">
        <v>2759</v>
      </c>
      <c r="F1373" s="22"/>
      <c r="G1373" s="22" t="s">
        <v>2749</v>
      </c>
      <c r="H1373" s="7" t="s">
        <v>2760</v>
      </c>
      <c r="I1373" s="35"/>
      <c r="J1373" s="30">
        <f>IF(OR($F1373="",$I1373=""),0,IFERROR(INDEX(Nutrition!$D$2:$D$300,MATCH($F1373,Nutrition!$A$2:$A$300,0))*$I1373/100,0))</f>
        <v>0</v>
      </c>
      <c r="K1373" s="30">
        <f>IF(OR($F1373="",$I1373=""),0,IFERROR(INDEX(Nutrition!$E$2:$E$300,MATCH($F1373,Nutrition!$A$2:$A$300,0))*$I1373/100,0))</f>
        <v>0</v>
      </c>
      <c r="L1373" s="30">
        <f>IF(OR($F1373="",$I1373=""),0,IFERROR(INDEX(Nutrition!$F$2:$F$300,MATCH($F1373,Nutrition!$A$2:$A$300,0))*$I1373/100,0))</f>
        <v>0</v>
      </c>
      <c r="M1373" s="30">
        <f>IF(OR($F1373="",$I1373=""),0,IFERROR(INDEX(Nutrition!$G$2:$G$300,MATCH($F1373,Nutrition!$A$2:$A$300,0))*$I1373/100,0))</f>
        <v>0</v>
      </c>
      <c r="N1373" s="30">
        <f>IF(OR($F1373="",$I1373=""),0,IFERROR(INDEX(Nutrition!$H$2:$H$300,MATCH($F1373,Nutrition!$A$2:$A$300,0))*$I1373/100,0))</f>
        <v>0</v>
      </c>
      <c r="O1373" s="30">
        <f>IF(OR($F1373="",$I1373=""),0,IFERROR(INDEX(Nutrition!$I$2:$I$300,MATCH($F1373,Nutrition!$A$2:$A$300,0))*$I1373/100,0))</f>
        <v>0</v>
      </c>
      <c r="P1373" s="30">
        <f>IF(OR($F1373="",$I1373=""),0,IFERROR(INDEX(Nutrition!$J$2:$J$300,MATCH($F1373,Nutrition!$A$2:$A$300,0))*$I1373/100,0))</f>
        <v>0</v>
      </c>
      <c r="Q1373" s="30">
        <f>IF(OR($F1373="",$I1373=""),0,IFERROR(INDEX(Nutrition!$K$2:$K$300,MATCH($F1373,Nutrition!$A$2:$A$300,0))*$I1373/100,0))</f>
        <v>0</v>
      </c>
      <c r="R1373" s="30">
        <f>IF(OR($F1373="",$I1373=""),0,IFERROR(INDEX(Nutrition!$L$2:$L$300,MATCH($F1373,Nutrition!$A$2:$A$300,0))*$I1373/100,0))</f>
        <v>0</v>
      </c>
      <c r="S1373" s="30">
        <f>IF(OR($F1373="",$I1373=""),0,IFERROR(INDEX(Nutrition!$M$2:$M$300,MATCH($F1373,Nutrition!$A$2:$A$300,0))*$I1373/100,0))</f>
        <v>0</v>
      </c>
    </row>
    <row r="1374" spans="1:19" ht="15" customHeight="1" x14ac:dyDescent="0.25">
      <c r="A1374" s="22" t="s">
        <v>2699</v>
      </c>
      <c r="B1374" s="33" t="str">
        <f>IFERROR(INDEX(Recipes!$B$2:$B$500,MATCH(A1374,Recipes!$A$2:$A$500,0)),"")</f>
        <v>Grilled Vegetable Skewers</v>
      </c>
      <c r="C1374" s="7" t="s">
        <v>592</v>
      </c>
      <c r="D1374" s="34">
        <v>1</v>
      </c>
      <c r="E1374" s="22" t="s">
        <v>2754</v>
      </c>
      <c r="F1374" s="22" t="s">
        <v>591</v>
      </c>
      <c r="G1374" s="22" t="s">
        <v>2755</v>
      </c>
      <c r="H1374" s="7" t="s">
        <v>3008</v>
      </c>
      <c r="I1374" s="35">
        <v>196</v>
      </c>
      <c r="J1374" s="30">
        <f>IF(OR($F1374="",$I1374=""),0,IFERROR(INDEX(Nutrition!$D$2:$D$300,MATCH($F1374,Nutrition!$A$2:$A$300,0))*$I1374/100,0))</f>
        <v>1.96</v>
      </c>
      <c r="K1374" s="30">
        <f>IF(OR($F1374="",$I1374=""),0,IFERROR(INDEX(Nutrition!$E$2:$E$300,MATCH($F1374,Nutrition!$A$2:$A$300,0))*$I1374/100,0))</f>
        <v>35.083999999999996</v>
      </c>
      <c r="L1374" s="30">
        <f>IF(OR($F1374="",$I1374=""),0,IFERROR(INDEX(Nutrition!$F$2:$F$300,MATCH($F1374,Nutrition!$A$2:$A$300,0))*$I1374/100,0))</f>
        <v>19.600000000000001</v>
      </c>
      <c r="M1374" s="30">
        <f>IF(OR($F1374="",$I1374=""),0,IFERROR(INDEX(Nutrition!$G$2:$G$300,MATCH($F1374,Nutrition!$A$2:$A$300,0))*$I1374/100,0))</f>
        <v>8.427999999999999</v>
      </c>
      <c r="N1374" s="30">
        <f>IF(OR($F1374="",$I1374=""),0,IFERROR(INDEX(Nutrition!$H$2:$H$300,MATCH($F1374,Nutrition!$A$2:$A$300,0))*$I1374/100,0))</f>
        <v>47.04</v>
      </c>
      <c r="O1374" s="30">
        <f>IF(OR($F1374="",$I1374=""),0,IFERROR(INDEX(Nutrition!$I$2:$I$300,MATCH($F1374,Nutrition!$A$2:$A$300,0))*$I1374/100,0))</f>
        <v>511.56</v>
      </c>
      <c r="P1374" s="30">
        <f>IF(OR($F1374="",$I1374=""),0,IFERROR(INDEX(Nutrition!$J$2:$J$300,MATCH($F1374,Nutrition!$A$2:$A$300,0))*$I1374/100,0))</f>
        <v>0.23519999999999999</v>
      </c>
      <c r="Q1374" s="30">
        <f>IF(OR($F1374="",$I1374=""),0,IFERROR(INDEX(Nutrition!$K$2:$K$300,MATCH($F1374,Nutrition!$A$2:$A$300,0))*$I1374/100,0))</f>
        <v>0.31947999999999999</v>
      </c>
      <c r="R1374" s="30">
        <f>IF(OR($F1374="",$I1374=""),0,IFERROR(INDEX(Nutrition!$L$2:$L$300,MATCH($F1374,Nutrition!$A$2:$A$300,0))*$I1374/100,0))</f>
        <v>35.28</v>
      </c>
      <c r="S1374" s="30">
        <f>IF(OR($F1374="",$I1374=""),0,IFERROR(INDEX(Nutrition!$M$2:$M$300,MATCH($F1374,Nutrition!$A$2:$A$300,0))*$I1374/100,0))</f>
        <v>0.72519999999999996</v>
      </c>
    </row>
    <row r="1375" spans="1:19" ht="15" customHeight="1" x14ac:dyDescent="0.25">
      <c r="A1375" s="22" t="s">
        <v>2699</v>
      </c>
      <c r="B1375" s="33" t="str">
        <f>IFERROR(INDEX(Recipes!$B$2:$B$500,MATCH(A1375,Recipes!$A$2:$A$500,0)),"")</f>
        <v>Grilled Vegetable Skewers</v>
      </c>
      <c r="C1375" s="7" t="s">
        <v>595</v>
      </c>
      <c r="D1375" s="34">
        <v>225</v>
      </c>
      <c r="E1375" s="22" t="s">
        <v>2813</v>
      </c>
      <c r="F1375" s="22" t="s">
        <v>594</v>
      </c>
      <c r="G1375" s="22" t="s">
        <v>2755</v>
      </c>
      <c r="H1375" s="7" t="s">
        <v>3125</v>
      </c>
      <c r="I1375" s="35">
        <v>225</v>
      </c>
      <c r="J1375" s="30">
        <f>IF(OR($F1375="",$I1375=""),0,IFERROR(INDEX(Nutrition!$D$2:$D$300,MATCH($F1375,Nutrition!$A$2:$A$300,0))*$I1375/100,0))</f>
        <v>5.1749999999999998</v>
      </c>
      <c r="K1375" s="30">
        <f>IF(OR($F1375="",$I1375=""),0,IFERROR(INDEX(Nutrition!$E$2:$E$300,MATCH($F1375,Nutrition!$A$2:$A$300,0))*$I1375/100,0))</f>
        <v>0</v>
      </c>
      <c r="L1375" s="30">
        <f>IF(OR($F1375="",$I1375=""),0,IFERROR(INDEX(Nutrition!$F$2:$F$300,MATCH($F1375,Nutrition!$A$2:$A$300,0))*$I1375/100,0))</f>
        <v>0</v>
      </c>
      <c r="M1375" s="30">
        <f>IF(OR($F1375="",$I1375=""),0,IFERROR(INDEX(Nutrition!$G$2:$G$300,MATCH($F1375,Nutrition!$A$2:$A$300,0))*$I1375/100,0))</f>
        <v>0</v>
      </c>
      <c r="N1375" s="30">
        <f>IF(OR($F1375="",$I1375=""),0,IFERROR(INDEX(Nutrition!$H$2:$H$300,MATCH($F1375,Nutrition!$A$2:$A$300,0))*$I1375/100,0))</f>
        <v>85.5</v>
      </c>
      <c r="O1375" s="30">
        <f>IF(OR($F1375="",$I1375=""),0,IFERROR(INDEX(Nutrition!$I$2:$I$300,MATCH($F1375,Nutrition!$A$2:$A$300,0))*$I1375/100,0))</f>
        <v>945</v>
      </c>
      <c r="P1375" s="30">
        <f>IF(OR($F1375="",$I1375=""),0,IFERROR(INDEX(Nutrition!$J$2:$J$300,MATCH($F1375,Nutrition!$A$2:$A$300,0))*$I1375/100,0))</f>
        <v>0</v>
      </c>
      <c r="Q1375" s="30">
        <f>IF(OR($F1375="",$I1375=""),0,IFERROR(INDEX(Nutrition!$K$2:$K$300,MATCH($F1375,Nutrition!$A$2:$A$300,0))*$I1375/100,0))</f>
        <v>0.2475</v>
      </c>
      <c r="R1375" s="30">
        <f>IF(OR($F1375="",$I1375=""),0,IFERROR(INDEX(Nutrition!$L$2:$L$300,MATCH($F1375,Nutrition!$A$2:$A$300,0))*$I1375/100,0))</f>
        <v>40.5</v>
      </c>
      <c r="S1375" s="30">
        <f>IF(OR($F1375="",$I1375=""),0,IFERROR(INDEX(Nutrition!$M$2:$M$300,MATCH($F1375,Nutrition!$A$2:$A$300,0))*$I1375/100,0))</f>
        <v>2.9925000000000002</v>
      </c>
    </row>
    <row r="1376" spans="1:19" ht="15" customHeight="1" x14ac:dyDescent="0.25">
      <c r="A1376" s="22" t="s">
        <v>2699</v>
      </c>
      <c r="B1376" s="33" t="str">
        <f>IFERROR(INDEX(Recipes!$B$2:$B$500,MATCH(A1376,Recipes!$A$2:$A$500,0)),"")</f>
        <v>Grilled Vegetable Skewers</v>
      </c>
      <c r="C1376" s="7" t="s">
        <v>456</v>
      </c>
      <c r="D1376" s="34">
        <v>1</v>
      </c>
      <c r="E1376" s="22" t="s">
        <v>2748</v>
      </c>
      <c r="F1376" s="22" t="s">
        <v>455</v>
      </c>
      <c r="G1376" s="22" t="s">
        <v>2755</v>
      </c>
      <c r="H1376" s="7"/>
      <c r="I1376" s="35">
        <v>149</v>
      </c>
      <c r="J1376" s="30">
        <f>IF(OR($F1376="",$I1376=""),0,IFERROR(INDEX(Nutrition!$D$2:$D$300,MATCH($F1376,Nutrition!$A$2:$A$300,0))*$I1376/100,0))</f>
        <v>3.1290000000000004</v>
      </c>
      <c r="K1376" s="30">
        <f>IF(OR($F1376="",$I1376=""),0,IFERROR(INDEX(Nutrition!$E$2:$E$300,MATCH($F1376,Nutrition!$A$2:$A$300,0))*$I1376/100,0))</f>
        <v>40.527999999999999</v>
      </c>
      <c r="L1376" s="30">
        <f>IF(OR($F1376="",$I1376=""),0,IFERROR(INDEX(Nutrition!$F$2:$F$300,MATCH($F1376,Nutrition!$A$2:$A$300,0))*$I1376/100,0))</f>
        <v>62.58</v>
      </c>
      <c r="M1376" s="30">
        <f>IF(OR($F1376="",$I1376=""),0,IFERROR(INDEX(Nutrition!$G$2:$G$300,MATCH($F1376,Nutrition!$A$2:$A$300,0))*$I1376/100,0))</f>
        <v>11.771000000000001</v>
      </c>
      <c r="N1376" s="30">
        <f>IF(OR($F1376="",$I1376=""),0,IFERROR(INDEX(Nutrition!$H$2:$H$300,MATCH($F1376,Nutrition!$A$2:$A$300,0))*$I1376/100,0))</f>
        <v>22.35</v>
      </c>
      <c r="O1376" s="30">
        <f>IF(OR($F1376="",$I1376=""),0,IFERROR(INDEX(Nutrition!$I$2:$I$300,MATCH($F1376,Nutrition!$A$2:$A$300,0))*$I1376/100,0))</f>
        <v>387.4</v>
      </c>
      <c r="P1376" s="30">
        <f>IF(OR($F1376="",$I1376=""),0,IFERROR(INDEX(Nutrition!$J$2:$J$300,MATCH($F1376,Nutrition!$A$2:$A$300,0))*$I1376/100,0))</f>
        <v>0.80460000000000009</v>
      </c>
      <c r="Q1376" s="30">
        <f>IF(OR($F1376="",$I1376=""),0,IFERROR(INDEX(Nutrition!$K$2:$K$300,MATCH($F1376,Nutrition!$A$2:$A$300,0))*$I1376/100,0))</f>
        <v>0.1192</v>
      </c>
      <c r="R1376" s="30">
        <f>IF(OR($F1376="",$I1376=""),0,IFERROR(INDEX(Nutrition!$L$2:$L$300,MATCH($F1376,Nutrition!$A$2:$A$300,0))*$I1376/100,0))</f>
        <v>14.9</v>
      </c>
      <c r="S1376" s="30">
        <f>IF(OR($F1376="",$I1376=""),0,IFERROR(INDEX(Nutrition!$M$2:$M$300,MATCH($F1376,Nutrition!$A$2:$A$300,0))*$I1376/100,0))</f>
        <v>0.44699999999999995</v>
      </c>
    </row>
    <row r="1377" spans="1:19" ht="15" customHeight="1" x14ac:dyDescent="0.25">
      <c r="A1377" s="22" t="s">
        <v>2699</v>
      </c>
      <c r="B1377" s="33" t="str">
        <f>IFERROR(INDEX(Recipes!$B$2:$B$500,MATCH(A1377,Recipes!$A$2:$A$500,0)),"")</f>
        <v>Grilled Vegetable Skewers</v>
      </c>
      <c r="C1377" s="7" t="s">
        <v>462</v>
      </c>
      <c r="D1377" s="34">
        <v>1</v>
      </c>
      <c r="E1377" s="22" t="s">
        <v>2754</v>
      </c>
      <c r="F1377" s="22" t="s">
        <v>461</v>
      </c>
      <c r="G1377" s="22" t="s">
        <v>2755</v>
      </c>
      <c r="H1377" s="7" t="s">
        <v>3126</v>
      </c>
      <c r="I1377" s="35">
        <v>119</v>
      </c>
      <c r="J1377" s="30">
        <f>IF(OR($F1377="",$I1377=""),0,IFERROR(INDEX(Nutrition!$D$2:$D$300,MATCH($F1377,Nutrition!$A$2:$A$300,0))*$I1377/100,0))</f>
        <v>2.4990000000000001</v>
      </c>
      <c r="K1377" s="30">
        <f>IF(OR($F1377="",$I1377=""),0,IFERROR(INDEX(Nutrition!$E$2:$E$300,MATCH($F1377,Nutrition!$A$2:$A$300,0))*$I1377/100,0))</f>
        <v>151.96300000000002</v>
      </c>
      <c r="L1377" s="30">
        <f>IF(OR($F1377="",$I1377=""),0,IFERROR(INDEX(Nutrition!$F$2:$F$300,MATCH($F1377,Nutrition!$A$2:$A$300,0))*$I1377/100,0))</f>
        <v>186.83</v>
      </c>
      <c r="M1377" s="30">
        <f>IF(OR($F1377="",$I1377=""),0,IFERROR(INDEX(Nutrition!$G$2:$G$300,MATCH($F1377,Nutrition!$A$2:$A$300,0))*$I1377/100,0))</f>
        <v>5.8310000000000004</v>
      </c>
      <c r="N1377" s="30">
        <f>IF(OR($F1377="",$I1377=""),0,IFERROR(INDEX(Nutrition!$H$2:$H$300,MATCH($F1377,Nutrition!$A$2:$A$300,0))*$I1377/100,0))</f>
        <v>54.74</v>
      </c>
      <c r="O1377" s="30">
        <f>IF(OR($F1377="",$I1377=""),0,IFERROR(INDEX(Nutrition!$I$2:$I$300,MATCH($F1377,Nutrition!$A$2:$A$300,0))*$I1377/100,0))</f>
        <v>251.09</v>
      </c>
      <c r="P1377" s="30">
        <f>IF(OR($F1377="",$I1377=""),0,IFERROR(INDEX(Nutrition!$J$2:$J$300,MATCH($F1377,Nutrition!$A$2:$A$300,0))*$I1377/100,0))</f>
        <v>1.8802000000000001</v>
      </c>
      <c r="Q1377" s="30">
        <f>IF(OR($F1377="",$I1377=""),0,IFERROR(INDEX(Nutrition!$K$2:$K$300,MATCH($F1377,Nutrition!$A$2:$A$300,0))*$I1377/100,0))</f>
        <v>0.34628999999999999</v>
      </c>
      <c r="R1377" s="30">
        <f>IF(OR($F1377="",$I1377=""),0,IFERROR(INDEX(Nutrition!$L$2:$L$300,MATCH($F1377,Nutrition!$A$2:$A$300,0))*$I1377/100,0))</f>
        <v>14.28</v>
      </c>
      <c r="S1377" s="30">
        <f>IF(OR($F1377="",$I1377=""),0,IFERROR(INDEX(Nutrition!$M$2:$M$300,MATCH($F1377,Nutrition!$A$2:$A$300,0))*$I1377/100,0))</f>
        <v>0.51170000000000004</v>
      </c>
    </row>
    <row r="1378" spans="1:19" ht="15" customHeight="1" x14ac:dyDescent="0.25">
      <c r="A1378" s="22" t="s">
        <v>2699</v>
      </c>
      <c r="B1378" s="33" t="str">
        <f>IFERROR(INDEX(Recipes!$B$2:$B$500,MATCH(A1378,Recipes!$A$2:$A$500,0)),"")</f>
        <v>Grilled Vegetable Skewers</v>
      </c>
      <c r="C1378" s="7" t="s">
        <v>482</v>
      </c>
      <c r="D1378" s="34">
        <v>1</v>
      </c>
      <c r="E1378" s="22" t="s">
        <v>2754</v>
      </c>
      <c r="F1378" s="22" t="s">
        <v>481</v>
      </c>
      <c r="G1378" s="22" t="s">
        <v>2755</v>
      </c>
      <c r="H1378" s="7" t="s">
        <v>3051</v>
      </c>
      <c r="I1378" s="35">
        <v>110</v>
      </c>
      <c r="J1378" s="30">
        <f>IF(OR($F1378="",$I1378=""),0,IFERROR(INDEX(Nutrition!$D$2:$D$300,MATCH($F1378,Nutrition!$A$2:$A$300,0))*$I1378/100,0))</f>
        <v>1.87</v>
      </c>
      <c r="K1378" s="30">
        <f>IF(OR($F1378="",$I1378=""),0,IFERROR(INDEX(Nutrition!$E$2:$E$300,MATCH($F1378,Nutrition!$A$2:$A$300,0))*$I1378/100,0))</f>
        <v>8.14</v>
      </c>
      <c r="L1378" s="30">
        <f>IF(OR($F1378="",$I1378=""),0,IFERROR(INDEX(Nutrition!$F$2:$F$300,MATCH($F1378,Nutrition!$A$2:$A$300,0))*$I1378/100,0))</f>
        <v>0</v>
      </c>
      <c r="M1378" s="30">
        <f>IF(OR($F1378="",$I1378=""),0,IFERROR(INDEX(Nutrition!$G$2:$G$300,MATCH($F1378,Nutrition!$A$2:$A$300,0))*$I1378/100,0))</f>
        <v>0.44</v>
      </c>
      <c r="N1378" s="30">
        <f>IF(OR($F1378="",$I1378=""),0,IFERROR(INDEX(Nutrition!$H$2:$H$300,MATCH($F1378,Nutrition!$A$2:$A$300,0))*$I1378/100,0))</f>
        <v>20.9</v>
      </c>
      <c r="O1378" s="30">
        <f>IF(OR($F1378="",$I1378=""),0,IFERROR(INDEX(Nutrition!$I$2:$I$300,MATCH($F1378,Nutrition!$A$2:$A$300,0))*$I1378/100,0))</f>
        <v>160.6</v>
      </c>
      <c r="P1378" s="30">
        <f>IF(OR($F1378="",$I1378=""),0,IFERROR(INDEX(Nutrition!$J$2:$J$300,MATCH($F1378,Nutrition!$A$2:$A$300,0))*$I1378/100,0))</f>
        <v>2.2000000000000002E-2</v>
      </c>
      <c r="Q1378" s="30">
        <f>IF(OR($F1378="",$I1378=""),0,IFERROR(INDEX(Nutrition!$K$2:$K$300,MATCH($F1378,Nutrition!$A$2:$A$300,0))*$I1378/100,0))</f>
        <v>0.13200000000000001</v>
      </c>
      <c r="R1378" s="30">
        <f>IF(OR($F1378="",$I1378=""),0,IFERROR(INDEX(Nutrition!$L$2:$L$300,MATCH($F1378,Nutrition!$A$2:$A$300,0))*$I1378/100,0))</f>
        <v>11</v>
      </c>
      <c r="S1378" s="30">
        <f>IF(OR($F1378="",$I1378=""),0,IFERROR(INDEX(Nutrition!$M$2:$M$300,MATCH($F1378,Nutrition!$A$2:$A$300,0))*$I1378/100,0))</f>
        <v>0.23099999999999998</v>
      </c>
    </row>
    <row r="1379" spans="1:19" ht="15" customHeight="1" x14ac:dyDescent="0.25">
      <c r="A1379" s="22" t="s">
        <v>2699</v>
      </c>
      <c r="B1379" s="33" t="str">
        <f>IFERROR(INDEX(Recipes!$B$2:$B$500,MATCH(A1379,Recipes!$A$2:$A$500,0)),"")</f>
        <v>Grilled Vegetable Skewers</v>
      </c>
      <c r="C1379" s="7" t="s">
        <v>576</v>
      </c>
      <c r="D1379" s="34">
        <v>1</v>
      </c>
      <c r="E1379" s="22" t="s">
        <v>2748</v>
      </c>
      <c r="F1379" s="22" t="s">
        <v>575</v>
      </c>
      <c r="G1379" s="22" t="s">
        <v>2755</v>
      </c>
      <c r="H1379" s="7" t="s">
        <v>3022</v>
      </c>
      <c r="I1379" s="35">
        <v>91</v>
      </c>
      <c r="J1379" s="30">
        <f>IF(OR($F1379="",$I1379=""),0,IFERROR(INDEX(Nutrition!$D$2:$D$300,MATCH($F1379,Nutrition!$A$2:$A$300,0))*$I1379/100,0))</f>
        <v>2.3660000000000001</v>
      </c>
      <c r="K1379" s="30">
        <f>IF(OR($F1379="",$I1379=""),0,IFERROR(INDEX(Nutrition!$E$2:$E$300,MATCH($F1379,Nutrition!$A$2:$A$300,0))*$I1379/100,0))</f>
        <v>81.171999999999997</v>
      </c>
      <c r="L1379" s="30">
        <f>IF(OR($F1379="",$I1379=""),0,IFERROR(INDEX(Nutrition!$F$2:$F$300,MATCH($F1379,Nutrition!$A$2:$A$300,0))*$I1379/100,0))</f>
        <v>28.21</v>
      </c>
      <c r="M1379" s="30">
        <f>IF(OR($F1379="",$I1379=""),0,IFERROR(INDEX(Nutrition!$G$2:$G$300,MATCH($F1379,Nutrition!$A$2:$A$300,0))*$I1379/100,0))</f>
        <v>92.456000000000003</v>
      </c>
      <c r="N1379" s="30">
        <f>IF(OR($F1379="",$I1379=""),0,IFERROR(INDEX(Nutrition!$H$2:$H$300,MATCH($F1379,Nutrition!$A$2:$A$300,0))*$I1379/100,0))</f>
        <v>57.33</v>
      </c>
      <c r="O1379" s="30">
        <f>IF(OR($F1379="",$I1379=""),0,IFERROR(INDEX(Nutrition!$I$2:$I$300,MATCH($F1379,Nutrition!$A$2:$A$300,0))*$I1379/100,0))</f>
        <v>287.56</v>
      </c>
      <c r="P1379" s="30">
        <f>IF(OR($F1379="",$I1379=""),0,IFERROR(INDEX(Nutrition!$J$2:$J$300,MATCH($F1379,Nutrition!$A$2:$A$300,0))*$I1379/100,0))</f>
        <v>0.70979999999999999</v>
      </c>
      <c r="Q1379" s="30">
        <f>IF(OR($F1379="",$I1379=""),0,IFERROR(INDEX(Nutrition!$K$2:$K$300,MATCH($F1379,Nutrition!$A$2:$A$300,0))*$I1379/100,0))</f>
        <v>0.15925</v>
      </c>
      <c r="R1379" s="30">
        <f>IF(OR($F1379="",$I1379=""),0,IFERROR(INDEX(Nutrition!$L$2:$L$300,MATCH($F1379,Nutrition!$A$2:$A$300,0))*$I1379/100,0))</f>
        <v>19.11</v>
      </c>
      <c r="S1379" s="30">
        <f>IF(OR($F1379="",$I1379=""),0,IFERROR(INDEX(Nutrition!$M$2:$M$300,MATCH($F1379,Nutrition!$A$2:$A$300,0))*$I1379/100,0))</f>
        <v>0.66429999999999989</v>
      </c>
    </row>
    <row r="1380" spans="1:19" ht="15" customHeight="1" x14ac:dyDescent="0.25">
      <c r="A1380" s="22" t="s">
        <v>2699</v>
      </c>
      <c r="B1380" s="33" t="str">
        <f>IFERROR(INDEX(Recipes!$B$2:$B$500,MATCH(A1380,Recipes!$A$2:$A$500,0)),"")</f>
        <v>Grilled Vegetable Skewers</v>
      </c>
      <c r="C1380" s="7" t="s">
        <v>500</v>
      </c>
      <c r="D1380" s="34">
        <v>3</v>
      </c>
      <c r="E1380" s="22" t="s">
        <v>2776</v>
      </c>
      <c r="F1380" s="22" t="s">
        <v>499</v>
      </c>
      <c r="G1380" s="22" t="s">
        <v>2755</v>
      </c>
      <c r="H1380" s="7" t="s">
        <v>2896</v>
      </c>
      <c r="I1380" s="35">
        <v>9</v>
      </c>
      <c r="J1380" s="30">
        <f>IF(OR($F1380="",$I1380=""),0,IFERROR(INDEX(Nutrition!$D$2:$D$300,MATCH($F1380,Nutrition!$A$2:$A$300,0))*$I1380/100,0))</f>
        <v>0.18900000000000003</v>
      </c>
      <c r="K1380" s="30">
        <f>IF(OR($F1380="",$I1380=""),0,IFERROR(INDEX(Nutrition!$E$2:$E$300,MATCH($F1380,Nutrition!$A$2:$A$300,0))*$I1380/100,0))</f>
        <v>2.8080000000000003</v>
      </c>
      <c r="L1380" s="30">
        <f>IF(OR($F1380="",$I1380=""),0,IFERROR(INDEX(Nutrition!$F$2:$F$300,MATCH($F1380,Nutrition!$A$2:$A$300,0))*$I1380/100,0))</f>
        <v>0</v>
      </c>
      <c r="M1380" s="30">
        <f>IF(OR($F1380="",$I1380=""),0,IFERROR(INDEX(Nutrition!$G$2:$G$300,MATCH($F1380,Nutrition!$A$2:$A$300,0))*$I1380/100,0))</f>
        <v>0.153</v>
      </c>
      <c r="N1380" s="30">
        <f>IF(OR($F1380="",$I1380=""),0,IFERROR(INDEX(Nutrition!$H$2:$H$300,MATCH($F1380,Nutrition!$A$2:$A$300,0))*$I1380/100,0))</f>
        <v>0.27</v>
      </c>
      <c r="O1380" s="30">
        <f>IF(OR($F1380="",$I1380=""),0,IFERROR(INDEX(Nutrition!$I$2:$I$300,MATCH($F1380,Nutrition!$A$2:$A$300,0))*$I1380/100,0))</f>
        <v>36.090000000000003</v>
      </c>
      <c r="P1380" s="30">
        <f>IF(OR($F1380="",$I1380=""),0,IFERROR(INDEX(Nutrition!$J$2:$J$300,MATCH($F1380,Nutrition!$A$2:$A$300,0))*$I1380/100,0))</f>
        <v>7.1999999999999998E-3</v>
      </c>
      <c r="Q1380" s="30">
        <f>IF(OR($F1380="",$I1380=""),0,IFERROR(INDEX(Nutrition!$K$2:$K$300,MATCH($F1380,Nutrition!$A$2:$A$300,0))*$I1380/100,0))</f>
        <v>0.11115</v>
      </c>
      <c r="R1380" s="30">
        <f>IF(OR($F1380="",$I1380=""),0,IFERROR(INDEX(Nutrition!$L$2:$L$300,MATCH($F1380,Nutrition!$A$2:$A$300,0))*$I1380/100,0))</f>
        <v>2.25</v>
      </c>
      <c r="S1380" s="30">
        <f>IF(OR($F1380="",$I1380=""),0,IFERROR(INDEX(Nutrition!$M$2:$M$300,MATCH($F1380,Nutrition!$A$2:$A$300,0))*$I1380/100,0))</f>
        <v>0.153</v>
      </c>
    </row>
    <row r="1381" spans="1:19" ht="15" customHeight="1" x14ac:dyDescent="0.25">
      <c r="A1381" s="22" t="s">
        <v>2699</v>
      </c>
      <c r="B1381" s="33" t="str">
        <f>IFERROR(INDEX(Recipes!$B$2:$B$500,MATCH(A1381,Recipes!$A$2:$A$500,0)),"")</f>
        <v>Grilled Vegetable Skewers</v>
      </c>
      <c r="C1381" s="7" t="s">
        <v>671</v>
      </c>
      <c r="D1381" s="34">
        <v>0.5</v>
      </c>
      <c r="E1381" s="22" t="s">
        <v>2748</v>
      </c>
      <c r="F1381" s="22" t="s">
        <v>670</v>
      </c>
      <c r="G1381" s="22" t="s">
        <v>2755</v>
      </c>
      <c r="H1381" s="7" t="s">
        <v>2775</v>
      </c>
      <c r="I1381" s="35">
        <v>30</v>
      </c>
      <c r="J1381" s="30">
        <f>IF(OR($F1381="",$I1381=""),0,IFERROR(INDEX(Nutrition!$D$2:$D$300,MATCH($F1381,Nutrition!$A$2:$A$300,0))*$I1381/100,0))</f>
        <v>0.99</v>
      </c>
      <c r="K1381" s="30">
        <f>IF(OR($F1381="",$I1381=""),0,IFERROR(INDEX(Nutrition!$E$2:$E$300,MATCH($F1381,Nutrition!$A$2:$A$300,0))*$I1381/100,0))</f>
        <v>39.9</v>
      </c>
      <c r="L1381" s="30">
        <f>IF(OR($F1381="",$I1381=""),0,IFERROR(INDEX(Nutrition!$F$2:$F$300,MATCH($F1381,Nutrition!$A$2:$A$300,0))*$I1381/100,0))</f>
        <v>126.3</v>
      </c>
      <c r="M1381" s="30">
        <f>IF(OR($F1381="",$I1381=""),0,IFERROR(INDEX(Nutrition!$G$2:$G$300,MATCH($F1381,Nutrition!$A$2:$A$300,0))*$I1381/100,0))</f>
        <v>492</v>
      </c>
      <c r="N1381" s="30">
        <f>IF(OR($F1381="",$I1381=""),0,IFERROR(INDEX(Nutrition!$H$2:$H$300,MATCH($F1381,Nutrition!$A$2:$A$300,0))*$I1381/100,0))</f>
        <v>45.6</v>
      </c>
      <c r="O1381" s="30">
        <f>IF(OR($F1381="",$I1381=""),0,IFERROR(INDEX(Nutrition!$I$2:$I$300,MATCH($F1381,Nutrition!$A$2:$A$300,0))*$I1381/100,0))</f>
        <v>166.2</v>
      </c>
      <c r="P1381" s="30">
        <f>IF(OR($F1381="",$I1381=""),0,IFERROR(INDEX(Nutrition!$J$2:$J$300,MATCH($F1381,Nutrition!$A$2:$A$300,0))*$I1381/100,0))</f>
        <v>0.22500000000000001</v>
      </c>
      <c r="Q1381" s="30">
        <f>IF(OR($F1381="",$I1381=""),0,IFERROR(INDEX(Nutrition!$K$2:$K$300,MATCH($F1381,Nutrition!$A$2:$A$300,0))*$I1381/100,0))</f>
        <v>2.6999999999999996E-2</v>
      </c>
      <c r="R1381" s="30">
        <f>IF(OR($F1381="",$I1381=""),0,IFERROR(INDEX(Nutrition!$L$2:$L$300,MATCH($F1381,Nutrition!$A$2:$A$300,0))*$I1381/100,0))</f>
        <v>15</v>
      </c>
      <c r="S1381" s="30">
        <f>IF(OR($F1381="",$I1381=""),0,IFERROR(INDEX(Nutrition!$M$2:$M$300,MATCH($F1381,Nutrition!$A$2:$A$300,0))*$I1381/100,0))</f>
        <v>1.86</v>
      </c>
    </row>
    <row r="1382" spans="1:19" ht="15" customHeight="1" x14ac:dyDescent="0.25">
      <c r="A1382" s="22" t="s">
        <v>2699</v>
      </c>
      <c r="B1382" s="33" t="str">
        <f>IFERROR(INDEX(Recipes!$B$2:$B$500,MATCH(A1382,Recipes!$A$2:$A$500,0)),"")</f>
        <v>Grilled Vegetable Skewers</v>
      </c>
      <c r="C1382" s="7" t="s">
        <v>206</v>
      </c>
      <c r="D1382" s="34">
        <v>2</v>
      </c>
      <c r="E1382" s="22" t="s">
        <v>2754</v>
      </c>
      <c r="F1382" s="22" t="s">
        <v>205</v>
      </c>
      <c r="G1382" s="22" t="s">
        <v>2755</v>
      </c>
      <c r="H1382" s="7" t="s">
        <v>2912</v>
      </c>
      <c r="I1382" s="35">
        <v>116</v>
      </c>
      <c r="J1382" s="30">
        <f>IF(OR($F1382="",$I1382=""),0,IFERROR(INDEX(Nutrition!$D$2:$D$300,MATCH($F1382,Nutrition!$A$2:$A$300,0))*$I1382/100,0))</f>
        <v>3.2479999999999993</v>
      </c>
      <c r="K1382" s="30">
        <f>IF(OR($F1382="",$I1382=""),0,IFERROR(INDEX(Nutrition!$E$2:$E$300,MATCH($F1382,Nutrition!$A$2:$A$300,0))*$I1382/100,0))</f>
        <v>61.48</v>
      </c>
      <c r="L1382" s="30">
        <f>IF(OR($F1382="",$I1382=""),0,IFERROR(INDEX(Nutrition!$F$2:$F$300,MATCH($F1382,Nutrition!$A$2:$A$300,0))*$I1382/100,0))</f>
        <v>1.1599999999999999</v>
      </c>
      <c r="M1382" s="30">
        <f>IF(OR($F1382="",$I1382=""),0,IFERROR(INDEX(Nutrition!$G$2:$G$300,MATCH($F1382,Nutrition!$A$2:$A$300,0))*$I1382/100,0))</f>
        <v>0</v>
      </c>
      <c r="N1382" s="30">
        <f>IF(OR($F1382="",$I1382=""),0,IFERROR(INDEX(Nutrition!$H$2:$H$300,MATCH($F1382,Nutrition!$A$2:$A$300,0))*$I1382/100,0))</f>
        <v>12.76</v>
      </c>
      <c r="O1382" s="30">
        <f>IF(OR($F1382="",$I1382=""),0,IFERROR(INDEX(Nutrition!$I$2:$I$300,MATCH($F1382,Nutrition!$A$2:$A$300,0))*$I1382/100,0))</f>
        <v>160.08000000000001</v>
      </c>
      <c r="P1382" s="30">
        <f>IF(OR($F1382="",$I1382=""),0,IFERROR(INDEX(Nutrition!$J$2:$J$300,MATCH($F1382,Nutrition!$A$2:$A$300,0))*$I1382/100,0))</f>
        <v>0.17399999999999999</v>
      </c>
      <c r="Q1382" s="30">
        <f>IF(OR($F1382="",$I1382=""),0,IFERROR(INDEX(Nutrition!$K$2:$K$300,MATCH($F1382,Nutrition!$A$2:$A$300,0))*$I1382/100,0))</f>
        <v>9.2799999999999994E-2</v>
      </c>
      <c r="R1382" s="30">
        <f>IF(OR($F1382="",$I1382=""),0,IFERROR(INDEX(Nutrition!$L$2:$L$300,MATCH($F1382,Nutrition!$A$2:$A$300,0))*$I1382/100,0))</f>
        <v>9.2799999999999994</v>
      </c>
      <c r="S1382" s="30">
        <f>IF(OR($F1382="",$I1382=""),0,IFERROR(INDEX(Nutrition!$M$2:$M$300,MATCH($F1382,Nutrition!$A$2:$A$300,0))*$I1382/100,0))</f>
        <v>0.69599999999999995</v>
      </c>
    </row>
    <row r="1383" spans="1:19" ht="15" customHeight="1" x14ac:dyDescent="0.25">
      <c r="A1383" s="22" t="s">
        <v>2699</v>
      </c>
      <c r="B1383" s="33" t="str">
        <f>IFERROR(INDEX(Recipes!$B$2:$B$500,MATCH(A1383,Recipes!$A$2:$A$500,0)),"")</f>
        <v>Grilled Vegetable Skewers</v>
      </c>
      <c r="C1383" s="7" t="s">
        <v>478</v>
      </c>
      <c r="D1383" s="34">
        <v>1</v>
      </c>
      <c r="E1383" s="22" t="s">
        <v>2754</v>
      </c>
      <c r="F1383" s="22" t="s">
        <v>477</v>
      </c>
      <c r="G1383" s="22" t="s">
        <v>2755</v>
      </c>
      <c r="H1383" s="7" t="s">
        <v>2903</v>
      </c>
      <c r="I1383" s="35">
        <v>20</v>
      </c>
      <c r="J1383" s="30">
        <f>IF(OR($F1383="",$I1383=""),0,IFERROR(INDEX(Nutrition!$D$2:$D$300,MATCH($F1383,Nutrition!$A$2:$A$300,0))*$I1383/100,0))</f>
        <v>0.3</v>
      </c>
      <c r="K1383" s="30">
        <f>IF(OR($F1383="",$I1383=""),0,IFERROR(INDEX(Nutrition!$E$2:$E$300,MATCH($F1383,Nutrition!$A$2:$A$300,0))*$I1383/100,0))</f>
        <v>28.74</v>
      </c>
      <c r="L1383" s="30">
        <f>IF(OR($F1383="",$I1383=""),0,IFERROR(INDEX(Nutrition!$F$2:$F$300,MATCH($F1383,Nutrition!$A$2:$A$300,0))*$I1383/100,0))</f>
        <v>9.6</v>
      </c>
      <c r="M1383" s="30">
        <f>IF(OR($F1383="",$I1383=""),0,IFERROR(INDEX(Nutrition!$G$2:$G$300,MATCH($F1383,Nutrition!$A$2:$A$300,0))*$I1383/100,0))</f>
        <v>2.8</v>
      </c>
      <c r="N1383" s="30">
        <f>IF(OR($F1383="",$I1383=""),0,IFERROR(INDEX(Nutrition!$H$2:$H$300,MATCH($F1383,Nutrition!$A$2:$A$300,0))*$I1383/100,0))</f>
        <v>4.5999999999999996</v>
      </c>
      <c r="O1383" s="30">
        <f>IF(OR($F1383="",$I1383=""),0,IFERROR(INDEX(Nutrition!$I$2:$I$300,MATCH($F1383,Nutrition!$A$2:$A$300,0))*$I1383/100,0))</f>
        <v>64.400000000000006</v>
      </c>
      <c r="P1383" s="30">
        <f>IF(OR($F1383="",$I1383=""),0,IFERROR(INDEX(Nutrition!$J$2:$J$300,MATCH($F1383,Nutrition!$A$2:$A$300,0))*$I1383/100,0))</f>
        <v>0.13799999999999998</v>
      </c>
      <c r="Q1383" s="30">
        <f>IF(OR($F1383="",$I1383=""),0,IFERROR(INDEX(Nutrition!$K$2:$K$300,MATCH($F1383,Nutrition!$A$2:$A$300,0))*$I1383/100,0))</f>
        <v>0.10120000000000001</v>
      </c>
      <c r="R1383" s="30">
        <f>IF(OR($F1383="",$I1383=""),0,IFERROR(INDEX(Nutrition!$L$2:$L$300,MATCH($F1383,Nutrition!$A$2:$A$300,0))*$I1383/100,0))</f>
        <v>4.5999999999999996</v>
      </c>
      <c r="S1383" s="30">
        <f>IF(OR($F1383="",$I1383=""),0,IFERROR(INDEX(Nutrition!$M$2:$M$300,MATCH($F1383,Nutrition!$A$2:$A$300,0))*$I1383/100,0))</f>
        <v>0.20600000000000002</v>
      </c>
    </row>
    <row r="1384" spans="1:19" ht="15" customHeight="1" x14ac:dyDescent="0.25">
      <c r="A1384" s="22" t="s">
        <v>2699</v>
      </c>
      <c r="B1384" s="33" t="str">
        <f>IFERROR(INDEX(Recipes!$B$2:$B$500,MATCH(A1384,Recipes!$A$2:$A$500,0)),"")</f>
        <v>Grilled Vegetable Skewers</v>
      </c>
      <c r="C1384" s="7" t="s">
        <v>2805</v>
      </c>
      <c r="D1384" s="34">
        <v>0.33</v>
      </c>
      <c r="E1384" s="22" t="s">
        <v>2748</v>
      </c>
      <c r="F1384" s="22"/>
      <c r="G1384" s="22" t="s">
        <v>2773</v>
      </c>
      <c r="H1384" s="7"/>
      <c r="I1384" s="35"/>
      <c r="J1384" s="30">
        <f>IF(OR($F1384="",$I1384=""),0,IFERROR(INDEX(Nutrition!$D$2:$D$300,MATCH($F1384,Nutrition!$A$2:$A$300,0))*$I1384/100,0))</f>
        <v>0</v>
      </c>
      <c r="K1384" s="30">
        <f>IF(OR($F1384="",$I1384=""),0,IFERROR(INDEX(Nutrition!$E$2:$E$300,MATCH($F1384,Nutrition!$A$2:$A$300,0))*$I1384/100,0))</f>
        <v>0</v>
      </c>
      <c r="L1384" s="30">
        <f>IF(OR($F1384="",$I1384=""),0,IFERROR(INDEX(Nutrition!$F$2:$F$300,MATCH($F1384,Nutrition!$A$2:$A$300,0))*$I1384/100,0))</f>
        <v>0</v>
      </c>
      <c r="M1384" s="30">
        <f>IF(OR($F1384="",$I1384=""),0,IFERROR(INDEX(Nutrition!$G$2:$G$300,MATCH($F1384,Nutrition!$A$2:$A$300,0))*$I1384/100,0))</f>
        <v>0</v>
      </c>
      <c r="N1384" s="30">
        <f>IF(OR($F1384="",$I1384=""),0,IFERROR(INDEX(Nutrition!$H$2:$H$300,MATCH($F1384,Nutrition!$A$2:$A$300,0))*$I1384/100,0))</f>
        <v>0</v>
      </c>
      <c r="O1384" s="30">
        <f>IF(OR($F1384="",$I1384=""),0,IFERROR(INDEX(Nutrition!$I$2:$I$300,MATCH($F1384,Nutrition!$A$2:$A$300,0))*$I1384/100,0))</f>
        <v>0</v>
      </c>
      <c r="P1384" s="30">
        <f>IF(OR($F1384="",$I1384=""),0,IFERROR(INDEX(Nutrition!$J$2:$J$300,MATCH($F1384,Nutrition!$A$2:$A$300,0))*$I1384/100,0))</f>
        <v>0</v>
      </c>
      <c r="Q1384" s="30">
        <f>IF(OR($F1384="",$I1384=""),0,IFERROR(INDEX(Nutrition!$K$2:$K$300,MATCH($F1384,Nutrition!$A$2:$A$300,0))*$I1384/100,0))</f>
        <v>0</v>
      </c>
      <c r="R1384" s="30">
        <f>IF(OR($F1384="",$I1384=""),0,IFERROR(INDEX(Nutrition!$L$2:$L$300,MATCH($F1384,Nutrition!$A$2:$A$300,0))*$I1384/100,0))</f>
        <v>0</v>
      </c>
      <c r="S1384" s="30">
        <f>IF(OR($F1384="",$I1384=""),0,IFERROR(INDEX(Nutrition!$M$2:$M$300,MATCH($F1384,Nutrition!$A$2:$A$300,0))*$I1384/100,0))</f>
        <v>0</v>
      </c>
    </row>
    <row r="1385" spans="1:19" ht="15" customHeight="1" x14ac:dyDescent="0.25">
      <c r="A1385" s="22" t="s">
        <v>2699</v>
      </c>
      <c r="B1385" s="33" t="str">
        <f>IFERROR(INDEX(Recipes!$B$2:$B$500,MATCH(A1385,Recipes!$A$2:$A$500,0)),"")</f>
        <v>Grilled Vegetable Skewers</v>
      </c>
      <c r="C1385" s="7" t="s">
        <v>2827</v>
      </c>
      <c r="D1385" s="34">
        <v>0.5</v>
      </c>
      <c r="E1385" s="22" t="s">
        <v>2759</v>
      </c>
      <c r="F1385" s="22"/>
      <c r="G1385" s="22" t="s">
        <v>2749</v>
      </c>
      <c r="H1385" s="7"/>
      <c r="I1385" s="35"/>
      <c r="J1385" s="30">
        <f>IF(OR($F1385="",$I1385=""),0,IFERROR(INDEX(Nutrition!$D$2:$D$300,MATCH($F1385,Nutrition!$A$2:$A$300,0))*$I1385/100,0))</f>
        <v>0</v>
      </c>
      <c r="K1385" s="30">
        <f>IF(OR($F1385="",$I1385=""),0,IFERROR(INDEX(Nutrition!$E$2:$E$300,MATCH($F1385,Nutrition!$A$2:$A$300,0))*$I1385/100,0))</f>
        <v>0</v>
      </c>
      <c r="L1385" s="30">
        <f>IF(OR($F1385="",$I1385=""),0,IFERROR(INDEX(Nutrition!$F$2:$F$300,MATCH($F1385,Nutrition!$A$2:$A$300,0))*$I1385/100,0))</f>
        <v>0</v>
      </c>
      <c r="M1385" s="30">
        <f>IF(OR($F1385="",$I1385=""),0,IFERROR(INDEX(Nutrition!$G$2:$G$300,MATCH($F1385,Nutrition!$A$2:$A$300,0))*$I1385/100,0))</f>
        <v>0</v>
      </c>
      <c r="N1385" s="30">
        <f>IF(OR($F1385="",$I1385=""),0,IFERROR(INDEX(Nutrition!$H$2:$H$300,MATCH($F1385,Nutrition!$A$2:$A$300,0))*$I1385/100,0))</f>
        <v>0</v>
      </c>
      <c r="O1385" s="30">
        <f>IF(OR($F1385="",$I1385=""),0,IFERROR(INDEX(Nutrition!$I$2:$I$300,MATCH($F1385,Nutrition!$A$2:$A$300,0))*$I1385/100,0))</f>
        <v>0</v>
      </c>
      <c r="P1385" s="30">
        <f>IF(OR($F1385="",$I1385=""),0,IFERROR(INDEX(Nutrition!$J$2:$J$300,MATCH($F1385,Nutrition!$A$2:$A$300,0))*$I1385/100,0))</f>
        <v>0</v>
      </c>
      <c r="Q1385" s="30">
        <f>IF(OR($F1385="",$I1385=""),0,IFERROR(INDEX(Nutrition!$K$2:$K$300,MATCH($F1385,Nutrition!$A$2:$A$300,0))*$I1385/100,0))</f>
        <v>0</v>
      </c>
      <c r="R1385" s="30">
        <f>IF(OR($F1385="",$I1385=""),0,IFERROR(INDEX(Nutrition!$L$2:$L$300,MATCH($F1385,Nutrition!$A$2:$A$300,0))*$I1385/100,0))</f>
        <v>0</v>
      </c>
      <c r="S1385" s="30">
        <f>IF(OR($F1385="",$I1385=""),0,IFERROR(INDEX(Nutrition!$M$2:$M$300,MATCH($F1385,Nutrition!$A$2:$A$300,0))*$I1385/100,0))</f>
        <v>0</v>
      </c>
    </row>
    <row r="1386" spans="1:19" ht="15" customHeight="1" x14ac:dyDescent="0.25">
      <c r="A1386" s="22" t="s">
        <v>2699</v>
      </c>
      <c r="B1386" s="33" t="str">
        <f>IFERROR(INDEX(Recipes!$B$2:$B$500,MATCH(A1386,Recipes!$A$2:$A$500,0)),"")</f>
        <v>Grilled Vegetable Skewers</v>
      </c>
      <c r="C1386" s="7" t="s">
        <v>2781</v>
      </c>
      <c r="D1386" s="34">
        <v>1</v>
      </c>
      <c r="E1386" s="22" t="s">
        <v>2759</v>
      </c>
      <c r="F1386" s="22"/>
      <c r="G1386" s="22" t="s">
        <v>2773</v>
      </c>
      <c r="H1386" s="7"/>
      <c r="I1386" s="35"/>
      <c r="J1386" s="30">
        <f>IF(OR($F1386="",$I1386=""),0,IFERROR(INDEX(Nutrition!$D$2:$D$300,MATCH($F1386,Nutrition!$A$2:$A$300,0))*$I1386/100,0))</f>
        <v>0</v>
      </c>
      <c r="K1386" s="30">
        <f>IF(OR($F1386="",$I1386=""),0,IFERROR(INDEX(Nutrition!$E$2:$E$300,MATCH($F1386,Nutrition!$A$2:$A$300,0))*$I1386/100,0))</f>
        <v>0</v>
      </c>
      <c r="L1386" s="30">
        <f>IF(OR($F1386="",$I1386=""),0,IFERROR(INDEX(Nutrition!$F$2:$F$300,MATCH($F1386,Nutrition!$A$2:$A$300,0))*$I1386/100,0))</f>
        <v>0</v>
      </c>
      <c r="M1386" s="30">
        <f>IF(OR($F1386="",$I1386=""),0,IFERROR(INDEX(Nutrition!$G$2:$G$300,MATCH($F1386,Nutrition!$A$2:$A$300,0))*$I1386/100,0))</f>
        <v>0</v>
      </c>
      <c r="N1386" s="30">
        <f>IF(OR($F1386="",$I1386=""),0,IFERROR(INDEX(Nutrition!$H$2:$H$300,MATCH($F1386,Nutrition!$A$2:$A$300,0))*$I1386/100,0))</f>
        <v>0</v>
      </c>
      <c r="O1386" s="30">
        <f>IF(OR($F1386="",$I1386=""),0,IFERROR(INDEX(Nutrition!$I$2:$I$300,MATCH($F1386,Nutrition!$A$2:$A$300,0))*$I1386/100,0))</f>
        <v>0</v>
      </c>
      <c r="P1386" s="30">
        <f>IF(OR($F1386="",$I1386=""),0,IFERROR(INDEX(Nutrition!$J$2:$J$300,MATCH($F1386,Nutrition!$A$2:$A$300,0))*$I1386/100,0))</f>
        <v>0</v>
      </c>
      <c r="Q1386" s="30">
        <f>IF(OR($F1386="",$I1386=""),0,IFERROR(INDEX(Nutrition!$K$2:$K$300,MATCH($F1386,Nutrition!$A$2:$A$300,0))*$I1386/100,0))</f>
        <v>0</v>
      </c>
      <c r="R1386" s="30">
        <f>IF(OR($F1386="",$I1386=""),0,IFERROR(INDEX(Nutrition!$L$2:$L$300,MATCH($F1386,Nutrition!$A$2:$A$300,0))*$I1386/100,0))</f>
        <v>0</v>
      </c>
      <c r="S1386" s="30">
        <f>IF(OR($F1386="",$I1386=""),0,IFERROR(INDEX(Nutrition!$M$2:$M$300,MATCH($F1386,Nutrition!$A$2:$A$300,0))*$I1386/100,0))</f>
        <v>0</v>
      </c>
    </row>
    <row r="1387" spans="1:19" ht="15" customHeight="1" x14ac:dyDescent="0.25">
      <c r="A1387" s="22" t="s">
        <v>2710</v>
      </c>
      <c r="B1387" s="33" t="str">
        <f>IFERROR(INDEX(Recipes!$B$2:$B$500,MATCH(A1387,Recipes!$A$2:$A$500,0)),"")</f>
        <v>Stuffed Mushrooms with Spinach &amp; Garlic</v>
      </c>
      <c r="C1387" s="7" t="s">
        <v>595</v>
      </c>
      <c r="D1387" s="34">
        <v>6</v>
      </c>
      <c r="E1387" s="22" t="s">
        <v>2754</v>
      </c>
      <c r="F1387" s="22" t="s">
        <v>594</v>
      </c>
      <c r="G1387" s="22" t="s">
        <v>2755</v>
      </c>
      <c r="H1387" s="7" t="s">
        <v>3127</v>
      </c>
      <c r="I1387" s="35">
        <v>90</v>
      </c>
      <c r="J1387" s="30">
        <f>IF(OR($F1387="",$I1387=""),0,IFERROR(INDEX(Nutrition!$D$2:$D$300,MATCH($F1387,Nutrition!$A$2:$A$300,0))*$I1387/100,0))</f>
        <v>2.0699999999999998</v>
      </c>
      <c r="K1387" s="30">
        <f>IF(OR($F1387="",$I1387=""),0,IFERROR(INDEX(Nutrition!$E$2:$E$300,MATCH($F1387,Nutrition!$A$2:$A$300,0))*$I1387/100,0))</f>
        <v>0</v>
      </c>
      <c r="L1387" s="30">
        <f>IF(OR($F1387="",$I1387=""),0,IFERROR(INDEX(Nutrition!$F$2:$F$300,MATCH($F1387,Nutrition!$A$2:$A$300,0))*$I1387/100,0))</f>
        <v>0</v>
      </c>
      <c r="M1387" s="30">
        <f>IF(OR($F1387="",$I1387=""),0,IFERROR(INDEX(Nutrition!$G$2:$G$300,MATCH($F1387,Nutrition!$A$2:$A$300,0))*$I1387/100,0))</f>
        <v>0</v>
      </c>
      <c r="N1387" s="30">
        <f>IF(OR($F1387="",$I1387=""),0,IFERROR(INDEX(Nutrition!$H$2:$H$300,MATCH($F1387,Nutrition!$A$2:$A$300,0))*$I1387/100,0))</f>
        <v>34.200000000000003</v>
      </c>
      <c r="O1387" s="30">
        <f>IF(OR($F1387="",$I1387=""),0,IFERROR(INDEX(Nutrition!$I$2:$I$300,MATCH($F1387,Nutrition!$A$2:$A$300,0))*$I1387/100,0))</f>
        <v>378</v>
      </c>
      <c r="P1387" s="30">
        <f>IF(OR($F1387="",$I1387=""),0,IFERROR(INDEX(Nutrition!$J$2:$J$300,MATCH($F1387,Nutrition!$A$2:$A$300,0))*$I1387/100,0))</f>
        <v>0</v>
      </c>
      <c r="Q1387" s="30">
        <f>IF(OR($F1387="",$I1387=""),0,IFERROR(INDEX(Nutrition!$K$2:$K$300,MATCH($F1387,Nutrition!$A$2:$A$300,0))*$I1387/100,0))</f>
        <v>9.9000000000000005E-2</v>
      </c>
      <c r="R1387" s="30">
        <f>IF(OR($F1387="",$I1387=""),0,IFERROR(INDEX(Nutrition!$L$2:$L$300,MATCH($F1387,Nutrition!$A$2:$A$300,0))*$I1387/100,0))</f>
        <v>16.2</v>
      </c>
      <c r="S1387" s="30">
        <f>IF(OR($F1387="",$I1387=""),0,IFERROR(INDEX(Nutrition!$M$2:$M$300,MATCH($F1387,Nutrition!$A$2:$A$300,0))*$I1387/100,0))</f>
        <v>1.1970000000000001</v>
      </c>
    </row>
    <row r="1388" spans="1:19" ht="15" customHeight="1" x14ac:dyDescent="0.25">
      <c r="A1388" s="22" t="s">
        <v>2710</v>
      </c>
      <c r="B1388" s="33" t="str">
        <f>IFERROR(INDEX(Recipes!$B$2:$B$500,MATCH(A1388,Recipes!$A$2:$A$500,0)),"")</f>
        <v>Stuffed Mushrooms with Spinach &amp; Garlic</v>
      </c>
      <c r="C1388" s="7" t="s">
        <v>643</v>
      </c>
      <c r="D1388" s="34">
        <v>1</v>
      </c>
      <c r="E1388" s="22" t="s">
        <v>2748</v>
      </c>
      <c r="F1388" s="22" t="s">
        <v>642</v>
      </c>
      <c r="G1388" s="22" t="s">
        <v>2755</v>
      </c>
      <c r="H1388" s="7" t="s">
        <v>2775</v>
      </c>
      <c r="I1388" s="35">
        <v>30</v>
      </c>
      <c r="J1388" s="30">
        <f>IF(OR($F1388="",$I1388=""),0,IFERROR(INDEX(Nutrition!$D$2:$D$300,MATCH($F1388,Nutrition!$A$2:$A$300,0))*$I1388/100,0))</f>
        <v>0.66</v>
      </c>
      <c r="K1388" s="30">
        <f>IF(OR($F1388="",$I1388=""),0,IFERROR(INDEX(Nutrition!$E$2:$E$300,MATCH($F1388,Nutrition!$A$2:$A$300,0))*$I1388/100,0))</f>
        <v>8.43</v>
      </c>
      <c r="L1388" s="30">
        <f>IF(OR($F1388="",$I1388=""),0,IFERROR(INDEX(Nutrition!$F$2:$F$300,MATCH($F1388,Nutrition!$A$2:$A$300,0))*$I1388/100,0))</f>
        <v>140.69999999999999</v>
      </c>
      <c r="M1388" s="30">
        <f>IF(OR($F1388="",$I1388=""),0,IFERROR(INDEX(Nutrition!$G$2:$G$300,MATCH($F1388,Nutrition!$A$2:$A$300,0))*$I1388/100,0))</f>
        <v>144.87</v>
      </c>
      <c r="N1388" s="30">
        <f>IF(OR($F1388="",$I1388=""),0,IFERROR(INDEX(Nutrition!$H$2:$H$300,MATCH($F1388,Nutrition!$A$2:$A$300,0))*$I1388/100,0))</f>
        <v>58.2</v>
      </c>
      <c r="O1388" s="30">
        <f>IF(OR($F1388="",$I1388=""),0,IFERROR(INDEX(Nutrition!$I$2:$I$300,MATCH($F1388,Nutrition!$A$2:$A$300,0))*$I1388/100,0))</f>
        <v>167.4</v>
      </c>
      <c r="P1388" s="30">
        <f>IF(OR($F1388="",$I1388=""),0,IFERROR(INDEX(Nutrition!$J$2:$J$300,MATCH($F1388,Nutrition!$A$2:$A$300,0))*$I1388/100,0))</f>
        <v>0.60899999999999987</v>
      </c>
      <c r="Q1388" s="30">
        <f>IF(OR($F1388="",$I1388=""),0,IFERROR(INDEX(Nutrition!$K$2:$K$300,MATCH($F1388,Nutrition!$A$2:$A$300,0))*$I1388/100,0))</f>
        <v>5.8500000000000003E-2</v>
      </c>
      <c r="R1388" s="30">
        <f>IF(OR($F1388="",$I1388=""),0,IFERROR(INDEX(Nutrition!$L$2:$L$300,MATCH($F1388,Nutrition!$A$2:$A$300,0))*$I1388/100,0))</f>
        <v>23.7</v>
      </c>
      <c r="S1388" s="30">
        <f>IF(OR($F1388="",$I1388=""),0,IFERROR(INDEX(Nutrition!$M$2:$M$300,MATCH($F1388,Nutrition!$A$2:$A$300,0))*$I1388/100,0))</f>
        <v>0.81299999999999994</v>
      </c>
    </row>
    <row r="1389" spans="1:19" ht="15" customHeight="1" x14ac:dyDescent="0.25">
      <c r="A1389" s="22" t="s">
        <v>2710</v>
      </c>
      <c r="B1389" s="33" t="str">
        <f>IFERROR(INDEX(Recipes!$B$2:$B$500,MATCH(A1389,Recipes!$A$2:$A$500,0)),"")</f>
        <v>Stuffed Mushrooms with Spinach &amp; Garlic</v>
      </c>
      <c r="C1389" s="7" t="s">
        <v>496</v>
      </c>
      <c r="D1389" s="34">
        <v>1</v>
      </c>
      <c r="E1389" s="22" t="s">
        <v>2754</v>
      </c>
      <c r="F1389" s="22" t="s">
        <v>495</v>
      </c>
      <c r="G1389" s="22" t="s">
        <v>2755</v>
      </c>
      <c r="H1389" s="7" t="s">
        <v>2903</v>
      </c>
      <c r="I1389" s="35">
        <v>25</v>
      </c>
      <c r="J1389" s="30">
        <f>IF(OR($F1389="",$I1389=""),0,IFERROR(INDEX(Nutrition!$D$2:$D$300,MATCH($F1389,Nutrition!$A$2:$A$300,0))*$I1389/100,0))</f>
        <v>0.8</v>
      </c>
      <c r="K1389" s="30">
        <f>IF(OR($F1389="",$I1389=""),0,IFERROR(INDEX(Nutrition!$E$2:$E$300,MATCH($F1389,Nutrition!$A$2:$A$300,0))*$I1389/100,0))</f>
        <v>2</v>
      </c>
      <c r="L1389" s="30">
        <f>IF(OR($F1389="",$I1389=""),0,IFERROR(INDEX(Nutrition!$F$2:$F$300,MATCH($F1389,Nutrition!$A$2:$A$300,0))*$I1389/100,0))</f>
        <v>0</v>
      </c>
      <c r="M1389" s="30">
        <f>IF(OR($F1389="",$I1389=""),0,IFERROR(INDEX(Nutrition!$G$2:$G$300,MATCH($F1389,Nutrition!$A$2:$A$300,0))*$I1389/100,0))</f>
        <v>0.2</v>
      </c>
      <c r="N1389" s="30">
        <f>IF(OR($F1389="",$I1389=""),0,IFERROR(INDEX(Nutrition!$H$2:$H$300,MATCH($F1389,Nutrition!$A$2:$A$300,0))*$I1389/100,0))</f>
        <v>8.5</v>
      </c>
      <c r="O1389" s="30">
        <f>IF(OR($F1389="",$I1389=""),0,IFERROR(INDEX(Nutrition!$I$2:$I$300,MATCH($F1389,Nutrition!$A$2:$A$300,0))*$I1389/100,0))</f>
        <v>83.5</v>
      </c>
      <c r="P1389" s="30">
        <f>IF(OR($F1389="",$I1389=""),0,IFERROR(INDEX(Nutrition!$J$2:$J$300,MATCH($F1389,Nutrition!$A$2:$A$300,0))*$I1389/100,0))</f>
        <v>0.01</v>
      </c>
      <c r="Q1389" s="30">
        <f>IF(OR($F1389="",$I1389=""),0,IFERROR(INDEX(Nutrition!$K$2:$K$300,MATCH($F1389,Nutrition!$A$2:$A$300,0))*$I1389/100,0))</f>
        <v>8.6249999999999993E-2</v>
      </c>
      <c r="R1389" s="30">
        <f>IF(OR($F1389="",$I1389=""),0,IFERROR(INDEX(Nutrition!$L$2:$L$300,MATCH($F1389,Nutrition!$A$2:$A$300,0))*$I1389/100,0))</f>
        <v>5.25</v>
      </c>
      <c r="S1389" s="30">
        <f>IF(OR($F1389="",$I1389=""),0,IFERROR(INDEX(Nutrition!$M$2:$M$300,MATCH($F1389,Nutrition!$A$2:$A$300,0))*$I1389/100,0))</f>
        <v>0.3</v>
      </c>
    </row>
    <row r="1390" spans="1:19" ht="15" customHeight="1" x14ac:dyDescent="0.25">
      <c r="A1390" s="22" t="s">
        <v>2710</v>
      </c>
      <c r="B1390" s="33" t="str">
        <f>IFERROR(INDEX(Recipes!$B$2:$B$500,MATCH(A1390,Recipes!$A$2:$A$500,0)),"")</f>
        <v>Stuffed Mushrooms with Spinach &amp; Garlic</v>
      </c>
      <c r="C1390" s="7" t="s">
        <v>500</v>
      </c>
      <c r="D1390" s="34">
        <v>1</v>
      </c>
      <c r="E1390" s="22" t="s">
        <v>2816</v>
      </c>
      <c r="F1390" s="22" t="s">
        <v>499</v>
      </c>
      <c r="G1390" s="22" t="s">
        <v>2755</v>
      </c>
      <c r="H1390" s="7" t="s">
        <v>2775</v>
      </c>
      <c r="I1390" s="35">
        <v>3</v>
      </c>
      <c r="J1390" s="30">
        <f>IF(OR($F1390="",$I1390=""),0,IFERROR(INDEX(Nutrition!$D$2:$D$300,MATCH($F1390,Nutrition!$A$2:$A$300,0))*$I1390/100,0))</f>
        <v>6.3E-2</v>
      </c>
      <c r="K1390" s="30">
        <f>IF(OR($F1390="",$I1390=""),0,IFERROR(INDEX(Nutrition!$E$2:$E$300,MATCH($F1390,Nutrition!$A$2:$A$300,0))*$I1390/100,0))</f>
        <v>0.93599999999999994</v>
      </c>
      <c r="L1390" s="30">
        <f>IF(OR($F1390="",$I1390=""),0,IFERROR(INDEX(Nutrition!$F$2:$F$300,MATCH($F1390,Nutrition!$A$2:$A$300,0))*$I1390/100,0))</f>
        <v>0</v>
      </c>
      <c r="M1390" s="30">
        <f>IF(OR($F1390="",$I1390=""),0,IFERROR(INDEX(Nutrition!$G$2:$G$300,MATCH($F1390,Nutrition!$A$2:$A$300,0))*$I1390/100,0))</f>
        <v>5.0999999999999997E-2</v>
      </c>
      <c r="N1390" s="30">
        <f>IF(OR($F1390="",$I1390=""),0,IFERROR(INDEX(Nutrition!$H$2:$H$300,MATCH($F1390,Nutrition!$A$2:$A$300,0))*$I1390/100,0))</f>
        <v>0.09</v>
      </c>
      <c r="O1390" s="30">
        <f>IF(OR($F1390="",$I1390=""),0,IFERROR(INDEX(Nutrition!$I$2:$I$300,MATCH($F1390,Nutrition!$A$2:$A$300,0))*$I1390/100,0))</f>
        <v>12.03</v>
      </c>
      <c r="P1390" s="30">
        <f>IF(OR($F1390="",$I1390=""),0,IFERROR(INDEX(Nutrition!$J$2:$J$300,MATCH($F1390,Nutrition!$A$2:$A$300,0))*$I1390/100,0))</f>
        <v>2.3999999999999998E-3</v>
      </c>
      <c r="Q1390" s="30">
        <f>IF(OR($F1390="",$I1390=""),0,IFERROR(INDEX(Nutrition!$K$2:$K$300,MATCH($F1390,Nutrition!$A$2:$A$300,0))*$I1390/100,0))</f>
        <v>3.705E-2</v>
      </c>
      <c r="R1390" s="30">
        <f>IF(OR($F1390="",$I1390=""),0,IFERROR(INDEX(Nutrition!$L$2:$L$300,MATCH($F1390,Nutrition!$A$2:$A$300,0))*$I1390/100,0))</f>
        <v>0.75</v>
      </c>
      <c r="S1390" s="30">
        <f>IF(OR($F1390="",$I1390=""),0,IFERROR(INDEX(Nutrition!$M$2:$M$300,MATCH($F1390,Nutrition!$A$2:$A$300,0))*$I1390/100,0))</f>
        <v>5.0999999999999997E-2</v>
      </c>
    </row>
    <row r="1391" spans="1:19" ht="15" customHeight="1" x14ac:dyDescent="0.25">
      <c r="A1391" s="22" t="s">
        <v>2710</v>
      </c>
      <c r="B1391" s="33" t="str">
        <f>IFERROR(INDEX(Recipes!$B$2:$B$500,MATCH(A1391,Recipes!$A$2:$A$500,0)),"")</f>
        <v>Stuffed Mushrooms with Spinach &amp; Garlic</v>
      </c>
      <c r="C1391" s="7" t="s">
        <v>490</v>
      </c>
      <c r="D1391" s="34">
        <v>1</v>
      </c>
      <c r="E1391" s="22" t="s">
        <v>2788</v>
      </c>
      <c r="F1391" s="22" t="s">
        <v>489</v>
      </c>
      <c r="G1391" s="22" t="s">
        <v>2755</v>
      </c>
      <c r="H1391" s="7" t="s">
        <v>2830</v>
      </c>
      <c r="I1391" s="35">
        <v>15</v>
      </c>
      <c r="J1391" s="30">
        <f>IF(OR($F1391="",$I1391=""),0,IFERROR(INDEX(Nutrition!$D$2:$D$300,MATCH($F1391,Nutrition!$A$2:$A$300,0))*$I1391/100,0))</f>
        <v>0.39</v>
      </c>
      <c r="K1391" s="30">
        <f>IF(OR($F1391="",$I1391=""),0,IFERROR(INDEX(Nutrition!$E$2:$E$300,MATCH($F1391,Nutrition!$A$2:$A$300,0))*$I1391/100,0))</f>
        <v>2.82</v>
      </c>
      <c r="L1391" s="30">
        <f>IF(OR($F1391="",$I1391=""),0,IFERROR(INDEX(Nutrition!$F$2:$F$300,MATCH($F1391,Nutrition!$A$2:$A$300,0))*$I1391/100,0))</f>
        <v>7.5</v>
      </c>
      <c r="M1391" s="30">
        <f>IF(OR($F1391="",$I1391=""),0,IFERROR(INDEX(Nutrition!$G$2:$G$300,MATCH($F1391,Nutrition!$A$2:$A$300,0))*$I1391/100,0))</f>
        <v>31.05</v>
      </c>
      <c r="N1391" s="30">
        <f>IF(OR($F1391="",$I1391=""),0,IFERROR(INDEX(Nutrition!$H$2:$H$300,MATCH($F1391,Nutrition!$A$2:$A$300,0))*$I1391/100,0))</f>
        <v>9.6</v>
      </c>
      <c r="O1391" s="30">
        <f>IF(OR($F1391="",$I1391=""),0,IFERROR(INDEX(Nutrition!$I$2:$I$300,MATCH($F1391,Nutrition!$A$2:$A$300,0))*$I1391/100,0))</f>
        <v>41.4</v>
      </c>
      <c r="P1391" s="30">
        <f>IF(OR($F1391="",$I1391=""),0,IFERROR(INDEX(Nutrition!$J$2:$J$300,MATCH($F1391,Nutrition!$A$2:$A$300,0))*$I1391/100,0))</f>
        <v>8.2500000000000004E-2</v>
      </c>
      <c r="Q1391" s="30">
        <f>IF(OR($F1391="",$I1391=""),0,IFERROR(INDEX(Nutrition!$K$2:$K$300,MATCH($F1391,Nutrition!$A$2:$A$300,0))*$I1391/100,0))</f>
        <v>9.1500000000000001E-3</v>
      </c>
      <c r="R1391" s="30">
        <f>IF(OR($F1391="",$I1391=""),0,IFERROR(INDEX(Nutrition!$L$2:$L$300,MATCH($F1391,Nutrition!$A$2:$A$300,0))*$I1391/100,0))</f>
        <v>3</v>
      </c>
      <c r="S1391" s="30">
        <f>IF(OR($F1391="",$I1391=""),0,IFERROR(INDEX(Nutrition!$M$2:$M$300,MATCH($F1391,Nutrition!$A$2:$A$300,0))*$I1391/100,0))</f>
        <v>0.222</v>
      </c>
    </row>
    <row r="1392" spans="1:19" ht="15" customHeight="1" x14ac:dyDescent="0.25">
      <c r="A1392" s="22" t="s">
        <v>2710</v>
      </c>
      <c r="B1392" s="33" t="str">
        <f>IFERROR(INDEX(Recipes!$B$2:$B$500,MATCH(A1392,Recipes!$A$2:$A$500,0)),"")</f>
        <v>Stuffed Mushrooms with Spinach &amp; Garlic</v>
      </c>
      <c r="C1392" s="7" t="s">
        <v>3128</v>
      </c>
      <c r="D1392" s="34">
        <v>4</v>
      </c>
      <c r="E1392" s="22" t="s">
        <v>2753</v>
      </c>
      <c r="F1392" s="22"/>
      <c r="G1392" s="22" t="s">
        <v>2749</v>
      </c>
      <c r="H1392" s="7"/>
      <c r="I1392" s="35"/>
      <c r="J1392" s="30">
        <f>IF(OR($F1392="",$I1392=""),0,IFERROR(INDEX(Nutrition!$D$2:$D$300,MATCH($F1392,Nutrition!$A$2:$A$300,0))*$I1392/100,0))</f>
        <v>0</v>
      </c>
      <c r="K1392" s="30">
        <f>IF(OR($F1392="",$I1392=""),0,IFERROR(INDEX(Nutrition!$E$2:$E$300,MATCH($F1392,Nutrition!$A$2:$A$300,0))*$I1392/100,0))</f>
        <v>0</v>
      </c>
      <c r="L1392" s="30">
        <f>IF(OR($F1392="",$I1392=""),0,IFERROR(INDEX(Nutrition!$F$2:$F$300,MATCH($F1392,Nutrition!$A$2:$A$300,0))*$I1392/100,0))</f>
        <v>0</v>
      </c>
      <c r="M1392" s="30">
        <f>IF(OR($F1392="",$I1392=""),0,IFERROR(INDEX(Nutrition!$G$2:$G$300,MATCH($F1392,Nutrition!$A$2:$A$300,0))*$I1392/100,0))</f>
        <v>0</v>
      </c>
      <c r="N1392" s="30">
        <f>IF(OR($F1392="",$I1392=""),0,IFERROR(INDEX(Nutrition!$H$2:$H$300,MATCH($F1392,Nutrition!$A$2:$A$300,0))*$I1392/100,0))</f>
        <v>0</v>
      </c>
      <c r="O1392" s="30">
        <f>IF(OR($F1392="",$I1392=""),0,IFERROR(INDEX(Nutrition!$I$2:$I$300,MATCH($F1392,Nutrition!$A$2:$A$300,0))*$I1392/100,0))</f>
        <v>0</v>
      </c>
      <c r="P1392" s="30">
        <f>IF(OR($F1392="",$I1392=""),0,IFERROR(INDEX(Nutrition!$J$2:$J$300,MATCH($F1392,Nutrition!$A$2:$A$300,0))*$I1392/100,0))</f>
        <v>0</v>
      </c>
      <c r="Q1392" s="30">
        <f>IF(OR($F1392="",$I1392=""),0,IFERROR(INDEX(Nutrition!$K$2:$K$300,MATCH($F1392,Nutrition!$A$2:$A$300,0))*$I1392/100,0))</f>
        <v>0</v>
      </c>
      <c r="R1392" s="30">
        <f>IF(OR($F1392="",$I1392=""),0,IFERROR(INDEX(Nutrition!$L$2:$L$300,MATCH($F1392,Nutrition!$A$2:$A$300,0))*$I1392/100,0))</f>
        <v>0</v>
      </c>
      <c r="S1392" s="30">
        <f>IF(OR($F1392="",$I1392=""),0,IFERROR(INDEX(Nutrition!$M$2:$M$300,MATCH($F1392,Nutrition!$A$2:$A$300,0))*$I1392/100,0))</f>
        <v>0</v>
      </c>
    </row>
    <row r="1393" spans="1:19" ht="15" customHeight="1" x14ac:dyDescent="0.25">
      <c r="A1393" s="22" t="s">
        <v>2710</v>
      </c>
      <c r="B1393" s="33" t="str">
        <f>IFERROR(INDEX(Recipes!$B$2:$B$500,MATCH(A1393,Recipes!$A$2:$A$500,0)),"")</f>
        <v>Stuffed Mushrooms with Spinach &amp; Garlic</v>
      </c>
      <c r="C1393" s="7" t="s">
        <v>3129</v>
      </c>
      <c r="D1393" s="34">
        <v>50</v>
      </c>
      <c r="E1393" s="22" t="s">
        <v>2813</v>
      </c>
      <c r="F1393" s="22"/>
      <c r="G1393" s="22" t="s">
        <v>2749</v>
      </c>
      <c r="H1393" s="7" t="s">
        <v>2791</v>
      </c>
      <c r="I1393" s="35"/>
      <c r="J1393" s="30">
        <f>IF(OR($F1393="",$I1393=""),0,IFERROR(INDEX(Nutrition!$D$2:$D$300,MATCH($F1393,Nutrition!$A$2:$A$300,0))*$I1393/100,0))</f>
        <v>0</v>
      </c>
      <c r="K1393" s="30">
        <f>IF(OR($F1393="",$I1393=""),0,IFERROR(INDEX(Nutrition!$E$2:$E$300,MATCH($F1393,Nutrition!$A$2:$A$300,0))*$I1393/100,0))</f>
        <v>0</v>
      </c>
      <c r="L1393" s="30">
        <f>IF(OR($F1393="",$I1393=""),0,IFERROR(INDEX(Nutrition!$F$2:$F$300,MATCH($F1393,Nutrition!$A$2:$A$300,0))*$I1393/100,0))</f>
        <v>0</v>
      </c>
      <c r="M1393" s="30">
        <f>IF(OR($F1393="",$I1393=""),0,IFERROR(INDEX(Nutrition!$G$2:$G$300,MATCH($F1393,Nutrition!$A$2:$A$300,0))*$I1393/100,0))</f>
        <v>0</v>
      </c>
      <c r="N1393" s="30">
        <f>IF(OR($F1393="",$I1393=""),0,IFERROR(INDEX(Nutrition!$H$2:$H$300,MATCH($F1393,Nutrition!$A$2:$A$300,0))*$I1393/100,0))</f>
        <v>0</v>
      </c>
      <c r="O1393" s="30">
        <f>IF(OR($F1393="",$I1393=""),0,IFERROR(INDEX(Nutrition!$I$2:$I$300,MATCH($F1393,Nutrition!$A$2:$A$300,0))*$I1393/100,0))</f>
        <v>0</v>
      </c>
      <c r="P1393" s="30">
        <f>IF(OR($F1393="",$I1393=""),0,IFERROR(INDEX(Nutrition!$J$2:$J$300,MATCH($F1393,Nutrition!$A$2:$A$300,0))*$I1393/100,0))</f>
        <v>0</v>
      </c>
      <c r="Q1393" s="30">
        <f>IF(OR($F1393="",$I1393=""),0,IFERROR(INDEX(Nutrition!$K$2:$K$300,MATCH($F1393,Nutrition!$A$2:$A$300,0))*$I1393/100,0))</f>
        <v>0</v>
      </c>
      <c r="R1393" s="30">
        <f>IF(OR($F1393="",$I1393=""),0,IFERROR(INDEX(Nutrition!$L$2:$L$300,MATCH($F1393,Nutrition!$A$2:$A$300,0))*$I1393/100,0))</f>
        <v>0</v>
      </c>
      <c r="S1393" s="30">
        <f>IF(OR($F1393="",$I1393=""),0,IFERROR(INDEX(Nutrition!$M$2:$M$300,MATCH($F1393,Nutrition!$A$2:$A$300,0))*$I1393/100,0))</f>
        <v>0</v>
      </c>
    </row>
    <row r="1394" spans="1:19" ht="15" customHeight="1" x14ac:dyDescent="0.25">
      <c r="A1394" s="22" t="s">
        <v>2710</v>
      </c>
      <c r="B1394" s="33" t="str">
        <f>IFERROR(INDEX(Recipes!$B$2:$B$500,MATCH(A1394,Recipes!$A$2:$A$500,0)),"")</f>
        <v>Stuffed Mushrooms with Spinach &amp; Garlic</v>
      </c>
      <c r="C1394" s="7" t="s">
        <v>2805</v>
      </c>
      <c r="D1394" s="34">
        <v>1</v>
      </c>
      <c r="E1394" s="22" t="s">
        <v>2753</v>
      </c>
      <c r="F1394" s="22"/>
      <c r="G1394" s="22" t="s">
        <v>2773</v>
      </c>
      <c r="H1394" s="7"/>
      <c r="I1394" s="35"/>
      <c r="J1394" s="30">
        <f>IF(OR($F1394="",$I1394=""),0,IFERROR(INDEX(Nutrition!$D$2:$D$300,MATCH($F1394,Nutrition!$A$2:$A$300,0))*$I1394/100,0))</f>
        <v>0</v>
      </c>
      <c r="K1394" s="30">
        <f>IF(OR($F1394="",$I1394=""),0,IFERROR(INDEX(Nutrition!$E$2:$E$300,MATCH($F1394,Nutrition!$A$2:$A$300,0))*$I1394/100,0))</f>
        <v>0</v>
      </c>
      <c r="L1394" s="30">
        <f>IF(OR($F1394="",$I1394=""),0,IFERROR(INDEX(Nutrition!$F$2:$F$300,MATCH($F1394,Nutrition!$A$2:$A$300,0))*$I1394/100,0))</f>
        <v>0</v>
      </c>
      <c r="M1394" s="30">
        <f>IF(OR($F1394="",$I1394=""),0,IFERROR(INDEX(Nutrition!$G$2:$G$300,MATCH($F1394,Nutrition!$A$2:$A$300,0))*$I1394/100,0))</f>
        <v>0</v>
      </c>
      <c r="N1394" s="30">
        <f>IF(OR($F1394="",$I1394=""),0,IFERROR(INDEX(Nutrition!$H$2:$H$300,MATCH($F1394,Nutrition!$A$2:$A$300,0))*$I1394/100,0))</f>
        <v>0</v>
      </c>
      <c r="O1394" s="30">
        <f>IF(OR($F1394="",$I1394=""),0,IFERROR(INDEX(Nutrition!$I$2:$I$300,MATCH($F1394,Nutrition!$A$2:$A$300,0))*$I1394/100,0))</f>
        <v>0</v>
      </c>
      <c r="P1394" s="30">
        <f>IF(OR($F1394="",$I1394=""),0,IFERROR(INDEX(Nutrition!$J$2:$J$300,MATCH($F1394,Nutrition!$A$2:$A$300,0))*$I1394/100,0))</f>
        <v>0</v>
      </c>
      <c r="Q1394" s="30">
        <f>IF(OR($F1394="",$I1394=""),0,IFERROR(INDEX(Nutrition!$K$2:$K$300,MATCH($F1394,Nutrition!$A$2:$A$300,0))*$I1394/100,0))</f>
        <v>0</v>
      </c>
      <c r="R1394" s="30">
        <f>IF(OR($F1394="",$I1394=""),0,IFERROR(INDEX(Nutrition!$L$2:$L$300,MATCH($F1394,Nutrition!$A$2:$A$300,0))*$I1394/100,0))</f>
        <v>0</v>
      </c>
      <c r="S1394" s="30">
        <f>IF(OR($F1394="",$I1394=""),0,IFERROR(INDEX(Nutrition!$M$2:$M$300,MATCH($F1394,Nutrition!$A$2:$A$300,0))*$I1394/100,0))</f>
        <v>0</v>
      </c>
    </row>
    <row r="1395" spans="1:19" ht="15" customHeight="1" x14ac:dyDescent="0.25">
      <c r="A1395" s="22" t="s">
        <v>2710</v>
      </c>
      <c r="B1395" s="33" t="str">
        <f>IFERROR(INDEX(Recipes!$B$2:$B$500,MATCH(A1395,Recipes!$A$2:$A$500,0)),"")</f>
        <v>Stuffed Mushrooms with Spinach &amp; Garlic</v>
      </c>
      <c r="C1395" s="7" t="s">
        <v>2906</v>
      </c>
      <c r="D1395" s="34">
        <v>1</v>
      </c>
      <c r="E1395" s="22" t="s">
        <v>2782</v>
      </c>
      <c r="F1395" s="22"/>
      <c r="G1395" s="22" t="s">
        <v>2773</v>
      </c>
      <c r="H1395" s="7"/>
      <c r="I1395" s="35"/>
      <c r="J1395" s="30">
        <f>IF(OR($F1395="",$I1395=""),0,IFERROR(INDEX(Nutrition!$D$2:$D$300,MATCH($F1395,Nutrition!$A$2:$A$300,0))*$I1395/100,0))</f>
        <v>0</v>
      </c>
      <c r="K1395" s="30">
        <f>IF(OR($F1395="",$I1395=""),0,IFERROR(INDEX(Nutrition!$E$2:$E$300,MATCH($F1395,Nutrition!$A$2:$A$300,0))*$I1395/100,0))</f>
        <v>0</v>
      </c>
      <c r="L1395" s="30">
        <f>IF(OR($F1395="",$I1395=""),0,IFERROR(INDEX(Nutrition!$F$2:$F$300,MATCH($F1395,Nutrition!$A$2:$A$300,0))*$I1395/100,0))</f>
        <v>0</v>
      </c>
      <c r="M1395" s="30">
        <f>IF(OR($F1395="",$I1395=""),0,IFERROR(INDEX(Nutrition!$G$2:$G$300,MATCH($F1395,Nutrition!$A$2:$A$300,0))*$I1395/100,0))</f>
        <v>0</v>
      </c>
      <c r="N1395" s="30">
        <f>IF(OR($F1395="",$I1395=""),0,IFERROR(INDEX(Nutrition!$H$2:$H$300,MATCH($F1395,Nutrition!$A$2:$A$300,0))*$I1395/100,0))</f>
        <v>0</v>
      </c>
      <c r="O1395" s="30">
        <f>IF(OR($F1395="",$I1395=""),0,IFERROR(INDEX(Nutrition!$I$2:$I$300,MATCH($F1395,Nutrition!$A$2:$A$300,0))*$I1395/100,0))</f>
        <v>0</v>
      </c>
      <c r="P1395" s="30">
        <f>IF(OR($F1395="",$I1395=""),0,IFERROR(INDEX(Nutrition!$J$2:$J$300,MATCH($F1395,Nutrition!$A$2:$A$300,0))*$I1395/100,0))</f>
        <v>0</v>
      </c>
      <c r="Q1395" s="30">
        <f>IF(OR($F1395="",$I1395=""),0,IFERROR(INDEX(Nutrition!$K$2:$K$300,MATCH($F1395,Nutrition!$A$2:$A$300,0))*$I1395/100,0))</f>
        <v>0</v>
      </c>
      <c r="R1395" s="30">
        <f>IF(OR($F1395="",$I1395=""),0,IFERROR(INDEX(Nutrition!$L$2:$L$300,MATCH($F1395,Nutrition!$A$2:$A$300,0))*$I1395/100,0))</f>
        <v>0</v>
      </c>
      <c r="S1395" s="30">
        <f>IF(OR($F1395="",$I1395=""),0,IFERROR(INDEX(Nutrition!$M$2:$M$300,MATCH($F1395,Nutrition!$A$2:$A$300,0))*$I1395/100,0))</f>
        <v>0</v>
      </c>
    </row>
    <row r="1396" spans="1:19" ht="15" customHeight="1" x14ac:dyDescent="0.25">
      <c r="A1396" s="22" t="s">
        <v>2721</v>
      </c>
      <c r="B1396" s="33" t="str">
        <f>IFERROR(INDEX(Recipes!$B$2:$B$500,MATCH(A1396,Recipes!$A$2:$A$500,0)),"")</f>
        <v>Chilli-Lime Roasted Groundnuts</v>
      </c>
      <c r="C1396" s="7" t="s">
        <v>428</v>
      </c>
      <c r="D1396" s="34">
        <v>4</v>
      </c>
      <c r="E1396" s="22" t="s">
        <v>2790</v>
      </c>
      <c r="F1396" s="22" t="s">
        <v>427</v>
      </c>
      <c r="G1396" s="22" t="s">
        <v>2755</v>
      </c>
      <c r="H1396" s="7" t="s">
        <v>3130</v>
      </c>
      <c r="I1396" s="35">
        <v>584</v>
      </c>
      <c r="J1396" s="30">
        <f>IF(OR($F1396="",$I1396=""),0,IFERROR(INDEX(Nutrition!$D$2:$D$300,MATCH($F1396,Nutrition!$A$2:$A$300,0))*$I1396/100,0))</f>
        <v>49.64</v>
      </c>
      <c r="K1396" s="30">
        <f>IF(OR($F1396="",$I1396=""),0,IFERROR(INDEX(Nutrition!$E$2:$E$300,MATCH($F1396,Nutrition!$A$2:$A$300,0))*$I1396/100,0))</f>
        <v>0</v>
      </c>
      <c r="L1396" s="30">
        <f>IF(OR($F1396="",$I1396=""),0,IFERROR(INDEX(Nutrition!$F$2:$F$300,MATCH($F1396,Nutrition!$A$2:$A$300,0))*$I1396/100,0))</f>
        <v>0</v>
      </c>
      <c r="M1396" s="30">
        <f>IF(OR($F1396="",$I1396=""),0,IFERROR(INDEX(Nutrition!$G$2:$G$300,MATCH($F1396,Nutrition!$A$2:$A$300,0))*$I1396/100,0))</f>
        <v>0</v>
      </c>
      <c r="N1396" s="30">
        <f>IF(OR($F1396="",$I1396=""),0,IFERROR(INDEX(Nutrition!$H$2:$H$300,MATCH($F1396,Nutrition!$A$2:$A$300,0))*$I1396/100,0))</f>
        <v>1401.6</v>
      </c>
      <c r="O1396" s="30">
        <f>IF(OR($F1396="",$I1396=""),0,IFERROR(INDEX(Nutrition!$I$2:$I$300,MATCH($F1396,Nutrition!$A$2:$A$300,0))*$I1396/100,0))</f>
        <v>4117.2</v>
      </c>
      <c r="P1396" s="30">
        <f>IF(OR($F1396="",$I1396=""),0,IFERROR(INDEX(Nutrition!$J$2:$J$300,MATCH($F1396,Nutrition!$A$2:$A$300,0))*$I1396/100,0))</f>
        <v>48.647200000000005</v>
      </c>
      <c r="Q1396" s="30">
        <f>IF(OR($F1396="",$I1396=""),0,IFERROR(INDEX(Nutrition!$K$2:$K$300,MATCH($F1396,Nutrition!$A$2:$A$300,0))*$I1396/100,0))</f>
        <v>2.0323199999999999</v>
      </c>
      <c r="R1396" s="30">
        <f>IF(OR($F1396="",$I1396=""),0,IFERROR(INDEX(Nutrition!$L$2:$L$300,MATCH($F1396,Nutrition!$A$2:$A$300,0))*$I1396/100,0))</f>
        <v>981.12</v>
      </c>
      <c r="S1396" s="30">
        <f>IF(OR($F1396="",$I1396=""),0,IFERROR(INDEX(Nutrition!$M$2:$M$300,MATCH($F1396,Nutrition!$A$2:$A$300,0))*$I1396/100,0))</f>
        <v>26.747200000000003</v>
      </c>
    </row>
    <row r="1397" spans="1:19" ht="15" customHeight="1" x14ac:dyDescent="0.25">
      <c r="A1397" s="22" t="s">
        <v>2721</v>
      </c>
      <c r="B1397" s="33" t="str">
        <f>IFERROR(INDEX(Recipes!$B$2:$B$500,MATCH(A1397,Recipes!$A$2:$A$500,0)),"")</f>
        <v>Chilli-Lime Roasted Groundnuts</v>
      </c>
      <c r="C1397" s="7" t="s">
        <v>213</v>
      </c>
      <c r="D1397" s="34">
        <v>3</v>
      </c>
      <c r="E1397" s="22" t="s">
        <v>2754</v>
      </c>
      <c r="F1397" s="22" t="s">
        <v>212</v>
      </c>
      <c r="G1397" s="22" t="s">
        <v>2755</v>
      </c>
      <c r="H1397" s="7" t="s">
        <v>3131</v>
      </c>
      <c r="I1397" s="35">
        <v>201</v>
      </c>
      <c r="J1397" s="30">
        <f>IF(OR($F1397="",$I1397=""),0,IFERROR(INDEX(Nutrition!$D$2:$D$300,MATCH($F1397,Nutrition!$A$2:$A$300,0))*$I1397/100,0))</f>
        <v>5.6279999999999992</v>
      </c>
      <c r="K1397" s="30">
        <f>IF(OR($F1397="",$I1397=""),0,IFERROR(INDEX(Nutrition!$E$2:$E$300,MATCH($F1397,Nutrition!$A$2:$A$300,0))*$I1397/100,0))</f>
        <v>58.491000000000007</v>
      </c>
      <c r="L1397" s="30">
        <f>IF(OR($F1397="",$I1397=""),0,IFERROR(INDEX(Nutrition!$F$2:$F$300,MATCH($F1397,Nutrition!$A$2:$A$300,0))*$I1397/100,0))</f>
        <v>4.0199999999999996</v>
      </c>
      <c r="M1397" s="30">
        <f>IF(OR($F1397="",$I1397=""),0,IFERROR(INDEX(Nutrition!$G$2:$G$300,MATCH($F1397,Nutrition!$A$2:$A$300,0))*$I1397/100,0))</f>
        <v>1.206</v>
      </c>
      <c r="N1397" s="30">
        <f>IF(OR($F1397="",$I1397=""),0,IFERROR(INDEX(Nutrition!$H$2:$H$300,MATCH($F1397,Nutrition!$A$2:$A$300,0))*$I1397/100,0))</f>
        <v>16.079999999999998</v>
      </c>
      <c r="O1397" s="30">
        <f>IF(OR($F1397="",$I1397=""),0,IFERROR(INDEX(Nutrition!$I$2:$I$300,MATCH($F1397,Nutrition!$A$2:$A$300,0))*$I1397/100,0))</f>
        <v>205.02</v>
      </c>
      <c r="P1397" s="30">
        <f>IF(OR($F1397="",$I1397=""),0,IFERROR(INDEX(Nutrition!$J$2:$J$300,MATCH($F1397,Nutrition!$A$2:$A$300,0))*$I1397/100,0))</f>
        <v>0.44219999999999998</v>
      </c>
      <c r="Q1397" s="30">
        <f>IF(OR($F1397="",$I1397=""),0,IFERROR(INDEX(Nutrition!$K$2:$K$300,MATCH($F1397,Nutrition!$A$2:$A$300,0))*$I1397/100,0))</f>
        <v>8.6429999999999993E-2</v>
      </c>
      <c r="R1397" s="30">
        <f>IF(OR($F1397="",$I1397=""),0,IFERROR(INDEX(Nutrition!$L$2:$L$300,MATCH($F1397,Nutrition!$A$2:$A$300,0))*$I1397/100,0))</f>
        <v>12.06</v>
      </c>
      <c r="S1397" s="30">
        <f>IF(OR($F1397="",$I1397=""),0,IFERROR(INDEX(Nutrition!$M$2:$M$300,MATCH($F1397,Nutrition!$A$2:$A$300,0))*$I1397/100,0))</f>
        <v>1.206</v>
      </c>
    </row>
    <row r="1398" spans="1:19" ht="15" customHeight="1" x14ac:dyDescent="0.25">
      <c r="A1398" s="22" t="s">
        <v>2721</v>
      </c>
      <c r="B1398" s="33" t="str">
        <f>IFERROR(INDEX(Recipes!$B$2:$B$500,MATCH(A1398,Recipes!$A$2:$A$500,0)),"")</f>
        <v>Chilli-Lime Roasted Groundnuts</v>
      </c>
      <c r="C1398" s="7" t="s">
        <v>3132</v>
      </c>
      <c r="D1398" s="34">
        <v>2</v>
      </c>
      <c r="E1398" s="22" t="s">
        <v>2753</v>
      </c>
      <c r="F1398" s="22"/>
      <c r="G1398" s="22" t="s">
        <v>2749</v>
      </c>
      <c r="H1398" s="7"/>
      <c r="I1398" s="35"/>
      <c r="J1398" s="30">
        <f>IF(OR($F1398="",$I1398=""),0,IFERROR(INDEX(Nutrition!$D$2:$D$300,MATCH($F1398,Nutrition!$A$2:$A$300,0))*$I1398/100,0))</f>
        <v>0</v>
      </c>
      <c r="K1398" s="30">
        <f>IF(OR($F1398="",$I1398=""),0,IFERROR(INDEX(Nutrition!$E$2:$E$300,MATCH($F1398,Nutrition!$A$2:$A$300,0))*$I1398/100,0))</f>
        <v>0</v>
      </c>
      <c r="L1398" s="30">
        <f>IF(OR($F1398="",$I1398=""),0,IFERROR(INDEX(Nutrition!$F$2:$F$300,MATCH($F1398,Nutrition!$A$2:$A$300,0))*$I1398/100,0))</f>
        <v>0</v>
      </c>
      <c r="M1398" s="30">
        <f>IF(OR($F1398="",$I1398=""),0,IFERROR(INDEX(Nutrition!$G$2:$G$300,MATCH($F1398,Nutrition!$A$2:$A$300,0))*$I1398/100,0))</f>
        <v>0</v>
      </c>
      <c r="N1398" s="30">
        <f>IF(OR($F1398="",$I1398=""),0,IFERROR(INDEX(Nutrition!$H$2:$H$300,MATCH($F1398,Nutrition!$A$2:$A$300,0))*$I1398/100,0))</f>
        <v>0</v>
      </c>
      <c r="O1398" s="30">
        <f>IF(OR($F1398="",$I1398=""),0,IFERROR(INDEX(Nutrition!$I$2:$I$300,MATCH($F1398,Nutrition!$A$2:$A$300,0))*$I1398/100,0))</f>
        <v>0</v>
      </c>
      <c r="P1398" s="30">
        <f>IF(OR($F1398="",$I1398=""),0,IFERROR(INDEX(Nutrition!$J$2:$J$300,MATCH($F1398,Nutrition!$A$2:$A$300,0))*$I1398/100,0))</f>
        <v>0</v>
      </c>
      <c r="Q1398" s="30">
        <f>IF(OR($F1398="",$I1398=""),0,IFERROR(INDEX(Nutrition!$K$2:$K$300,MATCH($F1398,Nutrition!$A$2:$A$300,0))*$I1398/100,0))</f>
        <v>0</v>
      </c>
      <c r="R1398" s="30">
        <f>IF(OR($F1398="",$I1398=""),0,IFERROR(INDEX(Nutrition!$L$2:$L$300,MATCH($F1398,Nutrition!$A$2:$A$300,0))*$I1398/100,0))</f>
        <v>0</v>
      </c>
      <c r="S1398" s="30">
        <f>IF(OR($F1398="",$I1398=""),0,IFERROR(INDEX(Nutrition!$M$2:$M$300,MATCH($F1398,Nutrition!$A$2:$A$300,0))*$I1398/100,0))</f>
        <v>0</v>
      </c>
    </row>
    <row r="1399" spans="1:19" ht="15" customHeight="1" x14ac:dyDescent="0.25">
      <c r="A1399" s="22" t="s">
        <v>2721</v>
      </c>
      <c r="B1399" s="33" t="str">
        <f>IFERROR(INDEX(Recipes!$B$2:$B$500,MATCH(A1399,Recipes!$A$2:$A$500,0)),"")</f>
        <v>Chilli-Lime Roasted Groundnuts</v>
      </c>
      <c r="C1399" s="7" t="s">
        <v>2781</v>
      </c>
      <c r="D1399" s="34">
        <v>1</v>
      </c>
      <c r="E1399" s="22" t="s">
        <v>2753</v>
      </c>
      <c r="F1399" s="22"/>
      <c r="G1399" s="22" t="s">
        <v>2773</v>
      </c>
      <c r="H1399" s="7"/>
      <c r="I1399" s="35"/>
      <c r="J1399" s="30">
        <f>IF(OR($F1399="",$I1399=""),0,IFERROR(INDEX(Nutrition!$D$2:$D$300,MATCH($F1399,Nutrition!$A$2:$A$300,0))*$I1399/100,0))</f>
        <v>0</v>
      </c>
      <c r="K1399" s="30">
        <f>IF(OR($F1399="",$I1399=""),0,IFERROR(INDEX(Nutrition!$E$2:$E$300,MATCH($F1399,Nutrition!$A$2:$A$300,0))*$I1399/100,0))</f>
        <v>0</v>
      </c>
      <c r="L1399" s="30">
        <f>IF(OR($F1399="",$I1399=""),0,IFERROR(INDEX(Nutrition!$F$2:$F$300,MATCH($F1399,Nutrition!$A$2:$A$300,0))*$I1399/100,0))</f>
        <v>0</v>
      </c>
      <c r="M1399" s="30">
        <f>IF(OR($F1399="",$I1399=""),0,IFERROR(INDEX(Nutrition!$G$2:$G$300,MATCH($F1399,Nutrition!$A$2:$A$300,0))*$I1399/100,0))</f>
        <v>0</v>
      </c>
      <c r="N1399" s="30">
        <f>IF(OR($F1399="",$I1399=""),0,IFERROR(INDEX(Nutrition!$H$2:$H$300,MATCH($F1399,Nutrition!$A$2:$A$300,0))*$I1399/100,0))</f>
        <v>0</v>
      </c>
      <c r="O1399" s="30">
        <f>IF(OR($F1399="",$I1399=""),0,IFERROR(INDEX(Nutrition!$I$2:$I$300,MATCH($F1399,Nutrition!$A$2:$A$300,0))*$I1399/100,0))</f>
        <v>0</v>
      </c>
      <c r="P1399" s="30">
        <f>IF(OR($F1399="",$I1399=""),0,IFERROR(INDEX(Nutrition!$J$2:$J$300,MATCH($F1399,Nutrition!$A$2:$A$300,0))*$I1399/100,0))</f>
        <v>0</v>
      </c>
      <c r="Q1399" s="30">
        <f>IF(OR($F1399="",$I1399=""),0,IFERROR(INDEX(Nutrition!$K$2:$K$300,MATCH($F1399,Nutrition!$A$2:$A$300,0))*$I1399/100,0))</f>
        <v>0</v>
      </c>
      <c r="R1399" s="30">
        <f>IF(OR($F1399="",$I1399=""),0,IFERROR(INDEX(Nutrition!$L$2:$L$300,MATCH($F1399,Nutrition!$A$2:$A$300,0))*$I1399/100,0))</f>
        <v>0</v>
      </c>
      <c r="S1399" s="30">
        <f>IF(OR($F1399="",$I1399=""),0,IFERROR(INDEX(Nutrition!$M$2:$M$300,MATCH($F1399,Nutrition!$A$2:$A$300,0))*$I1399/100,0))</f>
        <v>0</v>
      </c>
    </row>
    <row r="1400" spans="1:19" ht="15" customHeight="1" x14ac:dyDescent="0.25">
      <c r="A1400" s="22" t="s">
        <v>2721</v>
      </c>
      <c r="B1400" s="33" t="str">
        <f>IFERROR(INDEX(Recipes!$B$2:$B$500,MATCH(A1400,Recipes!$A$2:$A$500,0)),"")</f>
        <v>Chilli-Lime Roasted Groundnuts</v>
      </c>
      <c r="C1400" s="7" t="s">
        <v>2917</v>
      </c>
      <c r="D1400" s="34">
        <v>2</v>
      </c>
      <c r="E1400" s="22" t="s">
        <v>2759</v>
      </c>
      <c r="F1400" s="22"/>
      <c r="G1400" s="22" t="s">
        <v>2749</v>
      </c>
      <c r="H1400" s="7"/>
      <c r="I1400" s="35"/>
      <c r="J1400" s="30">
        <f>IF(OR($F1400="",$I1400=""),0,IFERROR(INDEX(Nutrition!$D$2:$D$300,MATCH($F1400,Nutrition!$A$2:$A$300,0))*$I1400/100,0))</f>
        <v>0</v>
      </c>
      <c r="K1400" s="30">
        <f>IF(OR($F1400="",$I1400=""),0,IFERROR(INDEX(Nutrition!$E$2:$E$300,MATCH($F1400,Nutrition!$A$2:$A$300,0))*$I1400/100,0))</f>
        <v>0</v>
      </c>
      <c r="L1400" s="30">
        <f>IF(OR($F1400="",$I1400=""),0,IFERROR(INDEX(Nutrition!$F$2:$F$300,MATCH($F1400,Nutrition!$A$2:$A$300,0))*$I1400/100,0))</f>
        <v>0</v>
      </c>
      <c r="M1400" s="30">
        <f>IF(OR($F1400="",$I1400=""),0,IFERROR(INDEX(Nutrition!$G$2:$G$300,MATCH($F1400,Nutrition!$A$2:$A$300,0))*$I1400/100,0))</f>
        <v>0</v>
      </c>
      <c r="N1400" s="30">
        <f>IF(OR($F1400="",$I1400=""),0,IFERROR(INDEX(Nutrition!$H$2:$H$300,MATCH($F1400,Nutrition!$A$2:$A$300,0))*$I1400/100,0))</f>
        <v>0</v>
      </c>
      <c r="O1400" s="30">
        <f>IF(OR($F1400="",$I1400=""),0,IFERROR(INDEX(Nutrition!$I$2:$I$300,MATCH($F1400,Nutrition!$A$2:$A$300,0))*$I1400/100,0))</f>
        <v>0</v>
      </c>
      <c r="P1400" s="30">
        <f>IF(OR($F1400="",$I1400=""),0,IFERROR(INDEX(Nutrition!$J$2:$J$300,MATCH($F1400,Nutrition!$A$2:$A$300,0))*$I1400/100,0))</f>
        <v>0</v>
      </c>
      <c r="Q1400" s="30">
        <f>IF(OR($F1400="",$I1400=""),0,IFERROR(INDEX(Nutrition!$K$2:$K$300,MATCH($F1400,Nutrition!$A$2:$A$300,0))*$I1400/100,0))</f>
        <v>0</v>
      </c>
      <c r="R1400" s="30">
        <f>IF(OR($F1400="",$I1400=""),0,IFERROR(INDEX(Nutrition!$L$2:$L$300,MATCH($F1400,Nutrition!$A$2:$A$300,0))*$I1400/100,0))</f>
        <v>0</v>
      </c>
      <c r="S1400" s="30">
        <f>IF(OR($F1400="",$I1400=""),0,IFERROR(INDEX(Nutrition!$M$2:$M$300,MATCH($F1400,Nutrition!$A$2:$A$300,0))*$I1400/100,0))</f>
        <v>0</v>
      </c>
    </row>
    <row r="1401" spans="1:19" ht="15" customHeight="1" x14ac:dyDescent="0.25">
      <c r="A1401" s="22" t="s">
        <v>2732</v>
      </c>
      <c r="B1401" s="33" t="str">
        <f>IFERROR(INDEX(Recipes!$B$2:$B$500,MATCH(A1401,Recipes!$A$2:$A$500,0)),"")</f>
        <v>Carrot &amp; Cucumber Yaji Sticks</v>
      </c>
      <c r="C1401" s="7" t="s">
        <v>529</v>
      </c>
      <c r="D1401" s="34">
        <v>2</v>
      </c>
      <c r="E1401" s="22" t="s">
        <v>2754</v>
      </c>
      <c r="F1401" s="22" t="s">
        <v>528</v>
      </c>
      <c r="G1401" s="22" t="s">
        <v>2755</v>
      </c>
      <c r="H1401" s="7" t="s">
        <v>3133</v>
      </c>
      <c r="I1401" s="35">
        <v>122</v>
      </c>
      <c r="J1401" s="30">
        <f>IF(OR($F1401="",$I1401=""),0,IFERROR(INDEX(Nutrition!$D$2:$D$300,MATCH($F1401,Nutrition!$A$2:$A$300,0))*$I1401/100,0))</f>
        <v>3.4159999999999995</v>
      </c>
      <c r="K1401" s="30">
        <f>IF(OR($F1401="",$I1401=""),0,IFERROR(INDEX(Nutrition!$E$2:$E$300,MATCH($F1401,Nutrition!$A$2:$A$300,0))*$I1401/100,0))</f>
        <v>7.1980000000000004</v>
      </c>
      <c r="L1401" s="30">
        <f>IF(OR($F1401="",$I1401=""),0,IFERROR(INDEX(Nutrition!$F$2:$F$300,MATCH($F1401,Nutrition!$A$2:$A$300,0))*$I1401/100,0))</f>
        <v>1018.7</v>
      </c>
      <c r="M1401" s="30">
        <f>IF(OR($F1401="",$I1401=""),0,IFERROR(INDEX(Nutrition!$G$2:$G$300,MATCH($F1401,Nutrition!$A$2:$A$300,0))*$I1401/100,0))</f>
        <v>16.103999999999999</v>
      </c>
      <c r="N1401" s="30">
        <f>IF(OR($F1401="",$I1401=""),0,IFERROR(INDEX(Nutrition!$H$2:$H$300,MATCH($F1401,Nutrition!$A$2:$A$300,0))*$I1401/100,0))</f>
        <v>23.18</v>
      </c>
      <c r="O1401" s="30">
        <f>IF(OR($F1401="",$I1401=""),0,IFERROR(INDEX(Nutrition!$I$2:$I$300,MATCH($F1401,Nutrition!$A$2:$A$300,0))*$I1401/100,0))</f>
        <v>390.4</v>
      </c>
      <c r="P1401" s="30">
        <f>IF(OR($F1401="",$I1401=""),0,IFERROR(INDEX(Nutrition!$J$2:$J$300,MATCH($F1401,Nutrition!$A$2:$A$300,0))*$I1401/100,0))</f>
        <v>0.80520000000000014</v>
      </c>
      <c r="Q1401" s="30">
        <f>IF(OR($F1401="",$I1401=""),0,IFERROR(INDEX(Nutrition!$K$2:$K$300,MATCH($F1401,Nutrition!$A$2:$A$300,0))*$I1401/100,0))</f>
        <v>0.16836000000000001</v>
      </c>
      <c r="R1401" s="30">
        <f>IF(OR($F1401="",$I1401=""),0,IFERROR(INDEX(Nutrition!$L$2:$L$300,MATCH($F1401,Nutrition!$A$2:$A$300,0))*$I1401/100,0))</f>
        <v>14.64</v>
      </c>
      <c r="S1401" s="30">
        <f>IF(OR($F1401="",$I1401=""),0,IFERROR(INDEX(Nutrition!$M$2:$M$300,MATCH($F1401,Nutrition!$A$2:$A$300,0))*$I1401/100,0))</f>
        <v>0.36599999999999999</v>
      </c>
    </row>
    <row r="1402" spans="1:19" ht="15" customHeight="1" x14ac:dyDescent="0.25">
      <c r="A1402" s="22" t="s">
        <v>2732</v>
      </c>
      <c r="B1402" s="33" t="str">
        <f>IFERROR(INDEX(Recipes!$B$2:$B$500,MATCH(A1402,Recipes!$A$2:$A$500,0)),"")</f>
        <v>Carrot &amp; Cucumber Yaji Sticks</v>
      </c>
      <c r="C1402" s="7" t="s">
        <v>523</v>
      </c>
      <c r="D1402" s="34">
        <v>1</v>
      </c>
      <c r="E1402" s="22" t="s">
        <v>2754</v>
      </c>
      <c r="F1402" s="22" t="s">
        <v>522</v>
      </c>
      <c r="G1402" s="22" t="s">
        <v>2755</v>
      </c>
      <c r="H1402" s="7" t="s">
        <v>3133</v>
      </c>
      <c r="I1402" s="35">
        <v>301</v>
      </c>
      <c r="J1402" s="30">
        <f>IF(OR($F1402="",$I1402=""),0,IFERROR(INDEX(Nutrition!$D$2:$D$300,MATCH($F1402,Nutrition!$A$2:$A$300,0))*$I1402/100,0))</f>
        <v>1.5049999999999999</v>
      </c>
      <c r="K1402" s="30">
        <f>IF(OR($F1402="",$I1402=""),0,IFERROR(INDEX(Nutrition!$E$2:$E$300,MATCH($F1402,Nutrition!$A$2:$A$300,0))*$I1402/100,0))</f>
        <v>8.427999999999999</v>
      </c>
      <c r="L1402" s="30">
        <f>IF(OR($F1402="",$I1402=""),0,IFERROR(INDEX(Nutrition!$F$2:$F$300,MATCH($F1402,Nutrition!$A$2:$A$300,0))*$I1402/100,0))</f>
        <v>15.05</v>
      </c>
      <c r="M1402" s="30">
        <f>IF(OR($F1402="",$I1402=""),0,IFERROR(INDEX(Nutrition!$G$2:$G$300,MATCH($F1402,Nutrition!$A$2:$A$300,0))*$I1402/100,0))</f>
        <v>49.363999999999997</v>
      </c>
      <c r="N1402" s="30">
        <f>IF(OR($F1402="",$I1402=""),0,IFERROR(INDEX(Nutrition!$H$2:$H$300,MATCH($F1402,Nutrition!$A$2:$A$300,0))*$I1402/100,0))</f>
        <v>21.07</v>
      </c>
      <c r="O1402" s="30">
        <f>IF(OR($F1402="",$I1402=""),0,IFERROR(INDEX(Nutrition!$I$2:$I$300,MATCH($F1402,Nutrition!$A$2:$A$300,0))*$I1402/100,0))</f>
        <v>442.47</v>
      </c>
      <c r="P1402" s="30">
        <f>IF(OR($F1402="",$I1402=""),0,IFERROR(INDEX(Nutrition!$J$2:$J$300,MATCH($F1402,Nutrition!$A$2:$A$300,0))*$I1402/100,0))</f>
        <v>9.0299999999999991E-2</v>
      </c>
      <c r="Q1402" s="30">
        <f>IF(OR($F1402="",$I1402=""),0,IFERROR(INDEX(Nutrition!$K$2:$K$300,MATCH($F1402,Nutrition!$A$2:$A$300,0))*$I1402/100,0))</f>
        <v>0.12040000000000001</v>
      </c>
      <c r="R1402" s="30">
        <f>IF(OR($F1402="",$I1402=""),0,IFERROR(INDEX(Nutrition!$L$2:$L$300,MATCH($F1402,Nutrition!$A$2:$A$300,0))*$I1402/100,0))</f>
        <v>39.130000000000003</v>
      </c>
      <c r="S1402" s="30">
        <f>IF(OR($F1402="",$I1402=""),0,IFERROR(INDEX(Nutrition!$M$2:$M$300,MATCH($F1402,Nutrition!$A$2:$A$300,0))*$I1402/100,0))</f>
        <v>0.84279999999999999</v>
      </c>
    </row>
    <row r="1403" spans="1:19" ht="15" customHeight="1" x14ac:dyDescent="0.25">
      <c r="A1403" s="22" t="s">
        <v>2732</v>
      </c>
      <c r="B1403" s="33" t="str">
        <f>IFERROR(INDEX(Recipes!$B$2:$B$500,MATCH(A1403,Recipes!$A$2:$A$500,0)),"")</f>
        <v>Carrot &amp; Cucumber Yaji Sticks</v>
      </c>
      <c r="C1403" s="7" t="s">
        <v>213</v>
      </c>
      <c r="D1403" s="34">
        <v>0.5</v>
      </c>
      <c r="E1403" s="22" t="s">
        <v>2754</v>
      </c>
      <c r="F1403" s="22" t="s">
        <v>212</v>
      </c>
      <c r="G1403" s="22" t="s">
        <v>2755</v>
      </c>
      <c r="H1403" s="7" t="s">
        <v>2950</v>
      </c>
      <c r="I1403" s="35">
        <v>34</v>
      </c>
      <c r="J1403" s="30">
        <f>IF(OR($F1403="",$I1403=""),0,IFERROR(INDEX(Nutrition!$D$2:$D$300,MATCH($F1403,Nutrition!$A$2:$A$300,0))*$I1403/100,0))</f>
        <v>0.95199999999999985</v>
      </c>
      <c r="K1403" s="30">
        <f>IF(OR($F1403="",$I1403=""),0,IFERROR(INDEX(Nutrition!$E$2:$E$300,MATCH($F1403,Nutrition!$A$2:$A$300,0))*$I1403/100,0))</f>
        <v>9.8940000000000001</v>
      </c>
      <c r="L1403" s="30">
        <f>IF(OR($F1403="",$I1403=""),0,IFERROR(INDEX(Nutrition!$F$2:$F$300,MATCH($F1403,Nutrition!$A$2:$A$300,0))*$I1403/100,0))</f>
        <v>0.68</v>
      </c>
      <c r="M1403" s="30">
        <f>IF(OR($F1403="",$I1403=""),0,IFERROR(INDEX(Nutrition!$G$2:$G$300,MATCH($F1403,Nutrition!$A$2:$A$300,0))*$I1403/100,0))</f>
        <v>0.20399999999999999</v>
      </c>
      <c r="N1403" s="30">
        <f>IF(OR($F1403="",$I1403=""),0,IFERROR(INDEX(Nutrition!$H$2:$H$300,MATCH($F1403,Nutrition!$A$2:$A$300,0))*$I1403/100,0))</f>
        <v>2.72</v>
      </c>
      <c r="O1403" s="30">
        <f>IF(OR($F1403="",$I1403=""),0,IFERROR(INDEX(Nutrition!$I$2:$I$300,MATCH($F1403,Nutrition!$A$2:$A$300,0))*$I1403/100,0))</f>
        <v>34.68</v>
      </c>
      <c r="P1403" s="30">
        <f>IF(OR($F1403="",$I1403=""),0,IFERROR(INDEX(Nutrition!$J$2:$J$300,MATCH($F1403,Nutrition!$A$2:$A$300,0))*$I1403/100,0))</f>
        <v>7.4800000000000005E-2</v>
      </c>
      <c r="Q1403" s="30">
        <f>IF(OR($F1403="",$I1403=""),0,IFERROR(INDEX(Nutrition!$K$2:$K$300,MATCH($F1403,Nutrition!$A$2:$A$300,0))*$I1403/100,0))</f>
        <v>1.4619999999999999E-2</v>
      </c>
      <c r="R1403" s="30">
        <f>IF(OR($F1403="",$I1403=""),0,IFERROR(INDEX(Nutrition!$L$2:$L$300,MATCH($F1403,Nutrition!$A$2:$A$300,0))*$I1403/100,0))</f>
        <v>2.04</v>
      </c>
      <c r="S1403" s="30">
        <f>IF(OR($F1403="",$I1403=""),0,IFERROR(INDEX(Nutrition!$M$2:$M$300,MATCH($F1403,Nutrition!$A$2:$A$300,0))*$I1403/100,0))</f>
        <v>0.20399999999999999</v>
      </c>
    </row>
    <row r="1404" spans="1:19" ht="15" customHeight="1" x14ac:dyDescent="0.25">
      <c r="A1404" s="22" t="s">
        <v>2732</v>
      </c>
      <c r="B1404" s="33" t="str">
        <f>IFERROR(INDEX(Recipes!$B$2:$B$500,MATCH(A1404,Recipes!$A$2:$A$500,0)),"")</f>
        <v>Carrot &amp; Cucumber Yaji Sticks</v>
      </c>
      <c r="C1404" s="7" t="s">
        <v>2798</v>
      </c>
      <c r="D1404" s="34">
        <v>0.5</v>
      </c>
      <c r="E1404" s="22" t="s">
        <v>2759</v>
      </c>
      <c r="F1404" s="22"/>
      <c r="G1404" s="22" t="s">
        <v>2749</v>
      </c>
      <c r="H1404" s="7"/>
      <c r="I1404" s="35"/>
      <c r="J1404" s="30">
        <f>IF(OR($F1404="",$I1404=""),0,IFERROR(INDEX(Nutrition!$D$2:$D$300,MATCH($F1404,Nutrition!$A$2:$A$300,0))*$I1404/100,0))</f>
        <v>0</v>
      </c>
      <c r="K1404" s="30">
        <f>IF(OR($F1404="",$I1404=""),0,IFERROR(INDEX(Nutrition!$E$2:$E$300,MATCH($F1404,Nutrition!$A$2:$A$300,0))*$I1404/100,0))</f>
        <v>0</v>
      </c>
      <c r="L1404" s="30">
        <f>IF(OR($F1404="",$I1404=""),0,IFERROR(INDEX(Nutrition!$F$2:$F$300,MATCH($F1404,Nutrition!$A$2:$A$300,0))*$I1404/100,0))</f>
        <v>0</v>
      </c>
      <c r="M1404" s="30">
        <f>IF(OR($F1404="",$I1404=""),0,IFERROR(INDEX(Nutrition!$G$2:$G$300,MATCH($F1404,Nutrition!$A$2:$A$300,0))*$I1404/100,0))</f>
        <v>0</v>
      </c>
      <c r="N1404" s="30">
        <f>IF(OR($F1404="",$I1404=""),0,IFERROR(INDEX(Nutrition!$H$2:$H$300,MATCH($F1404,Nutrition!$A$2:$A$300,0))*$I1404/100,0))</f>
        <v>0</v>
      </c>
      <c r="O1404" s="30">
        <f>IF(OR($F1404="",$I1404=""),0,IFERROR(INDEX(Nutrition!$I$2:$I$300,MATCH($F1404,Nutrition!$A$2:$A$300,0))*$I1404/100,0))</f>
        <v>0</v>
      </c>
      <c r="P1404" s="30">
        <f>IF(OR($F1404="",$I1404=""),0,IFERROR(INDEX(Nutrition!$J$2:$J$300,MATCH($F1404,Nutrition!$A$2:$A$300,0))*$I1404/100,0))</f>
        <v>0</v>
      </c>
      <c r="Q1404" s="30">
        <f>IF(OR($F1404="",$I1404=""),0,IFERROR(INDEX(Nutrition!$K$2:$K$300,MATCH($F1404,Nutrition!$A$2:$A$300,0))*$I1404/100,0))</f>
        <v>0</v>
      </c>
      <c r="R1404" s="30">
        <f>IF(OR($F1404="",$I1404=""),0,IFERROR(INDEX(Nutrition!$L$2:$L$300,MATCH($F1404,Nutrition!$A$2:$A$300,0))*$I1404/100,0))</f>
        <v>0</v>
      </c>
      <c r="S1404" s="30">
        <f>IF(OR($F1404="",$I1404=""),0,IFERROR(INDEX(Nutrition!$M$2:$M$300,MATCH($F1404,Nutrition!$A$2:$A$300,0))*$I1404/100,0))</f>
        <v>0</v>
      </c>
    </row>
    <row r="1405" spans="1:19" ht="15" customHeight="1" x14ac:dyDescent="0.25">
      <c r="A1405" s="22" t="s">
        <v>2732</v>
      </c>
      <c r="B1405" s="33" t="str">
        <f>IFERROR(INDEX(Recipes!$B$2:$B$500,MATCH(A1405,Recipes!$A$2:$A$500,0)),"")</f>
        <v>Carrot &amp; Cucumber Yaji Sticks</v>
      </c>
      <c r="C1405" s="7" t="s">
        <v>2781</v>
      </c>
      <c r="D1405" s="34">
        <v>1</v>
      </c>
      <c r="E1405" s="22" t="s">
        <v>2782</v>
      </c>
      <c r="F1405" s="22"/>
      <c r="G1405" s="22" t="s">
        <v>2773</v>
      </c>
      <c r="H1405" s="7"/>
      <c r="I1405" s="35"/>
      <c r="J1405" s="30">
        <f>IF(OR($F1405="",$I1405=""),0,IFERROR(INDEX(Nutrition!$D$2:$D$300,MATCH($F1405,Nutrition!$A$2:$A$300,0))*$I1405/100,0))</f>
        <v>0</v>
      </c>
      <c r="K1405" s="30">
        <f>IF(OR($F1405="",$I1405=""),0,IFERROR(INDEX(Nutrition!$E$2:$E$300,MATCH($F1405,Nutrition!$A$2:$A$300,0))*$I1405/100,0))</f>
        <v>0</v>
      </c>
      <c r="L1405" s="30">
        <f>IF(OR($F1405="",$I1405=""),0,IFERROR(INDEX(Nutrition!$F$2:$F$300,MATCH($F1405,Nutrition!$A$2:$A$300,0))*$I1405/100,0))</f>
        <v>0</v>
      </c>
      <c r="M1405" s="30">
        <f>IF(OR($F1405="",$I1405=""),0,IFERROR(INDEX(Nutrition!$G$2:$G$300,MATCH($F1405,Nutrition!$A$2:$A$300,0))*$I1405/100,0))</f>
        <v>0</v>
      </c>
      <c r="N1405" s="30">
        <f>IF(OR($F1405="",$I1405=""),0,IFERROR(INDEX(Nutrition!$H$2:$H$300,MATCH($F1405,Nutrition!$A$2:$A$300,0))*$I1405/100,0))</f>
        <v>0</v>
      </c>
      <c r="O1405" s="30">
        <f>IF(OR($F1405="",$I1405=""),0,IFERROR(INDEX(Nutrition!$I$2:$I$300,MATCH($F1405,Nutrition!$A$2:$A$300,0))*$I1405/100,0))</f>
        <v>0</v>
      </c>
      <c r="P1405" s="30">
        <f>IF(OR($F1405="",$I1405=""),0,IFERROR(INDEX(Nutrition!$J$2:$J$300,MATCH($F1405,Nutrition!$A$2:$A$300,0))*$I1405/100,0))</f>
        <v>0</v>
      </c>
      <c r="Q1405" s="30">
        <f>IF(OR($F1405="",$I1405=""),0,IFERROR(INDEX(Nutrition!$K$2:$K$300,MATCH($F1405,Nutrition!$A$2:$A$300,0))*$I1405/100,0))</f>
        <v>0</v>
      </c>
      <c r="R1405" s="30">
        <f>IF(OR($F1405="",$I1405=""),0,IFERROR(INDEX(Nutrition!$L$2:$L$300,MATCH($F1405,Nutrition!$A$2:$A$300,0))*$I1405/100,0))</f>
        <v>0</v>
      </c>
      <c r="S1405" s="30">
        <f>IF(OR($F1405="",$I1405=""),0,IFERROR(INDEX(Nutrition!$M$2:$M$300,MATCH($F1405,Nutrition!$A$2:$A$300,0))*$I1405/100,0))</f>
        <v>0</v>
      </c>
    </row>
    <row r="1407" spans="1:19" x14ac:dyDescent="0.25">
      <c r="C1407" s="36" t="s">
        <v>3134</v>
      </c>
    </row>
  </sheetData>
  <autoFilter ref="A1:S1405" xr:uid="{00000000-0009-0000-0000-000005000000}"/>
  <conditionalFormatting sqref="G2:G2500">
    <cfRule type="cellIs" dxfId="0" priority="1" operator="equal">
      <formula>"Basket"</formula>
    </cfRule>
  </conditionalFormatting>
  <dataValidations count="1">
    <dataValidation type="list" allowBlank="1" sqref="G2:G2500" xr:uid="{00000000-0002-0000-0500-000000000000}">
      <formula1>"Basket,Protein,Pantry,Staple"</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4"/>
  <sheetViews>
    <sheetView workbookViewId="0">
      <pane xSplit="1" ySplit="1" topLeftCell="B2" activePane="bottomRight" state="frozen"/>
      <selection pane="topRight"/>
      <selection pane="bottomLeft"/>
      <selection pane="bottomRight"/>
    </sheetView>
  </sheetViews>
  <sheetFormatPr defaultRowHeight="15" x14ac:dyDescent="0.25"/>
  <cols>
    <col min="1" max="1" width="26" style="1" customWidth="1"/>
    <col min="2" max="2" width="20" style="1" customWidth="1"/>
    <col min="3" max="3" width="44" style="1" customWidth="1"/>
    <col min="4" max="4" width="30" style="1" customWidth="1"/>
    <col min="5" max="5" width="44" style="1" customWidth="1"/>
    <col min="6" max="6" width="50" style="1" customWidth="1"/>
  </cols>
  <sheetData>
    <row r="1" spans="1:6" ht="31.5" customHeight="1" x14ac:dyDescent="0.25">
      <c r="A1" s="21" t="s">
        <v>3135</v>
      </c>
      <c r="B1" s="21" t="s">
        <v>3136</v>
      </c>
      <c r="C1" s="21" t="s">
        <v>3137</v>
      </c>
      <c r="D1" s="21" t="s">
        <v>3138</v>
      </c>
      <c r="E1" s="21" t="s">
        <v>3139</v>
      </c>
      <c r="F1" s="21" t="s">
        <v>108</v>
      </c>
    </row>
    <row r="2" spans="1:6" ht="60" customHeight="1" x14ac:dyDescent="0.25">
      <c r="A2" s="37" t="s">
        <v>3140</v>
      </c>
      <c r="B2" s="7" t="s">
        <v>3141</v>
      </c>
      <c r="C2" s="7" t="s">
        <v>3142</v>
      </c>
      <c r="D2" s="7" t="s">
        <v>3143</v>
      </c>
      <c r="E2" s="7" t="s">
        <v>3144</v>
      </c>
      <c r="F2" s="7" t="s">
        <v>3145</v>
      </c>
    </row>
    <row r="3" spans="1:6" ht="60" customHeight="1" x14ac:dyDescent="0.25">
      <c r="A3" s="37" t="s">
        <v>3146</v>
      </c>
      <c r="B3" s="7" t="s">
        <v>187</v>
      </c>
      <c r="C3" s="7" t="s">
        <v>3147</v>
      </c>
      <c r="D3" s="7" t="s">
        <v>3148</v>
      </c>
      <c r="E3" s="7" t="s">
        <v>3149</v>
      </c>
      <c r="F3" s="7" t="s">
        <v>3150</v>
      </c>
    </row>
    <row r="4" spans="1:6" ht="60" customHeight="1" x14ac:dyDescent="0.25">
      <c r="A4" s="37" t="s">
        <v>3151</v>
      </c>
      <c r="B4" s="7" t="s">
        <v>115</v>
      </c>
      <c r="C4" s="7" t="s">
        <v>3152</v>
      </c>
      <c r="D4" s="7" t="s">
        <v>3153</v>
      </c>
      <c r="E4" s="7" t="s">
        <v>3154</v>
      </c>
      <c r="F4" s="7" t="s">
        <v>3155</v>
      </c>
    </row>
    <row r="5" spans="1:6" ht="60" customHeight="1" x14ac:dyDescent="0.25">
      <c r="A5" s="37" t="s">
        <v>3156</v>
      </c>
      <c r="B5" s="7" t="s">
        <v>115</v>
      </c>
      <c r="C5" s="7" t="s">
        <v>3157</v>
      </c>
      <c r="D5" s="7" t="s">
        <v>3158</v>
      </c>
      <c r="E5" s="7" t="s">
        <v>3159</v>
      </c>
      <c r="F5" s="7" t="s">
        <v>3160</v>
      </c>
    </row>
    <row r="6" spans="1:6" ht="60" customHeight="1" x14ac:dyDescent="0.25">
      <c r="A6" s="37" t="s">
        <v>3161</v>
      </c>
      <c r="B6" s="7" t="s">
        <v>308</v>
      </c>
      <c r="C6" s="7" t="s">
        <v>3162</v>
      </c>
      <c r="D6" s="7" t="s">
        <v>3163</v>
      </c>
      <c r="E6" s="7" t="s">
        <v>3164</v>
      </c>
      <c r="F6" s="7" t="s">
        <v>3165</v>
      </c>
    </row>
    <row r="7" spans="1:6" ht="60" customHeight="1" x14ac:dyDescent="0.25">
      <c r="A7" s="37" t="s">
        <v>3166</v>
      </c>
      <c r="B7" s="7" t="s">
        <v>3167</v>
      </c>
      <c r="C7" s="7" t="s">
        <v>3168</v>
      </c>
      <c r="D7" s="7" t="s">
        <v>3169</v>
      </c>
      <c r="E7" s="7" t="s">
        <v>3170</v>
      </c>
      <c r="F7" s="7" t="s">
        <v>3171</v>
      </c>
    </row>
    <row r="8" spans="1:6" ht="60" customHeight="1" x14ac:dyDescent="0.25">
      <c r="A8" s="37" t="s">
        <v>3172</v>
      </c>
      <c r="B8" s="7" t="s">
        <v>115</v>
      </c>
      <c r="C8" s="7" t="s">
        <v>3173</v>
      </c>
      <c r="D8" s="7" t="s">
        <v>3174</v>
      </c>
      <c r="E8" s="7" t="s">
        <v>3175</v>
      </c>
      <c r="F8" s="7" t="s">
        <v>3176</v>
      </c>
    </row>
    <row r="9" spans="1:6" ht="60" customHeight="1" x14ac:dyDescent="0.25">
      <c r="A9" s="37" t="s">
        <v>3177</v>
      </c>
      <c r="B9" s="7" t="s">
        <v>115</v>
      </c>
      <c r="C9" s="7" t="s">
        <v>3178</v>
      </c>
      <c r="D9" s="7" t="s">
        <v>3179</v>
      </c>
      <c r="E9" s="7" t="s">
        <v>3180</v>
      </c>
      <c r="F9" s="7" t="s">
        <v>3181</v>
      </c>
    </row>
    <row r="10" spans="1:6" ht="60" customHeight="1" x14ac:dyDescent="0.25">
      <c r="A10" s="37" t="s">
        <v>3182</v>
      </c>
      <c r="B10" s="7" t="s">
        <v>115</v>
      </c>
      <c r="C10" s="7" t="s">
        <v>3183</v>
      </c>
      <c r="D10" s="7" t="s">
        <v>3184</v>
      </c>
      <c r="E10" s="7" t="s">
        <v>3185</v>
      </c>
      <c r="F10" s="7" t="s">
        <v>3186</v>
      </c>
    </row>
    <row r="11" spans="1:6" ht="60" customHeight="1" x14ac:dyDescent="0.25">
      <c r="A11" s="37" t="s">
        <v>3187</v>
      </c>
      <c r="B11" s="7" t="s">
        <v>319</v>
      </c>
      <c r="C11" s="7" t="s">
        <v>3188</v>
      </c>
      <c r="D11" s="7" t="s">
        <v>3189</v>
      </c>
      <c r="E11" s="7" t="s">
        <v>3190</v>
      </c>
      <c r="F11" s="7" t="s">
        <v>3191</v>
      </c>
    </row>
    <row r="12" spans="1:6" ht="60" customHeight="1" x14ac:dyDescent="0.25">
      <c r="A12" s="37" t="s">
        <v>3192</v>
      </c>
      <c r="B12" s="7" t="s">
        <v>115</v>
      </c>
      <c r="C12" s="7" t="s">
        <v>3193</v>
      </c>
      <c r="D12" s="7" t="s">
        <v>3194</v>
      </c>
      <c r="E12" s="7" t="s">
        <v>3195</v>
      </c>
      <c r="F12" s="7" t="s">
        <v>3196</v>
      </c>
    </row>
    <row r="13" spans="1:6" ht="60" customHeight="1" x14ac:dyDescent="0.25">
      <c r="A13" s="37" t="s">
        <v>3197</v>
      </c>
      <c r="B13" s="7" t="s">
        <v>115</v>
      </c>
      <c r="C13" s="7" t="s">
        <v>3198</v>
      </c>
      <c r="D13" s="7" t="s">
        <v>3199</v>
      </c>
      <c r="E13" s="7" t="s">
        <v>3200</v>
      </c>
      <c r="F13" s="7" t="s">
        <v>3201</v>
      </c>
    </row>
    <row r="14" spans="1:6" ht="60" customHeight="1" x14ac:dyDescent="0.25">
      <c r="A14" s="37" t="s">
        <v>3202</v>
      </c>
      <c r="B14" s="7" t="s">
        <v>115</v>
      </c>
      <c r="C14" s="7" t="s">
        <v>3203</v>
      </c>
      <c r="D14" s="7" t="s">
        <v>3204</v>
      </c>
      <c r="E14" s="7" t="s">
        <v>3205</v>
      </c>
      <c r="F14" s="7" t="s">
        <v>3206</v>
      </c>
    </row>
  </sheetData>
  <autoFilter ref="A1:F14" xr:uid="{00000000-0009-0000-0000-000006000000}"/>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6FA35A"/>
  </sheetPr>
  <dimension ref="A1:I11"/>
  <sheetViews>
    <sheetView zoomScaleNormal="100" workbookViewId="0">
      <pane xSplit="1" ySplit="1" topLeftCell="B2" activePane="bottomRight" state="frozen"/>
      <selection pane="topRight" activeCell="B1" sqref="B1"/>
      <selection pane="bottomLeft" activeCell="A2" sqref="A2"/>
      <selection pane="bottomRight"/>
    </sheetView>
  </sheetViews>
  <sheetFormatPr defaultColWidth="8.7109375" defaultRowHeight="15" x14ac:dyDescent="0.25"/>
  <cols>
    <col min="1" max="1" width="20" style="11" customWidth="1"/>
    <col min="2" max="2" width="18" style="11" customWidth="1"/>
    <col min="3" max="3" width="12" style="11" customWidth="1"/>
    <col min="4" max="4" width="46" style="11" customWidth="1"/>
    <col min="5" max="8" width="40" style="11" customWidth="1"/>
    <col min="9" max="9" width="34" style="11" customWidth="1"/>
  </cols>
  <sheetData>
    <row r="1" spans="1:9" ht="31.5" customHeight="1" x14ac:dyDescent="0.25">
      <c r="A1" s="12" t="s">
        <v>3207</v>
      </c>
      <c r="B1" s="12" t="s">
        <v>3208</v>
      </c>
      <c r="C1" s="12" t="s">
        <v>3209</v>
      </c>
      <c r="D1" s="12" t="s">
        <v>3210</v>
      </c>
      <c r="E1" s="12" t="s">
        <v>3211</v>
      </c>
      <c r="F1" s="12" t="s">
        <v>3212</v>
      </c>
      <c r="G1" s="12" t="s">
        <v>3213</v>
      </c>
      <c r="H1" s="12" t="s">
        <v>3214</v>
      </c>
      <c r="I1" s="12" t="s">
        <v>706</v>
      </c>
    </row>
    <row r="2" spans="1:9" ht="109.5" customHeight="1" x14ac:dyDescent="0.25">
      <c r="A2" s="38" t="s">
        <v>3215</v>
      </c>
      <c r="B2" s="15" t="s">
        <v>3216</v>
      </c>
      <c r="C2" s="15" t="s">
        <v>3217</v>
      </c>
      <c r="D2" s="15" t="s">
        <v>3218</v>
      </c>
      <c r="E2" s="15" t="s">
        <v>3219</v>
      </c>
      <c r="F2" s="15" t="s">
        <v>3220</v>
      </c>
      <c r="G2" s="15" t="s">
        <v>3221</v>
      </c>
      <c r="H2" s="15" t="s">
        <v>3222</v>
      </c>
      <c r="I2" s="15" t="s">
        <v>3223</v>
      </c>
    </row>
    <row r="3" spans="1:9" ht="109.5" customHeight="1" x14ac:dyDescent="0.25">
      <c r="A3" s="38" t="s">
        <v>3224</v>
      </c>
      <c r="B3" s="15" t="s">
        <v>3225</v>
      </c>
      <c r="C3" s="15" t="s">
        <v>3217</v>
      </c>
      <c r="D3" s="15" t="s">
        <v>3226</v>
      </c>
      <c r="E3" s="15" t="s">
        <v>3227</v>
      </c>
      <c r="F3" s="15" t="s">
        <v>3228</v>
      </c>
      <c r="G3" s="15" t="s">
        <v>3229</v>
      </c>
      <c r="H3" s="15" t="s">
        <v>3230</v>
      </c>
      <c r="I3" s="15" t="s">
        <v>3231</v>
      </c>
    </row>
    <row r="4" spans="1:9" ht="109.5" customHeight="1" x14ac:dyDescent="0.25">
      <c r="A4" s="38" t="s">
        <v>3232</v>
      </c>
      <c r="B4" s="15" t="s">
        <v>3233</v>
      </c>
      <c r="C4" s="15" t="s">
        <v>3234</v>
      </c>
      <c r="D4" s="15" t="s">
        <v>3235</v>
      </c>
      <c r="E4" s="15" t="s">
        <v>3236</v>
      </c>
      <c r="F4" s="15" t="s">
        <v>3237</v>
      </c>
      <c r="G4" s="15" t="s">
        <v>3238</v>
      </c>
      <c r="H4" s="15" t="s">
        <v>3239</v>
      </c>
      <c r="I4" s="15" t="s">
        <v>3240</v>
      </c>
    </row>
    <row r="5" spans="1:9" ht="109.5" customHeight="1" x14ac:dyDescent="0.25">
      <c r="A5" s="38" t="s">
        <v>3241</v>
      </c>
      <c r="B5" s="15" t="s">
        <v>3242</v>
      </c>
      <c r="C5" s="15" t="s">
        <v>3243</v>
      </c>
      <c r="D5" s="15" t="s">
        <v>3244</v>
      </c>
      <c r="E5" s="15" t="s">
        <v>3245</v>
      </c>
      <c r="F5" s="15" t="s">
        <v>3246</v>
      </c>
      <c r="G5" s="15" t="s">
        <v>3247</v>
      </c>
      <c r="H5" s="15" t="s">
        <v>3248</v>
      </c>
      <c r="I5" s="15" t="s">
        <v>3249</v>
      </c>
    </row>
    <row r="6" spans="1:9" ht="109.5" customHeight="1" x14ac:dyDescent="0.25">
      <c r="A6" s="38" t="s">
        <v>3250</v>
      </c>
      <c r="B6" s="15" t="s">
        <v>3251</v>
      </c>
      <c r="C6" s="15" t="s">
        <v>3217</v>
      </c>
      <c r="D6" s="15" t="s">
        <v>3252</v>
      </c>
      <c r="E6" s="15" t="s">
        <v>3253</v>
      </c>
      <c r="F6" s="15" t="s">
        <v>3253</v>
      </c>
      <c r="G6" s="15" t="s">
        <v>3253</v>
      </c>
      <c r="H6" s="15" t="s">
        <v>3254</v>
      </c>
      <c r="I6" s="15" t="s">
        <v>3255</v>
      </c>
    </row>
    <row r="7" spans="1:9" ht="109.5" customHeight="1" x14ac:dyDescent="0.25">
      <c r="A7" s="38" t="s">
        <v>3256</v>
      </c>
      <c r="B7" s="15" t="s">
        <v>3257</v>
      </c>
      <c r="C7" s="15" t="s">
        <v>3258</v>
      </c>
      <c r="D7" s="15" t="s">
        <v>3259</v>
      </c>
      <c r="E7" s="15" t="s">
        <v>3260</v>
      </c>
      <c r="F7" s="15" t="s">
        <v>3261</v>
      </c>
      <c r="G7" s="15" t="s">
        <v>3262</v>
      </c>
      <c r="H7" s="15" t="s">
        <v>3263</v>
      </c>
      <c r="I7" s="15" t="s">
        <v>3264</v>
      </c>
    </row>
    <row r="8" spans="1:9" ht="109.5" customHeight="1" x14ac:dyDescent="0.25">
      <c r="A8" s="38" t="s">
        <v>3265</v>
      </c>
      <c r="B8" s="15" t="s">
        <v>3266</v>
      </c>
      <c r="C8" s="15" t="s">
        <v>3267</v>
      </c>
      <c r="D8" s="15" t="s">
        <v>3268</v>
      </c>
      <c r="E8" s="15" t="s">
        <v>3269</v>
      </c>
      <c r="F8" s="15" t="s">
        <v>3270</v>
      </c>
      <c r="G8" s="15" t="s">
        <v>3271</v>
      </c>
      <c r="H8" s="15" t="s">
        <v>3272</v>
      </c>
      <c r="I8" s="15" t="s">
        <v>3273</v>
      </c>
    </row>
    <row r="9" spans="1:9" ht="109.5" customHeight="1" x14ac:dyDescent="0.25">
      <c r="A9" s="38" t="s">
        <v>3274</v>
      </c>
      <c r="B9" s="15" t="s">
        <v>3266</v>
      </c>
      <c r="C9" s="15" t="s">
        <v>3275</v>
      </c>
      <c r="D9" s="15" t="s">
        <v>3276</v>
      </c>
      <c r="E9" s="15" t="s">
        <v>3277</v>
      </c>
      <c r="F9" s="15" t="s">
        <v>3278</v>
      </c>
      <c r="G9" s="15" t="s">
        <v>3279</v>
      </c>
      <c r="H9" s="15" t="s">
        <v>3280</v>
      </c>
      <c r="I9" s="15" t="s">
        <v>3281</v>
      </c>
    </row>
    <row r="10" spans="1:9" ht="109.5" customHeight="1" x14ac:dyDescent="0.25">
      <c r="A10" s="38" t="s">
        <v>3282</v>
      </c>
      <c r="B10" s="15" t="s">
        <v>3266</v>
      </c>
      <c r="C10" s="15" t="s">
        <v>3275</v>
      </c>
      <c r="D10" s="15" t="s">
        <v>3283</v>
      </c>
      <c r="E10" s="15" t="s">
        <v>3284</v>
      </c>
      <c r="F10" s="15" t="s">
        <v>3285</v>
      </c>
      <c r="G10" s="15" t="s">
        <v>3286</v>
      </c>
      <c r="H10" s="15" t="s">
        <v>3287</v>
      </c>
      <c r="I10" s="15" t="s">
        <v>3288</v>
      </c>
    </row>
    <row r="11" spans="1:9" ht="109.5" customHeight="1" x14ac:dyDescent="0.25">
      <c r="A11" s="38" t="s">
        <v>3289</v>
      </c>
      <c r="B11" s="15" t="s">
        <v>3266</v>
      </c>
      <c r="C11" s="15" t="s">
        <v>3290</v>
      </c>
      <c r="D11" s="15" t="s">
        <v>3291</v>
      </c>
      <c r="E11" s="15" t="s">
        <v>3292</v>
      </c>
      <c r="F11" s="15" t="s">
        <v>3293</v>
      </c>
      <c r="G11" s="15" t="s">
        <v>3294</v>
      </c>
      <c r="H11" s="15" t="s">
        <v>3295</v>
      </c>
      <c r="I11" s="15" t="s">
        <v>3296</v>
      </c>
    </row>
  </sheetData>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6FA35A"/>
  </sheetPr>
  <dimension ref="A1:C175"/>
  <sheetViews>
    <sheetView zoomScaleNormal="100" workbookViewId="0"/>
  </sheetViews>
  <sheetFormatPr defaultColWidth="8.7109375" defaultRowHeight="15" x14ac:dyDescent="0.25"/>
  <cols>
    <col min="1" max="1" width="42" style="11" customWidth="1"/>
    <col min="2" max="2" width="70" style="11" customWidth="1"/>
    <col min="3" max="3" width="50" style="11" customWidth="1"/>
  </cols>
  <sheetData>
    <row r="1" spans="1:3" ht="31.5" customHeight="1" x14ac:dyDescent="0.25">
      <c r="A1" s="12" t="s">
        <v>706</v>
      </c>
      <c r="B1" s="12" t="s">
        <v>3297</v>
      </c>
      <c r="C1" s="12" t="s">
        <v>3298</v>
      </c>
    </row>
    <row r="2" spans="1:3" ht="15" customHeight="1" x14ac:dyDescent="0.25">
      <c r="A2" s="39" t="s">
        <v>3299</v>
      </c>
      <c r="B2" s="39" t="s">
        <v>3300</v>
      </c>
      <c r="C2" s="39" t="s">
        <v>3301</v>
      </c>
    </row>
    <row r="3" spans="1:3" ht="15" customHeight="1" x14ac:dyDescent="0.25">
      <c r="A3" s="39" t="s">
        <v>3302</v>
      </c>
      <c r="B3" s="39" t="s">
        <v>3303</v>
      </c>
      <c r="C3" s="39" t="s">
        <v>3304</v>
      </c>
    </row>
    <row r="4" spans="1:3" ht="15" customHeight="1" x14ac:dyDescent="0.25">
      <c r="A4" s="39" t="s">
        <v>3305</v>
      </c>
      <c r="B4" s="39" t="s">
        <v>3306</v>
      </c>
      <c r="C4" s="39" t="s">
        <v>3307</v>
      </c>
    </row>
    <row r="5" spans="1:3" ht="15" customHeight="1" x14ac:dyDescent="0.25">
      <c r="A5" s="39" t="s">
        <v>3232</v>
      </c>
      <c r="B5" s="39" t="s">
        <v>3308</v>
      </c>
      <c r="C5" s="39" t="s">
        <v>3309</v>
      </c>
    </row>
    <row r="6" spans="1:3" ht="15" customHeight="1" x14ac:dyDescent="0.25">
      <c r="A6" s="39" t="s">
        <v>3310</v>
      </c>
      <c r="B6" s="39" t="s">
        <v>3311</v>
      </c>
      <c r="C6" s="39" t="s">
        <v>3312</v>
      </c>
    </row>
    <row r="7" spans="1:3" ht="15" customHeight="1" x14ac:dyDescent="0.25">
      <c r="A7" s="39" t="s">
        <v>3241</v>
      </c>
      <c r="B7" s="39" t="s">
        <v>3313</v>
      </c>
      <c r="C7" s="39" t="s">
        <v>3314</v>
      </c>
    </row>
    <row r="8" spans="1:3" ht="15" customHeight="1" x14ac:dyDescent="0.25">
      <c r="A8" s="39" t="s">
        <v>3256</v>
      </c>
      <c r="B8" s="39" t="s">
        <v>3315</v>
      </c>
      <c r="C8" s="39" t="s">
        <v>3316</v>
      </c>
    </row>
    <row r="9" spans="1:3" ht="15" customHeight="1" x14ac:dyDescent="0.25">
      <c r="A9" s="39" t="s">
        <v>3317</v>
      </c>
      <c r="B9" s="39" t="s">
        <v>3318</v>
      </c>
      <c r="C9" s="39" t="s">
        <v>3316</v>
      </c>
    </row>
    <row r="10" spans="1:3" ht="23.85" customHeight="1" x14ac:dyDescent="0.25">
      <c r="A10" s="39" t="s">
        <v>3319</v>
      </c>
      <c r="B10" s="39" t="s">
        <v>3320</v>
      </c>
      <c r="C10" s="39" t="s">
        <v>3321</v>
      </c>
    </row>
    <row r="11" spans="1:3" ht="15" customHeight="1" x14ac:dyDescent="0.25">
      <c r="A11" s="39" t="s">
        <v>3322</v>
      </c>
      <c r="B11" s="39" t="s">
        <v>3323</v>
      </c>
      <c r="C11" s="39" t="s">
        <v>3324</v>
      </c>
    </row>
    <row r="12" spans="1:3" ht="15" customHeight="1" x14ac:dyDescent="0.25">
      <c r="A12" s="39" t="s">
        <v>3325</v>
      </c>
      <c r="B12" s="39" t="s">
        <v>3326</v>
      </c>
      <c r="C12" s="39" t="s">
        <v>3327</v>
      </c>
    </row>
    <row r="13" spans="1:3" ht="15" customHeight="1" x14ac:dyDescent="0.25">
      <c r="A13" s="39" t="s">
        <v>3328</v>
      </c>
      <c r="B13" s="39" t="s">
        <v>3329</v>
      </c>
      <c r="C13" s="39" t="s">
        <v>3330</v>
      </c>
    </row>
    <row r="14" spans="1:3" ht="15" customHeight="1" x14ac:dyDescent="0.25">
      <c r="A14" s="39" t="s">
        <v>3331</v>
      </c>
      <c r="B14" s="39" t="s">
        <v>3332</v>
      </c>
      <c r="C14" s="39" t="s">
        <v>3333</v>
      </c>
    </row>
    <row r="15" spans="1:3" ht="15" customHeight="1" x14ac:dyDescent="0.25">
      <c r="A15" s="39" t="s">
        <v>3334</v>
      </c>
      <c r="B15" s="39" t="s">
        <v>3335</v>
      </c>
      <c r="C15" s="39" t="s">
        <v>3336</v>
      </c>
    </row>
    <row r="16" spans="1:3" ht="15" customHeight="1" x14ac:dyDescent="0.25">
      <c r="A16" s="39" t="s">
        <v>3337</v>
      </c>
      <c r="B16" s="39" t="s">
        <v>3338</v>
      </c>
      <c r="C16" s="39" t="s">
        <v>3339</v>
      </c>
    </row>
    <row r="17" spans="1:3" ht="15" customHeight="1" x14ac:dyDescent="0.25">
      <c r="A17" s="39" t="s">
        <v>3340</v>
      </c>
      <c r="B17" s="39" t="s">
        <v>3341</v>
      </c>
      <c r="C17" s="39" t="s">
        <v>3342</v>
      </c>
    </row>
    <row r="18" spans="1:3" ht="15" customHeight="1" x14ac:dyDescent="0.25">
      <c r="A18" s="39" t="s">
        <v>3343</v>
      </c>
      <c r="B18" s="39" t="s">
        <v>3344</v>
      </c>
      <c r="C18" s="39" t="s">
        <v>3345</v>
      </c>
    </row>
    <row r="19" spans="1:3" ht="25.5" x14ac:dyDescent="0.25">
      <c r="A19" s="7" t="s">
        <v>953</v>
      </c>
      <c r="B19" s="7" t="s">
        <v>954</v>
      </c>
      <c r="C19" s="7" t="s">
        <v>3346</v>
      </c>
    </row>
    <row r="20" spans="1:3" ht="25.5" x14ac:dyDescent="0.25">
      <c r="A20" s="7" t="s">
        <v>969</v>
      </c>
      <c r="B20" s="7" t="s">
        <v>970</v>
      </c>
      <c r="C20" s="7" t="s">
        <v>3347</v>
      </c>
    </row>
    <row r="21" spans="1:3" ht="25.5" x14ac:dyDescent="0.25">
      <c r="A21" s="7" t="s">
        <v>953</v>
      </c>
      <c r="B21" s="7" t="s">
        <v>982</v>
      </c>
      <c r="C21" s="7" t="s">
        <v>3348</v>
      </c>
    </row>
    <row r="22" spans="1:3" ht="25.5" x14ac:dyDescent="0.25">
      <c r="A22" s="7" t="s">
        <v>953</v>
      </c>
      <c r="B22" s="7" t="s">
        <v>994</v>
      </c>
      <c r="C22" s="7" t="s">
        <v>3349</v>
      </c>
    </row>
    <row r="23" spans="1:3" ht="25.5" x14ac:dyDescent="0.25">
      <c r="A23" s="7" t="s">
        <v>1005</v>
      </c>
      <c r="B23" s="7" t="s">
        <v>1006</v>
      </c>
      <c r="C23" s="7" t="s">
        <v>3350</v>
      </c>
    </row>
    <row r="24" spans="1:3" ht="25.5" x14ac:dyDescent="0.25">
      <c r="A24" s="7" t="s">
        <v>1018</v>
      </c>
      <c r="B24" s="7" t="s">
        <v>1019</v>
      </c>
      <c r="C24" s="7" t="s">
        <v>3351</v>
      </c>
    </row>
    <row r="25" spans="1:3" ht="25.5" x14ac:dyDescent="0.25">
      <c r="A25" s="7" t="s">
        <v>1031</v>
      </c>
      <c r="B25" s="7" t="s">
        <v>1032</v>
      </c>
      <c r="C25" s="7" t="s">
        <v>3352</v>
      </c>
    </row>
    <row r="26" spans="1:3" ht="25.5" x14ac:dyDescent="0.25">
      <c r="A26" s="7" t="s">
        <v>1045</v>
      </c>
      <c r="B26" s="7" t="s">
        <v>1046</v>
      </c>
      <c r="C26" s="7" t="s">
        <v>3353</v>
      </c>
    </row>
    <row r="27" spans="1:3" ht="25.5" x14ac:dyDescent="0.25">
      <c r="A27" s="7" t="s">
        <v>1005</v>
      </c>
      <c r="B27" s="7" t="s">
        <v>1060</v>
      </c>
      <c r="C27" s="7" t="s">
        <v>3354</v>
      </c>
    </row>
    <row r="28" spans="1:3" ht="25.5" x14ac:dyDescent="0.25">
      <c r="A28" s="7" t="s">
        <v>1069</v>
      </c>
      <c r="B28" s="7" t="s">
        <v>1070</v>
      </c>
      <c r="C28" s="7" t="s">
        <v>3355</v>
      </c>
    </row>
    <row r="29" spans="1:3" ht="25.5" x14ac:dyDescent="0.25">
      <c r="A29" s="7" t="s">
        <v>1005</v>
      </c>
      <c r="B29" s="7" t="s">
        <v>1083</v>
      </c>
      <c r="C29" s="7" t="s">
        <v>3356</v>
      </c>
    </row>
    <row r="30" spans="1:3" ht="25.5" x14ac:dyDescent="0.25">
      <c r="A30" s="7" t="s">
        <v>1096</v>
      </c>
      <c r="B30" s="7" t="s">
        <v>1097</v>
      </c>
      <c r="C30" s="7" t="s">
        <v>3357</v>
      </c>
    </row>
    <row r="31" spans="1:3" ht="25.5" x14ac:dyDescent="0.25">
      <c r="A31" s="7" t="s">
        <v>1108</v>
      </c>
      <c r="B31" s="7" t="s">
        <v>1109</v>
      </c>
      <c r="C31" s="7" t="s">
        <v>3358</v>
      </c>
    </row>
    <row r="32" spans="1:3" ht="25.5" x14ac:dyDescent="0.25">
      <c r="A32" s="7" t="s">
        <v>1120</v>
      </c>
      <c r="B32" s="7" t="s">
        <v>1121</v>
      </c>
      <c r="C32" s="7" t="s">
        <v>3359</v>
      </c>
    </row>
    <row r="33" spans="1:3" ht="25.5" x14ac:dyDescent="0.25">
      <c r="A33" s="7" t="s">
        <v>1133</v>
      </c>
      <c r="B33" s="7" t="s">
        <v>1134</v>
      </c>
      <c r="C33" s="7" t="s">
        <v>3360</v>
      </c>
    </row>
    <row r="34" spans="1:3" ht="25.5" x14ac:dyDescent="0.25">
      <c r="A34" s="7" t="s">
        <v>1147</v>
      </c>
      <c r="B34" s="7" t="s">
        <v>1148</v>
      </c>
      <c r="C34" s="7" t="s">
        <v>3361</v>
      </c>
    </row>
    <row r="35" spans="1:3" ht="25.5" x14ac:dyDescent="0.25">
      <c r="A35" s="7" t="s">
        <v>1159</v>
      </c>
      <c r="B35" s="7" t="s">
        <v>1160</v>
      </c>
      <c r="C35" s="7" t="s">
        <v>3362</v>
      </c>
    </row>
    <row r="36" spans="1:3" ht="25.5" x14ac:dyDescent="0.25">
      <c r="A36" s="7" t="s">
        <v>953</v>
      </c>
      <c r="B36" s="7" t="s">
        <v>1171</v>
      </c>
      <c r="C36" s="7" t="s">
        <v>3363</v>
      </c>
    </row>
    <row r="37" spans="1:3" ht="25.5" x14ac:dyDescent="0.25">
      <c r="A37" s="7" t="s">
        <v>1181</v>
      </c>
      <c r="B37" s="7" t="s">
        <v>1182</v>
      </c>
      <c r="C37" s="7" t="s">
        <v>3364</v>
      </c>
    </row>
    <row r="38" spans="1:3" ht="25.5" x14ac:dyDescent="0.25">
      <c r="A38" s="7" t="s">
        <v>1147</v>
      </c>
      <c r="B38" s="7" t="s">
        <v>1194</v>
      </c>
      <c r="C38" s="7" t="s">
        <v>3365</v>
      </c>
    </row>
    <row r="39" spans="1:3" ht="25.5" x14ac:dyDescent="0.25">
      <c r="A39" s="7" t="s">
        <v>1133</v>
      </c>
      <c r="B39" s="7" t="s">
        <v>1206</v>
      </c>
      <c r="C39" s="7" t="s">
        <v>3366</v>
      </c>
    </row>
    <row r="40" spans="1:3" ht="25.5" x14ac:dyDescent="0.25">
      <c r="A40" s="7" t="s">
        <v>1005</v>
      </c>
      <c r="B40" s="7" t="s">
        <v>1216</v>
      </c>
      <c r="C40" s="7" t="s">
        <v>3367</v>
      </c>
    </row>
    <row r="41" spans="1:3" ht="25.5" x14ac:dyDescent="0.25">
      <c r="A41" s="7" t="s">
        <v>1229</v>
      </c>
      <c r="B41" s="7" t="s">
        <v>1230</v>
      </c>
      <c r="C41" s="7" t="s">
        <v>3368</v>
      </c>
    </row>
    <row r="42" spans="1:3" ht="25.5" x14ac:dyDescent="0.25">
      <c r="A42" s="7" t="s">
        <v>1240</v>
      </c>
      <c r="B42" s="7" t="s">
        <v>1241</v>
      </c>
      <c r="C42" s="7" t="s">
        <v>3369</v>
      </c>
    </row>
    <row r="43" spans="1:3" x14ac:dyDescent="0.25">
      <c r="A43" s="7" t="s">
        <v>953</v>
      </c>
      <c r="B43" s="7" t="s">
        <v>1253</v>
      </c>
      <c r="C43" s="7" t="s">
        <v>3370</v>
      </c>
    </row>
    <row r="44" spans="1:3" ht="25.5" x14ac:dyDescent="0.25">
      <c r="A44" s="7" t="s">
        <v>1264</v>
      </c>
      <c r="B44" s="7" t="s">
        <v>1265</v>
      </c>
      <c r="C44" s="7" t="s">
        <v>3371</v>
      </c>
    </row>
    <row r="45" spans="1:3" ht="25.5" x14ac:dyDescent="0.25">
      <c r="A45" s="7" t="s">
        <v>1277</v>
      </c>
      <c r="B45" s="7" t="s">
        <v>1278</v>
      </c>
      <c r="C45" s="7" t="s">
        <v>3372</v>
      </c>
    </row>
    <row r="46" spans="1:3" ht="25.5" x14ac:dyDescent="0.25">
      <c r="A46" s="7" t="s">
        <v>1005</v>
      </c>
      <c r="B46" s="7" t="s">
        <v>1288</v>
      </c>
      <c r="C46" s="7" t="s">
        <v>3373</v>
      </c>
    </row>
    <row r="47" spans="1:3" x14ac:dyDescent="0.25">
      <c r="A47" s="7" t="s">
        <v>1298</v>
      </c>
      <c r="B47" s="7" t="s">
        <v>1299</v>
      </c>
      <c r="C47" s="7" t="s">
        <v>3374</v>
      </c>
    </row>
    <row r="48" spans="1:3" ht="25.5" x14ac:dyDescent="0.25">
      <c r="A48" s="7" t="s">
        <v>1310</v>
      </c>
      <c r="B48" s="7" t="s">
        <v>1311</v>
      </c>
      <c r="C48" s="7" t="s">
        <v>3375</v>
      </c>
    </row>
    <row r="49" spans="1:3" ht="25.5" x14ac:dyDescent="0.25">
      <c r="A49" s="7" t="s">
        <v>1005</v>
      </c>
      <c r="B49" s="7" t="s">
        <v>1324</v>
      </c>
      <c r="C49" s="7" t="s">
        <v>3376</v>
      </c>
    </row>
    <row r="50" spans="1:3" ht="25.5" x14ac:dyDescent="0.25">
      <c r="A50" s="7" t="s">
        <v>1334</v>
      </c>
      <c r="B50" s="7" t="s">
        <v>1335</v>
      </c>
      <c r="C50" s="7" t="s">
        <v>3377</v>
      </c>
    </row>
    <row r="51" spans="1:3" ht="25.5" x14ac:dyDescent="0.25">
      <c r="A51" s="7" t="s">
        <v>1347</v>
      </c>
      <c r="B51" s="7" t="s">
        <v>1348</v>
      </c>
      <c r="C51" s="7" t="s">
        <v>3378</v>
      </c>
    </row>
    <row r="52" spans="1:3" x14ac:dyDescent="0.25">
      <c r="A52" s="7" t="s">
        <v>1359</v>
      </c>
      <c r="B52" s="7" t="s">
        <v>1360</v>
      </c>
      <c r="C52" s="7" t="s">
        <v>3379</v>
      </c>
    </row>
    <row r="53" spans="1:3" ht="25.5" x14ac:dyDescent="0.25">
      <c r="A53" s="7" t="s">
        <v>1370</v>
      </c>
      <c r="B53" s="7" t="s">
        <v>1371</v>
      </c>
      <c r="C53" s="7" t="s">
        <v>3380</v>
      </c>
    </row>
    <row r="54" spans="1:3" ht="25.5" x14ac:dyDescent="0.25">
      <c r="A54" s="7" t="s">
        <v>1382</v>
      </c>
      <c r="B54" s="7" t="s">
        <v>1383</v>
      </c>
      <c r="C54" s="7" t="s">
        <v>3381</v>
      </c>
    </row>
    <row r="55" spans="1:3" ht="25.5" x14ac:dyDescent="0.25">
      <c r="A55" s="7" t="s">
        <v>1393</v>
      </c>
      <c r="B55" s="7" t="s">
        <v>1394</v>
      </c>
      <c r="C55" s="7" t="s">
        <v>3382</v>
      </c>
    </row>
    <row r="56" spans="1:3" ht="25.5" x14ac:dyDescent="0.25">
      <c r="A56" s="7" t="s">
        <v>1405</v>
      </c>
      <c r="B56" s="7" t="s">
        <v>1406</v>
      </c>
      <c r="C56" s="7" t="s">
        <v>3383</v>
      </c>
    </row>
    <row r="57" spans="1:3" ht="25.5" x14ac:dyDescent="0.25">
      <c r="A57" s="7" t="s">
        <v>1005</v>
      </c>
      <c r="B57" s="7" t="s">
        <v>1416</v>
      </c>
      <c r="C57" s="7" t="s">
        <v>3384</v>
      </c>
    </row>
    <row r="58" spans="1:3" ht="25.5" x14ac:dyDescent="0.25">
      <c r="A58" s="7" t="s">
        <v>1426</v>
      </c>
      <c r="B58" s="7" t="s">
        <v>1427</v>
      </c>
      <c r="C58" s="7" t="s">
        <v>3385</v>
      </c>
    </row>
    <row r="59" spans="1:3" ht="25.5" x14ac:dyDescent="0.25">
      <c r="A59" s="7" t="s">
        <v>1436</v>
      </c>
      <c r="B59" s="7" t="s">
        <v>1437</v>
      </c>
      <c r="C59" s="7" t="s">
        <v>3386</v>
      </c>
    </row>
    <row r="60" spans="1:3" ht="25.5" x14ac:dyDescent="0.25">
      <c r="A60" s="7" t="s">
        <v>1447</v>
      </c>
      <c r="B60" s="7" t="s">
        <v>1448</v>
      </c>
      <c r="C60" s="7" t="s">
        <v>3387</v>
      </c>
    </row>
    <row r="61" spans="1:3" ht="25.5" x14ac:dyDescent="0.25">
      <c r="A61" s="7" t="s">
        <v>1457</v>
      </c>
      <c r="B61" s="7" t="s">
        <v>1458</v>
      </c>
      <c r="C61" s="7" t="s">
        <v>3388</v>
      </c>
    </row>
    <row r="62" spans="1:3" ht="25.5" x14ac:dyDescent="0.25">
      <c r="A62" s="7" t="s">
        <v>1469</v>
      </c>
      <c r="B62" s="7" t="s">
        <v>1470</v>
      </c>
      <c r="C62" s="7" t="s">
        <v>3389</v>
      </c>
    </row>
    <row r="63" spans="1:3" ht="25.5" x14ac:dyDescent="0.25">
      <c r="A63" s="7" t="s">
        <v>1147</v>
      </c>
      <c r="B63" s="7" t="s">
        <v>1480</v>
      </c>
      <c r="C63" s="7" t="s">
        <v>3390</v>
      </c>
    </row>
    <row r="64" spans="1:3" ht="25.5" x14ac:dyDescent="0.25">
      <c r="A64" s="7" t="s">
        <v>1492</v>
      </c>
      <c r="B64" s="7" t="s">
        <v>1493</v>
      </c>
      <c r="C64" s="7" t="s">
        <v>3391</v>
      </c>
    </row>
    <row r="65" spans="1:3" ht="25.5" x14ac:dyDescent="0.25">
      <c r="A65" s="7" t="s">
        <v>1005</v>
      </c>
      <c r="B65" s="7" t="s">
        <v>1502</v>
      </c>
      <c r="C65" s="7" t="s">
        <v>3392</v>
      </c>
    </row>
    <row r="66" spans="1:3" ht="25.5" x14ac:dyDescent="0.25">
      <c r="A66" s="7" t="s">
        <v>1045</v>
      </c>
      <c r="B66" s="7" t="s">
        <v>1512</v>
      </c>
      <c r="C66" s="7" t="s">
        <v>3393</v>
      </c>
    </row>
    <row r="67" spans="1:3" ht="25.5" x14ac:dyDescent="0.25">
      <c r="A67" s="7" t="s">
        <v>1310</v>
      </c>
      <c r="B67" s="7" t="s">
        <v>1524</v>
      </c>
      <c r="C67" s="7" t="s">
        <v>3394</v>
      </c>
    </row>
    <row r="68" spans="1:3" ht="25.5" x14ac:dyDescent="0.25">
      <c r="A68" s="7" t="s">
        <v>1533</v>
      </c>
      <c r="B68" s="7" t="s">
        <v>1534</v>
      </c>
      <c r="C68" s="7" t="s">
        <v>3395</v>
      </c>
    </row>
    <row r="69" spans="1:3" ht="25.5" x14ac:dyDescent="0.25">
      <c r="A69" s="7" t="s">
        <v>1533</v>
      </c>
      <c r="B69" s="7" t="s">
        <v>1544</v>
      </c>
      <c r="C69" s="7" t="s">
        <v>3396</v>
      </c>
    </row>
    <row r="70" spans="1:3" ht="25.5" x14ac:dyDescent="0.25">
      <c r="A70" s="7" t="s">
        <v>1555</v>
      </c>
      <c r="B70" s="7" t="s">
        <v>1556</v>
      </c>
      <c r="C70" s="7" t="s">
        <v>3397</v>
      </c>
    </row>
    <row r="71" spans="1:3" ht="25.5" x14ac:dyDescent="0.25">
      <c r="A71" s="7" t="s">
        <v>1147</v>
      </c>
      <c r="B71" s="7" t="s">
        <v>1569</v>
      </c>
      <c r="C71" s="7" t="s">
        <v>3398</v>
      </c>
    </row>
    <row r="72" spans="1:3" ht="25.5" x14ac:dyDescent="0.25">
      <c r="A72" s="7" t="s">
        <v>1147</v>
      </c>
      <c r="B72" s="7" t="s">
        <v>1579</v>
      </c>
      <c r="C72" s="7" t="s">
        <v>3399</v>
      </c>
    </row>
    <row r="73" spans="1:3" ht="25.5" x14ac:dyDescent="0.25">
      <c r="A73" s="7" t="s">
        <v>1589</v>
      </c>
      <c r="B73" s="7" t="s">
        <v>1590</v>
      </c>
      <c r="C73" s="7" t="s">
        <v>3400</v>
      </c>
    </row>
    <row r="74" spans="1:3" ht="25.5" x14ac:dyDescent="0.25">
      <c r="A74" s="7" t="s">
        <v>1045</v>
      </c>
      <c r="B74" s="7" t="s">
        <v>1600</v>
      </c>
      <c r="C74" s="7" t="s">
        <v>3401</v>
      </c>
    </row>
    <row r="75" spans="1:3" ht="25.5" x14ac:dyDescent="0.25">
      <c r="A75" s="7" t="s">
        <v>1611</v>
      </c>
      <c r="B75" s="7" t="s">
        <v>1612</v>
      </c>
      <c r="C75" s="7" t="s">
        <v>3402</v>
      </c>
    </row>
    <row r="76" spans="1:3" ht="25.5" x14ac:dyDescent="0.25">
      <c r="A76" s="7" t="s">
        <v>1623</v>
      </c>
      <c r="B76" s="7" t="s">
        <v>1624</v>
      </c>
      <c r="C76" s="7" t="s">
        <v>3403</v>
      </c>
    </row>
    <row r="77" spans="1:3" ht="25.5" x14ac:dyDescent="0.25">
      <c r="A77" s="7" t="s">
        <v>1634</v>
      </c>
      <c r="B77" s="7" t="s">
        <v>1635</v>
      </c>
      <c r="C77" s="7" t="s">
        <v>3404</v>
      </c>
    </row>
    <row r="78" spans="1:3" ht="25.5" x14ac:dyDescent="0.25">
      <c r="A78" s="7" t="s">
        <v>1647</v>
      </c>
      <c r="B78" s="7" t="s">
        <v>1648</v>
      </c>
      <c r="C78" s="7" t="s">
        <v>3405</v>
      </c>
    </row>
    <row r="79" spans="1:3" ht="25.5" x14ac:dyDescent="0.25">
      <c r="A79" s="7" t="s">
        <v>1657</v>
      </c>
      <c r="B79" s="7" t="s">
        <v>1658</v>
      </c>
      <c r="C79" s="7" t="s">
        <v>3406</v>
      </c>
    </row>
    <row r="80" spans="1:3" ht="25.5" x14ac:dyDescent="0.25">
      <c r="A80" s="7" t="s">
        <v>953</v>
      </c>
      <c r="B80" s="7" t="s">
        <v>1669</v>
      </c>
      <c r="C80" s="7" t="s">
        <v>3407</v>
      </c>
    </row>
    <row r="81" spans="1:3" ht="25.5" x14ac:dyDescent="0.25">
      <c r="A81" s="7" t="s">
        <v>1533</v>
      </c>
      <c r="B81" s="7" t="s">
        <v>1682</v>
      </c>
      <c r="C81" s="7" t="s">
        <v>3408</v>
      </c>
    </row>
    <row r="82" spans="1:3" ht="25.5" x14ac:dyDescent="0.25">
      <c r="A82" s="7" t="s">
        <v>1694</v>
      </c>
      <c r="B82" s="7" t="s">
        <v>1695</v>
      </c>
      <c r="C82" s="7" t="s">
        <v>3409</v>
      </c>
    </row>
    <row r="83" spans="1:3" ht="25.5" x14ac:dyDescent="0.25">
      <c r="A83" s="7" t="s">
        <v>1706</v>
      </c>
      <c r="B83" s="7" t="s">
        <v>1707</v>
      </c>
      <c r="C83" s="7" t="s">
        <v>3410</v>
      </c>
    </row>
    <row r="84" spans="1:3" ht="25.5" x14ac:dyDescent="0.25">
      <c r="A84" s="7" t="s">
        <v>1718</v>
      </c>
      <c r="B84" s="7" t="s">
        <v>1719</v>
      </c>
      <c r="C84" s="7" t="s">
        <v>3411</v>
      </c>
    </row>
    <row r="85" spans="1:3" ht="25.5" x14ac:dyDescent="0.25">
      <c r="A85" s="7" t="s">
        <v>1731</v>
      </c>
      <c r="B85" s="7" t="s">
        <v>1732</v>
      </c>
      <c r="C85" s="7" t="s">
        <v>3412</v>
      </c>
    </row>
    <row r="86" spans="1:3" ht="25.5" x14ac:dyDescent="0.25">
      <c r="A86" s="7" t="s">
        <v>1744</v>
      </c>
      <c r="B86" s="7" t="s">
        <v>1745</v>
      </c>
      <c r="C86" s="7" t="s">
        <v>3413</v>
      </c>
    </row>
    <row r="87" spans="1:3" x14ac:dyDescent="0.25">
      <c r="A87" s="7" t="s">
        <v>1457</v>
      </c>
      <c r="B87" s="7" t="s">
        <v>1756</v>
      </c>
      <c r="C87" s="7" t="s">
        <v>3414</v>
      </c>
    </row>
    <row r="88" spans="1:3" ht="25.5" x14ac:dyDescent="0.25">
      <c r="A88" s="7" t="s">
        <v>1005</v>
      </c>
      <c r="B88" s="7" t="s">
        <v>1766</v>
      </c>
      <c r="C88" s="7" t="s">
        <v>3415</v>
      </c>
    </row>
    <row r="89" spans="1:3" ht="25.5" x14ac:dyDescent="0.25">
      <c r="A89" s="7" t="s">
        <v>953</v>
      </c>
      <c r="B89" s="7" t="s">
        <v>1777</v>
      </c>
      <c r="C89" s="7" t="s">
        <v>3416</v>
      </c>
    </row>
    <row r="90" spans="1:3" ht="25.5" x14ac:dyDescent="0.25">
      <c r="A90" s="7" t="s">
        <v>1789</v>
      </c>
      <c r="B90" s="7" t="s">
        <v>1790</v>
      </c>
      <c r="C90" s="7" t="s">
        <v>3417</v>
      </c>
    </row>
    <row r="91" spans="1:3" x14ac:dyDescent="0.25">
      <c r="A91" s="7" t="s">
        <v>1181</v>
      </c>
      <c r="B91" s="7" t="s">
        <v>1803</v>
      </c>
      <c r="C91" s="7" t="s">
        <v>3418</v>
      </c>
    </row>
    <row r="92" spans="1:3" ht="25.5" x14ac:dyDescent="0.25">
      <c r="A92" s="7" t="s">
        <v>1469</v>
      </c>
      <c r="B92" s="7" t="s">
        <v>1813</v>
      </c>
      <c r="C92" s="7" t="s">
        <v>3419</v>
      </c>
    </row>
    <row r="93" spans="1:3" ht="25.5" x14ac:dyDescent="0.25">
      <c r="A93" s="7" t="s">
        <v>1457</v>
      </c>
      <c r="B93" s="7" t="s">
        <v>1824</v>
      </c>
      <c r="C93" s="7" t="s">
        <v>3420</v>
      </c>
    </row>
    <row r="94" spans="1:3" ht="25.5" x14ac:dyDescent="0.25">
      <c r="A94" s="7" t="s">
        <v>1834</v>
      </c>
      <c r="B94" s="7" t="s">
        <v>1835</v>
      </c>
      <c r="C94" s="7" t="s">
        <v>3421</v>
      </c>
    </row>
    <row r="95" spans="1:3" ht="25.5" x14ac:dyDescent="0.25">
      <c r="A95" s="7" t="s">
        <v>1005</v>
      </c>
      <c r="B95" s="7" t="s">
        <v>1847</v>
      </c>
      <c r="C95" s="7" t="s">
        <v>3422</v>
      </c>
    </row>
    <row r="96" spans="1:3" ht="25.5" x14ac:dyDescent="0.25">
      <c r="A96" s="7" t="s">
        <v>1858</v>
      </c>
      <c r="B96" s="7" t="s">
        <v>1859</v>
      </c>
      <c r="C96" s="7" t="s">
        <v>3423</v>
      </c>
    </row>
    <row r="97" spans="1:3" ht="25.5" x14ac:dyDescent="0.25">
      <c r="A97" s="7" t="s">
        <v>1871</v>
      </c>
      <c r="B97" s="7" t="s">
        <v>1872</v>
      </c>
      <c r="C97" s="7" t="s">
        <v>3424</v>
      </c>
    </row>
    <row r="98" spans="1:3" x14ac:dyDescent="0.25">
      <c r="A98" s="7" t="s">
        <v>1882</v>
      </c>
      <c r="B98" s="7" t="s">
        <v>1883</v>
      </c>
      <c r="C98" s="7" t="s">
        <v>3425</v>
      </c>
    </row>
    <row r="99" spans="1:3" ht="25.5" x14ac:dyDescent="0.25">
      <c r="A99" s="7" t="s">
        <v>1893</v>
      </c>
      <c r="B99" s="7" t="s">
        <v>1894</v>
      </c>
      <c r="C99" s="7" t="s">
        <v>3426</v>
      </c>
    </row>
    <row r="100" spans="1:3" ht="25.5" x14ac:dyDescent="0.25">
      <c r="A100" s="7" t="s">
        <v>1905</v>
      </c>
      <c r="B100" s="7" t="s">
        <v>1906</v>
      </c>
      <c r="C100" s="7" t="s">
        <v>3427</v>
      </c>
    </row>
    <row r="101" spans="1:3" ht="25.5" x14ac:dyDescent="0.25">
      <c r="A101" s="7" t="s">
        <v>1359</v>
      </c>
      <c r="B101" s="7" t="s">
        <v>1918</v>
      </c>
      <c r="C101" s="7" t="s">
        <v>3428</v>
      </c>
    </row>
    <row r="102" spans="1:3" ht="25.5" x14ac:dyDescent="0.25">
      <c r="A102" s="7" t="s">
        <v>1930</v>
      </c>
      <c r="B102" s="7" t="s">
        <v>1931</v>
      </c>
      <c r="C102" s="7" t="s">
        <v>3429</v>
      </c>
    </row>
    <row r="103" spans="1:3" ht="25.5" x14ac:dyDescent="0.25">
      <c r="A103" s="7" t="s">
        <v>1942</v>
      </c>
      <c r="B103" s="7" t="s">
        <v>1943</v>
      </c>
      <c r="C103" s="7" t="s">
        <v>3430</v>
      </c>
    </row>
    <row r="104" spans="1:3" x14ac:dyDescent="0.25">
      <c r="A104" s="7" t="s">
        <v>1955</v>
      </c>
      <c r="B104" s="7" t="s">
        <v>1956</v>
      </c>
      <c r="C104" s="7" t="s">
        <v>3431</v>
      </c>
    </row>
    <row r="105" spans="1:3" ht="25.5" x14ac:dyDescent="0.25">
      <c r="A105" s="7" t="s">
        <v>1967</v>
      </c>
      <c r="B105" s="7" t="s">
        <v>1968</v>
      </c>
      <c r="C105" s="7" t="s">
        <v>3432</v>
      </c>
    </row>
    <row r="106" spans="1:3" ht="25.5" x14ac:dyDescent="0.25">
      <c r="A106" s="7" t="s">
        <v>1981</v>
      </c>
      <c r="B106" s="7" t="s">
        <v>1982</v>
      </c>
      <c r="C106" s="7" t="s">
        <v>3433</v>
      </c>
    </row>
    <row r="107" spans="1:3" ht="25.5" x14ac:dyDescent="0.25">
      <c r="A107" s="7" t="s">
        <v>1744</v>
      </c>
      <c r="B107" s="7" t="s">
        <v>1992</v>
      </c>
      <c r="C107" s="7" t="s">
        <v>3434</v>
      </c>
    </row>
    <row r="108" spans="1:3" x14ac:dyDescent="0.25">
      <c r="A108" s="7" t="s">
        <v>1005</v>
      </c>
      <c r="B108" s="7" t="s">
        <v>2002</v>
      </c>
      <c r="C108" s="7" t="s">
        <v>3435</v>
      </c>
    </row>
    <row r="109" spans="1:3" ht="25.5" x14ac:dyDescent="0.25">
      <c r="A109" s="7" t="s">
        <v>2011</v>
      </c>
      <c r="B109" s="7" t="s">
        <v>2012</v>
      </c>
      <c r="C109" s="7" t="s">
        <v>3436</v>
      </c>
    </row>
    <row r="110" spans="1:3" x14ac:dyDescent="0.25">
      <c r="A110" s="7" t="s">
        <v>1005</v>
      </c>
      <c r="B110" s="7" t="s">
        <v>2022</v>
      </c>
      <c r="C110" s="7" t="s">
        <v>3437</v>
      </c>
    </row>
    <row r="111" spans="1:3" x14ac:dyDescent="0.25">
      <c r="A111" s="7" t="s">
        <v>1005</v>
      </c>
      <c r="B111" s="7" t="s">
        <v>2032</v>
      </c>
      <c r="C111" s="7" t="s">
        <v>3438</v>
      </c>
    </row>
    <row r="112" spans="1:3" ht="25.5" x14ac:dyDescent="0.25">
      <c r="A112" s="7" t="s">
        <v>2043</v>
      </c>
      <c r="B112" s="7" t="s">
        <v>2044</v>
      </c>
      <c r="C112" s="7" t="s">
        <v>3439</v>
      </c>
    </row>
    <row r="113" spans="1:3" ht="25.5" x14ac:dyDescent="0.25">
      <c r="A113" s="7" t="s">
        <v>2055</v>
      </c>
      <c r="B113" s="7" t="s">
        <v>2056</v>
      </c>
      <c r="C113" s="7" t="s">
        <v>3440</v>
      </c>
    </row>
    <row r="114" spans="1:3" ht="25.5" x14ac:dyDescent="0.25">
      <c r="A114" s="7" t="s">
        <v>2068</v>
      </c>
      <c r="B114" s="7" t="s">
        <v>2069</v>
      </c>
      <c r="C114" s="7" t="s">
        <v>3441</v>
      </c>
    </row>
    <row r="115" spans="1:3" ht="25.5" x14ac:dyDescent="0.25">
      <c r="A115" s="7" t="s">
        <v>2081</v>
      </c>
      <c r="B115" s="7" t="s">
        <v>2082</v>
      </c>
      <c r="C115" s="7" t="s">
        <v>3442</v>
      </c>
    </row>
    <row r="116" spans="1:3" ht="25.5" x14ac:dyDescent="0.25">
      <c r="A116" s="7" t="s">
        <v>1005</v>
      </c>
      <c r="B116" s="7" t="s">
        <v>2092</v>
      </c>
      <c r="C116" s="7" t="s">
        <v>3443</v>
      </c>
    </row>
    <row r="117" spans="1:3" ht="25.5" x14ac:dyDescent="0.25">
      <c r="A117" s="7" t="s">
        <v>1147</v>
      </c>
      <c r="B117" s="7" t="s">
        <v>2104</v>
      </c>
      <c r="C117" s="7" t="s">
        <v>3444</v>
      </c>
    </row>
    <row r="118" spans="1:3" ht="25.5" x14ac:dyDescent="0.25">
      <c r="A118" s="7" t="s">
        <v>1147</v>
      </c>
      <c r="B118" s="7" t="s">
        <v>2115</v>
      </c>
      <c r="C118" s="7" t="s">
        <v>3445</v>
      </c>
    </row>
    <row r="119" spans="1:3" ht="25.5" x14ac:dyDescent="0.25">
      <c r="A119" s="7" t="s">
        <v>2125</v>
      </c>
      <c r="B119" s="7" t="s">
        <v>2126</v>
      </c>
      <c r="C119" s="7" t="s">
        <v>3446</v>
      </c>
    </row>
    <row r="120" spans="1:3" ht="25.5" x14ac:dyDescent="0.25">
      <c r="A120" s="7" t="s">
        <v>2137</v>
      </c>
      <c r="B120" s="7" t="s">
        <v>2138</v>
      </c>
      <c r="C120" s="7" t="s">
        <v>3447</v>
      </c>
    </row>
    <row r="121" spans="1:3" ht="25.5" x14ac:dyDescent="0.25">
      <c r="A121" s="7" t="s">
        <v>1533</v>
      </c>
      <c r="B121" s="7" t="s">
        <v>2148</v>
      </c>
      <c r="C121" s="7" t="s">
        <v>3448</v>
      </c>
    </row>
    <row r="122" spans="1:3" ht="25.5" x14ac:dyDescent="0.25">
      <c r="A122" s="7" t="s">
        <v>1533</v>
      </c>
      <c r="B122" s="7" t="s">
        <v>2158</v>
      </c>
      <c r="C122" s="7" t="s">
        <v>3449</v>
      </c>
    </row>
    <row r="123" spans="1:3" x14ac:dyDescent="0.25">
      <c r="A123" s="7" t="s">
        <v>1005</v>
      </c>
      <c r="B123" s="7" t="s">
        <v>2168</v>
      </c>
      <c r="C123" s="7" t="s">
        <v>3450</v>
      </c>
    </row>
    <row r="124" spans="1:3" x14ac:dyDescent="0.25">
      <c r="A124" s="7" t="s">
        <v>1005</v>
      </c>
      <c r="B124" s="7" t="s">
        <v>2180</v>
      </c>
      <c r="C124" s="7" t="s">
        <v>3451</v>
      </c>
    </row>
    <row r="125" spans="1:3" ht="25.5" x14ac:dyDescent="0.25">
      <c r="A125" s="7" t="s">
        <v>1147</v>
      </c>
      <c r="B125" s="7" t="s">
        <v>2191</v>
      </c>
      <c r="C125" s="7" t="s">
        <v>3452</v>
      </c>
    </row>
    <row r="126" spans="1:3" ht="25.5" x14ac:dyDescent="0.25">
      <c r="A126" s="7" t="s">
        <v>1370</v>
      </c>
      <c r="B126" s="7" t="s">
        <v>2203</v>
      </c>
      <c r="C126" s="7" t="s">
        <v>3453</v>
      </c>
    </row>
    <row r="127" spans="1:3" ht="25.5" x14ac:dyDescent="0.25">
      <c r="A127" s="7" t="s">
        <v>2214</v>
      </c>
      <c r="B127" s="7" t="s">
        <v>2215</v>
      </c>
      <c r="C127" s="7" t="s">
        <v>3454</v>
      </c>
    </row>
    <row r="128" spans="1:3" ht="25.5" x14ac:dyDescent="0.25">
      <c r="A128" s="7" t="s">
        <v>1744</v>
      </c>
      <c r="B128" s="7" t="s">
        <v>2225</v>
      </c>
      <c r="C128" s="7" t="s">
        <v>3455</v>
      </c>
    </row>
    <row r="129" spans="1:3" ht="25.5" x14ac:dyDescent="0.25">
      <c r="A129" s="7" t="s">
        <v>1005</v>
      </c>
      <c r="B129" s="7" t="s">
        <v>2235</v>
      </c>
      <c r="C129" s="7" t="s">
        <v>3456</v>
      </c>
    </row>
    <row r="130" spans="1:3" ht="25.5" x14ac:dyDescent="0.25">
      <c r="A130" s="7" t="s">
        <v>1005</v>
      </c>
      <c r="B130" s="7" t="s">
        <v>2246</v>
      </c>
      <c r="C130" s="7" t="s">
        <v>3457</v>
      </c>
    </row>
    <row r="131" spans="1:3" ht="25.5" x14ac:dyDescent="0.25">
      <c r="A131" s="7" t="s">
        <v>1005</v>
      </c>
      <c r="B131" s="7" t="s">
        <v>2257</v>
      </c>
      <c r="C131" s="7" t="s">
        <v>3458</v>
      </c>
    </row>
    <row r="132" spans="1:3" ht="25.5" x14ac:dyDescent="0.25">
      <c r="A132" s="7" t="s">
        <v>1005</v>
      </c>
      <c r="B132" s="7" t="s">
        <v>2268</v>
      </c>
      <c r="C132" s="7" t="s">
        <v>3459</v>
      </c>
    </row>
    <row r="133" spans="1:3" ht="25.5" x14ac:dyDescent="0.25">
      <c r="A133" s="7" t="s">
        <v>1967</v>
      </c>
      <c r="B133" s="7" t="s">
        <v>2279</v>
      </c>
      <c r="C133" s="7" t="s">
        <v>3460</v>
      </c>
    </row>
    <row r="134" spans="1:3" ht="25.5" x14ac:dyDescent="0.25">
      <c r="A134" s="7" t="s">
        <v>1005</v>
      </c>
      <c r="B134" s="7" t="s">
        <v>2290</v>
      </c>
      <c r="C134" s="7" t="s">
        <v>3461</v>
      </c>
    </row>
    <row r="135" spans="1:3" ht="25.5" x14ac:dyDescent="0.25">
      <c r="A135" s="7" t="s">
        <v>1447</v>
      </c>
      <c r="B135" s="7" t="s">
        <v>2301</v>
      </c>
      <c r="C135" s="7" t="s">
        <v>3462</v>
      </c>
    </row>
    <row r="136" spans="1:3" ht="25.5" x14ac:dyDescent="0.25">
      <c r="A136" s="7" t="s">
        <v>1005</v>
      </c>
      <c r="B136" s="7" t="s">
        <v>2312</v>
      </c>
      <c r="C136" s="7" t="s">
        <v>3463</v>
      </c>
    </row>
    <row r="137" spans="1:3" ht="25.5" x14ac:dyDescent="0.25">
      <c r="A137" s="7" t="s">
        <v>2321</v>
      </c>
      <c r="B137" s="7" t="s">
        <v>2322</v>
      </c>
      <c r="C137" s="7" t="s">
        <v>3464</v>
      </c>
    </row>
    <row r="138" spans="1:3" ht="25.5" x14ac:dyDescent="0.25">
      <c r="A138" s="7" t="s">
        <v>1147</v>
      </c>
      <c r="B138" s="7" t="s">
        <v>2333</v>
      </c>
      <c r="C138" s="7" t="s">
        <v>3465</v>
      </c>
    </row>
    <row r="139" spans="1:3" ht="25.5" x14ac:dyDescent="0.25">
      <c r="A139" s="7" t="s">
        <v>1005</v>
      </c>
      <c r="B139" s="7" t="s">
        <v>2344</v>
      </c>
      <c r="C139" s="7" t="s">
        <v>3466</v>
      </c>
    </row>
    <row r="140" spans="1:3" ht="25.5" x14ac:dyDescent="0.25">
      <c r="A140" s="7" t="s">
        <v>1005</v>
      </c>
      <c r="B140" s="7" t="s">
        <v>2355</v>
      </c>
      <c r="C140" s="7" t="s">
        <v>3467</v>
      </c>
    </row>
    <row r="141" spans="1:3" ht="25.5" x14ac:dyDescent="0.25">
      <c r="A141" s="7" t="s">
        <v>1789</v>
      </c>
      <c r="B141" s="7" t="s">
        <v>2365</v>
      </c>
      <c r="C141" s="7" t="s">
        <v>3468</v>
      </c>
    </row>
    <row r="142" spans="1:3" ht="25.5" x14ac:dyDescent="0.25">
      <c r="A142" s="7" t="s">
        <v>2376</v>
      </c>
      <c r="B142" s="7" t="s">
        <v>2377</v>
      </c>
      <c r="C142" s="7" t="s">
        <v>3469</v>
      </c>
    </row>
    <row r="143" spans="1:3" ht="25.5" x14ac:dyDescent="0.25">
      <c r="A143" s="7" t="s">
        <v>2388</v>
      </c>
      <c r="B143" s="7" t="s">
        <v>2389</v>
      </c>
      <c r="C143" s="7" t="s">
        <v>3470</v>
      </c>
    </row>
    <row r="144" spans="1:3" ht="25.5" x14ac:dyDescent="0.25">
      <c r="A144" s="7" t="s">
        <v>1469</v>
      </c>
      <c r="B144" s="7" t="s">
        <v>2400</v>
      </c>
      <c r="C144" s="7" t="s">
        <v>3471</v>
      </c>
    </row>
    <row r="145" spans="1:3" x14ac:dyDescent="0.25">
      <c r="A145" s="7" t="s">
        <v>2411</v>
      </c>
      <c r="B145" s="7" t="s">
        <v>2412</v>
      </c>
      <c r="C145" s="7" t="s">
        <v>3472</v>
      </c>
    </row>
    <row r="146" spans="1:3" ht="25.5" x14ac:dyDescent="0.25">
      <c r="A146" s="7" t="s">
        <v>1264</v>
      </c>
      <c r="B146" s="7" t="s">
        <v>2423</v>
      </c>
      <c r="C146" s="7" t="s">
        <v>3473</v>
      </c>
    </row>
    <row r="147" spans="1:3" ht="25.5" x14ac:dyDescent="0.25">
      <c r="A147" s="7" t="s">
        <v>2434</v>
      </c>
      <c r="B147" s="7" t="s">
        <v>2435</v>
      </c>
      <c r="C147" s="7" t="s">
        <v>3474</v>
      </c>
    </row>
    <row r="148" spans="1:3" ht="25.5" x14ac:dyDescent="0.25">
      <c r="A148" s="7" t="s">
        <v>2434</v>
      </c>
      <c r="B148" s="7" t="s">
        <v>2446</v>
      </c>
      <c r="C148" s="7" t="s">
        <v>3475</v>
      </c>
    </row>
    <row r="149" spans="1:3" ht="25.5" x14ac:dyDescent="0.25">
      <c r="A149" s="7" t="s">
        <v>2456</v>
      </c>
      <c r="B149" s="7" t="s">
        <v>2457</v>
      </c>
      <c r="C149" s="7" t="s">
        <v>3476</v>
      </c>
    </row>
    <row r="150" spans="1:3" ht="25.5" x14ac:dyDescent="0.25">
      <c r="A150" s="7" t="s">
        <v>2469</v>
      </c>
      <c r="B150" s="7" t="s">
        <v>2470</v>
      </c>
      <c r="C150" s="7" t="s">
        <v>3477</v>
      </c>
    </row>
    <row r="151" spans="1:3" ht="25.5" x14ac:dyDescent="0.25">
      <c r="A151" s="7" t="s">
        <v>1405</v>
      </c>
      <c r="B151" s="7" t="s">
        <v>2481</v>
      </c>
      <c r="C151" s="7" t="s">
        <v>3478</v>
      </c>
    </row>
    <row r="152" spans="1:3" ht="25.5" x14ac:dyDescent="0.25">
      <c r="A152" s="7" t="s">
        <v>1045</v>
      </c>
      <c r="B152" s="7" t="s">
        <v>2503</v>
      </c>
      <c r="C152" s="7" t="s">
        <v>3479</v>
      </c>
    </row>
    <row r="153" spans="1:3" ht="25.5" x14ac:dyDescent="0.25">
      <c r="A153" s="7" t="s">
        <v>1005</v>
      </c>
      <c r="B153" s="7" t="s">
        <v>2514</v>
      </c>
      <c r="C153" s="7" t="s">
        <v>3480</v>
      </c>
    </row>
    <row r="154" spans="1:3" ht="25.5" x14ac:dyDescent="0.25">
      <c r="A154" s="7" t="s">
        <v>2526</v>
      </c>
      <c r="B154" s="7" t="s">
        <v>2527</v>
      </c>
      <c r="C154" s="7" t="s">
        <v>3481</v>
      </c>
    </row>
    <row r="155" spans="1:3" ht="25.5" x14ac:dyDescent="0.25">
      <c r="A155" s="7" t="s">
        <v>2434</v>
      </c>
      <c r="B155" s="7" t="s">
        <v>2538</v>
      </c>
      <c r="C155" s="7" t="s">
        <v>3482</v>
      </c>
    </row>
    <row r="156" spans="1:3" ht="25.5" x14ac:dyDescent="0.25">
      <c r="A156" s="7" t="s">
        <v>2434</v>
      </c>
      <c r="B156" s="7" t="s">
        <v>2548</v>
      </c>
      <c r="C156" s="7" t="s">
        <v>3483</v>
      </c>
    </row>
    <row r="157" spans="1:3" ht="25.5" x14ac:dyDescent="0.25">
      <c r="A157" s="7" t="s">
        <v>2558</v>
      </c>
      <c r="B157" s="7" t="s">
        <v>2559</v>
      </c>
      <c r="C157" s="7" t="s">
        <v>3484</v>
      </c>
    </row>
    <row r="158" spans="1:3" ht="25.5" x14ac:dyDescent="0.25">
      <c r="A158" s="7" t="s">
        <v>1359</v>
      </c>
      <c r="B158" s="7" t="s">
        <v>2570</v>
      </c>
      <c r="C158" s="7" t="s">
        <v>3485</v>
      </c>
    </row>
    <row r="159" spans="1:3" ht="25.5" x14ac:dyDescent="0.25">
      <c r="A159" s="7" t="s">
        <v>2434</v>
      </c>
      <c r="B159" s="7" t="s">
        <v>2582</v>
      </c>
      <c r="C159" s="7" t="s">
        <v>3486</v>
      </c>
    </row>
    <row r="160" spans="1:3" ht="25.5" x14ac:dyDescent="0.25">
      <c r="A160" s="7" t="s">
        <v>1457</v>
      </c>
      <c r="B160" s="7" t="s">
        <v>2592</v>
      </c>
      <c r="C160" s="7" t="s">
        <v>3487</v>
      </c>
    </row>
    <row r="161" spans="1:3" ht="25.5" x14ac:dyDescent="0.25">
      <c r="A161" s="7" t="s">
        <v>1893</v>
      </c>
      <c r="B161" s="7" t="s">
        <v>2604</v>
      </c>
      <c r="C161" s="7" t="s">
        <v>3488</v>
      </c>
    </row>
    <row r="162" spans="1:3" ht="25.5" x14ac:dyDescent="0.25">
      <c r="A162" s="7" t="s">
        <v>1405</v>
      </c>
      <c r="B162" s="7" t="s">
        <v>2615</v>
      </c>
      <c r="C162" s="7" t="s">
        <v>3489</v>
      </c>
    </row>
    <row r="163" spans="1:3" ht="25.5" x14ac:dyDescent="0.25">
      <c r="A163" s="7" t="s">
        <v>2626</v>
      </c>
      <c r="B163" s="7" t="s">
        <v>2627</v>
      </c>
      <c r="C163" s="7" t="s">
        <v>3490</v>
      </c>
    </row>
    <row r="164" spans="1:3" ht="25.5" x14ac:dyDescent="0.25">
      <c r="A164" s="7" t="s">
        <v>2638</v>
      </c>
      <c r="B164" s="7" t="s">
        <v>2639</v>
      </c>
      <c r="C164" s="7" t="s">
        <v>3491</v>
      </c>
    </row>
    <row r="165" spans="1:3" ht="25.5" x14ac:dyDescent="0.25">
      <c r="A165" s="7" t="s">
        <v>1967</v>
      </c>
      <c r="B165" s="7" t="s">
        <v>2650</v>
      </c>
      <c r="C165" s="7" t="s">
        <v>3492</v>
      </c>
    </row>
    <row r="166" spans="1:3" ht="25.5" x14ac:dyDescent="0.25">
      <c r="A166" s="7" t="s">
        <v>1181</v>
      </c>
      <c r="B166" s="7" t="s">
        <v>2661</v>
      </c>
      <c r="C166" s="7" t="s">
        <v>3493</v>
      </c>
    </row>
    <row r="167" spans="1:3" ht="25.5" x14ac:dyDescent="0.25">
      <c r="A167" s="7" t="s">
        <v>1147</v>
      </c>
      <c r="B167" s="7" t="s">
        <v>2673</v>
      </c>
      <c r="C167" s="7" t="s">
        <v>3494</v>
      </c>
    </row>
    <row r="168" spans="1:3" ht="25.5" x14ac:dyDescent="0.25">
      <c r="A168" s="7" t="s">
        <v>1731</v>
      </c>
      <c r="B168" s="7" t="s">
        <v>2683</v>
      </c>
      <c r="C168" s="7" t="s">
        <v>3495</v>
      </c>
    </row>
    <row r="169" spans="1:3" x14ac:dyDescent="0.25">
      <c r="A169" s="7" t="s">
        <v>2693</v>
      </c>
      <c r="B169" s="7" t="s">
        <v>2694</v>
      </c>
      <c r="C169" s="7" t="s">
        <v>3496</v>
      </c>
    </row>
    <row r="170" spans="1:3" ht="25.5" x14ac:dyDescent="0.25">
      <c r="A170" s="7" t="s">
        <v>1457</v>
      </c>
      <c r="B170" s="7" t="s">
        <v>2702</v>
      </c>
      <c r="C170" s="7" t="s">
        <v>3497</v>
      </c>
    </row>
    <row r="171" spans="1:3" ht="25.5" x14ac:dyDescent="0.25">
      <c r="A171" s="7" t="s">
        <v>953</v>
      </c>
      <c r="B171" s="7" t="s">
        <v>2713</v>
      </c>
      <c r="C171" s="7" t="s">
        <v>3498</v>
      </c>
    </row>
    <row r="172" spans="1:3" ht="25.5" x14ac:dyDescent="0.25">
      <c r="A172" s="7" t="s">
        <v>1181</v>
      </c>
      <c r="B172" s="7" t="s">
        <v>2724</v>
      </c>
      <c r="C172" s="7" t="s">
        <v>3499</v>
      </c>
    </row>
    <row r="173" spans="1:3" x14ac:dyDescent="0.25">
      <c r="A173" s="7" t="s">
        <v>3500</v>
      </c>
      <c r="B173" s="7" t="s">
        <v>3501</v>
      </c>
      <c r="C173" s="7" t="s">
        <v>3502</v>
      </c>
    </row>
    <row r="174" spans="1:3" ht="25.5" x14ac:dyDescent="0.25">
      <c r="A174" s="7" t="s">
        <v>3503</v>
      </c>
      <c r="B174" s="7" t="s">
        <v>3504</v>
      </c>
      <c r="C174" s="7" t="s">
        <v>3505</v>
      </c>
    </row>
    <row r="175" spans="1:3" ht="25.5" x14ac:dyDescent="0.25">
      <c r="A175" s="7" t="s">
        <v>3506</v>
      </c>
      <c r="B175" s="7" t="s">
        <v>3507</v>
      </c>
      <c r="C175" s="7" t="s">
        <v>3508</v>
      </c>
    </row>
  </sheetData>
  <autoFilter ref="A1:C175" xr:uid="{00000000-0009-0000-0000-000008000000}"/>
  <hyperlinks>
    <hyperlink ref="B2" r:id="rId1" xr:uid="{00000000-0004-0000-0800-000000000000}"/>
    <hyperlink ref="B3" r:id="rId2" xr:uid="{00000000-0004-0000-0800-000001000000}"/>
    <hyperlink ref="B4" r:id="rId3" xr:uid="{00000000-0004-0000-0800-000002000000}"/>
    <hyperlink ref="B5" r:id="rId4" xr:uid="{00000000-0004-0000-0800-000003000000}"/>
    <hyperlink ref="B6" r:id="rId5" xr:uid="{00000000-0004-0000-0800-000004000000}"/>
    <hyperlink ref="B7" r:id="rId6" xr:uid="{00000000-0004-0000-0800-000005000000}"/>
    <hyperlink ref="B8" r:id="rId7" xr:uid="{00000000-0004-0000-0800-000006000000}"/>
    <hyperlink ref="B9" r:id="rId8" xr:uid="{00000000-0004-0000-0800-000007000000}"/>
    <hyperlink ref="B10" r:id="rId9" xr:uid="{00000000-0004-0000-0800-000008000000}"/>
    <hyperlink ref="B11" r:id="rId10" xr:uid="{00000000-0004-0000-0800-000009000000}"/>
    <hyperlink ref="B12" r:id="rId11" xr:uid="{00000000-0004-0000-0800-00000A000000}"/>
    <hyperlink ref="B13" r:id="rId12" xr:uid="{00000000-0004-0000-0800-00000B000000}"/>
    <hyperlink ref="B14" r:id="rId13" xr:uid="{00000000-0004-0000-0800-00000C000000}"/>
    <hyperlink ref="B15" r:id="rId14" xr:uid="{00000000-0004-0000-0800-00000D000000}"/>
    <hyperlink ref="B16" r:id="rId15" xr:uid="{00000000-0004-0000-0800-00000E000000}"/>
    <hyperlink ref="B17" r:id="rId16" xr:uid="{00000000-0004-0000-0800-00000F000000}"/>
    <hyperlink ref="B18" r:id="rId17" xr:uid="{00000000-0004-0000-0800-000010000000}"/>
  </hyperlink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Start Here</vt:lpstr>
      <vt:lpstr>Produce</vt:lpstr>
      <vt:lpstr>Seasonal Calendar</vt:lpstr>
      <vt:lpstr>Nutrition</vt:lpstr>
      <vt:lpstr>Recipes</vt:lpstr>
      <vt:lpstr>Recipe Ingredients</vt:lpstr>
      <vt:lpstr>Box Ideas</vt:lpstr>
      <vt:lpstr>Market Scan</vt:lpstr>
      <vt:lpstr>Sources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Brendon</cp:lastModifiedBy>
  <cp:revision>0</cp:revision>
  <dcterms:created xsi:type="dcterms:W3CDTF">2026-10-11T06:31:49Z</dcterms:created>
  <dcterms:modified xsi:type="dcterms:W3CDTF">2026-10-24T14:01:52Z</dcterms:modified>
  <dc:language>en-US</dc:language>
</cp:coreProperties>
</file>