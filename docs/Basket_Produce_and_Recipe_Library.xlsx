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tart Here" sheetId="1" state="visible" r:id="rId1"/>
    <sheet name="Produce" sheetId="2" state="visible" r:id="rId2"/>
    <sheet name="Seasonal Calendar" sheetId="3" state="visible" r:id="rId3"/>
    <sheet name="Recipes" sheetId="4" state="visible" r:id="rId4"/>
    <sheet name="Recipe Ingredients" sheetId="5" state="visible" r:id="rId5"/>
    <sheet name="Box Ideas" sheetId="6" state="visible" r:id="rId6"/>
    <sheet name="Market Scan" sheetId="7" state="visible" r:id="rId7"/>
    <sheet name="Sources" sheetId="8" state="visible" r:id="rId8"/>
  </sheets>
  <definedNames>
    <definedName name="_xlnm._FilterDatabase" localSheetId="1" hidden="1">'Produce'!$A$1:$X$85</definedName>
    <definedName name="_xlnm._FilterDatabase" localSheetId="2" hidden="1">'Seasonal Calendar'!$A$1:$P$85</definedName>
    <definedName name="_xlnm._FilterDatabase" localSheetId="3" hidden="1">'Recipes'!$A$1:$X$91</definedName>
    <definedName name="_xlnm._FilterDatabase" localSheetId="4" hidden="1">'Recipe Ingredients'!$A$1:$H$799</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
  </numFmts>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1F3D2B"/>
      <sz val="18"/>
    </font>
    <font>
      <name val="Arial"/>
      <charset val="1"/>
      <family val="0"/>
      <i val="1"/>
      <color rgb="FF555555"/>
      <sz val="10"/>
    </font>
    <font>
      <name val="Arial"/>
      <charset val="1"/>
      <family val="0"/>
      <b val="1"/>
      <color rgb="FF1F3D2B"/>
      <sz val="12"/>
    </font>
    <font>
      <name val="Arial"/>
      <charset val="1"/>
      <family val="0"/>
      <b val="1"/>
      <sz val="10"/>
    </font>
    <font>
      <name val="Arial"/>
      <charset val="1"/>
      <family val="0"/>
      <color rgb="FF0000FF"/>
      <sz val="10"/>
    </font>
    <font>
      <name val="Arial"/>
      <charset val="1"/>
      <family val="0"/>
      <sz val="10"/>
    </font>
    <font>
      <name val="Arial"/>
      <charset val="1"/>
      <family val="0"/>
      <b val="1"/>
      <color rgb="FFFFFFFF"/>
      <sz val="10"/>
    </font>
    <font>
      <name val="Arial"/>
      <charset val="1"/>
      <family val="0"/>
      <i val="1"/>
      <color rgb="FF555555"/>
      <sz val="9"/>
    </font>
    <font>
      <name val="Arial"/>
      <charset val="1"/>
      <family val="0"/>
      <color rgb="FF1155CC"/>
      <sz val="10"/>
      <u val="single"/>
    </font>
  </fonts>
  <fills count="4">
    <fill>
      <patternFill/>
    </fill>
    <fill>
      <patternFill patternType="gray125"/>
    </fill>
    <fill>
      <patternFill patternType="solid">
        <fgColor rgb="FFFFF2B3"/>
        <bgColor rgb="FFFFFF99"/>
      </patternFill>
    </fill>
    <fill>
      <patternFill patternType="solid">
        <fgColor rgb="FF1F3D2B"/>
        <bgColor rgb="FF333300"/>
      </patternFill>
    </fill>
  </fills>
  <borders count="2">
    <border>
      <left/>
      <right/>
      <top/>
      <bottom/>
      <diagonal/>
    </border>
    <border>
      <left/>
      <right/>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0">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9" fontId="8" fillId="2" borderId="0" applyAlignment="1" pivotButton="0" quotePrefix="0" xfId="0">
      <alignment horizontal="general" vertical="bottom"/>
    </xf>
    <xf numFmtId="0" fontId="9" fillId="0" borderId="0" applyAlignment="1" pivotButton="0" quotePrefix="0" xfId="0">
      <alignment horizontal="general" vertical="top" wrapText="1"/>
    </xf>
    <xf numFmtId="0" fontId="9" fillId="0" borderId="0" applyAlignment="1" pivotButton="0" quotePrefix="0" xfId="0">
      <alignment horizontal="general" vertical="bottom"/>
    </xf>
    <xf numFmtId="1" fontId="7" fillId="0" borderId="0" applyAlignment="1" pivotButton="0" quotePrefix="0" xfId="0">
      <alignment horizontal="left" vertical="bottom"/>
    </xf>
    <xf numFmtId="9" fontId="7" fillId="0" borderId="0" applyAlignment="1" pivotButton="0" quotePrefix="0" xfId="0">
      <alignment horizontal="left" vertical="bottom"/>
    </xf>
    <xf numFmtId="0" fontId="9" fillId="0" borderId="0" applyAlignment="1" pivotButton="0" quotePrefix="0" xfId="0">
      <alignment horizontal="general" vertical="top" wrapText="1"/>
    </xf>
    <xf numFmtId="0" fontId="10" fillId="3" borderId="0" applyAlignment="1" pivotButton="0" quotePrefix="0" xfId="0">
      <alignment horizontal="general" vertical="center" wrapText="1"/>
    </xf>
    <xf numFmtId="0" fontId="9" fillId="0" borderId="1" applyAlignment="1" pivotButton="0" quotePrefix="0" xfId="0">
      <alignment horizontal="general" vertical="top"/>
    </xf>
    <xf numFmtId="0" fontId="7" fillId="0" borderId="1" applyAlignment="1" pivotButton="0" quotePrefix="0" xfId="0">
      <alignment horizontal="general" vertical="top"/>
    </xf>
    <xf numFmtId="0" fontId="9" fillId="0" borderId="1" applyAlignment="1" pivotButton="0" quotePrefix="0" xfId="0">
      <alignment horizontal="general" vertical="top" wrapText="1"/>
    </xf>
    <xf numFmtId="3" fontId="8" fillId="0" borderId="1" applyAlignment="1" pivotButton="0" quotePrefix="0" xfId="0">
      <alignment horizontal="general" vertical="top"/>
    </xf>
    <xf numFmtId="3" fontId="9" fillId="2" borderId="1" applyAlignment="1" pivotButton="0" quotePrefix="0" xfId="0">
      <alignment horizontal="general" vertical="top"/>
    </xf>
    <xf numFmtId="0" fontId="9" fillId="2" borderId="1" applyAlignment="1" pivotButton="0" quotePrefix="0" xfId="0">
      <alignment horizontal="general" vertical="top"/>
    </xf>
    <xf numFmtId="0" fontId="9" fillId="0" borderId="1" applyAlignment="1" pivotButton="0" quotePrefix="0" xfId="0">
      <alignment horizontal="center" vertical="top"/>
    </xf>
    <xf numFmtId="0" fontId="11" fillId="0" borderId="0" applyAlignment="1" pivotButton="0" quotePrefix="0" xfId="0">
      <alignment horizontal="general" vertical="bottom"/>
    </xf>
    <xf numFmtId="0" fontId="8" fillId="0" borderId="1" applyAlignment="1" pivotButton="0" quotePrefix="0" xfId="0">
      <alignment horizontal="general" vertical="top"/>
    </xf>
    <xf numFmtId="9" fontId="9" fillId="0" borderId="1" applyAlignment="1" pivotButton="0" quotePrefix="0" xfId="0">
      <alignment horizontal="general" vertical="top"/>
    </xf>
    <xf numFmtId="164" fontId="9" fillId="0" borderId="1" applyAlignment="1" pivotButton="0" quotePrefix="0" xfId="0">
      <alignment horizontal="general" vertical="top"/>
    </xf>
    <xf numFmtId="0" fontId="7" fillId="0" borderId="1" applyAlignment="1" pivotButton="0" quotePrefix="0" xfId="0">
      <alignment horizontal="general" vertical="top" wrapText="1"/>
    </xf>
    <xf numFmtId="0" fontId="12" fillId="0" borderId="1" applyAlignment="1" pivotButton="0" quotePrefix="0" xfId="0">
      <alignment horizontal="general" vertical="top"/>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9" fontId="8" fillId="2" borderId="0" applyAlignment="1" pivotButton="0" quotePrefix="0" xfId="0">
      <alignment horizontal="general" vertical="bottom"/>
    </xf>
    <xf numFmtId="0" fontId="9" fillId="0" borderId="0" applyAlignment="1" pivotButton="0" quotePrefix="0" xfId="0">
      <alignment horizontal="general" vertical="top" wrapText="1"/>
    </xf>
    <xf numFmtId="0" fontId="9" fillId="0" borderId="0" applyAlignment="1" pivotButton="0" quotePrefix="0" xfId="0">
      <alignment horizontal="general" vertical="bottom"/>
    </xf>
    <xf numFmtId="1" fontId="7" fillId="0" borderId="0" applyAlignment="1" pivotButton="0" quotePrefix="0" xfId="0">
      <alignment horizontal="left" vertical="bottom"/>
    </xf>
    <xf numFmtId="9" fontId="7" fillId="0" borderId="0" applyAlignment="1" pivotButton="0" quotePrefix="0" xfId="0">
      <alignment horizontal="left" vertical="bottom"/>
    </xf>
    <xf numFmtId="0" fontId="10" fillId="3" borderId="0" applyAlignment="1" pivotButton="0" quotePrefix="0" xfId="0">
      <alignment horizontal="general" vertical="center" wrapText="1"/>
    </xf>
    <xf numFmtId="0" fontId="9" fillId="0" borderId="1" applyAlignment="1" pivotButton="0" quotePrefix="0" xfId="0">
      <alignment horizontal="general" vertical="top"/>
    </xf>
    <xf numFmtId="0" fontId="7" fillId="0" borderId="1" applyAlignment="1" pivotButton="0" quotePrefix="0" xfId="0">
      <alignment horizontal="general" vertical="top"/>
    </xf>
    <xf numFmtId="0" fontId="9" fillId="0" borderId="1" applyAlignment="1" pivotButton="0" quotePrefix="0" xfId="0">
      <alignment horizontal="general" vertical="top" wrapText="1"/>
    </xf>
    <xf numFmtId="3" fontId="8" fillId="0" borderId="1" applyAlignment="1" pivotButton="0" quotePrefix="0" xfId="0">
      <alignment horizontal="general" vertical="top"/>
    </xf>
    <xf numFmtId="3" fontId="9" fillId="2" borderId="1" applyAlignment="1" pivotButton="0" quotePrefix="0" xfId="0">
      <alignment horizontal="general" vertical="top"/>
    </xf>
    <xf numFmtId="0" fontId="9" fillId="2" borderId="1" applyAlignment="1" pivotButton="0" quotePrefix="0" xfId="0">
      <alignment horizontal="general" vertical="top"/>
    </xf>
    <xf numFmtId="0" fontId="9" fillId="0" borderId="1" applyAlignment="1" pivotButton="0" quotePrefix="0" xfId="0">
      <alignment horizontal="center" vertical="top"/>
    </xf>
    <xf numFmtId="0" fontId="11" fillId="0" borderId="0" applyAlignment="1" pivotButton="0" quotePrefix="0" xfId="0">
      <alignment horizontal="general" vertical="bottom"/>
    </xf>
    <xf numFmtId="0" fontId="8" fillId="0" borderId="1" applyAlignment="1" pivotButton="0" quotePrefix="0" xfId="0">
      <alignment horizontal="general" vertical="top"/>
    </xf>
    <xf numFmtId="9" fontId="9" fillId="0" borderId="1" applyAlignment="1" pivotButton="0" quotePrefix="0" xfId="0">
      <alignment horizontal="general" vertical="top"/>
    </xf>
    <xf numFmtId="164" fontId="9" fillId="0" borderId="1" applyAlignment="1" pivotButton="0" quotePrefix="0" xfId="0">
      <alignment horizontal="general" vertical="top"/>
    </xf>
    <xf numFmtId="0" fontId="7" fillId="0" borderId="1" applyAlignment="1" pivotButton="0" quotePrefix="0" xfId="0">
      <alignment horizontal="general" vertical="top" wrapText="1"/>
    </xf>
    <xf numFmtId="0" fontId="12" fillId="0" borderId="1" applyAlignment="1" pivotButton="0" quotePrefix="0" xfId="0">
      <alignment horizontal="general"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8">
    <dxf>
      <fill>
        <patternFill patternType="solid">
          <fgColor rgb="FF1F3D2B"/>
          <bgColor rgb="FF000000"/>
        </patternFill>
      </fill>
    </dxf>
    <dxf>
      <fill>
        <patternFill patternType="solid">
          <bgColor rgb="FF000000"/>
        </patternFill>
      </fill>
    </dxf>
    <dxf>
      <fill>
        <patternFill patternType="solid">
          <fgColor rgb="FFFFFFFF"/>
          <bgColor rgb="FF000000"/>
        </patternFill>
      </fill>
    </dxf>
    <dxf>
      <fill>
        <patternFill patternType="solid">
          <fgColor rgb="FF6FA35A"/>
          <bgColor rgb="FF000000"/>
        </patternFill>
      </fill>
    </dxf>
    <dxf>
      <fill>
        <patternFill patternType="solid">
          <fgColor rgb="FFCFE5C3"/>
          <bgColor rgb="FF000000"/>
        </patternFill>
      </fill>
    </dxf>
    <dxf>
      <fill>
        <patternFill patternType="solid">
          <fgColor rgb="FF999999"/>
          <bgColor rgb="FF000000"/>
        </patternFill>
      </fill>
    </dxf>
    <dxf>
      <fill>
        <patternFill patternType="solid">
          <fgColor rgb="FF0000FF"/>
          <bgColor rgb="FF000000"/>
        </patternFill>
      </fill>
    </dxf>
    <dxf>
      <fill>
        <patternFill patternType="solid">
          <fgColor rgb="FFFFF2B3"/>
          <bgColor rgb="FF000000"/>
        </patternFill>
      </fill>
    </dxf>
    <dxf>
      <font>
        <name val="Arial"/>
        <charset val="1"/>
        <family val="0"/>
        <b val="1"/>
        <color rgb="FFFFFFFF"/>
      </font>
      <fill>
        <patternFill>
          <bgColor rgb="FF6FA35A"/>
        </patternFill>
      </fill>
    </dxf>
    <dxf>
      <fill>
        <patternFill>
          <bgColor rgb="FFCFE5C3"/>
        </patternFill>
      </fill>
    </dxf>
    <dxf>
      <font>
        <name val="Arial"/>
        <charset val="1"/>
        <family val="0"/>
        <color rgb="FF999999"/>
      </font>
    </dxf>
    <dxf>
      <fill>
        <patternFill patternType="solid">
          <fgColor rgb="FF3A6B2E"/>
          <bgColor rgb="FF000000"/>
        </patternFill>
      </fill>
    </dxf>
    <dxf>
      <font>
        <name val="Arial"/>
        <charset val="1"/>
        <family val="0"/>
        <b val="1"/>
        <color rgb="FFFFFFFF"/>
        <sz val="9"/>
      </font>
      <fill>
        <patternFill>
          <bgColor rgb="FF6FA35A"/>
        </patternFill>
      </fill>
    </dxf>
    <dxf>
      <font>
        <name val="Arial"/>
        <charset val="1"/>
        <family val="0"/>
        <color rgb="FF3A6B2E"/>
        <sz val="9"/>
      </font>
      <fill>
        <patternFill>
          <bgColor rgb="FFCFE5C3"/>
        </patternFill>
      </fill>
    </dxf>
    <dxf>
      <fill>
        <patternFill patternType="solid">
          <fgColor rgb="FFA9D18E"/>
          <bgColor rgb="FF000000"/>
        </patternFill>
      </fill>
    </dxf>
    <dxf>
      <fill>
        <patternFill patternType="solid">
          <fgColor rgb="FFC9DE9C"/>
          <bgColor rgb="FF000000"/>
        </patternFill>
      </fill>
    </dxf>
    <dxf>
      <fill>
        <patternFill patternType="solid">
          <fgColor rgb="FFCDDF9E"/>
          <bgColor rgb="FF000000"/>
        </patternFill>
      </fill>
    </dxf>
    <dxf>
      <fill>
        <patternFill patternType="solid">
          <fgColor rgb="FFD2E1A0"/>
          <bgColor rgb="FF000000"/>
        </patternFill>
      </fill>
    </dxf>
    <dxf>
      <fill>
        <patternFill patternType="solid">
          <fgColor rgb="FFD9E4A3"/>
          <bgColor rgb="FF000000"/>
        </patternFill>
      </fill>
    </dxf>
    <dxf>
      <fill>
        <patternFill patternType="solid">
          <fgColor rgb="FFE3E7A7"/>
          <bgColor rgb="FF000000"/>
        </patternFill>
      </fill>
    </dxf>
    <dxf>
      <fill>
        <patternFill patternType="solid">
          <fgColor rgb="FFE9EAAA"/>
          <bgColor rgb="FF000000"/>
        </patternFill>
      </fill>
    </dxf>
    <dxf>
      <fill>
        <patternFill patternType="solid">
          <fgColor rgb="FFF1EDAD"/>
          <bgColor rgb="FF000000"/>
        </patternFill>
      </fill>
    </dxf>
    <dxf>
      <fill>
        <patternFill patternType="solid">
          <fgColor rgb="FFF8D7C8"/>
          <bgColor rgb="FF000000"/>
        </patternFill>
      </fill>
    </dxf>
    <dxf>
      <fill>
        <patternFill patternType="solid">
          <fgColor rgb="FFF8EFB0"/>
          <bgColor rgb="FF000000"/>
        </patternFill>
      </fill>
    </dxf>
    <dxf>
      <fill>
        <patternFill patternType="solid">
          <fgColor rgb="FFF9DAC5"/>
          <bgColor rgb="FF000000"/>
        </patternFill>
      </fill>
    </dxf>
    <dxf>
      <fill>
        <patternFill patternType="solid">
          <fgColor rgb="FFFAE0C1"/>
          <bgColor rgb="FF000000"/>
        </patternFill>
      </fill>
    </dxf>
    <dxf>
      <fill>
        <patternFill patternType="solid">
          <fgColor rgb="FFFBE3BF"/>
          <bgColor rgb="FF000000"/>
        </patternFill>
      </fill>
    </dxf>
    <dxf>
      <fill>
        <patternFill patternType="solid">
          <fgColor rgb="FFFBE4BE"/>
          <bgColor rgb="FF000000"/>
        </patternFill>
      </fill>
    </dxf>
    <dxf>
      <fill>
        <patternFill patternType="solid">
          <fgColor rgb="FFFBE5BE"/>
          <bgColor rgb="FF000000"/>
        </patternFill>
      </fill>
    </dxf>
    <dxf>
      <fill>
        <patternFill patternType="solid">
          <fgColor rgb="FFFBF1B2"/>
          <bgColor rgb="FF000000"/>
        </patternFill>
      </fill>
    </dxf>
    <dxf>
      <fill>
        <patternFill patternType="solid">
          <fgColor rgb="FFFCE6BC"/>
          <bgColor rgb="FF000000"/>
        </patternFill>
      </fill>
    </dxf>
    <dxf>
      <fill>
        <patternFill patternType="solid">
          <fgColor rgb="FFFCE9BA"/>
          <bgColor rgb="FF000000"/>
        </patternFill>
      </fill>
    </dxf>
    <dxf>
      <fill>
        <patternFill patternType="solid">
          <fgColor rgb="FFFDEBB9"/>
          <bgColor rgb="FF000000"/>
        </patternFill>
      </fill>
    </dxf>
    <dxf>
      <fill>
        <patternFill patternType="solid">
          <fgColor rgb="FFFDECB8"/>
          <bgColor rgb="FF000000"/>
        </patternFill>
      </fill>
    </dxf>
    <dxf>
      <fill>
        <patternFill patternType="solid">
          <fgColor rgb="FFFEEFB6"/>
          <bgColor rgb="FF000000"/>
        </patternFill>
      </fill>
    </dxf>
    <dxf>
      <fill>
        <patternFill patternType="solid">
          <fgColor rgb="FFFEF1B4"/>
          <bgColor rgb="FF000000"/>
        </patternFill>
      </fill>
    </dxf>
    <dxf>
      <fill>
        <patternFill patternType="solid">
          <fgColor rgb="FF2E6B1F"/>
          <bgColor rgb="FF000000"/>
        </patternFill>
      </fill>
    </dxf>
    <dxf>
      <font>
        <name val="Arial"/>
        <charset val="1"/>
        <family val="0"/>
        <b val="1"/>
        <color rgb="FF2E6B1F"/>
      </font>
    </dxf>
  </dxfs>
  <colors>
    <indexedColors>
      <rgbColor rgb="FF000000"/>
      <rgbColor rgb="FFFFFFFF"/>
      <rgbColor rgb="FFFF0000"/>
      <rgbColor rgb="FF00FF00"/>
      <rgbColor rgb="FF0000FF"/>
      <rgbColor rgb="FFFFFF00"/>
      <rgbColor rgb="FFFF00FF"/>
      <rgbColor rgb="FF00FFFF"/>
      <rgbColor rgb="FF800000"/>
      <rgbColor rgb="FF2E6B1F"/>
      <rgbColor rgb="FF000080"/>
      <rgbColor rgb="FF808000"/>
      <rgbColor rgb="FF800080"/>
      <rgbColor rgb="FF008080"/>
      <rgbColor rgb="FFC0C0C0"/>
      <rgbColor rgb="FF6FA35A"/>
      <rgbColor rgb="FF9999FF"/>
      <rgbColor rgb="FF993366"/>
      <rgbColor rgb="FFFFF2B3"/>
      <rgbColor rgb="FFCCFFFF"/>
      <rgbColor rgb="FF660066"/>
      <rgbColor rgb="FFFF8080"/>
      <rgbColor rgb="FF1155CC"/>
      <rgbColor rgb="FFD9D9D9"/>
      <rgbColor rgb="FF000080"/>
      <rgbColor rgb="FFFF00FF"/>
      <rgbColor rgb="FFFFFF00"/>
      <rgbColor rgb="FF00FFFF"/>
      <rgbColor rgb="FF800080"/>
      <rgbColor rgb="FF800000"/>
      <rgbColor rgb="FF008080"/>
      <rgbColor rgb="FF0000FF"/>
      <rgbColor rgb="FF00CCFF"/>
      <rgbColor rgb="FFCCFFFF"/>
      <rgbColor rgb="FFCFE5C3"/>
      <rgbColor rgb="FFFFFF99"/>
      <rgbColor rgb="FF99CCFF"/>
      <rgbColor rgb="FFFF99CC"/>
      <rgbColor rgb="FFCC99FF"/>
      <rgbColor rgb="FFFFCC99"/>
      <rgbColor rgb="FF3366FF"/>
      <rgbColor rgb="FF33CCCC"/>
      <rgbColor rgb="FF99CC00"/>
      <rgbColor rgb="FFFFCC00"/>
      <rgbColor rgb="FFFF9900"/>
      <rgbColor rgb="FFFF6600"/>
      <rgbColor rgb="FF555555"/>
      <rgbColor rgb="FF999999"/>
      <rgbColor rgb="FF003366"/>
      <rgbColor rgb="FF3A6B2E"/>
      <rgbColor rgb="FF003300"/>
      <rgbColor rgb="FF333300"/>
      <rgbColor rgb="FF993300"/>
      <rgbColor rgb="FF993366"/>
      <rgbColor rgb="FF333399"/>
      <rgbColor rgb="FF1F3D2B"/>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8.xml.rels><Relationships xmlns="http://schemas.openxmlformats.org/package/2006/relationships"><Relationship Type="http://schemas.openxmlformats.org/officeDocument/2006/relationships/hyperlink" Target="https://swancapefarms.com/" TargetMode="External" Id="rId1" /><Relationship Type="http://schemas.openxmlformats.org/officeDocument/2006/relationships/hyperlink" Target="https://swancapefarms.com/meal-planner" TargetMode="External" Id="rId2" /><Relationship Type="http://schemas.openxmlformats.org/officeDocument/2006/relationships/hyperlink" Target="https://mintfoods.store/collections/fresh-fruits-vegetables" TargetMode="External" Id="rId3" /><Relationship Type="http://schemas.openxmlformats.org/officeDocument/2006/relationships/hyperlink" Target="https://thefreshplace.ng/" TargetMode="External" Id="rId4" /><Relationship Type="http://schemas.openxmlformats.org/officeDocument/2006/relationships/hyperlink" Target="https://thefreshplace.ng/product-category/fruits-and-vegetables/" TargetMode="External" Id="rId5" /><Relationship Type="http://schemas.openxmlformats.org/officeDocument/2006/relationships/hyperlink" Target="https://www.homebasketng.com/" TargetMode="External" Id="rId6" /><Relationship Type="http://schemas.openxmlformats.org/officeDocument/2006/relationships/hyperlink" Target="https://chef4me.ai/" TargetMode="External" Id="rId7" /><Relationship Type="http://schemas.openxmlformats.org/officeDocument/2006/relationships/hyperlink" Target="https://play.google.com/store/apps/details?id=com.chefuser" TargetMode="External" Id="rId8" /><Relationship Type="http://schemas.openxmlformats.org/officeDocument/2006/relationships/hyperlink" Target="https://www.kitchenbutterfly.com/wp-content/uploads/2018/01/2018_Nigerian_SeasonalProduceCalendar_V1.3.pdf" TargetMode="External" Id="rId9" /><Relationship Type="http://schemas.openxmlformats.org/officeDocument/2006/relationships/hyperlink" Target="https://www.kitchenbutterfly.com/nigerias-dry-seasons-produce-januaryfebruary/" TargetMode="External" Id="rId10" /><Relationship Type="http://schemas.openxmlformats.org/officeDocument/2006/relationships/hyperlink" Target="https://www.kitchenbutterfly.com/nigerias-dry-wet-seasons-produce-februarymarch/" TargetMode="External" Id="rId11" /><Relationship Type="http://schemas.openxmlformats.org/officeDocument/2006/relationships/hyperlink" Target="https://www.hellofresh.com/stories/research/top-meal-kit-reviews" TargetMode="External" Id="rId12" /><Relationship Type="http://schemas.openxmlformats.org/officeDocument/2006/relationships/hyperlink" Target="https://platedverdict.com/guides/best-meal-kits/" TargetMode="External" Id="rId13" /><Relationship Type="http://schemas.openxmlformats.org/officeDocument/2006/relationships/hyperlink" Target="https://mealfan.com/marley-spoon-vs-hellofresh/" TargetMode="External" Id="rId14" /><Relationship Type="http://schemas.openxmlformats.org/officeDocument/2006/relationships/hyperlink" Target="https://www.themealkitreview.com/compare/home-chef-vs-marley-spoon/" TargetMode="External" Id="rId15" /><Relationship Type="http://schemas.openxmlformats.org/officeDocument/2006/relationships/hyperlink" Target="https://mealdigest.com/blog/home-chef-vs-marley-spoon-variety" TargetMode="External" Id="rId16" /><Relationship Type="http://schemas.openxmlformats.org/officeDocument/2006/relationships/hyperlink" Target="https://www.tasteofhome.com/article/best-meal-kit-delivery-2026/" TargetMode="External" Id="rId17" /></Relationships>
</file>

<file path=xl/worksheets/sheet1.xml><?xml version="1.0" encoding="utf-8"?>
<worksheet xmlns="http://schemas.openxmlformats.org/spreadsheetml/2006/main">
  <sheetPr filterMode="0">
    <tabColor rgb="FF1F3D2B"/>
    <outlinePr summaryBelow="1" summaryRight="1"/>
    <pageSetUpPr fitToPage="0"/>
  </sheetPr>
  <dimension ref="A1:D45"/>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5" min="1" max="1"/>
    <col width="34" customWidth="1" style="25" min="2" max="2"/>
    <col width="22" customWidth="1" style="25" min="3" max="3"/>
    <col width="70" customWidth="1" style="25" min="4" max="4"/>
  </cols>
  <sheetData>
    <row r="1"/>
    <row r="2" ht="22.05" customHeight="1" s="26">
      <c r="B2" s="27" t="inlineStr">
        <is>
          <t>Basket: Produce &amp; Recipe Library</t>
        </is>
      </c>
    </row>
    <row r="3" ht="15" customHeight="1" s="26">
      <c r="B3" s="28" t="inlineStr">
        <is>
          <t>Nigerian-market produce catalogue, seasonal calendar and 75 global recipes adapted to local ingredients. Research compiled 11 Oct 2026.</t>
        </is>
      </c>
    </row>
    <row r="4"/>
    <row r="5" ht="15" customHeight="1" s="26">
      <c r="B5" s="29" t="inlineStr">
        <is>
          <t>Settings</t>
        </is>
      </c>
    </row>
    <row r="6" ht="23.85" customHeight="1" s="26">
      <c r="B6" s="30" t="inlineStr">
        <is>
          <t>Basket coverage target</t>
        </is>
      </c>
      <c r="C6" s="31" t="n">
        <v>0.8</v>
      </c>
      <c r="D6" s="32" t="inlineStr">
        <is>
          <t>Share of a recipe's non-staple ingredients that should come from Basket. Set at 80% from the positioning brief. Change it and every recipe re-scores.</t>
        </is>
      </c>
    </row>
    <row r="7"/>
    <row r="8" ht="15" customHeight="1" s="26">
      <c r="B8" s="29" t="inlineStr">
        <is>
          <t>At a glance</t>
        </is>
      </c>
    </row>
    <row r="9" ht="15" customHeight="1" s="26">
      <c r="B9" s="33" t="inlineStr">
        <is>
          <t>Produce items catalogued</t>
        </is>
      </c>
      <c r="C9" s="34">
        <f>COUNTA(Produce!A2:A500)</f>
        <v/>
      </c>
    </row>
    <row r="10" ht="15" customHeight="1" s="26">
      <c r="B10" s="33" t="inlineStr">
        <is>
          <t>Recipes</t>
        </is>
      </c>
      <c r="C10" s="34">
        <f>COUNTA(Recipes!A2:A500)</f>
        <v/>
      </c>
    </row>
    <row r="11" ht="15" customHeight="1" s="26">
      <c r="B11" s="33" t="inlineStr">
        <is>
          <t>Recipes hitting the coverage target</t>
        </is>
      </c>
      <c r="C11" s="34">
        <f>COUNTIF(Recipes!T2:T500,"Yes")</f>
        <v/>
      </c>
    </row>
    <row r="12" ht="15" customHeight="1" s="26">
      <c r="B12" s="33" t="inlineStr">
        <is>
          <t>Average Basket coverage</t>
        </is>
      </c>
      <c r="C12" s="35">
        <f>AVERAGE(Recipes!S2:S500)</f>
        <v/>
      </c>
    </row>
    <row r="13" ht="15" customHeight="1" s="26">
      <c r="B13" s="33" t="inlineStr">
        <is>
          <t>Produce in season this month</t>
        </is>
      </c>
      <c r="C13" s="34">
        <f>COUNTIF(Produce!J2:J500,"Peak")+COUNTIF(Produce!J2:J500,"In")</f>
        <v/>
      </c>
    </row>
    <row r="14" ht="15" customHeight="1" s="26">
      <c r="B14" s="33" t="inlineStr">
        <is>
          <t>Produce at peak this month</t>
        </is>
      </c>
      <c r="C14" s="34">
        <f>COUNTIF(Produce!J2:J500,"Peak")</f>
        <v/>
      </c>
    </row>
    <row r="15" ht="15" customHeight="1" s="26">
      <c r="B15" s="33" t="inlineStr">
        <is>
          <t>Eat-as-is-only fruits (seasonal drops)</t>
        </is>
      </c>
      <c r="C15" s="34">
        <f>COUNTIF(Produce!F2:F500,"Eat as-is only")</f>
        <v/>
      </c>
    </row>
    <row r="16" ht="15" customHeight="1" s="26">
      <c r="B16" s="33" t="inlineStr">
        <is>
          <t>Vegan / plant-based recipes</t>
        </is>
      </c>
      <c r="C16" s="34">
        <f>COUNTIF(Recipes!H2:H500,"Vegan")</f>
        <v/>
      </c>
    </row>
    <row r="17" ht="15" customHeight="1" s="26">
      <c r="B17" s="33" t="inlineStr">
        <is>
          <t>No-cook recipes</t>
        </is>
      </c>
      <c r="C17" s="34">
        <f>COUNTIF(Recipes!L2:L500,"No-cook")</f>
        <v/>
      </c>
    </row>
    <row r="18"/>
    <row r="19" ht="15" customHeight="1" s="26">
      <c r="B19" s="29" t="inlineStr">
        <is>
          <t>What's in each tab</t>
        </is>
      </c>
    </row>
    <row r="20" ht="30" customHeight="1" s="26">
      <c r="B20" s="30" t="inlineStr">
        <is>
          <t>Produce</t>
        </is>
      </c>
      <c r="C20" s="32" t="inlineStr">
        <is>
          <t>Every fruit, vegetable, herb and nut worth stocking: local names, origin, season, role (eat as-is / recipes), sell unit, competitor benchmark price, storage, sourcing region, launch tier, and how many recipes use it.</t>
        </is>
      </c>
    </row>
    <row r="21" ht="30" customHeight="1" s="26">
      <c r="B21" s="30" t="inlineStr">
        <is>
          <t>Seasonal Calendar</t>
        </is>
      </c>
      <c r="C21" s="32" t="inlineStr">
        <is>
          <t>Month-by-month availability. Peak and In-season cells are colour coded. The Produce tab reads this to show what is in season today.</t>
        </is>
      </c>
    </row>
    <row r="22" ht="30" customHeight="1" s="26">
      <c r="B22" s="30" t="inlineStr">
        <is>
          <t>Recipes</t>
        </is>
      </c>
      <c r="C22" s="32" t="inlineStr">
        <is>
          <t>75 recipes (no drinks): the global dish each is based on, what changed for Nigeria, goal and diet tags, timings, effort tier, estimated nutrition, method, and Basket coverage scored by formula.</t>
        </is>
      </c>
    </row>
    <row r="23" ht="30" customHeight="1" s="26">
      <c r="B23" s="30" t="inlineStr">
        <is>
          <t>Recipe Ingredients</t>
        </is>
      </c>
      <c r="C23" s="32" t="inlineStr">
        <is>
          <t>One row per ingredient with quantity, unit and source (Basket / Protein / Pantry / Staple). This is the table the coverage scores and recipe counts are built on. Add or edit rows here.</t>
        </is>
      </c>
    </row>
    <row r="24" ht="30" customHeight="1" s="26">
      <c r="B24" s="30" t="inlineStr">
        <is>
          <t>Box Ideas</t>
        </is>
      </c>
      <c r="C24" s="32" t="inlineStr">
        <is>
          <t>Seasonal drops and themed baskets built from the catalogue, each linked to the recipes it unlocks.</t>
        </is>
      </c>
    </row>
    <row r="25" ht="30" customHeight="1" s="26">
      <c r="B25" s="30" t="inlineStr">
        <is>
          <t>Market Scan</t>
        </is>
      </c>
      <c r="C25" s="32" t="inlineStr">
        <is>
          <t>What the Lagos players and the four international meal kits do, what to borrow, and the gap Basket can own.</t>
        </is>
      </c>
    </row>
    <row r="26" ht="30" customHeight="1" s="26">
      <c r="B26" s="30" t="inlineStr">
        <is>
          <t>Sources</t>
        </is>
      </c>
      <c r="C26" s="32" t="inlineStr">
        <is>
          <t>Every site and document used.</t>
        </is>
      </c>
    </row>
    <row r="27"/>
    <row r="28" ht="15" customHeight="1" s="26">
      <c r="B28" s="29" t="inlineStr">
        <is>
          <t>How to edit</t>
        </is>
      </c>
    </row>
    <row r="29" ht="30" customHeight="1" s="26">
      <c r="B29" s="30" t="inlineStr">
        <is>
          <t>Yellow cells</t>
        </is>
      </c>
      <c r="C29" s="32" t="inlineStr">
        <is>
          <t>Your inputs: coverage target, Basket price, Stock it?, and recipe Status. Everything else updates from them.</t>
        </is>
      </c>
    </row>
    <row r="30" ht="30" customHeight="1" s="26">
      <c r="B30" s="30" t="inlineStr">
        <is>
          <t>Add a recipe</t>
        </is>
      </c>
      <c r="C30" s="32" t="inlineStr">
        <is>
          <t>Add a row on Recipes (copy the formulas in Q to T down), then add its ingredients on Recipe Ingredients with the same Recipe ID. Put the Produce ID in column F for anything Basket sells.</t>
        </is>
      </c>
    </row>
    <row r="31" ht="30" customHeight="1" s="26">
      <c r="B31" s="30" t="inlineStr">
        <is>
          <t>Add produce</t>
        </is>
      </c>
      <c r="C31" s="32" t="inlineStr">
        <is>
          <t>Add a row on Produce and a matching row on Seasonal Calendar with the same ID. Mark months 'Peak' or 'In'.</t>
        </is>
      </c>
    </row>
    <row r="32" ht="30" customHeight="1" s="26">
      <c r="B32" s="30" t="inlineStr">
        <is>
          <t>Source column</t>
        </is>
      </c>
      <c r="C32" s="32" t="inlineStr">
        <is>
          <t>Basket = produce we sell. Protein and Pantry count against coverage. Staple (salt, oil, water, ice, pepper) is ignored.</t>
        </is>
      </c>
    </row>
    <row r="33"/>
    <row r="34" ht="15" customHeight="1" s="26">
      <c r="B34" s="29" t="inlineStr">
        <is>
          <t>Key findings</t>
        </is>
      </c>
    </row>
    <row r="35" ht="43.5" customHeight="1" s="26">
      <c r="B35" s="32" t="inlineStr">
        <is>
          <t>•  Lagos online produce splits two ways: raw grocery (Mint Foods, Home Basket, SwanCape) and finished health products (The Fresh Place juices at N3,500 to N4,500, salad trays at N30,000 to N50,000). Nobody connects raw produce to light, global recipes. That is the lane this library is built for.</t>
        </is>
      </c>
    </row>
    <row r="36" ht="43.5" customHeight="1" s="26">
      <c r="B36" s="32" t="inlineStr">
        <is>
          <t>•  SwanCape already turns a dish into a priced ingredient list, but only for Egusi, Jollof, Ogbono, Pepper soup and Efo riro. The recipe library here deliberately avoids competing on traditional soups.</t>
        </is>
      </c>
    </row>
    <row r="37" ht="43.5" customHeight="1" s="26">
      <c r="B37" s="32" t="inlineStr">
        <is>
          <t>•  Local vs imported is the biggest price lever. Mint Foods lists 4 local lemons at N1,900 and 5 Dutch lemons at N13,800. Local cauliflower N2,750 a head vs imported N16,900. Recipes default to local produce; imported items are premium add-ons.</t>
        </is>
      </c>
    </row>
    <row r="38" ht="43.5" customHeight="1" s="26">
      <c r="B38" s="32" t="inlineStr">
        <is>
          <t>•  Seasonality creates natural drops: agbalumo Dec-May, mango Feb-May, citrus best Oct-Jan, fresh corn Apr-Aug, ube May-Sep, guava Feb-Mar and Aug-Sep (Kitchen Butterfly calendar).</t>
        </is>
      </c>
    </row>
    <row r="39" ht="43.5" customHeight="1" s="26">
      <c r="B39" s="32" t="inlineStr">
        <is>
          <t>•  Meal-kit playbook worth copying: goal menus (HelloFresh), effort tiers and swaps (Home Chef), seasonal editorial and diet filters (Marley Spoon), part-prepped produce (Sunbasket). Every recipe here carries goal, diet and effort tags so the app can filter the same way.</t>
        </is>
      </c>
    </row>
    <row r="40"/>
    <row r="41" ht="15" customHeight="1" s="26">
      <c r="B41" s="29" t="inlineStr">
        <is>
          <t>Caveats</t>
        </is>
      </c>
    </row>
    <row r="42" ht="30" customHeight="1" s="26">
      <c r="B42" s="32" t="inlineStr">
        <is>
          <t>•  Calories and protein are rough per-serving estimates for filtering and planning. Get them checked before publishing numbers in the app.</t>
        </is>
      </c>
    </row>
    <row r="43" ht="30" customHeight="1" s="26">
      <c r="B43" s="32" t="inlineStr">
        <is>
          <t>•  Season confidence: 'Sourced' rows come from the Kitchen Butterfly Nigerian Seasonal Produce Calendar (V1.3). 'Verify' rows are general market knowledge. Confirm both with your suppliers in the pilot.</t>
        </is>
      </c>
    </row>
    <row r="44" ht="30" customHeight="1" s="26">
      <c r="B44" s="32" t="inlineStr">
        <is>
          <t>•  Benchmark prices are competitor retail prices captured on 11 Oct 2026, not wholesale cost. Only items with a published price have one. Basket price is left for you to fill.</t>
        </is>
      </c>
    </row>
    <row r="45" ht="30" customHeight="1" s="26">
      <c r="B45" s="32" t="inlineStr">
        <is>
          <t>•  Freshcart.ng blocked automated access and has no indexed pages, so it is not in the scan. Home Basket's catalogue loads client-side, so only its positioning was captured.</t>
        </is>
      </c>
    </row>
  </sheetData>
  <mergeCells count="20">
    <mergeCell ref="B42:D42"/>
    <mergeCell ref="C30:D30"/>
    <mergeCell ref="C24:D24"/>
    <mergeCell ref="B44:D44"/>
    <mergeCell ref="C26:D26"/>
    <mergeCell ref="B38:D38"/>
    <mergeCell ref="C20:D20"/>
    <mergeCell ref="C29:D29"/>
    <mergeCell ref="B37:D37"/>
    <mergeCell ref="C25:D25"/>
    <mergeCell ref="C22:D22"/>
    <mergeCell ref="C31:D31"/>
    <mergeCell ref="B36:D36"/>
    <mergeCell ref="C21:D21"/>
    <mergeCell ref="B45:D45"/>
    <mergeCell ref="B35:D35"/>
    <mergeCell ref="C23:D23"/>
    <mergeCell ref="C32:D32"/>
    <mergeCell ref="B43:D43"/>
    <mergeCell ref="B39:D3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6FA35A"/>
    <outlinePr summaryBelow="1" summaryRight="1"/>
    <pageSetUpPr fitToPage="0"/>
  </sheetPr>
  <dimension ref="A1:X85"/>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7" customWidth="1" style="25" min="1" max="1"/>
    <col width="26" customWidth="1" style="25" min="2" max="2"/>
    <col width="30" customWidth="1" style="25" min="3" max="3"/>
    <col width="14" customWidth="1" style="25" min="4" max="4"/>
    <col width="16" customWidth="1" style="25" min="5" max="5"/>
    <col width="18" customWidth="1" style="25" min="6" max="6"/>
    <col width="12" customWidth="1" style="25" min="7" max="7"/>
    <col width="20" customWidth="1" style="25" min="8" max="8"/>
    <col width="14" customWidth="1" style="25" min="9" max="9"/>
    <col width="12" customWidth="1" style="25" min="10" max="10"/>
    <col width="14" customWidth="1" style="25" min="11" max="11"/>
    <col width="16" customWidth="1" style="25" min="12" max="12"/>
    <col width="13" customWidth="1" style="25" min="13" max="13"/>
    <col width="18" customWidth="1" style="25" min="14" max="14"/>
    <col width="40" customWidth="1" style="25" min="15" max="15"/>
    <col width="13" customWidth="1" style="25" min="16" max="16"/>
    <col width="9" customWidth="1" style="25" min="17" max="17"/>
    <col width="15" customWidth="1" style="25" min="18" max="18"/>
    <col width="11" customWidth="1" style="25" min="19" max="19"/>
    <col width="32" customWidth="1" style="25" min="20" max="20"/>
    <col width="14" customWidth="1" style="25" min="21" max="21"/>
    <col width="26" customWidth="1" style="25" min="22" max="22"/>
    <col width="20" customWidth="1" style="25" min="23" max="23"/>
    <col width="50" customWidth="1" style="25" min="24" max="24"/>
  </cols>
  <sheetData>
    <row r="1" ht="31.5" customHeight="1" s="26">
      <c r="A1" s="36" t="inlineStr">
        <is>
          <t>ID</t>
        </is>
      </c>
      <c r="B1" s="36" t="inlineStr">
        <is>
          <t>Produce</t>
        </is>
      </c>
      <c r="C1" s="36" t="inlineStr">
        <is>
          <t>Local names</t>
        </is>
      </c>
      <c r="D1" s="36" t="inlineStr">
        <is>
          <t>Category</t>
        </is>
      </c>
      <c r="E1" s="36" t="inlineStr">
        <is>
          <t>Origin</t>
        </is>
      </c>
      <c r="F1" s="36" t="inlineStr">
        <is>
          <t>Role</t>
        </is>
      </c>
      <c r="G1" s="36" t="inlineStr">
        <is>
          <t>Availability</t>
        </is>
      </c>
      <c r="H1" s="36" t="inlineStr">
        <is>
          <t>Season</t>
        </is>
      </c>
      <c r="I1" s="36" t="inlineStr">
        <is>
          <t>Peak</t>
        </is>
      </c>
      <c r="J1" s="36" t="inlineStr">
        <is>
          <t>In season now?</t>
        </is>
      </c>
      <c r="K1" s="36" t="inlineStr">
        <is>
          <t>Season confidence</t>
        </is>
      </c>
      <c r="L1" s="36" t="inlineStr">
        <is>
          <t>Sell unit</t>
        </is>
      </c>
      <c r="M1" s="36" t="inlineStr">
        <is>
          <t>Benchmark price (N)</t>
        </is>
      </c>
      <c r="N1" s="36" t="inlineStr">
        <is>
          <t>Benchmark unit</t>
        </is>
      </c>
      <c r="O1" s="36" t="inlineStr">
        <is>
          <t>Benchmark source</t>
        </is>
      </c>
      <c r="P1" s="36" t="inlineStr">
        <is>
          <t>Basket price (N)</t>
        </is>
      </c>
      <c r="Q1" s="36" t="inlineStr">
        <is>
          <t>Stock it?</t>
        </is>
      </c>
      <c r="R1" s="36" t="inlineStr">
        <is>
          <t>Launch tier</t>
        </is>
      </c>
      <c r="S1" s="36" t="inlineStr">
        <is>
          <t>Used in # recipes</t>
        </is>
      </c>
      <c r="T1" s="36" t="inlineStr">
        <is>
          <t>Storage</t>
        </is>
      </c>
      <c r="U1" s="36" t="inlineStr">
        <is>
          <t>Shelf life</t>
        </is>
      </c>
      <c r="V1" s="36" t="inlineStr">
        <is>
          <t>Sourcing region</t>
        </is>
      </c>
      <c r="W1" s="36" t="inlineStr">
        <is>
          <t>Best for</t>
        </is>
      </c>
      <c r="X1" s="36" t="inlineStr">
        <is>
          <t>Notes</t>
        </is>
      </c>
    </row>
    <row r="2" ht="35.05" customHeight="1" s="26">
      <c r="A2" s="37" t="inlineStr">
        <is>
          <t>P001</t>
        </is>
      </c>
      <c r="B2" s="38" t="inlineStr">
        <is>
          <t>Banana</t>
        </is>
      </c>
      <c r="C2" s="39" t="inlineStr">
        <is>
          <t>Ogede wewe (Yor), Ayaba (Hau)</t>
        </is>
      </c>
      <c r="D2" s="37" t="inlineStr">
        <is>
          <t>Fruit</t>
        </is>
      </c>
      <c r="E2" s="37" t="inlineStr">
        <is>
          <t>Local</t>
        </is>
      </c>
      <c r="F2" s="37" t="inlineStr">
        <is>
          <t>Eat as-is + recipes</t>
        </is>
      </c>
      <c r="G2" s="37" t="inlineStr">
        <is>
          <t>Year-round</t>
        </is>
      </c>
      <c r="H2" s="37" t="inlineStr">
        <is>
          <t>All year</t>
        </is>
      </c>
      <c r="I2" s="37" t="n"/>
      <c r="J2" s="37">
        <f>IFERROR(IF(INDEX('Seasonal Calendar'!$C$2:$N$500,MATCH(A2,'Seasonal Calendar'!$A$2:$A$500,0),MONTH(TODAY()))="","Out",INDEX('Seasonal Calendar'!$C$2:$N$500,MATCH(A2,'Seasonal Calendar'!$A$2:$A$500,0),MONTH(TODAY()))),"")</f>
        <v/>
      </c>
      <c r="K2" s="37" t="inlineStr">
        <is>
          <t>Verify</t>
        </is>
      </c>
      <c r="L2" s="37" t="inlineStr">
        <is>
          <t>Hand (~1kg)</t>
        </is>
      </c>
      <c r="M2" s="40" t="n">
        <v>1850</v>
      </c>
      <c r="N2" s="37" t="inlineStr">
        <is>
          <t>1kg</t>
        </is>
      </c>
      <c r="O2" s="39" t="inlineStr">
        <is>
          <t>The Fresh Place (thefreshplace.ng), 17 Oct 2026</t>
        </is>
      </c>
      <c r="P2" s="41" t="n"/>
      <c r="Q2" s="42" t="inlineStr">
        <is>
          <t>Y</t>
        </is>
      </c>
      <c r="R2" s="37" t="inlineStr">
        <is>
          <t>Core</t>
        </is>
      </c>
      <c r="S2" s="37">
        <f>COUNTIF('Recipe Ingredients'!$F$2:$F$2000,A2)</f>
        <v/>
      </c>
      <c r="T2" s="39" t="inlineStr">
        <is>
          <t>Room temp; fridge once fully ripe (skin darkens, flesh holds)</t>
        </is>
      </c>
      <c r="U2" s="37" t="inlineStr">
        <is>
          <t>3-5 days</t>
        </is>
      </c>
      <c r="V2" s="39" t="inlineStr">
        <is>
          <t>Ondo, Ogun, Cross River, Edo</t>
        </is>
      </c>
      <c r="W2" s="37" t="inlineStr">
        <is>
          <t>Training, Energy</t>
        </is>
      </c>
      <c r="X2" s="39" t="inlineStr">
        <is>
          <t>Most-used fruit in the recipe library. Sell spotty, very ripe bananas as discounted 'smoothie bananas' rather than writing them off.</t>
        </is>
      </c>
    </row>
    <row r="3" ht="23.85" customHeight="1" s="26">
      <c r="A3" s="37" t="inlineStr">
        <is>
          <t>P002</t>
        </is>
      </c>
      <c r="B3" s="38" t="inlineStr">
        <is>
          <t>Plantain (ripe &amp; unripe)</t>
        </is>
      </c>
      <c r="C3" s="39" t="inlineStr">
        <is>
          <t>Ogede agbagba (Yor), Agade (Hau)</t>
        </is>
      </c>
      <c r="D3" s="37" t="inlineStr">
        <is>
          <t>Fruit (cooking)</t>
        </is>
      </c>
      <c r="E3" s="37" t="inlineStr">
        <is>
          <t>Local</t>
        </is>
      </c>
      <c r="F3" s="37" t="inlineStr">
        <is>
          <t>Recipe ingredient</t>
        </is>
      </c>
      <c r="G3" s="37" t="inlineStr">
        <is>
          <t>Year-round</t>
        </is>
      </c>
      <c r="H3" s="37" t="inlineStr">
        <is>
          <t>All year</t>
        </is>
      </c>
      <c r="I3" s="37" t="n"/>
      <c r="J3" s="37">
        <f>IFERROR(IF(INDEX('Seasonal Calendar'!$C$2:$N$500,MATCH(A3,'Seasonal Calendar'!$A$2:$A$500,0),MONTH(TODAY()))="","Out",INDEX('Seasonal Calendar'!$C$2:$N$500,MATCH(A3,'Seasonal Calendar'!$A$2:$A$500,0),MONTH(TODAY()))),"")</f>
        <v/>
      </c>
      <c r="K3" s="37" t="inlineStr">
        <is>
          <t>Verify</t>
        </is>
      </c>
      <c r="L3" s="37" t="inlineStr">
        <is>
          <t>Finger / bunch</t>
        </is>
      </c>
      <c r="M3" s="40" t="n"/>
      <c r="N3" s="37" t="n"/>
      <c r="O3" s="39" t="n"/>
      <c r="P3" s="41" t="n"/>
      <c r="Q3" s="42" t="inlineStr">
        <is>
          <t>Y</t>
        </is>
      </c>
      <c r="R3" s="37" t="inlineStr">
        <is>
          <t>Core</t>
        </is>
      </c>
      <c r="S3" s="37">
        <f>COUNTIF('Recipe Ingredients'!$F$2:$F$2000,A3)</f>
        <v/>
      </c>
      <c r="T3" s="39" t="inlineStr">
        <is>
          <t>Room temp; ripens in 3-6 days</t>
        </is>
      </c>
      <c r="U3" s="37" t="inlineStr">
        <is>
          <t>5-10 days</t>
        </is>
      </c>
      <c r="V3" s="39" t="inlineStr">
        <is>
          <t>Ondo, Edo, Ogun, Cross River</t>
        </is>
      </c>
      <c r="W3" s="37" t="inlineStr">
        <is>
          <t>Training, Energy</t>
        </is>
      </c>
      <c r="X3" s="39" t="inlineStr">
        <is>
          <t>Sell by ripeness stage (green, yellow, black-spotted) so recipes get the right one.</t>
        </is>
      </c>
    </row>
    <row r="4" ht="35.05" customHeight="1" s="26">
      <c r="A4" s="37" t="inlineStr">
        <is>
          <t>P003</t>
        </is>
      </c>
      <c r="B4" s="38" t="inlineStr">
        <is>
          <t>Pineapple</t>
        </is>
      </c>
      <c r="C4" s="39" t="inlineStr">
        <is>
          <t>Ope oyinbo (Yor), Abarba (Hau)</t>
        </is>
      </c>
      <c r="D4" s="37" t="inlineStr">
        <is>
          <t>Fruit</t>
        </is>
      </c>
      <c r="E4" s="37" t="inlineStr">
        <is>
          <t>Local</t>
        </is>
      </c>
      <c r="F4" s="37" t="inlineStr">
        <is>
          <t>Eat as-is + recipes</t>
        </is>
      </c>
      <c r="G4" s="37" t="inlineStr">
        <is>
          <t>Year-round</t>
        </is>
      </c>
      <c r="H4" s="37" t="inlineStr">
        <is>
          <t>All year</t>
        </is>
      </c>
      <c r="I4" s="37" t="n"/>
      <c r="J4" s="37">
        <f>IFERROR(IF(INDEX('Seasonal Calendar'!$C$2:$N$500,MATCH(A4,'Seasonal Calendar'!$A$2:$A$500,0),MONTH(TODAY()))="","Out",INDEX('Seasonal Calendar'!$C$2:$N$500,MATCH(A4,'Seasonal Calendar'!$A$2:$A$500,0),MONTH(TODAY()))),"")</f>
        <v/>
      </c>
      <c r="K4" s="37" t="inlineStr">
        <is>
          <t>Verify</t>
        </is>
      </c>
      <c r="L4" s="37" t="inlineStr">
        <is>
          <t>Piece</t>
        </is>
      </c>
      <c r="M4" s="40" t="n">
        <v>2000</v>
      </c>
      <c r="N4" s="37" t="inlineStr">
        <is>
          <t>1 pc (Cotonou pineapple)</t>
        </is>
      </c>
      <c r="O4" s="39" t="inlineStr">
        <is>
          <t>The Fresh Place (thefreshplace.ng), 17 Oct 2026; Bendel pineapple N3,000/pc</t>
        </is>
      </c>
      <c r="P4" s="41" t="n"/>
      <c r="Q4" s="42" t="inlineStr">
        <is>
          <t>Y</t>
        </is>
      </c>
      <c r="R4" s="37" t="inlineStr">
        <is>
          <t>Core</t>
        </is>
      </c>
      <c r="S4" s="37">
        <f>COUNTIF('Recipe Ingredients'!$F$2:$F$2000,A4)</f>
        <v/>
      </c>
      <c r="T4" s="39" t="inlineStr">
        <is>
          <t>Room temp until fragrant; fridge once cut</t>
        </is>
      </c>
      <c r="U4" s="37" t="inlineStr">
        <is>
          <t>3-5 days whole, 3 days cut</t>
        </is>
      </c>
      <c r="V4" s="39" t="inlineStr">
        <is>
          <t>Edo (Bendel), Ogun, Oyo, Delta</t>
        </is>
      </c>
      <c r="W4" s="37" t="inlineStr">
        <is>
          <t>Hydration, Wellness</t>
        </is>
      </c>
      <c r="X4" s="39" t="inlineStr">
        <is>
          <t>Bendel and sugarloaf types are sweeter than imported. Price gap between sellers is wide (N1,300 vs N3,000).</t>
        </is>
      </c>
    </row>
    <row r="5" ht="23.85" customHeight="1" s="26">
      <c r="A5" s="37" t="inlineStr">
        <is>
          <t>P004</t>
        </is>
      </c>
      <c r="B5" s="38" t="inlineStr">
        <is>
          <t>Watermelon</t>
        </is>
      </c>
      <c r="C5" s="39" t="inlineStr">
        <is>
          <t>Bara (Yor), Kankana (Hau)</t>
        </is>
      </c>
      <c r="D5" s="37" t="inlineStr">
        <is>
          <t>Fruit</t>
        </is>
      </c>
      <c r="E5" s="37" t="inlineStr">
        <is>
          <t>Local</t>
        </is>
      </c>
      <c r="F5" s="37" t="inlineStr">
        <is>
          <t>Eat as-is + recipes</t>
        </is>
      </c>
      <c r="G5" s="37" t="inlineStr">
        <is>
          <t>Year-round</t>
        </is>
      </c>
      <c r="H5" s="37" t="inlineStr">
        <is>
          <t>All year</t>
        </is>
      </c>
      <c r="I5" s="37" t="inlineStr">
        <is>
          <t>Dec-Apr</t>
        </is>
      </c>
      <c r="J5" s="37">
        <f>IFERROR(IF(INDEX('Seasonal Calendar'!$C$2:$N$500,MATCH(A5,'Seasonal Calendar'!$A$2:$A$500,0),MONTH(TODAY()))="","Out",INDEX('Seasonal Calendar'!$C$2:$N$500,MATCH(A5,'Seasonal Calendar'!$A$2:$A$500,0),MONTH(TODAY()))),"")</f>
        <v/>
      </c>
      <c r="K5" s="37" t="inlineStr">
        <is>
          <t>Verify</t>
        </is>
      </c>
      <c r="L5" s="37" t="inlineStr">
        <is>
          <t>Piece (S/M/L) or half</t>
        </is>
      </c>
      <c r="M5" s="40" t="n">
        <v>5500</v>
      </c>
      <c r="N5" s="37" t="inlineStr">
        <is>
          <t>1 pc (size not stated)</t>
        </is>
      </c>
      <c r="O5" s="39" t="inlineStr">
        <is>
          <t>The Fresh Place (thefreshplace.ng), 17 Oct 2026</t>
        </is>
      </c>
      <c r="P5" s="41" t="n"/>
      <c r="Q5" s="42" t="inlineStr">
        <is>
          <t>Y</t>
        </is>
      </c>
      <c r="R5" s="37" t="inlineStr">
        <is>
          <t>Core</t>
        </is>
      </c>
      <c r="S5" s="37">
        <f>COUNTIF('Recipe Ingredients'!$F$2:$F$2000,A5)</f>
        <v/>
      </c>
      <c r="T5" s="39" t="inlineStr">
        <is>
          <t>Whole at room temp; cut in fridge, wrapped</t>
        </is>
      </c>
      <c r="U5" s="37" t="inlineStr">
        <is>
          <t>1-2 weeks whole, 3 days cut</t>
        </is>
      </c>
      <c r="V5" s="39" t="inlineStr">
        <is>
          <t>Kano, Kaduna, Jigawa, Plateau</t>
        </is>
      </c>
      <c r="W5" s="37" t="inlineStr">
        <is>
          <t>Hydration, Weight management</t>
        </is>
      </c>
      <c r="X5" s="39" t="inlineStr">
        <is>
          <t>Listed by Kitchen Butterfly as available all year; northern supply heaviest in the dry season.</t>
        </is>
      </c>
    </row>
    <row r="6" ht="23.85" customHeight="1" s="26">
      <c r="A6" s="37" t="inlineStr">
        <is>
          <t>P005</t>
        </is>
      </c>
      <c r="B6" s="38" t="inlineStr">
        <is>
          <t>Pawpaw (papaya)</t>
        </is>
      </c>
      <c r="C6" s="39" t="inlineStr">
        <is>
          <t>Ibepe (Yor), Gwanda (Hau)</t>
        </is>
      </c>
      <c r="D6" s="37" t="inlineStr">
        <is>
          <t>Fruit</t>
        </is>
      </c>
      <c r="E6" s="37" t="inlineStr">
        <is>
          <t>Local</t>
        </is>
      </c>
      <c r="F6" s="37" t="inlineStr">
        <is>
          <t>Eat as-is + recipes</t>
        </is>
      </c>
      <c r="G6" s="37" t="inlineStr">
        <is>
          <t>Year-round</t>
        </is>
      </c>
      <c r="H6" s="37" t="inlineStr">
        <is>
          <t>All year</t>
        </is>
      </c>
      <c r="I6" s="37" t="n"/>
      <c r="J6" s="37">
        <f>IFERROR(IF(INDEX('Seasonal Calendar'!$C$2:$N$500,MATCH(A6,'Seasonal Calendar'!$A$2:$A$500,0),MONTH(TODAY()))="","Out",INDEX('Seasonal Calendar'!$C$2:$N$500,MATCH(A6,'Seasonal Calendar'!$A$2:$A$500,0),MONTH(TODAY()))),"")</f>
        <v/>
      </c>
      <c r="K6" s="37" t="inlineStr">
        <is>
          <t>Verify</t>
        </is>
      </c>
      <c r="L6" s="37" t="inlineStr">
        <is>
          <t>Piece</t>
        </is>
      </c>
      <c r="M6" s="40" t="n">
        <v>3000</v>
      </c>
      <c r="N6" s="37" t="inlineStr">
        <is>
          <t>1 pc</t>
        </is>
      </c>
      <c r="O6" s="39" t="inlineStr">
        <is>
          <t>The Fresh Place (thefreshplace.ng), 17 Oct 2026; listed out of stock</t>
        </is>
      </c>
      <c r="P6" s="41" t="n"/>
      <c r="Q6" s="42" t="inlineStr">
        <is>
          <t>Y</t>
        </is>
      </c>
      <c r="R6" s="37" t="inlineStr">
        <is>
          <t>Core</t>
        </is>
      </c>
      <c r="S6" s="37">
        <f>COUNTIF('Recipe Ingredients'!$F$2:$F$2000,A6)</f>
        <v/>
      </c>
      <c r="T6" s="39" t="inlineStr">
        <is>
          <t>Ripen at room temp; fridge when soft</t>
        </is>
      </c>
      <c r="U6" s="37" t="inlineStr">
        <is>
          <t>2-4 days ripe</t>
        </is>
      </c>
      <c r="V6" s="39" t="inlineStr">
        <is>
          <t>Nationwide</t>
        </is>
      </c>
      <c r="W6" s="37" t="inlineStr">
        <is>
          <t>Gut health, Weight management</t>
        </is>
      </c>
      <c r="X6" s="39" t="inlineStr">
        <is>
          <t>Unripe (green) pawpaw is a recipe ingredient too (green papaya salad).</t>
        </is>
      </c>
    </row>
    <row r="7" ht="23.85" customHeight="1" s="26">
      <c r="A7" s="37" t="inlineStr">
        <is>
          <t>P006</t>
        </is>
      </c>
      <c r="B7" s="38" t="inlineStr">
        <is>
          <t>Mango</t>
        </is>
      </c>
      <c r="C7" s="39" t="inlineStr">
        <is>
          <t>Mangoro (Yor/Hau)</t>
        </is>
      </c>
      <c r="D7" s="37" t="inlineStr">
        <is>
          <t>Fruit</t>
        </is>
      </c>
      <c r="E7" s="37" t="inlineStr">
        <is>
          <t>Local</t>
        </is>
      </c>
      <c r="F7" s="37" t="inlineStr">
        <is>
          <t>Eat as-is + recipes</t>
        </is>
      </c>
      <c r="G7" s="37" t="inlineStr">
        <is>
          <t>Seasonal</t>
        </is>
      </c>
      <c r="H7" s="37" t="inlineStr">
        <is>
          <t>Feb-May, Aug-Sep</t>
        </is>
      </c>
      <c r="I7" s="37" t="inlineStr">
        <is>
          <t>Mar-Apr</t>
        </is>
      </c>
      <c r="J7" s="37">
        <f>IFERROR(IF(INDEX('Seasonal Calendar'!$C$2:$N$500,MATCH(A7,'Seasonal Calendar'!$A$2:$A$500,0),MONTH(TODAY()))="","Out",INDEX('Seasonal Calendar'!$C$2:$N$500,MATCH(A7,'Seasonal Calendar'!$A$2:$A$500,0),MONTH(TODAY()))),"")</f>
        <v/>
      </c>
      <c r="K7" s="37" t="inlineStr">
        <is>
          <t>Sourced</t>
        </is>
      </c>
      <c r="L7" s="37" t="inlineStr">
        <is>
          <t>Piece / 1kg</t>
        </is>
      </c>
      <c r="M7" s="40" t="n">
        <v>500</v>
      </c>
      <c r="N7" s="37" t="inlineStr">
        <is>
          <t>1 pc (cherry mango)</t>
        </is>
      </c>
      <c r="O7" s="39" t="inlineStr">
        <is>
          <t>The Fresh Place (thefreshplace.ng), 17 Oct 2026; listed out of stock</t>
        </is>
      </c>
      <c r="P7" s="41" t="n"/>
      <c r="Q7" s="42" t="inlineStr">
        <is>
          <t>Seasonal</t>
        </is>
      </c>
      <c r="R7" s="37" t="inlineStr">
        <is>
          <t>Seasonal drop</t>
        </is>
      </c>
      <c r="S7" s="37">
        <f>COUNTIF('Recipe Ingredients'!$F$2:$F$2000,A7)</f>
        <v/>
      </c>
      <c r="T7" s="39" t="inlineStr">
        <is>
          <t>Room temp to ripen; fridge when ripe</t>
        </is>
      </c>
      <c r="U7" s="37" t="inlineStr">
        <is>
          <t>3-5 days ripe</t>
        </is>
      </c>
      <c r="V7" s="39" t="inlineStr">
        <is>
          <t>Oyo (Ogbomoso), Benue, Kaduna, Niger</t>
        </is>
      </c>
      <c r="W7" s="37" t="inlineStr">
        <is>
          <t>Energy, Wellness</t>
        </is>
      </c>
      <c r="X7" s="39" t="inlineStr">
        <is>
          <t>Main season Feb-May with a smaller Aug-Sep run. Varieties worth naming on the app: Ogbomoso, Julie, cherry, 'German'.</t>
        </is>
      </c>
    </row>
    <row r="8" ht="35.05" customHeight="1" s="26">
      <c r="A8" s="37" t="inlineStr">
        <is>
          <t>P007</t>
        </is>
      </c>
      <c r="B8" s="38" t="inlineStr">
        <is>
          <t>Orange</t>
        </is>
      </c>
      <c r="C8" s="39" t="inlineStr">
        <is>
          <t>Osan (Yor), Oroma (Igbo), Lemu (Hau)</t>
        </is>
      </c>
      <c r="D8" s="37" t="inlineStr">
        <is>
          <t>Fruit (citrus)</t>
        </is>
      </c>
      <c r="E8" s="37" t="inlineStr">
        <is>
          <t>Local + imported</t>
        </is>
      </c>
      <c r="F8" s="37" t="inlineStr">
        <is>
          <t>Eat as-is + recipes</t>
        </is>
      </c>
      <c r="G8" s="37" t="inlineStr">
        <is>
          <t>Year-round</t>
        </is>
      </c>
      <c r="H8" s="37" t="inlineStr">
        <is>
          <t>All year</t>
        </is>
      </c>
      <c r="I8" s="37" t="inlineStr">
        <is>
          <t>Oct-Jan</t>
        </is>
      </c>
      <c r="J8" s="37">
        <f>IFERROR(IF(INDEX('Seasonal Calendar'!$C$2:$N$500,MATCH(A8,'Seasonal Calendar'!$A$2:$A$500,0),MONTH(TODAY()))="","Out",INDEX('Seasonal Calendar'!$C$2:$N$500,MATCH(A8,'Seasonal Calendar'!$A$2:$A$500,0),MONTH(TODAY()))),"")</f>
        <v/>
      </c>
      <c r="K8" s="37" t="inlineStr">
        <is>
          <t>Sourced</t>
        </is>
      </c>
      <c r="L8" s="37" t="inlineStr">
        <is>
          <t>Piece / dozen</t>
        </is>
      </c>
      <c r="M8" s="40" t="n">
        <v>200</v>
      </c>
      <c r="N8" s="37" t="inlineStr">
        <is>
          <t>1 pc local</t>
        </is>
      </c>
      <c r="O8" s="39" t="inlineStr">
        <is>
          <t>The Fresh Place (thefreshplace.ng), 17 Oct 2026; local dozen N2,400; imported N950/pc, N10,800/dozen</t>
        </is>
      </c>
      <c r="P8" s="41" t="n"/>
      <c r="Q8" s="42" t="inlineStr">
        <is>
          <t>Y</t>
        </is>
      </c>
      <c r="R8" s="37" t="inlineStr">
        <is>
          <t>Core</t>
        </is>
      </c>
      <c r="S8" s="37">
        <f>COUNTIF('Recipe Ingredients'!$F$2:$F$2000,A8)</f>
        <v/>
      </c>
      <c r="T8" s="39" t="inlineStr">
        <is>
          <t>Room temp 1 week; fridge 2-3 weeks</t>
        </is>
      </c>
      <c r="U8" s="37" t="inlineStr">
        <is>
          <t>1-3 weeks</t>
        </is>
      </c>
      <c r="V8" s="39" t="inlineStr">
        <is>
          <t>Benue (citrus belt), Ogun, Oyo</t>
        </is>
      </c>
      <c r="W8" s="37" t="inlineStr">
        <is>
          <t>Wellness, Hydration</t>
        </is>
      </c>
      <c r="X8" s="39" t="inlineStr">
        <is>
          <t>Available all year with varying quality; best fruit Oct-Dec per Kitchen Butterfly.</t>
        </is>
      </c>
    </row>
    <row r="9" ht="23.85" customHeight="1" s="26">
      <c r="A9" s="37" t="inlineStr">
        <is>
          <t>P008</t>
        </is>
      </c>
      <c r="B9" s="38" t="inlineStr">
        <is>
          <t>Tangerine</t>
        </is>
      </c>
      <c r="C9" s="39" t="n"/>
      <c r="D9" s="37" t="inlineStr">
        <is>
          <t>Fruit (citrus)</t>
        </is>
      </c>
      <c r="E9" s="37" t="inlineStr">
        <is>
          <t>Local + imported</t>
        </is>
      </c>
      <c r="F9" s="37" t="inlineStr">
        <is>
          <t>Eat as-is + recipes</t>
        </is>
      </c>
      <c r="G9" s="37" t="inlineStr">
        <is>
          <t>Year-round</t>
        </is>
      </c>
      <c r="H9" s="37" t="inlineStr">
        <is>
          <t>All year</t>
        </is>
      </c>
      <c r="I9" s="37" t="inlineStr">
        <is>
          <t>Oct-Jan</t>
        </is>
      </c>
      <c r="J9" s="37">
        <f>IFERROR(IF(INDEX('Seasonal Calendar'!$C$2:$N$500,MATCH(A9,'Seasonal Calendar'!$A$2:$A$500,0),MONTH(TODAY()))="","Out",INDEX('Seasonal Calendar'!$C$2:$N$500,MATCH(A9,'Seasonal Calendar'!$A$2:$A$500,0),MONTH(TODAY()))),"")</f>
        <v/>
      </c>
      <c r="K9" s="37" t="inlineStr">
        <is>
          <t>Sourced</t>
        </is>
      </c>
      <c r="L9" s="37" t="inlineStr">
        <is>
          <t>Piece</t>
        </is>
      </c>
      <c r="M9" s="40" t="n">
        <v>300</v>
      </c>
      <c r="N9" s="37" t="inlineStr">
        <is>
          <t>1 pc local</t>
        </is>
      </c>
      <c r="O9" s="39" t="inlineStr">
        <is>
          <t>The Fresh Place (thefreshplace.ng), 17 Oct 2026; listed out of stock; imported clementine N850/pc, N10,800/dozen</t>
        </is>
      </c>
      <c r="P9" s="41" t="n"/>
      <c r="Q9" s="42" t="inlineStr">
        <is>
          <t>Y</t>
        </is>
      </c>
      <c r="R9" s="37" t="inlineStr">
        <is>
          <t>Core</t>
        </is>
      </c>
      <c r="S9" s="37">
        <f>COUNTIF('Recipe Ingredients'!$F$2:$F$2000,A9)</f>
        <v/>
      </c>
      <c r="T9" s="39" t="inlineStr">
        <is>
          <t>Room temp 1 week; fridge 2 weeks</t>
        </is>
      </c>
      <c r="U9" s="37" t="inlineStr">
        <is>
          <t>1-2 weeks</t>
        </is>
      </c>
      <c r="V9" s="39" t="inlineStr">
        <is>
          <t>Benue, Ogun</t>
        </is>
      </c>
      <c r="W9" s="37" t="inlineStr">
        <is>
          <t>Wellness</t>
        </is>
      </c>
      <c r="X9" s="39" t="inlineStr">
        <is>
          <t>Local vs imported price is nearly 3x.</t>
        </is>
      </c>
    </row>
    <row r="10" ht="46.25" customHeight="1" s="26">
      <c r="A10" s="37" t="inlineStr">
        <is>
          <t>P009</t>
        </is>
      </c>
      <c r="B10" s="38" t="inlineStr">
        <is>
          <t>Lemon</t>
        </is>
      </c>
      <c r="C10" s="39" t="n"/>
      <c r="D10" s="37" t="inlineStr">
        <is>
          <t>Fruit (citrus)</t>
        </is>
      </c>
      <c r="E10" s="37" t="inlineStr">
        <is>
          <t>Local + imported</t>
        </is>
      </c>
      <c r="F10" s="37" t="inlineStr">
        <is>
          <t>Recipe ingredient</t>
        </is>
      </c>
      <c r="G10" s="37" t="inlineStr">
        <is>
          <t>Year-round</t>
        </is>
      </c>
      <c r="H10" s="37" t="inlineStr">
        <is>
          <t>All year</t>
        </is>
      </c>
      <c r="I10" s="37" t="inlineStr">
        <is>
          <t>Oct-Jan</t>
        </is>
      </c>
      <c r="J10" s="37">
        <f>IFERROR(IF(INDEX('Seasonal Calendar'!$C$2:$N$500,MATCH(A10,'Seasonal Calendar'!$A$2:$A$500,0),MONTH(TODAY()))="","Out",INDEX('Seasonal Calendar'!$C$2:$N$500,MATCH(A10,'Seasonal Calendar'!$A$2:$A$500,0),MONTH(TODAY()))),"")</f>
        <v/>
      </c>
      <c r="K10" s="37" t="inlineStr">
        <is>
          <t>Verify</t>
        </is>
      </c>
      <c r="L10" s="37" t="inlineStr">
        <is>
          <t>Piece</t>
        </is>
      </c>
      <c r="M10" s="40" t="n">
        <v>300</v>
      </c>
      <c r="N10" s="37" t="inlineStr">
        <is>
          <t>1 pc local</t>
        </is>
      </c>
      <c r="O10" s="39" t="inlineStr">
        <is>
          <t>The Fresh Place (thefreshplace.ng), 17 Oct 2026; local dozen N4,800; imported N950/pc, N10,200/dozen</t>
        </is>
      </c>
      <c r="P10" s="41" t="n"/>
      <c r="Q10" s="42" t="inlineStr">
        <is>
          <t>Y</t>
        </is>
      </c>
      <c r="R10" s="37" t="inlineStr">
        <is>
          <t>Core</t>
        </is>
      </c>
      <c r="S10" s="37">
        <f>COUNTIF('Recipe Ingredients'!$F$2:$F$2000,A10)</f>
        <v/>
      </c>
      <c r="T10" s="39" t="inlineStr">
        <is>
          <t>Fridge</t>
        </is>
      </c>
      <c r="U10" s="37" t="inlineStr">
        <is>
          <t>2-3 weeks</t>
        </is>
      </c>
      <c r="V10" s="39" t="inlineStr">
        <is>
          <t>Benue, Plateau</t>
        </is>
      </c>
      <c r="W10" s="37" t="inlineStr">
        <is>
          <t>Wellness</t>
        </is>
      </c>
      <c r="X10" s="39" t="inlineStr">
        <is>
          <t>Used in more recipes than almost anything else. Strong case for local-only.</t>
        </is>
      </c>
    </row>
    <row r="11" ht="23.85" customHeight="1" s="26">
      <c r="A11" s="37" t="inlineStr">
        <is>
          <t>P010</t>
        </is>
      </c>
      <c r="B11" s="38" t="inlineStr">
        <is>
          <t>Lime</t>
        </is>
      </c>
      <c r="C11" s="39" t="inlineStr">
        <is>
          <t>Osan wewe (Yor)</t>
        </is>
      </c>
      <c r="D11" s="37" t="inlineStr">
        <is>
          <t>Fruit (citrus)</t>
        </is>
      </c>
      <c r="E11" s="37" t="inlineStr">
        <is>
          <t>Local</t>
        </is>
      </c>
      <c r="F11" s="37" t="inlineStr">
        <is>
          <t>Recipe ingredient</t>
        </is>
      </c>
      <c r="G11" s="37" t="inlineStr">
        <is>
          <t>Year-round</t>
        </is>
      </c>
      <c r="H11" s="37" t="inlineStr">
        <is>
          <t>All year</t>
        </is>
      </c>
      <c r="I11" s="37" t="inlineStr">
        <is>
          <t>Oct-Jan</t>
        </is>
      </c>
      <c r="J11" s="37">
        <f>IFERROR(IF(INDEX('Seasonal Calendar'!$C$2:$N$500,MATCH(A11,'Seasonal Calendar'!$A$2:$A$500,0),MONTH(TODAY()))="","Out",INDEX('Seasonal Calendar'!$C$2:$N$500,MATCH(A11,'Seasonal Calendar'!$A$2:$A$500,0),MONTH(TODAY()))),"")</f>
        <v/>
      </c>
      <c r="K11" s="37" t="inlineStr">
        <is>
          <t>Sourced</t>
        </is>
      </c>
      <c r="L11" s="37" t="inlineStr">
        <is>
          <t>Piece / pack of 4</t>
        </is>
      </c>
      <c r="M11" s="40" t="n"/>
      <c r="N11" s="37" t="n"/>
      <c r="O11" s="39" t="n"/>
      <c r="P11" s="41" t="n"/>
      <c r="Q11" s="42" t="inlineStr">
        <is>
          <t>Y</t>
        </is>
      </c>
      <c r="R11" s="37" t="inlineStr">
        <is>
          <t>Core</t>
        </is>
      </c>
      <c r="S11" s="37">
        <f>COUNTIF('Recipe Ingredients'!$F$2:$F$2000,A11)</f>
        <v/>
      </c>
      <c r="T11" s="39" t="inlineStr">
        <is>
          <t>Fridge</t>
        </is>
      </c>
      <c r="U11" s="37" t="inlineStr">
        <is>
          <t>2-3 weeks</t>
        </is>
      </c>
      <c r="V11" s="39" t="inlineStr">
        <is>
          <t>Benue, Ogun, Oyo</t>
        </is>
      </c>
      <c r="W11" s="37" t="inlineStr">
        <is>
          <t>Wellness</t>
        </is>
      </c>
      <c r="X11" s="39" t="inlineStr">
        <is>
          <t>Best fruit Oct-Dec (Kitchen Butterfly). Workhorse acid for salsas, dressings and drinks.</t>
        </is>
      </c>
    </row>
    <row r="12" ht="15" customHeight="1" s="26">
      <c r="A12" s="37" t="inlineStr">
        <is>
          <t>P011</t>
        </is>
      </c>
      <c r="B12" s="38" t="inlineStr">
        <is>
          <t>Grapefruit</t>
        </is>
      </c>
      <c r="C12" s="39" t="n"/>
      <c r="D12" s="37" t="inlineStr">
        <is>
          <t>Fruit (citrus)</t>
        </is>
      </c>
      <c r="E12" s="37" t="inlineStr">
        <is>
          <t>Local</t>
        </is>
      </c>
      <c r="F12" s="37" t="inlineStr">
        <is>
          <t>Eat as-is + recipes</t>
        </is>
      </c>
      <c r="G12" s="37" t="inlineStr">
        <is>
          <t>Year-round</t>
        </is>
      </c>
      <c r="H12" s="37" t="inlineStr">
        <is>
          <t>All year</t>
        </is>
      </c>
      <c r="I12" s="37" t="inlineStr">
        <is>
          <t>Oct-Jan</t>
        </is>
      </c>
      <c r="J12" s="37">
        <f>IFERROR(IF(INDEX('Seasonal Calendar'!$C$2:$N$500,MATCH(A12,'Seasonal Calendar'!$A$2:$A$500,0),MONTH(TODAY()))="","Out",INDEX('Seasonal Calendar'!$C$2:$N$500,MATCH(A12,'Seasonal Calendar'!$A$2:$A$500,0),MONTH(TODAY()))),"")</f>
        <v/>
      </c>
      <c r="K12" s="37" t="inlineStr">
        <is>
          <t>Verify</t>
        </is>
      </c>
      <c r="L12" s="37" t="inlineStr">
        <is>
          <t>Piece</t>
        </is>
      </c>
      <c r="M12" s="40" t="n"/>
      <c r="N12" s="37" t="n"/>
      <c r="O12" s="39" t="n"/>
      <c r="P12" s="41" t="n"/>
      <c r="Q12" s="42" t="inlineStr">
        <is>
          <t>N</t>
        </is>
      </c>
      <c r="R12" s="37" t="inlineStr">
        <is>
          <t>Later</t>
        </is>
      </c>
      <c r="S12" s="37">
        <f>COUNTIF('Recipe Ingredients'!$F$2:$F$2000,A12)</f>
        <v/>
      </c>
      <c r="T12" s="39" t="inlineStr">
        <is>
          <t>Room temp / fridge</t>
        </is>
      </c>
      <c r="U12" s="37" t="inlineStr">
        <is>
          <t>2-3 weeks</t>
        </is>
      </c>
      <c r="V12" s="39" t="inlineStr">
        <is>
          <t>Benue</t>
        </is>
      </c>
      <c r="W12" s="37" t="inlineStr">
        <is>
          <t>Weight management</t>
        </is>
      </c>
      <c r="X12" s="39" t="inlineStr">
        <is>
          <t>Niche but cheap locally. Good add-on for citrus boxes.</t>
        </is>
      </c>
    </row>
    <row r="13" ht="46.25" customHeight="1" s="26">
      <c r="A13" s="37" t="inlineStr">
        <is>
          <t>P012</t>
        </is>
      </c>
      <c r="B13" s="38" t="inlineStr">
        <is>
          <t>Avocado</t>
        </is>
      </c>
      <c r="C13" s="39" t="inlineStr">
        <is>
          <t>Pia (Yor)</t>
        </is>
      </c>
      <c r="D13" s="37" t="inlineStr">
        <is>
          <t>Fruit</t>
        </is>
      </c>
      <c r="E13" s="37" t="inlineStr">
        <is>
          <t>Local + imported</t>
        </is>
      </c>
      <c r="F13" s="37" t="inlineStr">
        <is>
          <t>Eat as-is + recipes</t>
        </is>
      </c>
      <c r="G13" s="37" t="inlineStr">
        <is>
          <t>Year-round</t>
        </is>
      </c>
      <c r="H13" s="37" t="inlineStr">
        <is>
          <t>All year</t>
        </is>
      </c>
      <c r="I13" s="37" t="n"/>
      <c r="J13" s="37">
        <f>IFERROR(IF(INDEX('Seasonal Calendar'!$C$2:$N$500,MATCH(A13,'Seasonal Calendar'!$A$2:$A$500,0),MONTH(TODAY()))="","Out",INDEX('Seasonal Calendar'!$C$2:$N$500,MATCH(A13,'Seasonal Calendar'!$A$2:$A$500,0),MONTH(TODAY()))),"")</f>
        <v/>
      </c>
      <c r="K13" s="37" t="inlineStr">
        <is>
          <t>Verify</t>
        </is>
      </c>
      <c r="L13" s="37" t="inlineStr">
        <is>
          <t>Piece</t>
        </is>
      </c>
      <c r="M13" s="40" t="n">
        <v>2000</v>
      </c>
      <c r="N13" s="37" t="inlineStr">
        <is>
          <t>1 pc medium</t>
        </is>
      </c>
      <c r="O13" s="39" t="inlineStr">
        <is>
          <t>The Fresh Place (thefreshplace.ng), 17 Oct 2026; big N2,500, listed out of stock</t>
        </is>
      </c>
      <c r="P13" s="41" t="n"/>
      <c r="Q13" s="42" t="inlineStr">
        <is>
          <t>Y</t>
        </is>
      </c>
      <c r="R13" s="37" t="inlineStr">
        <is>
          <t>Core</t>
        </is>
      </c>
      <c r="S13" s="37">
        <f>COUNTIF('Recipe Ingredients'!$F$2:$F$2000,A13)</f>
        <v/>
      </c>
      <c r="T13" s="39" t="inlineStr">
        <is>
          <t>Room temp to ripen; fridge once ripe</t>
        </is>
      </c>
      <c r="U13" s="37" t="inlineStr">
        <is>
          <t>2-3 days ripe</t>
        </is>
      </c>
      <c r="V13" s="39" t="inlineStr">
        <is>
          <t>Southwest, Cross River, Plateau</t>
        </is>
      </c>
      <c r="W13" s="37" t="inlineStr">
        <is>
          <t>Training, Wellness</t>
        </is>
      </c>
      <c r="X13" s="39" t="inlineStr">
        <is>
          <t>Local supply and quality swing through the year. Confirm local peak months with suppliers. Mint sells a ready-to-eat 'eat me' pack, worth copying.</t>
        </is>
      </c>
    </row>
    <row r="14" ht="15" customHeight="1" s="26">
      <c r="A14" s="37" t="inlineStr">
        <is>
          <t>P013</t>
        </is>
      </c>
      <c r="B14" s="38" t="inlineStr">
        <is>
          <t>Guava</t>
        </is>
      </c>
      <c r="C14" s="39" t="inlineStr">
        <is>
          <t>Gova (Yor), Gwaba (Hau)</t>
        </is>
      </c>
      <c r="D14" s="37" t="inlineStr">
        <is>
          <t>Fruit</t>
        </is>
      </c>
      <c r="E14" s="37" t="inlineStr">
        <is>
          <t>Local + imported</t>
        </is>
      </c>
      <c r="F14" s="37" t="inlineStr">
        <is>
          <t>Eat as-is + recipes</t>
        </is>
      </c>
      <c r="G14" s="37" t="inlineStr">
        <is>
          <t>Seasonal</t>
        </is>
      </c>
      <c r="H14" s="37" t="inlineStr">
        <is>
          <t>Feb-Mar, Aug-Sep</t>
        </is>
      </c>
      <c r="I14" s="37" t="inlineStr">
        <is>
          <t>Feb-Mar</t>
        </is>
      </c>
      <c r="J14" s="37">
        <f>IFERROR(IF(INDEX('Seasonal Calendar'!$C$2:$N$500,MATCH(A14,'Seasonal Calendar'!$A$2:$A$500,0),MONTH(TODAY()))="","Out",INDEX('Seasonal Calendar'!$C$2:$N$500,MATCH(A14,'Seasonal Calendar'!$A$2:$A$500,0),MONTH(TODAY()))),"")</f>
        <v/>
      </c>
      <c r="K14" s="37" t="inlineStr">
        <is>
          <t>Sourced</t>
        </is>
      </c>
      <c r="L14" s="37" t="inlineStr">
        <is>
          <t>Piece / 1kg</t>
        </is>
      </c>
      <c r="M14" s="40" t="n">
        <v>16000</v>
      </c>
      <c r="N14" s="37" t="inlineStr">
        <is>
          <t>1kg imported</t>
        </is>
      </c>
      <c r="O14" s="39" t="inlineStr">
        <is>
          <t>The Fresh Place (thefreshplace.ng), 17 Oct 2026; listed out of stock</t>
        </is>
      </c>
      <c r="P14" s="41" t="n"/>
      <c r="Q14" s="42" t="inlineStr">
        <is>
          <t>Seasonal</t>
        </is>
      </c>
      <c r="R14" s="37" t="inlineStr">
        <is>
          <t>Seasonal drop</t>
        </is>
      </c>
      <c r="S14" s="37">
        <f>COUNTIF('Recipe Ingredients'!$F$2:$F$2000,A14)</f>
        <v/>
      </c>
      <c r="T14" s="39" t="inlineStr">
        <is>
          <t>Room temp; fridge when soft</t>
        </is>
      </c>
      <c r="U14" s="37" t="inlineStr">
        <is>
          <t>3-4 days</t>
        </is>
      </c>
      <c r="V14" s="39" t="inlineStr">
        <is>
          <t>Nationwide</t>
        </is>
      </c>
      <c r="W14" s="37" t="inlineStr">
        <is>
          <t>Wellness</t>
        </is>
      </c>
      <c r="X14" s="39" t="inlineStr">
        <is>
          <t>Two short local windows. Imported guava sells at a premium.</t>
        </is>
      </c>
    </row>
    <row r="15" ht="15" customHeight="1" s="26">
      <c r="A15" s="37" t="inlineStr">
        <is>
          <t>P014</t>
        </is>
      </c>
      <c r="B15" s="38" t="inlineStr">
        <is>
          <t>Soursop</t>
        </is>
      </c>
      <c r="C15" s="39" t="n"/>
      <c r="D15" s="37" t="inlineStr">
        <is>
          <t>Fruit</t>
        </is>
      </c>
      <c r="E15" s="37" t="inlineStr">
        <is>
          <t>Local</t>
        </is>
      </c>
      <c r="F15" s="37" t="inlineStr">
        <is>
          <t>Eat as-is + recipes</t>
        </is>
      </c>
      <c r="G15" s="37" t="inlineStr">
        <is>
          <t>Seasonal</t>
        </is>
      </c>
      <c r="H15" s="37" t="inlineStr">
        <is>
          <t>Dec-Mar, May-Aug, Oct</t>
        </is>
      </c>
      <c r="I15" s="37" t="inlineStr">
        <is>
          <t>Feb-Mar</t>
        </is>
      </c>
      <c r="J15" s="37">
        <f>IFERROR(IF(INDEX('Seasonal Calendar'!$C$2:$N$500,MATCH(A15,'Seasonal Calendar'!$A$2:$A$500,0),MONTH(TODAY()))="","Out",INDEX('Seasonal Calendar'!$C$2:$N$500,MATCH(A15,'Seasonal Calendar'!$A$2:$A$500,0),MONTH(TODAY()))),"")</f>
        <v/>
      </c>
      <c r="K15" s="37" t="inlineStr">
        <is>
          <t>Sourced</t>
        </is>
      </c>
      <c r="L15" s="37" t="inlineStr">
        <is>
          <t>Piece / 1kg</t>
        </is>
      </c>
      <c r="M15" s="40" t="n">
        <v>5500</v>
      </c>
      <c r="N15" s="37" t="inlineStr">
        <is>
          <t>1kg</t>
        </is>
      </c>
      <c r="O15" s="39" t="inlineStr">
        <is>
          <t>The Fresh Place (thefreshplace.ng), 17 Oct 2026; listed out of stock</t>
        </is>
      </c>
      <c r="P15" s="41" t="n"/>
      <c r="Q15" s="42" t="inlineStr">
        <is>
          <t>Seasonal</t>
        </is>
      </c>
      <c r="R15" s="37" t="inlineStr">
        <is>
          <t>Seasonal drop</t>
        </is>
      </c>
      <c r="S15" s="37">
        <f>COUNTIF('Recipe Ingredients'!$F$2:$F$2000,A15)</f>
        <v/>
      </c>
      <c r="T15" s="39" t="inlineStr">
        <is>
          <t>Room temp until soft; fridge after</t>
        </is>
      </c>
      <c r="U15" s="37" t="inlineStr">
        <is>
          <t>2-3 days ripe</t>
        </is>
      </c>
      <c r="V15" s="39" t="inlineStr">
        <is>
          <t>Southwest, South-south</t>
        </is>
      </c>
      <c r="W15" s="37" t="inlineStr">
        <is>
          <t>Wellness</t>
        </is>
      </c>
      <c r="X15" s="39" t="inlineStr">
        <is>
          <t>Seeds must be removed before blending.</t>
        </is>
      </c>
    </row>
    <row r="16" ht="35.05" customHeight="1" s="26">
      <c r="A16" s="37" t="inlineStr">
        <is>
          <t>P015</t>
        </is>
      </c>
      <c r="B16" s="38" t="inlineStr">
        <is>
          <t>Passion fruit</t>
        </is>
      </c>
      <c r="C16" s="39" t="n"/>
      <c r="D16" s="37" t="inlineStr">
        <is>
          <t>Fruit</t>
        </is>
      </c>
      <c r="E16" s="37" t="inlineStr">
        <is>
          <t>Local + imported</t>
        </is>
      </c>
      <c r="F16" s="37" t="inlineStr">
        <is>
          <t>Recipe ingredient</t>
        </is>
      </c>
      <c r="G16" s="37" t="inlineStr">
        <is>
          <t>Seasonal</t>
        </is>
      </c>
      <c r="H16" s="37" t="inlineStr">
        <is>
          <t>Jan-Mar, May-Jun, Aug-Nov</t>
        </is>
      </c>
      <c r="I16" s="37" t="n"/>
      <c r="J16" s="37">
        <f>IFERROR(IF(INDEX('Seasonal Calendar'!$C$2:$N$500,MATCH(A16,'Seasonal Calendar'!$A$2:$A$500,0),MONTH(TODAY()))="","Out",INDEX('Seasonal Calendar'!$C$2:$N$500,MATCH(A16,'Seasonal Calendar'!$A$2:$A$500,0),MONTH(TODAY()))),"")</f>
        <v/>
      </c>
      <c r="K16" s="37" t="inlineStr">
        <is>
          <t>Sourced</t>
        </is>
      </c>
      <c r="L16" s="37" t="inlineStr">
        <is>
          <t>Pack of 4</t>
        </is>
      </c>
      <c r="M16" s="40" t="n">
        <v>40000</v>
      </c>
      <c r="N16" s="37" t="inlineStr">
        <is>
          <t>1kg imported</t>
        </is>
      </c>
      <c r="O16" s="39" t="inlineStr">
        <is>
          <t>The Fresh Place (thefreshplace.ng), 17 Oct 2026; listed out of stock</t>
        </is>
      </c>
      <c r="P16" s="41" t="n"/>
      <c r="Q16" s="42" t="inlineStr">
        <is>
          <t>N</t>
        </is>
      </c>
      <c r="R16" s="37" t="inlineStr">
        <is>
          <t>Premium</t>
        </is>
      </c>
      <c r="S16" s="37">
        <f>COUNTIF('Recipe Ingredients'!$F$2:$F$2000,A16)</f>
        <v/>
      </c>
      <c r="T16" s="39" t="inlineStr">
        <is>
          <t>Room temp; fridge when wrinkled</t>
        </is>
      </c>
      <c r="U16" s="37" t="inlineStr">
        <is>
          <t>1-2 weeks</t>
        </is>
      </c>
      <c r="V16" s="39" t="inlineStr">
        <is>
          <t>Plateau</t>
        </is>
      </c>
      <c r="W16" s="37" t="inlineStr">
        <is>
          <t>Wellness</t>
        </is>
      </c>
      <c r="X16" s="39" t="inlineStr">
        <is>
          <t>Local supply exists (Plateau). Imported is very expensive, so source locally.</t>
        </is>
      </c>
    </row>
    <row r="17" ht="23.85" customHeight="1" s="26">
      <c r="A17" s="37" t="inlineStr">
        <is>
          <t>P016</t>
        </is>
      </c>
      <c r="B17" s="38" t="inlineStr">
        <is>
          <t>Coconut</t>
        </is>
      </c>
      <c r="C17" s="39" t="inlineStr">
        <is>
          <t>Agbon (Yor), Kwakwa (Hau)</t>
        </is>
      </c>
      <c r="D17" s="37" t="inlineStr">
        <is>
          <t>Fruit</t>
        </is>
      </c>
      <c r="E17" s="37" t="inlineStr">
        <is>
          <t>Local</t>
        </is>
      </c>
      <c r="F17" s="37" t="inlineStr">
        <is>
          <t>Eat as-is + recipes</t>
        </is>
      </c>
      <c r="G17" s="37" t="inlineStr">
        <is>
          <t>Year-round</t>
        </is>
      </c>
      <c r="H17" s="37" t="inlineStr">
        <is>
          <t>All year</t>
        </is>
      </c>
      <c r="I17" s="37" t="n"/>
      <c r="J17" s="37">
        <f>IFERROR(IF(INDEX('Seasonal Calendar'!$C$2:$N$500,MATCH(A17,'Seasonal Calendar'!$A$2:$A$500,0),MONTH(TODAY()))="","Out",INDEX('Seasonal Calendar'!$C$2:$N$500,MATCH(A17,'Seasonal Calendar'!$A$2:$A$500,0),MONTH(TODAY()))),"")</f>
        <v/>
      </c>
      <c r="K17" s="37" t="inlineStr">
        <is>
          <t>Verify</t>
        </is>
      </c>
      <c r="L17" s="37" t="inlineStr">
        <is>
          <t>Piece</t>
        </is>
      </c>
      <c r="M17" s="40" t="n">
        <v>1500</v>
      </c>
      <c r="N17" s="37" t="inlineStr">
        <is>
          <t>1 pc</t>
        </is>
      </c>
      <c r="O17" s="39" t="inlineStr">
        <is>
          <t>The Fresh Place (thefreshplace.ng), 17 Oct 2026</t>
        </is>
      </c>
      <c r="P17" s="41" t="n"/>
      <c r="Q17" s="42" t="inlineStr">
        <is>
          <t>Y</t>
        </is>
      </c>
      <c r="R17" s="37" t="inlineStr">
        <is>
          <t>Core</t>
        </is>
      </c>
      <c r="S17" s="37">
        <f>COUNTIF('Recipe Ingredients'!$F$2:$F$2000,A17)</f>
        <v/>
      </c>
      <c r="T17" s="39" t="inlineStr">
        <is>
          <t>Room temp</t>
        </is>
      </c>
      <c r="U17" s="37" t="inlineStr">
        <is>
          <t>2-3 weeks whole</t>
        </is>
      </c>
      <c r="V17" s="39" t="inlineStr">
        <is>
          <t>Lagos (Badagry), Ogun, Ondo coast</t>
        </is>
      </c>
      <c r="W17" s="37" t="inlineStr">
        <is>
          <t>Plant-based, Hydration</t>
        </is>
      </c>
      <c r="X17" s="39" t="inlineStr">
        <is>
          <t>Fresh coconut milk replaces canned in most recipes here.</t>
        </is>
      </c>
    </row>
    <row r="18" ht="23.85" customHeight="1" s="26">
      <c r="A18" s="37" t="inlineStr">
        <is>
          <t>P017</t>
        </is>
      </c>
      <c r="B18" s="38" t="inlineStr">
        <is>
          <t>Agbalumo (African star apple)</t>
        </is>
      </c>
      <c r="C18" s="39" t="inlineStr">
        <is>
          <t>Agbalumo (Yor), Udara (Igbo), 'cherry' (Lagos)</t>
        </is>
      </c>
      <c r="D18" s="37" t="inlineStr">
        <is>
          <t>Fruit</t>
        </is>
      </c>
      <c r="E18" s="37" t="inlineStr">
        <is>
          <t>Local</t>
        </is>
      </c>
      <c r="F18" s="37" t="inlineStr">
        <is>
          <t>Eat as-is only</t>
        </is>
      </c>
      <c r="G18" s="37" t="inlineStr">
        <is>
          <t>Seasonal</t>
        </is>
      </c>
      <c r="H18" s="37" t="inlineStr">
        <is>
          <t>Dec-May</t>
        </is>
      </c>
      <c r="I18" s="37" t="inlineStr">
        <is>
          <t>Jan-Mar</t>
        </is>
      </c>
      <c r="J18" s="37">
        <f>IFERROR(IF(INDEX('Seasonal Calendar'!$C$2:$N$500,MATCH(A18,'Seasonal Calendar'!$A$2:$A$500,0),MONTH(TODAY()))="","Out",INDEX('Seasonal Calendar'!$C$2:$N$500,MATCH(A18,'Seasonal Calendar'!$A$2:$A$500,0),MONTH(TODAY()))),"")</f>
        <v/>
      </c>
      <c r="K18" s="37" t="inlineStr">
        <is>
          <t>Sourced</t>
        </is>
      </c>
      <c r="L18" s="37" t="inlineStr">
        <is>
          <t>Pack of 10 / 20</t>
        </is>
      </c>
      <c r="M18" s="40" t="n"/>
      <c r="N18" s="37" t="n"/>
      <c r="O18" s="39" t="n"/>
      <c r="P18" s="41" t="n"/>
      <c r="Q18" s="42" t="inlineStr">
        <is>
          <t>Seasonal</t>
        </is>
      </c>
      <c r="R18" s="37" t="inlineStr">
        <is>
          <t>Seasonal drop</t>
        </is>
      </c>
      <c r="S18" s="37">
        <f>COUNTIF('Recipe Ingredients'!$F$2:$F$2000,A18)</f>
        <v/>
      </c>
      <c r="T18" s="39" t="inlineStr">
        <is>
          <t>Room temp</t>
        </is>
      </c>
      <c r="U18" s="37" t="inlineStr">
        <is>
          <t>3-5 days</t>
        </is>
      </c>
      <c r="V18" s="39" t="inlineStr">
        <is>
          <t>Southwest and Southeast forest zones</t>
        </is>
      </c>
      <c r="W18" s="37" t="inlineStr">
        <is>
          <t>Wellness</t>
        </is>
      </c>
      <c r="X18" s="39" t="inlineStr">
        <is>
          <t>Hero of the seasonal drop calendar. Wild-harvested, so grade by size and sell by count.</t>
        </is>
      </c>
    </row>
    <row r="19" ht="15" customHeight="1" s="26">
      <c r="A19" s="37" t="inlineStr">
        <is>
          <t>P018</t>
        </is>
      </c>
      <c r="B19" s="38" t="inlineStr">
        <is>
          <t>Cashew apple</t>
        </is>
      </c>
      <c r="C19" s="39" t="inlineStr">
        <is>
          <t>Kaju (Yor), Kanju (Hau)</t>
        </is>
      </c>
      <c r="D19" s="37" t="inlineStr">
        <is>
          <t>Fruit</t>
        </is>
      </c>
      <c r="E19" s="37" t="inlineStr">
        <is>
          <t>Local</t>
        </is>
      </c>
      <c r="F19" s="37" t="inlineStr">
        <is>
          <t>Eat as-is only</t>
        </is>
      </c>
      <c r="G19" s="37" t="inlineStr">
        <is>
          <t>Seasonal</t>
        </is>
      </c>
      <c r="H19" s="37" t="inlineStr">
        <is>
          <t>Feb-Mar</t>
        </is>
      </c>
      <c r="I19" s="37" t="inlineStr">
        <is>
          <t>Feb-Mar</t>
        </is>
      </c>
      <c r="J19" s="37">
        <f>IFERROR(IF(INDEX('Seasonal Calendar'!$C$2:$N$500,MATCH(A19,'Seasonal Calendar'!$A$2:$A$500,0),MONTH(TODAY()))="","Out",INDEX('Seasonal Calendar'!$C$2:$N$500,MATCH(A19,'Seasonal Calendar'!$A$2:$A$500,0),MONTH(TODAY()))),"")</f>
        <v/>
      </c>
      <c r="K19" s="37" t="inlineStr">
        <is>
          <t>Sourced</t>
        </is>
      </c>
      <c r="L19" s="37" t="inlineStr">
        <is>
          <t>Pack</t>
        </is>
      </c>
      <c r="M19" s="40" t="n"/>
      <c r="N19" s="37" t="n"/>
      <c r="O19" s="39" t="n"/>
      <c r="P19" s="41" t="n"/>
      <c r="Q19" s="42" t="inlineStr">
        <is>
          <t>N</t>
        </is>
      </c>
      <c r="R19" s="37" t="inlineStr">
        <is>
          <t>Later</t>
        </is>
      </c>
      <c r="S19" s="37">
        <f>COUNTIF('Recipe Ingredients'!$F$2:$F$2000,A19)</f>
        <v/>
      </c>
      <c r="T19" s="39" t="inlineStr">
        <is>
          <t>Fridge; bruises fast</t>
        </is>
      </c>
      <c r="U19" s="37" t="inlineStr">
        <is>
          <t>1-2 days</t>
        </is>
      </c>
      <c r="V19" s="39" t="inlineStr">
        <is>
          <t>Kogi, Oyo, Enugu</t>
        </is>
      </c>
      <c r="W19" s="37" t="inlineStr">
        <is>
          <t>Wellness</t>
        </is>
      </c>
      <c r="X19" s="39" t="inlineStr">
        <is>
          <t>Very short shelf life. Test only.</t>
        </is>
      </c>
    </row>
    <row r="20" ht="23.85" customHeight="1" s="26">
      <c r="A20" s="37" t="inlineStr">
        <is>
          <t>P019</t>
        </is>
      </c>
      <c r="B20" s="38" t="inlineStr">
        <is>
          <t>Velvet tamarind</t>
        </is>
      </c>
      <c r="C20" s="39" t="inlineStr">
        <is>
          <t>Awin (Yor), Icheku (Igbo), Tsamiyar kurmi (Hau)</t>
        </is>
      </c>
      <c r="D20" s="37" t="inlineStr">
        <is>
          <t>Fruit</t>
        </is>
      </c>
      <c r="E20" s="37" t="inlineStr">
        <is>
          <t>Local</t>
        </is>
      </c>
      <c r="F20" s="37" t="inlineStr">
        <is>
          <t>Eat as-is only</t>
        </is>
      </c>
      <c r="G20" s="37" t="inlineStr">
        <is>
          <t>Seasonal</t>
        </is>
      </c>
      <c r="H20" s="37" t="inlineStr">
        <is>
          <t>Jan-May</t>
        </is>
      </c>
      <c r="I20" s="37" t="inlineStr">
        <is>
          <t>Feb-Mar</t>
        </is>
      </c>
      <c r="J20" s="37">
        <f>IFERROR(IF(INDEX('Seasonal Calendar'!$C$2:$N$500,MATCH(A20,'Seasonal Calendar'!$A$2:$A$500,0),MONTH(TODAY()))="","Out",INDEX('Seasonal Calendar'!$C$2:$N$500,MATCH(A20,'Seasonal Calendar'!$A$2:$A$500,0),MONTH(TODAY()))),"")</f>
        <v/>
      </c>
      <c r="K20" s="37" t="inlineStr">
        <is>
          <t>Sourced</t>
        </is>
      </c>
      <c r="L20" s="37" t="inlineStr">
        <is>
          <t>Cup / 100g pack</t>
        </is>
      </c>
      <c r="M20" s="40" t="n"/>
      <c r="N20" s="37" t="n"/>
      <c r="O20" s="39" t="n"/>
      <c r="P20" s="41" t="n"/>
      <c r="Q20" s="42" t="inlineStr">
        <is>
          <t>Seasonal</t>
        </is>
      </c>
      <c r="R20" s="37" t="inlineStr">
        <is>
          <t>Seasonal drop</t>
        </is>
      </c>
      <c r="S20" s="37">
        <f>COUNTIF('Recipe Ingredients'!$F$2:$F$2000,A20)</f>
        <v/>
      </c>
      <c r="T20" s="39" t="inlineStr">
        <is>
          <t>Dry, airtight</t>
        </is>
      </c>
      <c r="U20" s="37" t="inlineStr">
        <is>
          <t>Weeks</t>
        </is>
      </c>
      <c r="V20" s="39" t="inlineStr">
        <is>
          <t>Southwest, Southeast, North</t>
        </is>
      </c>
      <c r="W20" s="37" t="inlineStr">
        <is>
          <t>Snack</t>
        </is>
      </c>
      <c r="X20" s="39" t="inlineStr">
        <is>
          <t>Shelf-stable and nostalgic. Natural checkout add-on.</t>
        </is>
      </c>
    </row>
    <row r="21" ht="15" customHeight="1" s="26">
      <c r="A21" s="37" t="inlineStr">
        <is>
          <t>P020</t>
        </is>
      </c>
      <c r="B21" s="38" t="inlineStr">
        <is>
          <t>Hog plum</t>
        </is>
      </c>
      <c r="C21" s="39" t="inlineStr">
        <is>
          <t>Iyeye (Yor)</t>
        </is>
      </c>
      <c r="D21" s="37" t="inlineStr">
        <is>
          <t>Fruit</t>
        </is>
      </c>
      <c r="E21" s="37" t="inlineStr">
        <is>
          <t>Local</t>
        </is>
      </c>
      <c r="F21" s="37" t="inlineStr">
        <is>
          <t>Eat as-is only</t>
        </is>
      </c>
      <c r="G21" s="37" t="inlineStr">
        <is>
          <t>Seasonal</t>
        </is>
      </c>
      <c r="H21" s="37" t="inlineStr">
        <is>
          <t>Jul, Dec</t>
        </is>
      </c>
      <c r="I21" s="37" t="inlineStr">
        <is>
          <t>Jul</t>
        </is>
      </c>
      <c r="J21" s="37">
        <f>IFERROR(IF(INDEX('Seasonal Calendar'!$C$2:$N$500,MATCH(A21,'Seasonal Calendar'!$A$2:$A$500,0),MONTH(TODAY()))="","Out",INDEX('Seasonal Calendar'!$C$2:$N$500,MATCH(A21,'Seasonal Calendar'!$A$2:$A$500,0),MONTH(TODAY()))),"")</f>
        <v/>
      </c>
      <c r="K21" s="37" t="inlineStr">
        <is>
          <t>Sourced</t>
        </is>
      </c>
      <c r="L21" s="37" t="inlineStr">
        <is>
          <t>Pack</t>
        </is>
      </c>
      <c r="M21" s="40" t="n"/>
      <c r="N21" s="37" t="n"/>
      <c r="O21" s="39" t="n"/>
      <c r="P21" s="41" t="n"/>
      <c r="Q21" s="42" t="inlineStr">
        <is>
          <t>N</t>
        </is>
      </c>
      <c r="R21" s="37" t="inlineStr">
        <is>
          <t>Later</t>
        </is>
      </c>
      <c r="S21" s="37">
        <f>COUNTIF('Recipe Ingredients'!$F$2:$F$2000,A21)</f>
        <v/>
      </c>
      <c r="T21" s="39" t="inlineStr">
        <is>
          <t>Fridge</t>
        </is>
      </c>
      <c r="U21" s="37" t="inlineStr">
        <is>
          <t>1-2 days</t>
        </is>
      </c>
      <c r="V21" s="39" t="inlineStr">
        <is>
          <t>Southwest</t>
        </is>
      </c>
      <c r="W21" s="37" t="inlineStr">
        <is>
          <t>Snack</t>
        </is>
      </c>
      <c r="X21" s="39" t="inlineStr">
        <is>
          <t>Very short season and shelf life.</t>
        </is>
      </c>
    </row>
    <row r="22" ht="15" customHeight="1" s="26">
      <c r="A22" s="37" t="inlineStr">
        <is>
          <t>P021</t>
        </is>
      </c>
      <c r="B22" s="38" t="inlineStr">
        <is>
          <t>Pepper fruit</t>
        </is>
      </c>
      <c r="C22" s="39" t="inlineStr">
        <is>
          <t>Mmimi (Igbo)</t>
        </is>
      </c>
      <c r="D22" s="37" t="inlineStr">
        <is>
          <t>Fruit</t>
        </is>
      </c>
      <c r="E22" s="37" t="inlineStr">
        <is>
          <t>Local</t>
        </is>
      </c>
      <c r="F22" s="37" t="inlineStr">
        <is>
          <t>Eat as-is only</t>
        </is>
      </c>
      <c r="G22" s="37" t="inlineStr">
        <is>
          <t>Seasonal</t>
        </is>
      </c>
      <c r="H22" s="37" t="inlineStr">
        <is>
          <t>Feb-May</t>
        </is>
      </c>
      <c r="I22" s="37" t="n"/>
      <c r="J22" s="37">
        <f>IFERROR(IF(INDEX('Seasonal Calendar'!$C$2:$N$500,MATCH(A22,'Seasonal Calendar'!$A$2:$A$500,0),MONTH(TODAY()))="","Out",INDEX('Seasonal Calendar'!$C$2:$N$500,MATCH(A22,'Seasonal Calendar'!$A$2:$A$500,0),MONTH(TODAY()))),"")</f>
        <v/>
      </c>
      <c r="K22" s="37" t="inlineStr">
        <is>
          <t>Sourced</t>
        </is>
      </c>
      <c r="L22" s="37" t="inlineStr">
        <is>
          <t>Cup</t>
        </is>
      </c>
      <c r="M22" s="40" t="n"/>
      <c r="N22" s="37" t="n"/>
      <c r="O22" s="39" t="n"/>
      <c r="P22" s="41" t="n"/>
      <c r="Q22" s="42" t="inlineStr">
        <is>
          <t>N</t>
        </is>
      </c>
      <c r="R22" s="37" t="inlineStr">
        <is>
          <t>Later</t>
        </is>
      </c>
      <c r="S22" s="37">
        <f>COUNTIF('Recipe Ingredients'!$F$2:$F$2000,A22)</f>
        <v/>
      </c>
      <c r="T22" s="39" t="inlineStr">
        <is>
          <t>Room temp</t>
        </is>
      </c>
      <c r="U22" s="37" t="inlineStr">
        <is>
          <t>3-5 days</t>
        </is>
      </c>
      <c r="V22" s="39" t="inlineStr">
        <is>
          <t>Southeast</t>
        </is>
      </c>
      <c r="W22" s="37" t="inlineStr">
        <is>
          <t>Snack</t>
        </is>
      </c>
      <c r="X22" s="39" t="n"/>
    </row>
    <row r="23" ht="15" customHeight="1" s="26">
      <c r="A23" s="37" t="inlineStr">
        <is>
          <t>P022</t>
        </is>
      </c>
      <c r="B23" s="38" t="inlineStr">
        <is>
          <t>Monkey kola</t>
        </is>
      </c>
      <c r="C23" s="39" t="inlineStr">
        <is>
          <t>Ochicha (Igbo), Obi edun (Yor)</t>
        </is>
      </c>
      <c r="D23" s="37" t="inlineStr">
        <is>
          <t>Fruit</t>
        </is>
      </c>
      <c r="E23" s="37" t="inlineStr">
        <is>
          <t>Local</t>
        </is>
      </c>
      <c r="F23" s="37" t="inlineStr">
        <is>
          <t>Eat as-is only</t>
        </is>
      </c>
      <c r="G23" s="37" t="inlineStr">
        <is>
          <t>Seasonal</t>
        </is>
      </c>
      <c r="H23" s="37" t="inlineStr">
        <is>
          <t>May-Aug</t>
        </is>
      </c>
      <c r="I23" s="37" t="n"/>
      <c r="J23" s="37">
        <f>IFERROR(IF(INDEX('Seasonal Calendar'!$C$2:$N$500,MATCH(A23,'Seasonal Calendar'!$A$2:$A$500,0),MONTH(TODAY()))="","Out",INDEX('Seasonal Calendar'!$C$2:$N$500,MATCH(A23,'Seasonal Calendar'!$A$2:$A$500,0),MONTH(TODAY()))),"")</f>
        <v/>
      </c>
      <c r="K23" s="37" t="inlineStr">
        <is>
          <t>Sourced</t>
        </is>
      </c>
      <c r="L23" s="37" t="inlineStr">
        <is>
          <t>Pack</t>
        </is>
      </c>
      <c r="M23" s="40" t="n"/>
      <c r="N23" s="37" t="n"/>
      <c r="O23" s="39" t="n"/>
      <c r="P23" s="41" t="n"/>
      <c r="Q23" s="42" t="inlineStr">
        <is>
          <t>N</t>
        </is>
      </c>
      <c r="R23" s="37" t="inlineStr">
        <is>
          <t>Later</t>
        </is>
      </c>
      <c r="S23" s="37">
        <f>COUNTIF('Recipe Ingredients'!$F$2:$F$2000,A23)</f>
        <v/>
      </c>
      <c r="T23" s="39" t="inlineStr">
        <is>
          <t>Room temp</t>
        </is>
      </c>
      <c r="U23" s="37" t="inlineStr">
        <is>
          <t>3-5 days</t>
        </is>
      </c>
      <c r="V23" s="39" t="inlineStr">
        <is>
          <t>Southeast, Southwest</t>
        </is>
      </c>
      <c r="W23" s="37" t="inlineStr">
        <is>
          <t>Snack</t>
        </is>
      </c>
      <c r="X23" s="39" t="n"/>
    </row>
    <row r="24" ht="23.85" customHeight="1" s="26">
      <c r="A24" s="37" t="inlineStr">
        <is>
          <t>P023</t>
        </is>
      </c>
      <c r="B24" s="38" t="inlineStr">
        <is>
          <t>African pear</t>
        </is>
      </c>
      <c r="C24" s="39" t="inlineStr">
        <is>
          <t>Ube (Igbo)</t>
        </is>
      </c>
      <c r="D24" s="37" t="inlineStr">
        <is>
          <t>Fruit</t>
        </is>
      </c>
      <c r="E24" s="37" t="inlineStr">
        <is>
          <t>Local</t>
        </is>
      </c>
      <c r="F24" s="37" t="inlineStr">
        <is>
          <t>Eat as-is only</t>
        </is>
      </c>
      <c r="G24" s="37" t="inlineStr">
        <is>
          <t>Seasonal</t>
        </is>
      </c>
      <c r="H24" s="37" t="inlineStr">
        <is>
          <t>May-Sep</t>
        </is>
      </c>
      <c r="I24" s="37" t="inlineStr">
        <is>
          <t>Jun-Aug</t>
        </is>
      </c>
      <c r="J24" s="37">
        <f>IFERROR(IF(INDEX('Seasonal Calendar'!$C$2:$N$500,MATCH(A24,'Seasonal Calendar'!$A$2:$A$500,0),MONTH(TODAY()))="","Out",INDEX('Seasonal Calendar'!$C$2:$N$500,MATCH(A24,'Seasonal Calendar'!$A$2:$A$500,0),MONTH(TODAY()))),"")</f>
        <v/>
      </c>
      <c r="K24" s="37" t="inlineStr">
        <is>
          <t>Sourced</t>
        </is>
      </c>
      <c r="L24" s="37" t="inlineStr">
        <is>
          <t>Pack of 10</t>
        </is>
      </c>
      <c r="M24" s="40" t="n"/>
      <c r="N24" s="37" t="n"/>
      <c r="O24" s="39" t="n"/>
      <c r="P24" s="41" t="n"/>
      <c r="Q24" s="42" t="inlineStr">
        <is>
          <t>Seasonal</t>
        </is>
      </c>
      <c r="R24" s="37" t="inlineStr">
        <is>
          <t>Seasonal drop</t>
        </is>
      </c>
      <c r="S24" s="37">
        <f>COUNTIF('Recipe Ingredients'!$F$2:$F$2000,A24)</f>
        <v/>
      </c>
      <c r="T24" s="39" t="inlineStr">
        <is>
          <t>Room temp</t>
        </is>
      </c>
      <c r="U24" s="37" t="inlineStr">
        <is>
          <t>2-3 days</t>
        </is>
      </c>
      <c r="V24" s="39" t="inlineStr">
        <is>
          <t>Southeast, South-south</t>
        </is>
      </c>
      <c r="W24" s="37" t="inlineStr">
        <is>
          <t>Snack</t>
        </is>
      </c>
      <c r="X24" s="39" t="inlineStr">
        <is>
          <t>Classic pairing with roasted corn. Bundle the two as a rainy season drop.</t>
        </is>
      </c>
    </row>
    <row r="25" ht="23.85" customHeight="1" s="26">
      <c r="A25" s="37" t="inlineStr">
        <is>
          <t>P024</t>
        </is>
      </c>
      <c r="B25" s="38" t="inlineStr">
        <is>
          <t>Tiger nut</t>
        </is>
      </c>
      <c r="C25" s="39" t="inlineStr">
        <is>
          <t>Ofio (Yor), Aki Hausa (Igbo), Aya (Hau)</t>
        </is>
      </c>
      <c r="D25" s="37" t="inlineStr">
        <is>
          <t>Nut / tuber</t>
        </is>
      </c>
      <c r="E25" s="37" t="inlineStr">
        <is>
          <t>Local</t>
        </is>
      </c>
      <c r="F25" s="37" t="inlineStr">
        <is>
          <t>Eat as-is + recipes</t>
        </is>
      </c>
      <c r="G25" s="37" t="inlineStr">
        <is>
          <t>Seasonal</t>
        </is>
      </c>
      <c r="H25" s="37" t="inlineStr">
        <is>
          <t>Nov-May, Jul-Sep</t>
        </is>
      </c>
      <c r="I25" s="37" t="n"/>
      <c r="J25" s="37">
        <f>IFERROR(IF(INDEX('Seasonal Calendar'!$C$2:$N$500,MATCH(A25,'Seasonal Calendar'!$A$2:$A$500,0),MONTH(TODAY()))="","Out",INDEX('Seasonal Calendar'!$C$2:$N$500,MATCH(A25,'Seasonal Calendar'!$A$2:$A$500,0),MONTH(TODAY()))),"")</f>
        <v/>
      </c>
      <c r="K25" s="37" t="inlineStr">
        <is>
          <t>Sourced</t>
        </is>
      </c>
      <c r="L25" s="37" t="inlineStr">
        <is>
          <t>Cup / 250g</t>
        </is>
      </c>
      <c r="M25" s="40" t="n"/>
      <c r="N25" s="37" t="n"/>
      <c r="O25" s="39" t="n"/>
      <c r="P25" s="41" t="n"/>
      <c r="Q25" s="42" t="inlineStr">
        <is>
          <t>Y</t>
        </is>
      </c>
      <c r="R25" s="37" t="inlineStr">
        <is>
          <t>Core</t>
        </is>
      </c>
      <c r="S25" s="37">
        <f>COUNTIF('Recipe Ingredients'!$F$2:$F$2000,A25)</f>
        <v/>
      </c>
      <c r="T25" s="39" t="inlineStr">
        <is>
          <t>Dry, airtight</t>
        </is>
      </c>
      <c r="U25" s="37" t="inlineStr">
        <is>
          <t>Weeks dried</t>
        </is>
      </c>
      <c r="V25" s="39" t="inlineStr">
        <is>
          <t>Kano, Kaduna, Niger</t>
        </is>
      </c>
      <c r="W25" s="37" t="inlineStr">
        <is>
          <t>Plant-based, Gut health</t>
        </is>
      </c>
      <c r="X25" s="39" t="inlineStr">
        <is>
          <t>Snack on its own or blend into kunun aya / horchata.</t>
        </is>
      </c>
    </row>
    <row r="26" ht="23.85" customHeight="1" s="26">
      <c r="A26" s="37" t="inlineStr">
        <is>
          <t>P025</t>
        </is>
      </c>
      <c r="B26" s="38" t="inlineStr">
        <is>
          <t>Sugarcane</t>
        </is>
      </c>
      <c r="C26" s="39" t="inlineStr">
        <is>
          <t>Ireke (Yor), Okpete (Igbo), Rake (Hau)</t>
        </is>
      </c>
      <c r="D26" s="37" t="inlineStr">
        <is>
          <t>Fruit (cane)</t>
        </is>
      </c>
      <c r="E26" s="37" t="inlineStr">
        <is>
          <t>Local</t>
        </is>
      </c>
      <c r="F26" s="37" t="inlineStr">
        <is>
          <t>Eat as-is only</t>
        </is>
      </c>
      <c r="G26" s="37" t="inlineStr">
        <is>
          <t>Seasonal</t>
        </is>
      </c>
      <c r="H26" s="37" t="inlineStr">
        <is>
          <t>Aug-Mar</t>
        </is>
      </c>
      <c r="I26" s="37" t="n"/>
      <c r="J26" s="37">
        <f>IFERROR(IF(INDEX('Seasonal Calendar'!$C$2:$N$500,MATCH(A26,'Seasonal Calendar'!$A$2:$A$500,0),MONTH(TODAY()))="","Out",INDEX('Seasonal Calendar'!$C$2:$N$500,MATCH(A26,'Seasonal Calendar'!$A$2:$A$500,0),MONTH(TODAY()))),"")</f>
        <v/>
      </c>
      <c r="K26" s="37" t="inlineStr">
        <is>
          <t>Sourced</t>
        </is>
      </c>
      <c r="L26" s="37" t="inlineStr">
        <is>
          <t>Stick / pre-cut pack</t>
        </is>
      </c>
      <c r="M26" s="40" t="n"/>
      <c r="N26" s="37" t="n"/>
      <c r="O26" s="39" t="n"/>
      <c r="P26" s="41" t="n"/>
      <c r="Q26" s="42" t="inlineStr">
        <is>
          <t>Seasonal</t>
        </is>
      </c>
      <c r="R26" s="37" t="inlineStr">
        <is>
          <t>Seasonal drop</t>
        </is>
      </c>
      <c r="S26" s="37">
        <f>COUNTIF('Recipe Ingredients'!$F$2:$F$2000,A26)</f>
        <v/>
      </c>
      <c r="T26" s="39" t="inlineStr">
        <is>
          <t>Room temp; cut pieces in fridge</t>
        </is>
      </c>
      <c r="U26" s="37" t="inlineStr">
        <is>
          <t>3-5 days</t>
        </is>
      </c>
      <c r="V26" s="39" t="inlineStr">
        <is>
          <t>North, Southwest</t>
        </is>
      </c>
      <c r="W26" s="37" t="inlineStr">
        <is>
          <t>Snack</t>
        </is>
      </c>
      <c r="X26" s="39" t="inlineStr">
        <is>
          <t>Pre-cut, peeled pieces are the only realistic delivery format.</t>
        </is>
      </c>
    </row>
    <row r="27" ht="15" customHeight="1" s="26">
      <c r="A27" s="37" t="inlineStr">
        <is>
          <t>P026</t>
        </is>
      </c>
      <c r="B27" s="38" t="inlineStr">
        <is>
          <t>Custard apple (sweetsop)</t>
        </is>
      </c>
      <c r="C27" s="39" t="n"/>
      <c r="D27" s="37" t="inlineStr">
        <is>
          <t>Fruit</t>
        </is>
      </c>
      <c r="E27" s="37" t="inlineStr">
        <is>
          <t>Local</t>
        </is>
      </c>
      <c r="F27" s="37" t="inlineStr">
        <is>
          <t>Eat as-is only</t>
        </is>
      </c>
      <c r="G27" s="37" t="inlineStr">
        <is>
          <t>Seasonal</t>
        </is>
      </c>
      <c r="H27" s="37" t="inlineStr">
        <is>
          <t>Feb, Aug-Sep</t>
        </is>
      </c>
      <c r="I27" s="37" t="n"/>
      <c r="J27" s="37">
        <f>IFERROR(IF(INDEX('Seasonal Calendar'!$C$2:$N$500,MATCH(A27,'Seasonal Calendar'!$A$2:$A$500,0),MONTH(TODAY()))="","Out",INDEX('Seasonal Calendar'!$C$2:$N$500,MATCH(A27,'Seasonal Calendar'!$A$2:$A$500,0),MONTH(TODAY()))),"")</f>
        <v/>
      </c>
      <c r="K27" s="37" t="inlineStr">
        <is>
          <t>Sourced</t>
        </is>
      </c>
      <c r="L27" s="37" t="inlineStr">
        <is>
          <t>Piece</t>
        </is>
      </c>
      <c r="M27" s="40" t="n"/>
      <c r="N27" s="37" t="n"/>
      <c r="O27" s="39" t="n"/>
      <c r="P27" s="41" t="n"/>
      <c r="Q27" s="42" t="inlineStr">
        <is>
          <t>N</t>
        </is>
      </c>
      <c r="R27" s="37" t="inlineStr">
        <is>
          <t>Later</t>
        </is>
      </c>
      <c r="S27" s="37">
        <f>COUNTIF('Recipe Ingredients'!$F$2:$F$2000,A27)</f>
        <v/>
      </c>
      <c r="T27" s="39" t="inlineStr">
        <is>
          <t>Room temp until soft</t>
        </is>
      </c>
      <c r="U27" s="37" t="inlineStr">
        <is>
          <t>1-2 days ripe</t>
        </is>
      </c>
      <c r="V27" s="39" t="inlineStr">
        <is>
          <t>Southwest</t>
        </is>
      </c>
      <c r="W27" s="37" t="inlineStr">
        <is>
          <t>Snack</t>
        </is>
      </c>
      <c r="X27" s="39" t="n"/>
    </row>
    <row r="28" ht="15" customHeight="1" s="26">
      <c r="A28" s="37" t="inlineStr">
        <is>
          <t>P027</t>
        </is>
      </c>
      <c r="B28" s="38" t="inlineStr">
        <is>
          <t>Jackfruit</t>
        </is>
      </c>
      <c r="C28" s="39" t="n"/>
      <c r="D28" s="37" t="inlineStr">
        <is>
          <t>Fruit</t>
        </is>
      </c>
      <c r="E28" s="37" t="inlineStr">
        <is>
          <t>Local</t>
        </is>
      </c>
      <c r="F28" s="37" t="inlineStr">
        <is>
          <t>Eat as-is + recipes</t>
        </is>
      </c>
      <c r="G28" s="37" t="inlineStr">
        <is>
          <t>Seasonal</t>
        </is>
      </c>
      <c r="H28" s="37" t="inlineStr">
        <is>
          <t>May-Jun</t>
        </is>
      </c>
      <c r="I28" s="37" t="inlineStr">
        <is>
          <t>May</t>
        </is>
      </c>
      <c r="J28" s="37">
        <f>IFERROR(IF(INDEX('Seasonal Calendar'!$C$2:$N$500,MATCH(A28,'Seasonal Calendar'!$A$2:$A$500,0),MONTH(TODAY()))="","Out",INDEX('Seasonal Calendar'!$C$2:$N$500,MATCH(A28,'Seasonal Calendar'!$A$2:$A$500,0),MONTH(TODAY()))),"")</f>
        <v/>
      </c>
      <c r="K28" s="37" t="inlineStr">
        <is>
          <t>Sourced</t>
        </is>
      </c>
      <c r="L28" s="37" t="inlineStr">
        <is>
          <t>Pre-cut pods</t>
        </is>
      </c>
      <c r="M28" s="40" t="n"/>
      <c r="N28" s="37" t="n"/>
      <c r="O28" s="39" t="n"/>
      <c r="P28" s="41" t="n"/>
      <c r="Q28" s="42" t="inlineStr">
        <is>
          <t>N</t>
        </is>
      </c>
      <c r="R28" s="37" t="inlineStr">
        <is>
          <t>Later</t>
        </is>
      </c>
      <c r="S28" s="37">
        <f>COUNTIF('Recipe Ingredients'!$F$2:$F$2000,A28)</f>
        <v/>
      </c>
      <c r="T28" s="39" t="inlineStr">
        <is>
          <t>Fridge once cut</t>
        </is>
      </c>
      <c r="U28" s="37" t="inlineStr">
        <is>
          <t>2-3 days cut</t>
        </is>
      </c>
      <c r="V28" s="39" t="inlineStr">
        <is>
          <t>South</t>
        </is>
      </c>
      <c r="W28" s="37" t="inlineStr">
        <is>
          <t>Snack</t>
        </is>
      </c>
      <c r="X28" s="39" t="inlineStr">
        <is>
          <t>Sell as cleaned pods, never whole.</t>
        </is>
      </c>
    </row>
    <row r="29" ht="15" customHeight="1" s="26">
      <c r="A29" s="37" t="inlineStr">
        <is>
          <t>P028</t>
        </is>
      </c>
      <c r="B29" s="38" t="inlineStr">
        <is>
          <t>June plum</t>
        </is>
      </c>
      <c r="C29" s="39" t="n"/>
      <c r="D29" s="37" t="inlineStr">
        <is>
          <t>Fruit</t>
        </is>
      </c>
      <c r="E29" s="37" t="inlineStr">
        <is>
          <t>Local</t>
        </is>
      </c>
      <c r="F29" s="37" t="inlineStr">
        <is>
          <t>Eat as-is only</t>
        </is>
      </c>
      <c r="G29" s="37" t="inlineStr">
        <is>
          <t>Seasonal</t>
        </is>
      </c>
      <c r="H29" s="37" t="inlineStr">
        <is>
          <t>Dec-Jan</t>
        </is>
      </c>
      <c r="I29" s="37" t="n"/>
      <c r="J29" s="37">
        <f>IFERROR(IF(INDEX('Seasonal Calendar'!$C$2:$N$500,MATCH(A29,'Seasonal Calendar'!$A$2:$A$500,0),MONTH(TODAY()))="","Out",INDEX('Seasonal Calendar'!$C$2:$N$500,MATCH(A29,'Seasonal Calendar'!$A$2:$A$500,0),MONTH(TODAY()))),"")</f>
        <v/>
      </c>
      <c r="K29" s="37" t="inlineStr">
        <is>
          <t>Sourced</t>
        </is>
      </c>
      <c r="L29" s="37" t="inlineStr">
        <is>
          <t>Pack</t>
        </is>
      </c>
      <c r="M29" s="40" t="n"/>
      <c r="N29" s="37" t="n"/>
      <c r="O29" s="39" t="n"/>
      <c r="P29" s="41" t="n"/>
      <c r="Q29" s="42" t="inlineStr">
        <is>
          <t>N</t>
        </is>
      </c>
      <c r="R29" s="37" t="inlineStr">
        <is>
          <t>Later</t>
        </is>
      </c>
      <c r="S29" s="37">
        <f>COUNTIF('Recipe Ingredients'!$F$2:$F$2000,A29)</f>
        <v/>
      </c>
      <c r="T29" s="39" t="inlineStr">
        <is>
          <t>Room temp</t>
        </is>
      </c>
      <c r="U29" s="37" t="inlineStr">
        <is>
          <t>3-5 days</t>
        </is>
      </c>
      <c r="V29" s="39" t="inlineStr">
        <is>
          <t>South</t>
        </is>
      </c>
      <c r="W29" s="37" t="inlineStr">
        <is>
          <t>Snack</t>
        </is>
      </c>
      <c r="X29" s="39" t="n"/>
    </row>
    <row r="30" ht="23.85" customHeight="1" s="26">
      <c r="A30" s="37" t="inlineStr">
        <is>
          <t>P029</t>
        </is>
      </c>
      <c r="B30" s="38" t="inlineStr">
        <is>
          <t>Sweet melon (golden / cantaloupe)</t>
        </is>
      </c>
      <c r="C30" s="39" t="n"/>
      <c r="D30" s="37" t="inlineStr">
        <is>
          <t>Fruit</t>
        </is>
      </c>
      <c r="E30" s="37" t="inlineStr">
        <is>
          <t>Local + imported</t>
        </is>
      </c>
      <c r="F30" s="37" t="inlineStr">
        <is>
          <t>Eat as-is + recipes</t>
        </is>
      </c>
      <c r="G30" s="37" t="inlineStr">
        <is>
          <t>Year-round</t>
        </is>
      </c>
      <c r="H30" s="37" t="inlineStr">
        <is>
          <t>All year</t>
        </is>
      </c>
      <c r="I30" s="37" t="inlineStr">
        <is>
          <t>Jan, May-Jun</t>
        </is>
      </c>
      <c r="J30" s="37">
        <f>IFERROR(IF(INDEX('Seasonal Calendar'!$C$2:$N$500,MATCH(A30,'Seasonal Calendar'!$A$2:$A$500,0),MONTH(TODAY()))="","Out",INDEX('Seasonal Calendar'!$C$2:$N$500,MATCH(A30,'Seasonal Calendar'!$A$2:$A$500,0),MONTH(TODAY()))),"")</f>
        <v/>
      </c>
      <c r="K30" s="37" t="inlineStr">
        <is>
          <t>Sourced</t>
        </is>
      </c>
      <c r="L30" s="37" t="inlineStr">
        <is>
          <t>Piece</t>
        </is>
      </c>
      <c r="M30" s="40" t="n">
        <v>15950</v>
      </c>
      <c r="N30" s="37" t="inlineStr">
        <is>
          <t>1 imported galia</t>
        </is>
      </c>
      <c r="O30" s="39" t="inlineStr">
        <is>
          <t>Mint Foods (mintfoods.store), 11 Oct 2026</t>
        </is>
      </c>
      <c r="P30" s="41" t="n"/>
      <c r="Q30" s="42" t="inlineStr">
        <is>
          <t>N</t>
        </is>
      </c>
      <c r="R30" s="37" t="inlineStr">
        <is>
          <t>Premium</t>
        </is>
      </c>
      <c r="S30" s="37">
        <f>COUNTIF('Recipe Ingredients'!$F$2:$F$2000,A30)</f>
        <v/>
      </c>
      <c r="T30" s="39" t="inlineStr">
        <is>
          <t>Room temp to ripen; fridge cut</t>
        </is>
      </c>
      <c r="U30" s="37" t="inlineStr">
        <is>
          <t>3-5 days ripe</t>
        </is>
      </c>
      <c r="V30" s="39" t="inlineStr">
        <is>
          <t>North</t>
        </is>
      </c>
      <c r="W30" s="37" t="inlineStr">
        <is>
          <t>Hydration</t>
        </is>
      </c>
      <c r="X30" s="39" t="inlineStr">
        <is>
          <t>Local golden melon in Jan and May-Jun; imported the rest of the year at a high price.</t>
        </is>
      </c>
    </row>
    <row r="31" ht="23.85" customHeight="1" s="26">
      <c r="A31" s="37" t="inlineStr">
        <is>
          <t>P030</t>
        </is>
      </c>
      <c r="B31" s="38" t="inlineStr">
        <is>
          <t>Dates</t>
        </is>
      </c>
      <c r="C31" s="39" t="inlineStr">
        <is>
          <t>Dabino (Hau)</t>
        </is>
      </c>
      <c r="D31" s="37" t="inlineStr">
        <is>
          <t>Fruit</t>
        </is>
      </c>
      <c r="E31" s="37" t="inlineStr">
        <is>
          <t>Local + imported</t>
        </is>
      </c>
      <c r="F31" s="37" t="inlineStr">
        <is>
          <t>Eat as-is + recipes</t>
        </is>
      </c>
      <c r="G31" s="37" t="inlineStr">
        <is>
          <t>Year-round</t>
        </is>
      </c>
      <c r="H31" s="37" t="inlineStr">
        <is>
          <t>All year</t>
        </is>
      </c>
      <c r="I31" s="37" t="inlineStr">
        <is>
          <t>Apr-Jul</t>
        </is>
      </c>
      <c r="J31" s="37">
        <f>IFERROR(IF(INDEX('Seasonal Calendar'!$C$2:$N$500,MATCH(A31,'Seasonal Calendar'!$A$2:$A$500,0),MONTH(TODAY()))="","Out",INDEX('Seasonal Calendar'!$C$2:$N$500,MATCH(A31,'Seasonal Calendar'!$A$2:$A$500,0),MONTH(TODAY()))),"")</f>
        <v/>
      </c>
      <c r="K31" s="37" t="inlineStr">
        <is>
          <t>Sourced</t>
        </is>
      </c>
      <c r="L31" s="37" t="inlineStr">
        <is>
          <t>250g pack</t>
        </is>
      </c>
      <c r="M31" s="40" t="n">
        <v>5200</v>
      </c>
      <c r="N31" s="37" t="inlineStr">
        <is>
          <t>1 pack (size not stated)</t>
        </is>
      </c>
      <c r="O31" s="39" t="inlineStr">
        <is>
          <t>The Fresh Place (thefreshplace.ng), 17 Oct 2026; listed out of stock</t>
        </is>
      </c>
      <c r="P31" s="41" t="n"/>
      <c r="Q31" s="42" t="inlineStr">
        <is>
          <t>Y</t>
        </is>
      </c>
      <c r="R31" s="37" t="inlineStr">
        <is>
          <t>Core</t>
        </is>
      </c>
      <c r="S31" s="37">
        <f>COUNTIF('Recipe Ingredients'!$F$2:$F$2000,A31)</f>
        <v/>
      </c>
      <c r="T31" s="39" t="inlineStr">
        <is>
          <t>Airtight, cool</t>
        </is>
      </c>
      <c r="U31" s="37" t="inlineStr">
        <is>
          <t>Months dried</t>
        </is>
      </c>
      <c r="V31" s="39" t="inlineStr">
        <is>
          <t>North (Borno, Yobe) + imports</t>
        </is>
      </c>
      <c r="W31" s="37" t="inlineStr">
        <is>
          <t>Training, Energy</t>
        </is>
      </c>
      <c r="X31" s="39" t="inlineStr">
        <is>
          <t>Fresh dates Apr-Jul; dried all year. Used as the natural sweetener across the library.</t>
        </is>
      </c>
    </row>
    <row r="32" ht="35.05" customHeight="1" s="26">
      <c r="A32" s="37" t="inlineStr">
        <is>
          <t>P031</t>
        </is>
      </c>
      <c r="B32" s="38" t="inlineStr">
        <is>
          <t>Apple (red &amp; green)</t>
        </is>
      </c>
      <c r="C32" s="39" t="n"/>
      <c r="D32" s="37" t="inlineStr">
        <is>
          <t>Fruit</t>
        </is>
      </c>
      <c r="E32" s="37" t="inlineStr">
        <is>
          <t>Imported</t>
        </is>
      </c>
      <c r="F32" s="37" t="inlineStr">
        <is>
          <t>Eat as-is + recipes</t>
        </is>
      </c>
      <c r="G32" s="37" t="inlineStr">
        <is>
          <t>Year-round</t>
        </is>
      </c>
      <c r="H32" s="37" t="inlineStr">
        <is>
          <t>All year</t>
        </is>
      </c>
      <c r="I32" s="37" t="n"/>
      <c r="J32" s="37">
        <f>IFERROR(IF(INDEX('Seasonal Calendar'!$C$2:$N$500,MATCH(A32,'Seasonal Calendar'!$A$2:$A$500,0),MONTH(TODAY()))="","Out",INDEX('Seasonal Calendar'!$C$2:$N$500,MATCH(A32,'Seasonal Calendar'!$A$2:$A$500,0),MONTH(TODAY()))),"")</f>
        <v/>
      </c>
      <c r="K32" s="37" t="inlineStr">
        <is>
          <t>Verify</t>
        </is>
      </c>
      <c r="L32" s="37" t="inlineStr">
        <is>
          <t>Piece / 6-pack</t>
        </is>
      </c>
      <c r="M32" s="40" t="n">
        <v>500</v>
      </c>
      <c r="N32" s="37" t="inlineStr">
        <is>
          <t>1 pc small (Granny Smith)</t>
        </is>
      </c>
      <c r="O32" s="39" t="inlineStr">
        <is>
          <t>The Fresh Place (thefreshplace.ng), 17 Oct 2026; Golden Delicious N450/pc; Pink Lady big N800/pc; small Granny Smith dozen N5,400</t>
        </is>
      </c>
      <c r="P32" s="41" t="n"/>
      <c r="Q32" s="42" t="inlineStr">
        <is>
          <t>Y</t>
        </is>
      </c>
      <c r="R32" s="37" t="inlineStr">
        <is>
          <t>Core (imported)</t>
        </is>
      </c>
      <c r="S32" s="37">
        <f>COUNTIF('Recipe Ingredients'!$F$2:$F$2000,A32)</f>
        <v/>
      </c>
      <c r="T32" s="39" t="inlineStr">
        <is>
          <t>Fridge</t>
        </is>
      </c>
      <c r="U32" s="37" t="inlineStr">
        <is>
          <t>2-4 weeks</t>
        </is>
      </c>
      <c r="V32" s="39" t="inlineStr">
        <is>
          <t>Imported (South Africa, EU)</t>
        </is>
      </c>
      <c r="W32" s="37" t="inlineStr">
        <is>
          <t>Weight management</t>
        </is>
      </c>
      <c r="X32" s="39" t="inlineStr">
        <is>
          <t>Imported, but a basket expectation in Lagos. Every competitor bundle includes it.</t>
        </is>
      </c>
    </row>
    <row r="33" ht="15" customHeight="1" s="26">
      <c r="A33" s="37" t="inlineStr">
        <is>
          <t>P032</t>
        </is>
      </c>
      <c r="B33" s="38" t="inlineStr">
        <is>
          <t>Pear</t>
        </is>
      </c>
      <c r="C33" s="39" t="n"/>
      <c r="D33" s="37" t="inlineStr">
        <is>
          <t>Fruit</t>
        </is>
      </c>
      <c r="E33" s="37" t="inlineStr">
        <is>
          <t>Imported</t>
        </is>
      </c>
      <c r="F33" s="37" t="inlineStr">
        <is>
          <t>Eat as-is + recipes</t>
        </is>
      </c>
      <c r="G33" s="37" t="inlineStr">
        <is>
          <t>Year-round</t>
        </is>
      </c>
      <c r="H33" s="37" t="inlineStr">
        <is>
          <t>All year</t>
        </is>
      </c>
      <c r="I33" s="37" t="n"/>
      <c r="J33" s="37">
        <f>IFERROR(IF(INDEX('Seasonal Calendar'!$C$2:$N$500,MATCH(A33,'Seasonal Calendar'!$A$2:$A$500,0),MONTH(TODAY()))="","Out",INDEX('Seasonal Calendar'!$C$2:$N$500,MATCH(A33,'Seasonal Calendar'!$A$2:$A$500,0),MONTH(TODAY()))),"")</f>
        <v/>
      </c>
      <c r="K33" s="37" t="inlineStr">
        <is>
          <t>Verify</t>
        </is>
      </c>
      <c r="L33" s="37" t="inlineStr">
        <is>
          <t>Piece</t>
        </is>
      </c>
      <c r="M33" s="40" t="n">
        <v>700</v>
      </c>
      <c r="N33" s="37" t="inlineStr">
        <is>
          <t>1 pc (English pear)</t>
        </is>
      </c>
      <c r="O33" s="39" t="inlineStr">
        <is>
          <t>The Fresh Place (thefreshplace.ng), 17 Oct 2026</t>
        </is>
      </c>
      <c r="P33" s="41" t="n"/>
      <c r="Q33" s="42" t="inlineStr">
        <is>
          <t>N</t>
        </is>
      </c>
      <c r="R33" s="37" t="inlineStr">
        <is>
          <t>Premium</t>
        </is>
      </c>
      <c r="S33" s="37">
        <f>COUNTIF('Recipe Ingredients'!$F$2:$F$2000,A33)</f>
        <v/>
      </c>
      <c r="T33" s="39" t="inlineStr">
        <is>
          <t>Fridge once ripe</t>
        </is>
      </c>
      <c r="U33" s="37" t="inlineStr">
        <is>
          <t>1-2 weeks</t>
        </is>
      </c>
      <c r="V33" s="39" t="inlineStr">
        <is>
          <t>Imported</t>
        </is>
      </c>
      <c r="W33" s="37" t="inlineStr">
        <is>
          <t>Weight management</t>
        </is>
      </c>
      <c r="X33" s="39" t="inlineStr">
        <is>
          <t>Included in The Fresh Place bundles (10 English pears).</t>
        </is>
      </c>
    </row>
    <row r="34" ht="35.05" customHeight="1" s="26">
      <c r="A34" s="37" t="inlineStr">
        <is>
          <t>P033</t>
        </is>
      </c>
      <c r="B34" s="38" t="inlineStr">
        <is>
          <t>Grapes (red / black seedless)</t>
        </is>
      </c>
      <c r="C34" s="39" t="n"/>
      <c r="D34" s="37" t="inlineStr">
        <is>
          <t>Fruit</t>
        </is>
      </c>
      <c r="E34" s="37" t="inlineStr">
        <is>
          <t>Imported</t>
        </is>
      </c>
      <c r="F34" s="37" t="inlineStr">
        <is>
          <t>Eat as-is + recipes</t>
        </is>
      </c>
      <c r="G34" s="37" t="inlineStr">
        <is>
          <t>Year-round</t>
        </is>
      </c>
      <c r="H34" s="37" t="inlineStr">
        <is>
          <t>All year</t>
        </is>
      </c>
      <c r="I34" s="37" t="n"/>
      <c r="J34" s="37">
        <f>IFERROR(IF(INDEX('Seasonal Calendar'!$C$2:$N$500,MATCH(A34,'Seasonal Calendar'!$A$2:$A$500,0),MONTH(TODAY()))="","Out",INDEX('Seasonal Calendar'!$C$2:$N$500,MATCH(A34,'Seasonal Calendar'!$A$2:$A$500,0),MONTH(TODAY()))),"")</f>
        <v/>
      </c>
      <c r="K34" s="37" t="inlineStr">
        <is>
          <t>Verify</t>
        </is>
      </c>
      <c r="L34" s="37" t="inlineStr">
        <is>
          <t>500g</t>
        </is>
      </c>
      <c r="M34" s="40" t="n">
        <v>7000</v>
      </c>
      <c r="N34" s="37" t="inlineStr">
        <is>
          <t>1 pack, red or green seedless (size not stated)</t>
        </is>
      </c>
      <c r="O34" s="39" t="inlineStr">
        <is>
          <t>The Fresh Place (thefreshplace.ng), 17 Oct 2026; black seedless N7,500, listed out of stock</t>
        </is>
      </c>
      <c r="P34" s="41" t="n"/>
      <c r="Q34" s="42" t="inlineStr">
        <is>
          <t>N</t>
        </is>
      </c>
      <c r="R34" s="37" t="inlineStr">
        <is>
          <t>Premium</t>
        </is>
      </c>
      <c r="S34" s="37">
        <f>COUNTIF('Recipe Ingredients'!$F$2:$F$2000,A34)</f>
        <v/>
      </c>
      <c r="T34" s="39" t="inlineStr">
        <is>
          <t>Fridge, unwashed</t>
        </is>
      </c>
      <c r="U34" s="37" t="inlineStr">
        <is>
          <t>5-7 days</t>
        </is>
      </c>
      <c r="V34" s="39" t="inlineStr">
        <is>
          <t>Imported</t>
        </is>
      </c>
      <c r="W34" s="37" t="inlineStr">
        <is>
          <t>Snack</t>
        </is>
      </c>
      <c r="X34" s="39" t="n"/>
    </row>
    <row r="35" ht="23.85" customHeight="1" s="26">
      <c r="A35" s="37" t="inlineStr">
        <is>
          <t>P034</t>
        </is>
      </c>
      <c r="B35" s="38" t="inlineStr">
        <is>
          <t>Strawberry</t>
        </is>
      </c>
      <c r="C35" s="39" t="n"/>
      <c r="D35" s="37" t="inlineStr">
        <is>
          <t>Fruit (berry)</t>
        </is>
      </c>
      <c r="E35" s="37" t="inlineStr">
        <is>
          <t>Local + imported</t>
        </is>
      </c>
      <c r="F35" s="37" t="inlineStr">
        <is>
          <t>Eat as-is + recipes</t>
        </is>
      </c>
      <c r="G35" s="37" t="inlineStr">
        <is>
          <t>Seasonal</t>
        </is>
      </c>
      <c r="H35" s="37" t="inlineStr">
        <is>
          <t>Nov-Apr</t>
        </is>
      </c>
      <c r="I35" s="37" t="inlineStr">
        <is>
          <t>Dec-Feb</t>
        </is>
      </c>
      <c r="J35" s="37">
        <f>IFERROR(IF(INDEX('Seasonal Calendar'!$C$2:$N$500,MATCH(A35,'Seasonal Calendar'!$A$2:$A$500,0),MONTH(TODAY()))="","Out",INDEX('Seasonal Calendar'!$C$2:$N$500,MATCH(A35,'Seasonal Calendar'!$A$2:$A$500,0),MONTH(TODAY()))),"")</f>
        <v/>
      </c>
      <c r="K35" s="37" t="inlineStr">
        <is>
          <t>Verify</t>
        </is>
      </c>
      <c r="L35" s="37" t="inlineStr">
        <is>
          <t>250g punnet</t>
        </is>
      </c>
      <c r="M35" s="40" t="n">
        <v>5000</v>
      </c>
      <c r="N35" s="37" t="inlineStr">
        <is>
          <t>1 pack (size not stated)</t>
        </is>
      </c>
      <c r="O35" s="39" t="inlineStr">
        <is>
          <t>The Fresh Place (thefreshplace.ng), 17 Oct 2026</t>
        </is>
      </c>
      <c r="P35" s="41" t="n"/>
      <c r="Q35" s="42" t="inlineStr">
        <is>
          <t>N</t>
        </is>
      </c>
      <c r="R35" s="37" t="inlineStr">
        <is>
          <t>Premium</t>
        </is>
      </c>
      <c r="S35" s="37">
        <f>COUNTIF('Recipe Ingredients'!$F$2:$F$2000,A35)</f>
        <v/>
      </c>
      <c r="T35" s="39" t="inlineStr">
        <is>
          <t>Fridge, unwashed</t>
        </is>
      </c>
      <c r="U35" s="37" t="inlineStr">
        <is>
          <t>2-4 days</t>
        </is>
      </c>
      <c r="V35" s="39" t="inlineStr">
        <is>
          <t>Plateau (Jos) + imports</t>
        </is>
      </c>
      <c r="W35" s="37" t="inlineStr">
        <is>
          <t>Wellness</t>
        </is>
      </c>
      <c r="X35" s="39" t="inlineStr">
        <is>
          <t>Jos strawberries are a real local story. Season window needs supplier confirmation.</t>
        </is>
      </c>
    </row>
    <row r="36" ht="35.05" customHeight="1" s="26">
      <c r="A36" s="37" t="inlineStr">
        <is>
          <t>P035</t>
        </is>
      </c>
      <c r="B36" s="38" t="inlineStr">
        <is>
          <t>Blueberry</t>
        </is>
      </c>
      <c r="C36" s="39" t="n"/>
      <c r="D36" s="37" t="inlineStr">
        <is>
          <t>Fruit (berry)</t>
        </is>
      </c>
      <c r="E36" s="37" t="inlineStr">
        <is>
          <t>Imported</t>
        </is>
      </c>
      <c r="F36" s="37" t="inlineStr">
        <is>
          <t>Eat as-is + recipes</t>
        </is>
      </c>
      <c r="G36" s="37" t="inlineStr">
        <is>
          <t>Year-round</t>
        </is>
      </c>
      <c r="H36" s="37" t="inlineStr">
        <is>
          <t>All year</t>
        </is>
      </c>
      <c r="I36" s="37" t="n"/>
      <c r="J36" s="37">
        <f>IFERROR(IF(INDEX('Seasonal Calendar'!$C$2:$N$500,MATCH(A36,'Seasonal Calendar'!$A$2:$A$500,0),MONTH(TODAY()))="","Out",INDEX('Seasonal Calendar'!$C$2:$N$500,MATCH(A36,'Seasonal Calendar'!$A$2:$A$500,0),MONTH(TODAY()))),"")</f>
        <v/>
      </c>
      <c r="K36" s="37" t="inlineStr">
        <is>
          <t>Verify</t>
        </is>
      </c>
      <c r="L36" s="37" t="inlineStr">
        <is>
          <t>125g</t>
        </is>
      </c>
      <c r="M36" s="40" t="n">
        <v>6000</v>
      </c>
      <c r="N36" s="37" t="inlineStr">
        <is>
          <t>1 pack (size not stated)</t>
        </is>
      </c>
      <c r="O36" s="39" t="inlineStr">
        <is>
          <t>The Fresh Place (thefreshplace.ng), 17 Oct 2026</t>
        </is>
      </c>
      <c r="P36" s="41" t="n"/>
      <c r="Q36" s="42" t="inlineStr">
        <is>
          <t>N</t>
        </is>
      </c>
      <c r="R36" s="37" t="inlineStr">
        <is>
          <t>Premium</t>
        </is>
      </c>
      <c r="S36" s="37">
        <f>COUNTIF('Recipe Ingredients'!$F$2:$F$2000,A36)</f>
        <v/>
      </c>
      <c r="T36" s="39" t="inlineStr">
        <is>
          <t>Fridge</t>
        </is>
      </c>
      <c r="U36" s="37" t="inlineStr">
        <is>
          <t>5-7 days</t>
        </is>
      </c>
      <c r="V36" s="39" t="inlineStr">
        <is>
          <t>Imported</t>
        </is>
      </c>
      <c r="W36" s="37" t="inlineStr">
        <is>
          <t>Wellness</t>
        </is>
      </c>
      <c r="X36" s="39" t="n"/>
    </row>
    <row r="37" ht="15" customHeight="1" s="26">
      <c r="A37" s="37" t="inlineStr">
        <is>
          <t>P036</t>
        </is>
      </c>
      <c r="B37" s="38" t="inlineStr">
        <is>
          <t>Kiwi</t>
        </is>
      </c>
      <c r="C37" s="39" t="n"/>
      <c r="D37" s="37" t="inlineStr">
        <is>
          <t>Fruit</t>
        </is>
      </c>
      <c r="E37" s="37" t="inlineStr">
        <is>
          <t>Imported</t>
        </is>
      </c>
      <c r="F37" s="37" t="inlineStr">
        <is>
          <t>Eat as-is + recipes</t>
        </is>
      </c>
      <c r="G37" s="37" t="inlineStr">
        <is>
          <t>Year-round</t>
        </is>
      </c>
      <c r="H37" s="37" t="inlineStr">
        <is>
          <t>All year</t>
        </is>
      </c>
      <c r="I37" s="37" t="n"/>
      <c r="J37" s="37">
        <f>IFERROR(IF(INDEX('Seasonal Calendar'!$C$2:$N$500,MATCH(A37,'Seasonal Calendar'!$A$2:$A$500,0),MONTH(TODAY()))="","Out",INDEX('Seasonal Calendar'!$C$2:$N$500,MATCH(A37,'Seasonal Calendar'!$A$2:$A$500,0),MONTH(TODAY()))),"")</f>
        <v/>
      </c>
      <c r="K37" s="37" t="inlineStr">
        <is>
          <t>Verify</t>
        </is>
      </c>
      <c r="L37" s="37" t="inlineStr">
        <is>
          <t>3-pack</t>
        </is>
      </c>
      <c r="M37" s="40" t="n">
        <v>20000</v>
      </c>
      <c r="N37" s="37" t="inlineStr">
        <is>
          <t>1kg</t>
        </is>
      </c>
      <c r="O37" s="39" t="inlineStr">
        <is>
          <t>The Fresh Place (thefreshplace.ng), 17 Oct 2026</t>
        </is>
      </c>
      <c r="P37" s="41" t="n"/>
      <c r="Q37" s="42" t="inlineStr">
        <is>
          <t>N</t>
        </is>
      </c>
      <c r="R37" s="37" t="inlineStr">
        <is>
          <t>Premium</t>
        </is>
      </c>
      <c r="S37" s="37">
        <f>COUNTIF('Recipe Ingredients'!$F$2:$F$2000,A37)</f>
        <v/>
      </c>
      <c r="T37" s="39" t="inlineStr">
        <is>
          <t>Fridge</t>
        </is>
      </c>
      <c r="U37" s="37" t="inlineStr">
        <is>
          <t>1-2 weeks</t>
        </is>
      </c>
      <c r="V37" s="39" t="inlineStr">
        <is>
          <t>Imported</t>
        </is>
      </c>
      <c r="W37" s="37" t="inlineStr">
        <is>
          <t>Wellness</t>
        </is>
      </c>
      <c r="X37" s="39" t="n"/>
    </row>
    <row r="38" ht="15" customHeight="1" s="26">
      <c r="A38" s="37" t="inlineStr">
        <is>
          <t>P037</t>
        </is>
      </c>
      <c r="B38" s="38" t="inlineStr">
        <is>
          <t>Pomegranate</t>
        </is>
      </c>
      <c r="C38" s="39" t="n"/>
      <c r="D38" s="37" t="inlineStr">
        <is>
          <t>Fruit</t>
        </is>
      </c>
      <c r="E38" s="37" t="inlineStr">
        <is>
          <t>Imported</t>
        </is>
      </c>
      <c r="F38" s="37" t="inlineStr">
        <is>
          <t>Eat as-is + recipes</t>
        </is>
      </c>
      <c r="G38" s="37" t="inlineStr">
        <is>
          <t>Year-round</t>
        </is>
      </c>
      <c r="H38" s="37" t="inlineStr">
        <is>
          <t>All year</t>
        </is>
      </c>
      <c r="I38" s="37" t="n"/>
      <c r="J38" s="37">
        <f>IFERROR(IF(INDEX('Seasonal Calendar'!$C$2:$N$500,MATCH(A38,'Seasonal Calendar'!$A$2:$A$500,0),MONTH(TODAY()))="","Out",INDEX('Seasonal Calendar'!$C$2:$N$500,MATCH(A38,'Seasonal Calendar'!$A$2:$A$500,0),MONTH(TODAY()))),"")</f>
        <v/>
      </c>
      <c r="K38" s="37" t="inlineStr">
        <is>
          <t>Verify</t>
        </is>
      </c>
      <c r="L38" s="37" t="inlineStr">
        <is>
          <t>Piece</t>
        </is>
      </c>
      <c r="M38" s="40" t="n">
        <v>18000</v>
      </c>
      <c r="N38" s="37" t="inlineStr">
        <is>
          <t>1kg</t>
        </is>
      </c>
      <c r="O38" s="39" t="inlineStr">
        <is>
          <t>The Fresh Place (thefreshplace.ng), 17 Oct 2026; listed out of stock</t>
        </is>
      </c>
      <c r="P38" s="41" t="n"/>
      <c r="Q38" s="42" t="inlineStr">
        <is>
          <t>N</t>
        </is>
      </c>
      <c r="R38" s="37" t="inlineStr">
        <is>
          <t>Later</t>
        </is>
      </c>
      <c r="S38" s="37">
        <f>COUNTIF('Recipe Ingredients'!$F$2:$F$2000,A38)</f>
        <v/>
      </c>
      <c r="T38" s="39" t="inlineStr">
        <is>
          <t>Fridge</t>
        </is>
      </c>
      <c r="U38" s="37" t="inlineStr">
        <is>
          <t>2-3 weeks</t>
        </is>
      </c>
      <c r="V38" s="39" t="inlineStr">
        <is>
          <t>Imported</t>
        </is>
      </c>
      <c r="W38" s="37" t="inlineStr">
        <is>
          <t>Wellness</t>
        </is>
      </c>
      <c r="X38" s="39" t="n"/>
    </row>
    <row r="39" ht="15" customHeight="1" s="26">
      <c r="A39" s="37" t="inlineStr">
        <is>
          <t>P038</t>
        </is>
      </c>
      <c r="B39" s="38" t="inlineStr">
        <is>
          <t>Dragon fruit</t>
        </is>
      </c>
      <c r="C39" s="39" t="n"/>
      <c r="D39" s="37" t="inlineStr">
        <is>
          <t>Fruit</t>
        </is>
      </c>
      <c r="E39" s="37" t="inlineStr">
        <is>
          <t>Local (limited) + imported</t>
        </is>
      </c>
      <c r="F39" s="37" t="inlineStr">
        <is>
          <t>Eat as-is + recipes</t>
        </is>
      </c>
      <c r="G39" s="37" t="inlineStr">
        <is>
          <t>Year-round</t>
        </is>
      </c>
      <c r="H39" s="37" t="inlineStr">
        <is>
          <t>All year</t>
        </is>
      </c>
      <c r="I39" s="37" t="n"/>
      <c r="J39" s="37">
        <f>IFERROR(IF(INDEX('Seasonal Calendar'!$C$2:$N$500,MATCH(A39,'Seasonal Calendar'!$A$2:$A$500,0),MONTH(TODAY()))="","Out",INDEX('Seasonal Calendar'!$C$2:$N$500,MATCH(A39,'Seasonal Calendar'!$A$2:$A$500,0),MONTH(TODAY()))),"")</f>
        <v/>
      </c>
      <c r="K39" s="37" t="inlineStr">
        <is>
          <t>Verify</t>
        </is>
      </c>
      <c r="L39" s="37" t="inlineStr">
        <is>
          <t>Piece</t>
        </is>
      </c>
      <c r="M39" s="40" t="n">
        <v>40000</v>
      </c>
      <c r="N39" s="37" t="inlineStr">
        <is>
          <t>1kg</t>
        </is>
      </c>
      <c r="O39" s="39" t="inlineStr">
        <is>
          <t>The Fresh Place (thefreshplace.ng), 17 Oct 2026; listed out of stock</t>
        </is>
      </c>
      <c r="P39" s="41" t="n"/>
      <c r="Q39" s="42" t="inlineStr">
        <is>
          <t>N</t>
        </is>
      </c>
      <c r="R39" s="37" t="inlineStr">
        <is>
          <t>Later</t>
        </is>
      </c>
      <c r="S39" s="37">
        <f>COUNTIF('Recipe Ingredients'!$F$2:$F$2000,A39)</f>
        <v/>
      </c>
      <c r="T39" s="39" t="inlineStr">
        <is>
          <t>Fridge</t>
        </is>
      </c>
      <c r="U39" s="37" t="inlineStr">
        <is>
          <t>5-7 days</t>
        </is>
      </c>
      <c r="V39" s="39" t="inlineStr">
        <is>
          <t>A few local farms + imports</t>
        </is>
      </c>
      <c r="W39" s="37" t="inlineStr">
        <is>
          <t>Wellness</t>
        </is>
      </c>
      <c r="X39" s="39" t="inlineStr">
        <is>
          <t>Price makes it a showpiece, not a staple.</t>
        </is>
      </c>
    </row>
    <row r="40" ht="15" customHeight="1" s="26">
      <c r="A40" s="37" t="inlineStr">
        <is>
          <t>P039</t>
        </is>
      </c>
      <c r="B40" s="38" t="inlineStr">
        <is>
          <t>Star fruit (carambola)</t>
        </is>
      </c>
      <c r="C40" s="39" t="n"/>
      <c r="D40" s="37" t="inlineStr">
        <is>
          <t>Fruit</t>
        </is>
      </c>
      <c r="E40" s="37" t="inlineStr">
        <is>
          <t>Local</t>
        </is>
      </c>
      <c r="F40" s="37" t="inlineStr">
        <is>
          <t>Eat as-is + recipes</t>
        </is>
      </c>
      <c r="G40" s="37" t="inlineStr">
        <is>
          <t>Year-round</t>
        </is>
      </c>
      <c r="H40" s="37" t="inlineStr">
        <is>
          <t>All year</t>
        </is>
      </c>
      <c r="I40" s="37" t="n"/>
      <c r="J40" s="37">
        <f>IFERROR(IF(INDEX('Seasonal Calendar'!$C$2:$N$500,MATCH(A40,'Seasonal Calendar'!$A$2:$A$500,0),MONTH(TODAY()))="","Out",INDEX('Seasonal Calendar'!$C$2:$N$500,MATCH(A40,'Seasonal Calendar'!$A$2:$A$500,0),MONTH(TODAY()))),"")</f>
        <v/>
      </c>
      <c r="K40" s="37" t="inlineStr">
        <is>
          <t>Verify</t>
        </is>
      </c>
      <c r="L40" s="37" t="inlineStr">
        <is>
          <t>Piece</t>
        </is>
      </c>
      <c r="M40" s="40" t="n"/>
      <c r="N40" s="37" t="n"/>
      <c r="O40" s="39" t="n"/>
      <c r="P40" s="41" t="n"/>
      <c r="Q40" s="42" t="inlineStr">
        <is>
          <t>N</t>
        </is>
      </c>
      <c r="R40" s="37" t="inlineStr">
        <is>
          <t>Later</t>
        </is>
      </c>
      <c r="S40" s="37">
        <f>COUNTIF('Recipe Ingredients'!$F$2:$F$2000,A40)</f>
        <v/>
      </c>
      <c r="T40" s="39" t="inlineStr">
        <is>
          <t>Room temp / fridge</t>
        </is>
      </c>
      <c r="U40" s="37" t="inlineStr">
        <is>
          <t>3-5 days</t>
        </is>
      </c>
      <c r="V40" s="39" t="inlineStr">
        <is>
          <t>South</t>
        </is>
      </c>
      <c r="W40" s="37" t="inlineStr">
        <is>
          <t>Snack</t>
        </is>
      </c>
      <c r="X40" s="39" t="inlineStr">
        <is>
          <t>Availability is patchy. Verify with suppliers.</t>
        </is>
      </c>
    </row>
    <row r="41" ht="23.85" customHeight="1" s="26">
      <c r="A41" s="37" t="inlineStr">
        <is>
          <t>P040</t>
        </is>
      </c>
      <c r="B41" s="38" t="inlineStr">
        <is>
          <t>Groundnut (fresh or roasted)</t>
        </is>
      </c>
      <c r="C41" s="39" t="inlineStr">
        <is>
          <t>Epa (Yor), Gyada (Hau)</t>
        </is>
      </c>
      <c r="D41" s="37" t="inlineStr">
        <is>
          <t>Nut / legume</t>
        </is>
      </c>
      <c r="E41" s="37" t="inlineStr">
        <is>
          <t>Local</t>
        </is>
      </c>
      <c r="F41" s="37" t="inlineStr">
        <is>
          <t>Recipe ingredient</t>
        </is>
      </c>
      <c r="G41" s="37" t="inlineStr">
        <is>
          <t>Year-round</t>
        </is>
      </c>
      <c r="H41" s="37" t="inlineStr">
        <is>
          <t>All year</t>
        </is>
      </c>
      <c r="I41" s="37" t="inlineStr">
        <is>
          <t>May-Oct</t>
        </is>
      </c>
      <c r="J41" s="37">
        <f>IFERROR(IF(INDEX('Seasonal Calendar'!$C$2:$N$500,MATCH(A41,'Seasonal Calendar'!$A$2:$A$500,0),MONTH(TODAY()))="","Out",INDEX('Seasonal Calendar'!$C$2:$N$500,MATCH(A41,'Seasonal Calendar'!$A$2:$A$500,0),MONTH(TODAY()))),"")</f>
        <v/>
      </c>
      <c r="K41" s="37" t="inlineStr">
        <is>
          <t>Sourced</t>
        </is>
      </c>
      <c r="L41" s="37" t="inlineStr">
        <is>
          <t>Cup / 250g</t>
        </is>
      </c>
      <c r="M41" s="40" t="n"/>
      <c r="N41" s="37" t="n"/>
      <c r="O41" s="39" t="n"/>
      <c r="P41" s="41" t="n"/>
      <c r="Q41" s="42" t="inlineStr">
        <is>
          <t>Y</t>
        </is>
      </c>
      <c r="R41" s="37" t="inlineStr">
        <is>
          <t>Core</t>
        </is>
      </c>
      <c r="S41" s="37">
        <f>COUNTIF('Recipe Ingredients'!$F$2:$F$2000,A41)</f>
        <v/>
      </c>
      <c r="T41" s="39" t="inlineStr">
        <is>
          <t>Airtight</t>
        </is>
      </c>
      <c r="U41" s="37" t="inlineStr">
        <is>
          <t>Weeks roasted</t>
        </is>
      </c>
      <c r="V41" s="39" t="inlineStr">
        <is>
          <t>Kano, Kaduna, Niger</t>
        </is>
      </c>
      <c r="W41" s="37" t="inlineStr">
        <is>
          <t>Training, Plant-based</t>
        </is>
      </c>
      <c r="X41" s="39" t="inlineStr">
        <is>
          <t>Fresh groundnuts May-Oct; roasted all year. Replaces pine nuts, walnuts and tahini across the library.</t>
        </is>
      </c>
    </row>
    <row r="42" ht="15" customHeight="1" s="26">
      <c r="A42" s="37" t="inlineStr">
        <is>
          <t>P041</t>
        </is>
      </c>
      <c r="B42" s="38" t="inlineStr">
        <is>
          <t>African walnut</t>
        </is>
      </c>
      <c r="C42" s="39" t="inlineStr">
        <is>
          <t>Asala (Yor), Ukpa (Igbo)</t>
        </is>
      </c>
      <c r="D42" s="37" t="inlineStr">
        <is>
          <t>Nut</t>
        </is>
      </c>
      <c r="E42" s="37" t="inlineStr">
        <is>
          <t>Local</t>
        </is>
      </c>
      <c r="F42" s="37" t="inlineStr">
        <is>
          <t>Eat as-is only</t>
        </is>
      </c>
      <c r="G42" s="37" t="inlineStr">
        <is>
          <t>Seasonal</t>
        </is>
      </c>
      <c r="H42" s="37" t="inlineStr">
        <is>
          <t>Mar-May, Jul-Aug, Oct</t>
        </is>
      </c>
      <c r="I42" s="37" t="n"/>
      <c r="J42" s="37">
        <f>IFERROR(IF(INDEX('Seasonal Calendar'!$C$2:$N$500,MATCH(A42,'Seasonal Calendar'!$A$2:$A$500,0),MONTH(TODAY()))="","Out",INDEX('Seasonal Calendar'!$C$2:$N$500,MATCH(A42,'Seasonal Calendar'!$A$2:$A$500,0),MONTH(TODAY()))),"")</f>
        <v/>
      </c>
      <c r="K42" s="37" t="inlineStr">
        <is>
          <t>Sourced</t>
        </is>
      </c>
      <c r="L42" s="37" t="inlineStr">
        <is>
          <t>Pack</t>
        </is>
      </c>
      <c r="M42" s="40" t="n"/>
      <c r="N42" s="37" t="n"/>
      <c r="O42" s="39" t="n"/>
      <c r="P42" s="41" t="n"/>
      <c r="Q42" s="42" t="inlineStr">
        <is>
          <t>Seasonal</t>
        </is>
      </c>
      <c r="R42" s="37" t="inlineStr">
        <is>
          <t>Seasonal drop</t>
        </is>
      </c>
      <c r="S42" s="37">
        <f>COUNTIF('Recipe Ingredients'!$F$2:$F$2000,A42)</f>
        <v/>
      </c>
      <c r="T42" s="39" t="inlineStr">
        <is>
          <t>Cool, dry</t>
        </is>
      </c>
      <c r="U42" s="37" t="inlineStr">
        <is>
          <t>1 week cooked</t>
        </is>
      </c>
      <c r="V42" s="39" t="inlineStr">
        <is>
          <t>Southwest, Southeast</t>
        </is>
      </c>
      <c r="W42" s="37" t="inlineStr">
        <is>
          <t>Snack</t>
        </is>
      </c>
      <c r="X42" s="39" t="inlineStr">
        <is>
          <t>Sold boiled.</t>
        </is>
      </c>
    </row>
    <row r="43" ht="35.05" customHeight="1" s="26">
      <c r="A43" s="37" t="inlineStr">
        <is>
          <t>P042</t>
        </is>
      </c>
      <c r="B43" s="38" t="inlineStr">
        <is>
          <t>Tomato (plum)</t>
        </is>
      </c>
      <c r="C43" s="39" t="inlineStr">
        <is>
          <t>Tumatir (Hau)</t>
        </is>
      </c>
      <c r="D43" s="37" t="inlineStr">
        <is>
          <t>Vegetable</t>
        </is>
      </c>
      <c r="E43" s="37" t="inlineStr">
        <is>
          <t>Local</t>
        </is>
      </c>
      <c r="F43" s="37" t="inlineStr">
        <is>
          <t>Recipe ingredient</t>
        </is>
      </c>
      <c r="G43" s="37" t="inlineStr">
        <is>
          <t>Year-round</t>
        </is>
      </c>
      <c r="H43" s="37" t="inlineStr">
        <is>
          <t>All year</t>
        </is>
      </c>
      <c r="I43" s="37" t="inlineStr">
        <is>
          <t>Dec-Jan, Aug-Sep</t>
        </is>
      </c>
      <c r="J43" s="37">
        <f>IFERROR(IF(INDEX('Seasonal Calendar'!$C$2:$N$500,MATCH(A43,'Seasonal Calendar'!$A$2:$A$500,0),MONTH(TODAY()))="","Out",INDEX('Seasonal Calendar'!$C$2:$N$500,MATCH(A43,'Seasonal Calendar'!$A$2:$A$500,0),MONTH(TODAY()))),"")</f>
        <v/>
      </c>
      <c r="K43" s="37" t="inlineStr">
        <is>
          <t>Sourced</t>
        </is>
      </c>
      <c r="L43" s="37" t="inlineStr">
        <is>
          <t>1kg</t>
        </is>
      </c>
      <c r="M43" s="40" t="n">
        <v>4600</v>
      </c>
      <c r="N43" s="37" t="inlineStr">
        <is>
          <t>1kg</t>
        </is>
      </c>
      <c r="O43" s="39" t="inlineStr">
        <is>
          <t>Mint Foods (mintfoods.store), 11 Oct 2026; beef tomato N4,375/kg</t>
        </is>
      </c>
      <c r="P43" s="41" t="n"/>
      <c r="Q43" s="42" t="inlineStr">
        <is>
          <t>Y</t>
        </is>
      </c>
      <c r="R43" s="37" t="inlineStr">
        <is>
          <t>Core</t>
        </is>
      </c>
      <c r="S43" s="37">
        <f>COUNTIF('Recipe Ingredients'!$F$2:$F$2000,A43)</f>
        <v/>
      </c>
      <c r="T43" s="39" t="inlineStr">
        <is>
          <t>Room temp; fridge only when very ripe</t>
        </is>
      </c>
      <c r="U43" s="37" t="inlineStr">
        <is>
          <t>3-7 days</t>
        </is>
      </c>
      <c r="V43" s="39" t="inlineStr">
        <is>
          <t>Kano, Kaduna, Katsina, Plateau</t>
        </is>
      </c>
      <c r="W43" s="37" t="inlineStr">
        <is>
          <t>Wellness</t>
        </is>
      </c>
      <c r="X43" s="39" t="inlineStr">
        <is>
          <t>Jos tomatoes peak Aug-Sep and Dec-Jan (Kitchen Butterfly). Prices spike in parts of the rainy season, so build price alerts around it.</t>
        </is>
      </c>
    </row>
    <row r="44" ht="23.85" customHeight="1" s="26">
      <c r="A44" s="37" t="inlineStr">
        <is>
          <t>P043</t>
        </is>
      </c>
      <c r="B44" s="38" t="inlineStr">
        <is>
          <t>Cherry tomato</t>
        </is>
      </c>
      <c r="C44" s="39" t="n"/>
      <c r="D44" s="37" t="inlineStr">
        <is>
          <t>Vegetable</t>
        </is>
      </c>
      <c r="E44" s="37" t="inlineStr">
        <is>
          <t>Local + imported</t>
        </is>
      </c>
      <c r="F44" s="37" t="inlineStr">
        <is>
          <t>Eat as-is + recipes</t>
        </is>
      </c>
      <c r="G44" s="37" t="inlineStr">
        <is>
          <t>Year-round</t>
        </is>
      </c>
      <c r="H44" s="37" t="inlineStr">
        <is>
          <t>All year</t>
        </is>
      </c>
      <c r="I44" s="37" t="n"/>
      <c r="J44" s="37">
        <f>IFERROR(IF(INDEX('Seasonal Calendar'!$C$2:$N$500,MATCH(A44,'Seasonal Calendar'!$A$2:$A$500,0),MONTH(TODAY()))="","Out",INDEX('Seasonal Calendar'!$C$2:$N$500,MATCH(A44,'Seasonal Calendar'!$A$2:$A$500,0),MONTH(TODAY()))),"")</f>
        <v/>
      </c>
      <c r="K44" s="37" t="inlineStr">
        <is>
          <t>Verify</t>
        </is>
      </c>
      <c r="L44" s="37" t="inlineStr">
        <is>
          <t>250g</t>
        </is>
      </c>
      <c r="M44" s="40" t="n">
        <v>9000</v>
      </c>
      <c r="N44" s="37" t="inlineStr">
        <is>
          <t>250g yellow</t>
        </is>
      </c>
      <c r="O44" s="39" t="inlineStr">
        <is>
          <t>Mint Foods (mintfoods.store), 11 Oct 2026</t>
        </is>
      </c>
      <c r="P44" s="41" t="n"/>
      <c r="Q44" s="42" t="inlineStr">
        <is>
          <t>N</t>
        </is>
      </c>
      <c r="R44" s="37" t="inlineStr">
        <is>
          <t>Premium</t>
        </is>
      </c>
      <c r="S44" s="37">
        <f>COUNTIF('Recipe Ingredients'!$F$2:$F$2000,A44)</f>
        <v/>
      </c>
      <c r="T44" s="39" t="inlineStr">
        <is>
          <t>Room temp</t>
        </is>
      </c>
      <c r="U44" s="37" t="inlineStr">
        <is>
          <t>5-7 days</t>
        </is>
      </c>
      <c r="V44" s="39" t="inlineStr">
        <is>
          <t>Greenhouses (Lagos, Ogun, Plateau)</t>
        </is>
      </c>
      <c r="W44" s="37" t="inlineStr">
        <is>
          <t>Wellness</t>
        </is>
      </c>
      <c r="X44" s="39" t="inlineStr">
        <is>
          <t>Plum tomatoes work in every recipe that lists cherry tomatoes.</t>
        </is>
      </c>
    </row>
    <row r="45" ht="15" customHeight="1" s="26">
      <c r="A45" s="37" t="inlineStr">
        <is>
          <t>P044</t>
        </is>
      </c>
      <c r="B45" s="38" t="inlineStr">
        <is>
          <t>Red bell pepper</t>
        </is>
      </c>
      <c r="C45" s="39" t="inlineStr">
        <is>
          <t>Tatashe (Yor)</t>
        </is>
      </c>
      <c r="D45" s="37" t="inlineStr">
        <is>
          <t>Vegetable</t>
        </is>
      </c>
      <c r="E45" s="37" t="inlineStr">
        <is>
          <t>Local</t>
        </is>
      </c>
      <c r="F45" s="37" t="inlineStr">
        <is>
          <t>Recipe ingredient</t>
        </is>
      </c>
      <c r="G45" s="37" t="inlineStr">
        <is>
          <t>Year-round</t>
        </is>
      </c>
      <c r="H45" s="37" t="inlineStr">
        <is>
          <t>All year</t>
        </is>
      </c>
      <c r="I45" s="37" t="n"/>
      <c r="J45" s="37">
        <f>IFERROR(IF(INDEX('Seasonal Calendar'!$C$2:$N$500,MATCH(A45,'Seasonal Calendar'!$A$2:$A$500,0),MONTH(TODAY()))="","Out",INDEX('Seasonal Calendar'!$C$2:$N$500,MATCH(A45,'Seasonal Calendar'!$A$2:$A$500,0),MONTH(TODAY()))),"")</f>
        <v/>
      </c>
      <c r="K45" s="37" t="inlineStr">
        <is>
          <t>Verify</t>
        </is>
      </c>
      <c r="L45" s="37" t="inlineStr">
        <is>
          <t>Piece / 6-pack</t>
        </is>
      </c>
      <c r="M45" s="40" t="n">
        <v>10350</v>
      </c>
      <c r="N45" s="37" t="inlineStr">
        <is>
          <t>6 pcs local</t>
        </is>
      </c>
      <c r="O45" s="39" t="inlineStr">
        <is>
          <t>Mint Foods (mintfoods.store), 11 Oct 2026</t>
        </is>
      </c>
      <c r="P45" s="41" t="n"/>
      <c r="Q45" s="42" t="inlineStr">
        <is>
          <t>Y</t>
        </is>
      </c>
      <c r="R45" s="37" t="inlineStr">
        <is>
          <t>Core</t>
        </is>
      </c>
      <c r="S45" s="37">
        <f>COUNTIF('Recipe Ingredients'!$F$2:$F$2000,A45)</f>
        <v/>
      </c>
      <c r="T45" s="39" t="inlineStr">
        <is>
          <t>Fridge</t>
        </is>
      </c>
      <c r="U45" s="37" t="inlineStr">
        <is>
          <t>1 week</t>
        </is>
      </c>
      <c r="V45" s="39" t="inlineStr">
        <is>
          <t>Plateau, Kaduna, Kano</t>
        </is>
      </c>
      <c r="W45" s="37" t="inlineStr">
        <is>
          <t>Wellness</t>
        </is>
      </c>
      <c r="X45" s="39" t="n"/>
    </row>
    <row r="46" ht="23.85" customHeight="1" s="26">
      <c r="A46" s="37" t="inlineStr">
        <is>
          <t>P045</t>
        </is>
      </c>
      <c r="B46" s="38" t="inlineStr">
        <is>
          <t>Green / yellow bell pepper</t>
        </is>
      </c>
      <c r="C46" s="39" t="n"/>
      <c r="D46" s="37" t="inlineStr">
        <is>
          <t>Vegetable</t>
        </is>
      </c>
      <c r="E46" s="37" t="inlineStr">
        <is>
          <t>Local</t>
        </is>
      </c>
      <c r="F46" s="37" t="inlineStr">
        <is>
          <t>Recipe ingredient</t>
        </is>
      </c>
      <c r="G46" s="37" t="inlineStr">
        <is>
          <t>Year-round</t>
        </is>
      </c>
      <c r="H46" s="37" t="inlineStr">
        <is>
          <t>All year</t>
        </is>
      </c>
      <c r="I46" s="37" t="n"/>
      <c r="J46" s="37">
        <f>IFERROR(IF(INDEX('Seasonal Calendar'!$C$2:$N$500,MATCH(A46,'Seasonal Calendar'!$A$2:$A$500,0),MONTH(TODAY()))="","Out",INDEX('Seasonal Calendar'!$C$2:$N$500,MATCH(A46,'Seasonal Calendar'!$A$2:$A$500,0),MONTH(TODAY()))),"")</f>
        <v/>
      </c>
      <c r="K46" s="37" t="inlineStr">
        <is>
          <t>Verify</t>
        </is>
      </c>
      <c r="L46" s="37" t="inlineStr">
        <is>
          <t>Piece / 6-pack</t>
        </is>
      </c>
      <c r="M46" s="40" t="n">
        <v>9500</v>
      </c>
      <c r="N46" s="37" t="inlineStr">
        <is>
          <t>1kg green</t>
        </is>
      </c>
      <c r="O46" s="39" t="inlineStr">
        <is>
          <t>The Fresh Place (thefreshplace.ng), 17 Oct 2026; listed out of stock</t>
        </is>
      </c>
      <c r="P46" s="41" t="n"/>
      <c r="Q46" s="42" t="inlineStr">
        <is>
          <t>Y</t>
        </is>
      </c>
      <c r="R46" s="37" t="inlineStr">
        <is>
          <t>Core</t>
        </is>
      </c>
      <c r="S46" s="37">
        <f>COUNTIF('Recipe Ingredients'!$F$2:$F$2000,A46)</f>
        <v/>
      </c>
      <c r="T46" s="39" t="inlineStr">
        <is>
          <t>Fridge</t>
        </is>
      </c>
      <c r="U46" s="37" t="inlineStr">
        <is>
          <t>1 week</t>
        </is>
      </c>
      <c r="V46" s="39" t="inlineStr">
        <is>
          <t>Plateau, Kaduna</t>
        </is>
      </c>
      <c r="W46" s="37" t="inlineStr">
        <is>
          <t>Wellness</t>
        </is>
      </c>
      <c r="X46" s="39" t="n"/>
    </row>
    <row r="47" ht="23.85" customHeight="1" s="26">
      <c r="A47" s="37" t="inlineStr">
        <is>
          <t>P046</t>
        </is>
      </c>
      <c r="B47" s="38" t="inlineStr">
        <is>
          <t>Scotch bonnet</t>
        </is>
      </c>
      <c r="C47" s="39" t="inlineStr">
        <is>
          <t>Ata rodo (Yor)</t>
        </is>
      </c>
      <c r="D47" s="37" t="inlineStr">
        <is>
          <t>Vegetable</t>
        </is>
      </c>
      <c r="E47" s="37" t="inlineStr">
        <is>
          <t>Local</t>
        </is>
      </c>
      <c r="F47" s="37" t="inlineStr">
        <is>
          <t>Recipe ingredient</t>
        </is>
      </c>
      <c r="G47" s="37" t="inlineStr">
        <is>
          <t>Year-round</t>
        </is>
      </c>
      <c r="H47" s="37" t="inlineStr">
        <is>
          <t>All year</t>
        </is>
      </c>
      <c r="I47" s="37" t="n"/>
      <c r="J47" s="37">
        <f>IFERROR(IF(INDEX('Seasonal Calendar'!$C$2:$N$500,MATCH(A47,'Seasonal Calendar'!$A$2:$A$500,0),MONTH(TODAY()))="","Out",INDEX('Seasonal Calendar'!$C$2:$N$500,MATCH(A47,'Seasonal Calendar'!$A$2:$A$500,0),MONTH(TODAY()))),"")</f>
        <v/>
      </c>
      <c r="K47" s="37" t="inlineStr">
        <is>
          <t>Verify</t>
        </is>
      </c>
      <c r="L47" s="37" t="inlineStr">
        <is>
          <t>Cup / 100g</t>
        </is>
      </c>
      <c r="M47" s="40" t="n"/>
      <c r="N47" s="37" t="n"/>
      <c r="O47" s="39" t="n"/>
      <c r="P47" s="41" t="n"/>
      <c r="Q47" s="42" t="inlineStr">
        <is>
          <t>Y</t>
        </is>
      </c>
      <c r="R47" s="37" t="inlineStr">
        <is>
          <t>Core</t>
        </is>
      </c>
      <c r="S47" s="37">
        <f>COUNTIF('Recipe Ingredients'!$F$2:$F$2000,A47)</f>
        <v/>
      </c>
      <c r="T47" s="39" t="inlineStr">
        <is>
          <t>Fridge</t>
        </is>
      </c>
      <c r="U47" s="37" t="inlineStr">
        <is>
          <t>1-2 weeks</t>
        </is>
      </c>
      <c r="V47" s="39" t="inlineStr">
        <is>
          <t>Nationwide</t>
        </is>
      </c>
      <c r="W47" s="37" t="inlineStr">
        <is>
          <t>Wellness</t>
        </is>
      </c>
      <c r="X47" s="39" t="inlineStr">
        <is>
          <t>Every recipe lists a small amount. Let customers dial heat up or down.</t>
        </is>
      </c>
    </row>
    <row r="48" ht="15" customHeight="1" s="26">
      <c r="A48" s="37" t="inlineStr">
        <is>
          <t>P047</t>
        </is>
      </c>
      <c r="B48" s="38" t="inlineStr">
        <is>
          <t>Long red chilli</t>
        </is>
      </c>
      <c r="C48" s="39" t="inlineStr">
        <is>
          <t>Shombo (Yor)</t>
        </is>
      </c>
      <c r="D48" s="37" t="inlineStr">
        <is>
          <t>Vegetable</t>
        </is>
      </c>
      <c r="E48" s="37" t="inlineStr">
        <is>
          <t>Local</t>
        </is>
      </c>
      <c r="F48" s="37" t="inlineStr">
        <is>
          <t>Recipe ingredient</t>
        </is>
      </c>
      <c r="G48" s="37" t="inlineStr">
        <is>
          <t>Year-round</t>
        </is>
      </c>
      <c r="H48" s="37" t="inlineStr">
        <is>
          <t>All year</t>
        </is>
      </c>
      <c r="I48" s="37" t="n"/>
      <c r="J48" s="37">
        <f>IFERROR(IF(INDEX('Seasonal Calendar'!$C$2:$N$500,MATCH(A48,'Seasonal Calendar'!$A$2:$A$500,0),MONTH(TODAY()))="","Out",INDEX('Seasonal Calendar'!$C$2:$N$500,MATCH(A48,'Seasonal Calendar'!$A$2:$A$500,0),MONTH(TODAY()))),"")</f>
        <v/>
      </c>
      <c r="K48" s="37" t="inlineStr">
        <is>
          <t>Verify</t>
        </is>
      </c>
      <c r="L48" s="37" t="inlineStr">
        <is>
          <t>Cup</t>
        </is>
      </c>
      <c r="M48" s="40" t="n"/>
      <c r="N48" s="37" t="n"/>
      <c r="O48" s="39" t="n"/>
      <c r="P48" s="41" t="n"/>
      <c r="Q48" s="42" t="inlineStr">
        <is>
          <t>N</t>
        </is>
      </c>
      <c r="R48" s="37" t="inlineStr">
        <is>
          <t>Later</t>
        </is>
      </c>
      <c r="S48" s="37">
        <f>COUNTIF('Recipe Ingredients'!$F$2:$F$2000,A48)</f>
        <v/>
      </c>
      <c r="T48" s="39" t="inlineStr">
        <is>
          <t>Fridge</t>
        </is>
      </c>
      <c r="U48" s="37" t="inlineStr">
        <is>
          <t>1-2 weeks</t>
        </is>
      </c>
      <c r="V48" s="39" t="inlineStr">
        <is>
          <t>North</t>
        </is>
      </c>
      <c r="W48" s="37" t="n"/>
      <c r="X48" s="39" t="inlineStr">
        <is>
          <t>Milder swap for ata rodo.</t>
        </is>
      </c>
    </row>
    <row r="49" ht="23.85" customHeight="1" s="26">
      <c r="A49" s="37" t="inlineStr">
        <is>
          <t>P048</t>
        </is>
      </c>
      <c r="B49" s="38" t="inlineStr">
        <is>
          <t>Onion (red &amp; white)</t>
        </is>
      </c>
      <c r="C49" s="39" t="inlineStr">
        <is>
          <t>Alubosa (Yor), Yabasi (Igbo), Albasa (Hau)</t>
        </is>
      </c>
      <c r="D49" s="37" t="inlineStr">
        <is>
          <t>Vegetable</t>
        </is>
      </c>
      <c r="E49" s="37" t="inlineStr">
        <is>
          <t>Local</t>
        </is>
      </c>
      <c r="F49" s="37" t="inlineStr">
        <is>
          <t>Recipe ingredient</t>
        </is>
      </c>
      <c r="G49" s="37" t="inlineStr">
        <is>
          <t>Year-round</t>
        </is>
      </c>
      <c r="H49" s="37" t="inlineStr">
        <is>
          <t>All year</t>
        </is>
      </c>
      <c r="I49" s="37" t="n"/>
      <c r="J49" s="37">
        <f>IFERROR(IF(INDEX('Seasonal Calendar'!$C$2:$N$500,MATCH(A49,'Seasonal Calendar'!$A$2:$A$500,0),MONTH(TODAY()))="","Out",INDEX('Seasonal Calendar'!$C$2:$N$500,MATCH(A49,'Seasonal Calendar'!$A$2:$A$500,0),MONTH(TODAY()))),"")</f>
        <v/>
      </c>
      <c r="K49" s="37" t="inlineStr">
        <is>
          <t>Verify</t>
        </is>
      </c>
      <c r="L49" s="37" t="inlineStr">
        <is>
          <t>1kg / 3 pcs</t>
        </is>
      </c>
      <c r="M49" s="40" t="n"/>
      <c r="N49" s="37" t="n"/>
      <c r="O49" s="39" t="n"/>
      <c r="P49" s="41" t="n"/>
      <c r="Q49" s="42" t="inlineStr">
        <is>
          <t>Y</t>
        </is>
      </c>
      <c r="R49" s="37" t="inlineStr">
        <is>
          <t>Core</t>
        </is>
      </c>
      <c r="S49" s="37">
        <f>COUNTIF('Recipe Ingredients'!$F$2:$F$2000,A49)</f>
        <v/>
      </c>
      <c r="T49" s="39" t="inlineStr">
        <is>
          <t>Cool, dry, ventilated</t>
        </is>
      </c>
      <c r="U49" s="37" t="inlineStr">
        <is>
          <t>3-4 weeks</t>
        </is>
      </c>
      <c r="V49" s="39" t="inlineStr">
        <is>
          <t>Kano, Sokoto, Kebbi</t>
        </is>
      </c>
      <c r="W49" s="37" t="n"/>
      <c r="X49" s="39" t="inlineStr">
        <is>
          <t>Red onions for raw dishes, white for cooking.</t>
        </is>
      </c>
    </row>
    <row r="50" ht="15" customHeight="1" s="26">
      <c r="A50" s="37" t="inlineStr">
        <is>
          <t>P049</t>
        </is>
      </c>
      <c r="B50" s="38" t="inlineStr">
        <is>
          <t>Spring onion</t>
        </is>
      </c>
      <c r="C50" s="39" t="inlineStr">
        <is>
          <t>Alubosa elewe (Yor)</t>
        </is>
      </c>
      <c r="D50" s="37" t="inlineStr">
        <is>
          <t>Vegetable</t>
        </is>
      </c>
      <c r="E50" s="37" t="inlineStr">
        <is>
          <t>Local</t>
        </is>
      </c>
      <c r="F50" s="37" t="inlineStr">
        <is>
          <t>Recipe ingredient</t>
        </is>
      </c>
      <c r="G50" s="37" t="inlineStr">
        <is>
          <t>Year-round</t>
        </is>
      </c>
      <c r="H50" s="37" t="inlineStr">
        <is>
          <t>All year</t>
        </is>
      </c>
      <c r="I50" s="37" t="n"/>
      <c r="J50" s="37">
        <f>IFERROR(IF(INDEX('Seasonal Calendar'!$C$2:$N$500,MATCH(A50,'Seasonal Calendar'!$A$2:$A$500,0),MONTH(TODAY()))="","Out",INDEX('Seasonal Calendar'!$C$2:$N$500,MATCH(A50,'Seasonal Calendar'!$A$2:$A$500,0),MONTH(TODAY()))),"")</f>
        <v/>
      </c>
      <c r="K50" s="37" t="inlineStr">
        <is>
          <t>Verify</t>
        </is>
      </c>
      <c r="L50" s="37" t="inlineStr">
        <is>
          <t>Bunch</t>
        </is>
      </c>
      <c r="M50" s="40" t="n"/>
      <c r="N50" s="37" t="n"/>
      <c r="O50" s="39" t="n"/>
      <c r="P50" s="41" t="n"/>
      <c r="Q50" s="42" t="inlineStr">
        <is>
          <t>Y</t>
        </is>
      </c>
      <c r="R50" s="37" t="inlineStr">
        <is>
          <t>Core</t>
        </is>
      </c>
      <c r="S50" s="37">
        <f>COUNTIF('Recipe Ingredients'!$F$2:$F$2000,A50)</f>
        <v/>
      </c>
      <c r="T50" s="39" t="inlineStr">
        <is>
          <t>Fridge, wrapped</t>
        </is>
      </c>
      <c r="U50" s="37" t="inlineStr">
        <is>
          <t>5-7 days</t>
        </is>
      </c>
      <c r="V50" s="39" t="inlineStr">
        <is>
          <t>Plateau, Lagos</t>
        </is>
      </c>
      <c r="W50" s="37" t="n"/>
      <c r="X50" s="39" t="n"/>
    </row>
    <row r="51" ht="15" customHeight="1" s="26">
      <c r="A51" s="37" t="inlineStr">
        <is>
          <t>P050</t>
        </is>
      </c>
      <c r="B51" s="38" t="inlineStr">
        <is>
          <t>Shallots</t>
        </is>
      </c>
      <c r="C51" s="39" t="n"/>
      <c r="D51" s="37" t="inlineStr">
        <is>
          <t>Vegetable</t>
        </is>
      </c>
      <c r="E51" s="37" t="inlineStr">
        <is>
          <t>Local + imported</t>
        </is>
      </c>
      <c r="F51" s="37" t="inlineStr">
        <is>
          <t>Recipe ingredient</t>
        </is>
      </c>
      <c r="G51" s="37" t="inlineStr">
        <is>
          <t>Year-round</t>
        </is>
      </c>
      <c r="H51" s="37" t="inlineStr">
        <is>
          <t>All year</t>
        </is>
      </c>
      <c r="I51" s="37" t="n"/>
      <c r="J51" s="37">
        <f>IFERROR(IF(INDEX('Seasonal Calendar'!$C$2:$N$500,MATCH(A51,'Seasonal Calendar'!$A$2:$A$500,0),MONTH(TODAY()))="","Out",INDEX('Seasonal Calendar'!$C$2:$N$500,MATCH(A51,'Seasonal Calendar'!$A$2:$A$500,0),MONTH(TODAY()))),"")</f>
        <v/>
      </c>
      <c r="K51" s="37" t="inlineStr">
        <is>
          <t>Verify</t>
        </is>
      </c>
      <c r="L51" s="37" t="inlineStr">
        <is>
          <t>250g</t>
        </is>
      </c>
      <c r="M51" s="40" t="n">
        <v>6500</v>
      </c>
      <c r="N51" s="37" t="inlineStr">
        <is>
          <t>250g</t>
        </is>
      </c>
      <c r="O51" s="39" t="inlineStr">
        <is>
          <t>Mint Foods (mintfoods.store), 11 Oct 2026</t>
        </is>
      </c>
      <c r="P51" s="41" t="n"/>
      <c r="Q51" s="42" t="inlineStr">
        <is>
          <t>N</t>
        </is>
      </c>
      <c r="R51" s="37" t="inlineStr">
        <is>
          <t>Later</t>
        </is>
      </c>
      <c r="S51" s="37">
        <f>COUNTIF('Recipe Ingredients'!$F$2:$F$2000,A51)</f>
        <v/>
      </c>
      <c r="T51" s="39" t="inlineStr">
        <is>
          <t>Cool, dry</t>
        </is>
      </c>
      <c r="U51" s="37" t="inlineStr">
        <is>
          <t>3-4 weeks</t>
        </is>
      </c>
      <c r="V51" s="39" t="inlineStr">
        <is>
          <t>North + imports</t>
        </is>
      </c>
      <c r="W51" s="37" t="n"/>
      <c r="X51" s="39" t="inlineStr">
        <is>
          <t>Red onion covers every use in this library.</t>
        </is>
      </c>
    </row>
    <row r="52" ht="15" customHeight="1" s="26">
      <c r="A52" s="37" t="inlineStr">
        <is>
          <t>P051</t>
        </is>
      </c>
      <c r="B52" s="38" t="inlineStr">
        <is>
          <t>Garlic</t>
        </is>
      </c>
      <c r="C52" s="39" t="inlineStr">
        <is>
          <t>Ayu (Yor), Tafarnuwa (Hau)</t>
        </is>
      </c>
      <c r="D52" s="37" t="inlineStr">
        <is>
          <t>Aromatic</t>
        </is>
      </c>
      <c r="E52" s="37" t="inlineStr">
        <is>
          <t>Local + imported</t>
        </is>
      </c>
      <c r="F52" s="37" t="inlineStr">
        <is>
          <t>Recipe ingredient</t>
        </is>
      </c>
      <c r="G52" s="37" t="inlineStr">
        <is>
          <t>Year-round</t>
        </is>
      </c>
      <c r="H52" s="37" t="inlineStr">
        <is>
          <t>All year</t>
        </is>
      </c>
      <c r="I52" s="37" t="n"/>
      <c r="J52" s="37">
        <f>IFERROR(IF(INDEX('Seasonal Calendar'!$C$2:$N$500,MATCH(A52,'Seasonal Calendar'!$A$2:$A$500,0),MONTH(TODAY()))="","Out",INDEX('Seasonal Calendar'!$C$2:$N$500,MATCH(A52,'Seasonal Calendar'!$A$2:$A$500,0),MONTH(TODAY()))),"")</f>
        <v/>
      </c>
      <c r="K52" s="37" t="inlineStr">
        <is>
          <t>Verify</t>
        </is>
      </c>
      <c r="L52" s="37" t="inlineStr">
        <is>
          <t>Bulb / 5 bulbs</t>
        </is>
      </c>
      <c r="M52" s="40" t="n">
        <v>10000</v>
      </c>
      <c r="N52" s="37" t="inlineStr">
        <is>
          <t>size not stated (likely 1kg)</t>
        </is>
      </c>
      <c r="O52" s="39" t="inlineStr">
        <is>
          <t>The Fresh Place (thefreshplace.ng), 17 Oct 2026; listed out of stock</t>
        </is>
      </c>
      <c r="P52" s="41" t="n"/>
      <c r="Q52" s="42" t="inlineStr">
        <is>
          <t>Y</t>
        </is>
      </c>
      <c r="R52" s="37" t="inlineStr">
        <is>
          <t>Core</t>
        </is>
      </c>
      <c r="S52" s="37">
        <f>COUNTIF('Recipe Ingredients'!$F$2:$F$2000,A52)</f>
        <v/>
      </c>
      <c r="T52" s="39" t="inlineStr">
        <is>
          <t>Cool, dry</t>
        </is>
      </c>
      <c r="U52" s="37" t="inlineStr">
        <is>
          <t>1-2 months</t>
        </is>
      </c>
      <c r="V52" s="39" t="inlineStr">
        <is>
          <t>Kano, Sokoto + imports</t>
        </is>
      </c>
      <c r="W52" s="37" t="inlineStr">
        <is>
          <t>Wellness</t>
        </is>
      </c>
      <c r="X52" s="39" t="n"/>
    </row>
    <row r="53" ht="23.85" customHeight="1" s="26">
      <c r="A53" s="37" t="inlineStr">
        <is>
          <t>P052</t>
        </is>
      </c>
      <c r="B53" s="38" t="inlineStr">
        <is>
          <t>Ginger</t>
        </is>
      </c>
      <c r="C53" s="39" t="inlineStr">
        <is>
          <t>Ata ile (Yor), Jinja (Igbo), Citta (Hau)</t>
        </is>
      </c>
      <c r="D53" s="37" t="inlineStr">
        <is>
          <t>Aromatic</t>
        </is>
      </c>
      <c r="E53" s="37" t="inlineStr">
        <is>
          <t>Local</t>
        </is>
      </c>
      <c r="F53" s="37" t="inlineStr">
        <is>
          <t>Recipe ingredient</t>
        </is>
      </c>
      <c r="G53" s="37" t="inlineStr">
        <is>
          <t>Year-round</t>
        </is>
      </c>
      <c r="H53" s="37" t="inlineStr">
        <is>
          <t>All year</t>
        </is>
      </c>
      <c r="I53" s="37" t="inlineStr">
        <is>
          <t>Sep-Oct</t>
        </is>
      </c>
      <c r="J53" s="37">
        <f>IFERROR(IF(INDEX('Seasonal Calendar'!$C$2:$N$500,MATCH(A53,'Seasonal Calendar'!$A$2:$A$500,0),MONTH(TODAY()))="","Out",INDEX('Seasonal Calendar'!$C$2:$N$500,MATCH(A53,'Seasonal Calendar'!$A$2:$A$500,0),MONTH(TODAY()))),"")</f>
        <v/>
      </c>
      <c r="K53" s="37" t="inlineStr">
        <is>
          <t>Sourced</t>
        </is>
      </c>
      <c r="L53" s="37" t="inlineStr">
        <is>
          <t>100g / hand</t>
        </is>
      </c>
      <c r="M53" s="40" t="n">
        <v>18000</v>
      </c>
      <c r="N53" s="37" t="inlineStr">
        <is>
          <t>1kg</t>
        </is>
      </c>
      <c r="O53" s="39" t="inlineStr">
        <is>
          <t>The Fresh Place (thefreshplace.ng), 17 Oct 2026</t>
        </is>
      </c>
      <c r="P53" s="41" t="n"/>
      <c r="Q53" s="42" t="inlineStr">
        <is>
          <t>Y</t>
        </is>
      </c>
      <c r="R53" s="37" t="inlineStr">
        <is>
          <t>Core</t>
        </is>
      </c>
      <c r="S53" s="37">
        <f>COUNTIF('Recipe Ingredients'!$F$2:$F$2000,A53)</f>
        <v/>
      </c>
      <c r="T53" s="39" t="inlineStr">
        <is>
          <t>Cool, dry; fridge</t>
        </is>
      </c>
      <c r="U53" s="37" t="inlineStr">
        <is>
          <t>2-3 weeks</t>
        </is>
      </c>
      <c r="V53" s="39" t="inlineStr">
        <is>
          <t>Southern Kaduna (Kafanchan)</t>
        </is>
      </c>
      <c r="W53" s="37" t="inlineStr">
        <is>
          <t>Wellness</t>
        </is>
      </c>
      <c r="X53" s="39" t="inlineStr">
        <is>
          <t>Fresh harvest Sep-Oct (Kitchen Butterfly); stored ginger all year.</t>
        </is>
      </c>
    </row>
    <row r="54" ht="15" customHeight="1" s="26">
      <c r="A54" s="37" t="inlineStr">
        <is>
          <t>P053</t>
        </is>
      </c>
      <c r="B54" s="38" t="inlineStr">
        <is>
          <t>Turmeric (fresh)</t>
        </is>
      </c>
      <c r="C54" s="39" t="inlineStr">
        <is>
          <t>Ata ile pupa (Yor)</t>
        </is>
      </c>
      <c r="D54" s="37" t="inlineStr">
        <is>
          <t>Aromatic</t>
        </is>
      </c>
      <c r="E54" s="37" t="inlineStr">
        <is>
          <t>Local</t>
        </is>
      </c>
      <c r="F54" s="37" t="inlineStr">
        <is>
          <t>Recipe ingredient</t>
        </is>
      </c>
      <c r="G54" s="37" t="inlineStr">
        <is>
          <t>Seasonal</t>
        </is>
      </c>
      <c r="H54" s="37" t="inlineStr">
        <is>
          <t>Sep-Jun</t>
        </is>
      </c>
      <c r="I54" s="37" t="n"/>
      <c r="J54" s="37">
        <f>IFERROR(IF(INDEX('Seasonal Calendar'!$C$2:$N$500,MATCH(A54,'Seasonal Calendar'!$A$2:$A$500,0),MONTH(TODAY()))="","Out",INDEX('Seasonal Calendar'!$C$2:$N$500,MATCH(A54,'Seasonal Calendar'!$A$2:$A$500,0),MONTH(TODAY()))),"")</f>
        <v/>
      </c>
      <c r="K54" s="37" t="inlineStr">
        <is>
          <t>Sourced</t>
        </is>
      </c>
      <c r="L54" s="37" t="inlineStr">
        <is>
          <t>100g</t>
        </is>
      </c>
      <c r="M54" s="40" t="n"/>
      <c r="N54" s="37" t="n"/>
      <c r="O54" s="39" t="n"/>
      <c r="P54" s="41" t="n"/>
      <c r="Q54" s="42" t="inlineStr">
        <is>
          <t>N</t>
        </is>
      </c>
      <c r="R54" s="37" t="inlineStr">
        <is>
          <t>Later</t>
        </is>
      </c>
      <c r="S54" s="37">
        <f>COUNTIF('Recipe Ingredients'!$F$2:$F$2000,A54)</f>
        <v/>
      </c>
      <c r="T54" s="39" t="inlineStr">
        <is>
          <t>Fridge</t>
        </is>
      </c>
      <c r="U54" s="37" t="inlineStr">
        <is>
          <t>2-3 weeks</t>
        </is>
      </c>
      <c r="V54" s="39" t="inlineStr">
        <is>
          <t>Southern Kaduna, Southwest</t>
        </is>
      </c>
      <c r="W54" s="37" t="inlineStr">
        <is>
          <t>Wellness</t>
        </is>
      </c>
      <c r="X54" s="39" t="inlineStr">
        <is>
          <t>Stains everything. Pack separately.</t>
        </is>
      </c>
    </row>
    <row r="55" ht="15" customHeight="1" s="26">
      <c r="A55" s="37" t="inlineStr">
        <is>
          <t>P054</t>
        </is>
      </c>
      <c r="B55" s="38" t="inlineStr">
        <is>
          <t>Cucumber</t>
        </is>
      </c>
      <c r="C55" s="39" t="inlineStr">
        <is>
          <t>Kukumba</t>
        </is>
      </c>
      <c r="D55" s="37" t="inlineStr">
        <is>
          <t>Vegetable</t>
        </is>
      </c>
      <c r="E55" s="37" t="inlineStr">
        <is>
          <t>Local</t>
        </is>
      </c>
      <c r="F55" s="37" t="inlineStr">
        <is>
          <t>Eat as-is + recipes</t>
        </is>
      </c>
      <c r="G55" s="37" t="inlineStr">
        <is>
          <t>Year-round</t>
        </is>
      </c>
      <c r="H55" s="37" t="inlineStr">
        <is>
          <t>All year</t>
        </is>
      </c>
      <c r="I55" s="37" t="inlineStr">
        <is>
          <t>Jan-May</t>
        </is>
      </c>
      <c r="J55" s="37">
        <f>IFERROR(IF(INDEX('Seasonal Calendar'!$C$2:$N$500,MATCH(A55,'Seasonal Calendar'!$A$2:$A$500,0),MONTH(TODAY()))="","Out",INDEX('Seasonal Calendar'!$C$2:$N$500,MATCH(A55,'Seasonal Calendar'!$A$2:$A$500,0),MONTH(TODAY()))),"")</f>
        <v/>
      </c>
      <c r="K55" s="37" t="inlineStr">
        <is>
          <t>Sourced</t>
        </is>
      </c>
      <c r="L55" s="37" t="inlineStr">
        <is>
          <t>Piece / 3-pack</t>
        </is>
      </c>
      <c r="M55" s="40" t="n">
        <v>600</v>
      </c>
      <c r="N55" s="37" t="inlineStr">
        <is>
          <t>1 pc</t>
        </is>
      </c>
      <c r="O55" s="39" t="inlineStr">
        <is>
          <t>The Fresh Place (thefreshplace.ng), 17 Oct 2026</t>
        </is>
      </c>
      <c r="P55" s="41" t="n"/>
      <c r="Q55" s="42" t="inlineStr">
        <is>
          <t>Y</t>
        </is>
      </c>
      <c r="R55" s="37" t="inlineStr">
        <is>
          <t>Core</t>
        </is>
      </c>
      <c r="S55" s="37">
        <f>COUNTIF('Recipe Ingredients'!$F$2:$F$2000,A55)</f>
        <v/>
      </c>
      <c r="T55" s="39" t="inlineStr">
        <is>
          <t>Fridge</t>
        </is>
      </c>
      <c r="U55" s="37" t="inlineStr">
        <is>
          <t>1 week</t>
        </is>
      </c>
      <c r="V55" s="39" t="inlineStr">
        <is>
          <t>Plateau, Kaduna, greenhouses</t>
        </is>
      </c>
      <c r="W55" s="37" t="inlineStr">
        <is>
          <t>Hydration, Weight management</t>
        </is>
      </c>
      <c r="X55" s="39" t="inlineStr">
        <is>
          <t>Second most-used vegetable in the library.</t>
        </is>
      </c>
    </row>
    <row r="56" ht="35.05" customHeight="1" s="26">
      <c r="A56" s="37" t="inlineStr">
        <is>
          <t>P055</t>
        </is>
      </c>
      <c r="B56" s="38" t="inlineStr">
        <is>
          <t>Carrot</t>
        </is>
      </c>
      <c r="C56" s="39" t="n"/>
      <c r="D56" s="37" t="inlineStr">
        <is>
          <t>Vegetable</t>
        </is>
      </c>
      <c r="E56" s="37" t="inlineStr">
        <is>
          <t>Local</t>
        </is>
      </c>
      <c r="F56" s="37" t="inlineStr">
        <is>
          <t>Eat as-is + recipes</t>
        </is>
      </c>
      <c r="G56" s="37" t="inlineStr">
        <is>
          <t>Year-round</t>
        </is>
      </c>
      <c r="H56" s="37" t="inlineStr">
        <is>
          <t>All year</t>
        </is>
      </c>
      <c r="I56" s="37" t="inlineStr">
        <is>
          <t>Sep-May</t>
        </is>
      </c>
      <c r="J56" s="37">
        <f>IFERROR(IF(INDEX('Seasonal Calendar'!$C$2:$N$500,MATCH(A56,'Seasonal Calendar'!$A$2:$A$500,0),MONTH(TODAY()))="","Out",INDEX('Seasonal Calendar'!$C$2:$N$500,MATCH(A56,'Seasonal Calendar'!$A$2:$A$500,0),MONTH(TODAY()))),"")</f>
        <v/>
      </c>
      <c r="K56" s="37" t="inlineStr">
        <is>
          <t>Sourced</t>
        </is>
      </c>
      <c r="L56" s="37" t="inlineStr">
        <is>
          <t>1kg / 500g</t>
        </is>
      </c>
      <c r="M56" s="40" t="n">
        <v>4500</v>
      </c>
      <c r="N56" s="37" t="inlineStr">
        <is>
          <t>1kg</t>
        </is>
      </c>
      <c r="O56" s="39" t="inlineStr">
        <is>
          <t>The Fresh Place (thefreshplace.ng), 17 Oct 2026</t>
        </is>
      </c>
      <c r="P56" s="41" t="n"/>
      <c r="Q56" s="42" t="inlineStr">
        <is>
          <t>Y</t>
        </is>
      </c>
      <c r="R56" s="37" t="inlineStr">
        <is>
          <t>Core</t>
        </is>
      </c>
      <c r="S56" s="37">
        <f>COUNTIF('Recipe Ingredients'!$F$2:$F$2000,A56)</f>
        <v/>
      </c>
      <c r="T56" s="39" t="inlineStr">
        <is>
          <t>Fridge, dry</t>
        </is>
      </c>
      <c r="U56" s="37" t="inlineStr">
        <is>
          <t>2-3 weeks</t>
        </is>
      </c>
      <c r="V56" s="39" t="inlineStr">
        <is>
          <t>Plateau (Jos)</t>
        </is>
      </c>
      <c r="W56" s="37" t="inlineStr">
        <is>
          <t>Wellness</t>
        </is>
      </c>
      <c r="X56" s="39" t="n"/>
    </row>
    <row r="57" ht="35.05" customHeight="1" s="26">
      <c r="A57" s="37" t="inlineStr">
        <is>
          <t>P056</t>
        </is>
      </c>
      <c r="B57" s="38" t="inlineStr">
        <is>
          <t>Cabbage (white)</t>
        </is>
      </c>
      <c r="C57" s="39" t="n"/>
      <c r="D57" s="37" t="inlineStr">
        <is>
          <t>Vegetable</t>
        </is>
      </c>
      <c r="E57" s="37" t="inlineStr">
        <is>
          <t>Local</t>
        </is>
      </c>
      <c r="F57" s="37" t="inlineStr">
        <is>
          <t>Recipe ingredient</t>
        </is>
      </c>
      <c r="G57" s="37" t="inlineStr">
        <is>
          <t>Year-round</t>
        </is>
      </c>
      <c r="H57" s="37" t="inlineStr">
        <is>
          <t>All year</t>
        </is>
      </c>
      <c r="I57" s="37" t="n"/>
      <c r="J57" s="37">
        <f>IFERROR(IF(INDEX('Seasonal Calendar'!$C$2:$N$500,MATCH(A57,'Seasonal Calendar'!$A$2:$A$500,0),MONTH(TODAY()))="","Out",INDEX('Seasonal Calendar'!$C$2:$N$500,MATCH(A57,'Seasonal Calendar'!$A$2:$A$500,0),MONTH(TODAY()))),"")</f>
        <v/>
      </c>
      <c r="K57" s="37" t="inlineStr">
        <is>
          <t>Verify</t>
        </is>
      </c>
      <c r="L57" s="37" t="inlineStr">
        <is>
          <t>Head</t>
        </is>
      </c>
      <c r="M57" s="40" t="n">
        <v>2000</v>
      </c>
      <c r="N57" s="37" t="inlineStr">
        <is>
          <t>1kg</t>
        </is>
      </c>
      <c r="O57" s="39" t="inlineStr">
        <is>
          <t>The Fresh Place (thefreshplace.ng), 17 Oct 2026</t>
        </is>
      </c>
      <c r="P57" s="41" t="n"/>
      <c r="Q57" s="42" t="inlineStr">
        <is>
          <t>Y</t>
        </is>
      </c>
      <c r="R57" s="37" t="inlineStr">
        <is>
          <t>Core</t>
        </is>
      </c>
      <c r="S57" s="37">
        <f>COUNTIF('Recipe Ingredients'!$F$2:$F$2000,A57)</f>
        <v/>
      </c>
      <c r="T57" s="39" t="inlineStr">
        <is>
          <t>Fridge</t>
        </is>
      </c>
      <c r="U57" s="37" t="inlineStr">
        <is>
          <t>2 weeks</t>
        </is>
      </c>
      <c r="V57" s="39" t="inlineStr">
        <is>
          <t>Plateau</t>
        </is>
      </c>
      <c r="W57" s="37" t="inlineStr">
        <is>
          <t>Weight management</t>
        </is>
      </c>
      <c r="X57" s="39" t="inlineStr">
        <is>
          <t>Cheap, slow to spoil, used in slaws, wraps and soups.</t>
        </is>
      </c>
    </row>
    <row r="58" ht="15" customHeight="1" s="26">
      <c r="A58" s="37" t="inlineStr">
        <is>
          <t>P057</t>
        </is>
      </c>
      <c r="B58" s="38" t="inlineStr">
        <is>
          <t>Purple cabbage</t>
        </is>
      </c>
      <c r="C58" s="39" t="n"/>
      <c r="D58" s="37" t="inlineStr">
        <is>
          <t>Vegetable</t>
        </is>
      </c>
      <c r="E58" s="37" t="inlineStr">
        <is>
          <t>Local</t>
        </is>
      </c>
      <c r="F58" s="37" t="inlineStr">
        <is>
          <t>Recipe ingredient</t>
        </is>
      </c>
      <c r="G58" s="37" t="inlineStr">
        <is>
          <t>Year-round</t>
        </is>
      </c>
      <c r="H58" s="37" t="inlineStr">
        <is>
          <t>All year</t>
        </is>
      </c>
      <c r="I58" s="37" t="n"/>
      <c r="J58" s="37">
        <f>IFERROR(IF(INDEX('Seasonal Calendar'!$C$2:$N$500,MATCH(A58,'Seasonal Calendar'!$A$2:$A$500,0),MONTH(TODAY()))="","Out",INDEX('Seasonal Calendar'!$C$2:$N$500,MATCH(A58,'Seasonal Calendar'!$A$2:$A$500,0),MONTH(TODAY()))),"")</f>
        <v/>
      </c>
      <c r="K58" s="37" t="inlineStr">
        <is>
          <t>Verify</t>
        </is>
      </c>
      <c r="L58" s="37" t="inlineStr">
        <is>
          <t>Head</t>
        </is>
      </c>
      <c r="M58" s="40" t="n">
        <v>6000</v>
      </c>
      <c r="N58" s="37" t="inlineStr">
        <is>
          <t>1kg</t>
        </is>
      </c>
      <c r="O58" s="39" t="inlineStr">
        <is>
          <t>The Fresh Place (thefreshplace.ng), 17 Oct 2026</t>
        </is>
      </c>
      <c r="P58" s="41" t="n"/>
      <c r="Q58" s="42" t="inlineStr">
        <is>
          <t>Y</t>
        </is>
      </c>
      <c r="R58" s="37" t="inlineStr">
        <is>
          <t>Core</t>
        </is>
      </c>
      <c r="S58" s="37">
        <f>COUNTIF('Recipe Ingredients'!$F$2:$F$2000,A58)</f>
        <v/>
      </c>
      <c r="T58" s="39" t="inlineStr">
        <is>
          <t>Fridge</t>
        </is>
      </c>
      <c r="U58" s="37" t="inlineStr">
        <is>
          <t>2 weeks</t>
        </is>
      </c>
      <c r="V58" s="39" t="inlineStr">
        <is>
          <t>Plateau</t>
        </is>
      </c>
      <c r="W58" s="37" t="inlineStr">
        <is>
          <t>Wellness</t>
        </is>
      </c>
      <c r="X58" s="39" t="n"/>
    </row>
    <row r="59" ht="23.85" customHeight="1" s="26">
      <c r="A59" s="37" t="inlineStr">
        <is>
          <t>P058</t>
        </is>
      </c>
      <c r="B59" s="38" t="inlineStr">
        <is>
          <t>Lettuce (iceberg / romaine / local)</t>
        </is>
      </c>
      <c r="C59" s="39" t="n"/>
      <c r="D59" s="37" t="inlineStr">
        <is>
          <t>Leafy green</t>
        </is>
      </c>
      <c r="E59" s="37" t="inlineStr">
        <is>
          <t>Local</t>
        </is>
      </c>
      <c r="F59" s="37" t="inlineStr">
        <is>
          <t>Recipe ingredient</t>
        </is>
      </c>
      <c r="G59" s="37" t="inlineStr">
        <is>
          <t>Year-round</t>
        </is>
      </c>
      <c r="H59" s="37" t="inlineStr">
        <is>
          <t>All year</t>
        </is>
      </c>
      <c r="I59" s="37" t="n"/>
      <c r="J59" s="37">
        <f>IFERROR(IF(INDEX('Seasonal Calendar'!$C$2:$N$500,MATCH(A59,'Seasonal Calendar'!$A$2:$A$500,0),MONTH(TODAY()))="","Out",INDEX('Seasonal Calendar'!$C$2:$N$500,MATCH(A59,'Seasonal Calendar'!$A$2:$A$500,0),MONTH(TODAY()))),"")</f>
        <v/>
      </c>
      <c r="K59" s="37" t="inlineStr">
        <is>
          <t>Verify</t>
        </is>
      </c>
      <c r="L59" s="37" t="inlineStr">
        <is>
          <t>Head</t>
        </is>
      </c>
      <c r="M59" s="40" t="n">
        <v>5500</v>
      </c>
      <c r="N59" s="37" t="inlineStr">
        <is>
          <t>1 unit (size not stated)</t>
        </is>
      </c>
      <c r="O59" s="39" t="inlineStr">
        <is>
          <t>The Fresh Place (thefreshplace.ng), 17 Oct 2026; listed out of stock</t>
        </is>
      </c>
      <c r="P59" s="41" t="n"/>
      <c r="Q59" s="42" t="inlineStr">
        <is>
          <t>Y</t>
        </is>
      </c>
      <c r="R59" s="37" t="inlineStr">
        <is>
          <t>Core</t>
        </is>
      </c>
      <c r="S59" s="37">
        <f>COUNTIF('Recipe Ingredients'!$F$2:$F$2000,A59)</f>
        <v/>
      </c>
      <c r="T59" s="39" t="inlineStr">
        <is>
          <t>Fridge, wrapped</t>
        </is>
      </c>
      <c r="U59" s="37" t="inlineStr">
        <is>
          <t>4-7 days</t>
        </is>
      </c>
      <c r="V59" s="39" t="inlineStr">
        <is>
          <t>Plateau, Lagos hydroponics</t>
        </is>
      </c>
      <c r="W59" s="37" t="inlineStr">
        <is>
          <t>Weight management</t>
        </is>
      </c>
      <c r="X59" s="39" t="inlineStr">
        <is>
          <t>Local iceberg costs a fraction of romaine. Default recipes to local lettuce.</t>
        </is>
      </c>
    </row>
    <row r="60" ht="15" customHeight="1" s="26">
      <c r="A60" s="37" t="inlineStr">
        <is>
          <t>P059</t>
        </is>
      </c>
      <c r="B60" s="38" t="inlineStr">
        <is>
          <t>Green beans</t>
        </is>
      </c>
      <c r="C60" s="39" t="n"/>
      <c r="D60" s="37" t="inlineStr">
        <is>
          <t>Vegetable</t>
        </is>
      </c>
      <c r="E60" s="37" t="inlineStr">
        <is>
          <t>Local</t>
        </is>
      </c>
      <c r="F60" s="37" t="inlineStr">
        <is>
          <t>Recipe ingredient</t>
        </is>
      </c>
      <c r="G60" s="37" t="inlineStr">
        <is>
          <t>Year-round</t>
        </is>
      </c>
      <c r="H60" s="37" t="inlineStr">
        <is>
          <t>All year</t>
        </is>
      </c>
      <c r="I60" s="37" t="n"/>
      <c r="J60" s="37">
        <f>IFERROR(IF(INDEX('Seasonal Calendar'!$C$2:$N$500,MATCH(A60,'Seasonal Calendar'!$A$2:$A$500,0),MONTH(TODAY()))="","Out",INDEX('Seasonal Calendar'!$C$2:$N$500,MATCH(A60,'Seasonal Calendar'!$A$2:$A$500,0),MONTH(TODAY()))),"")</f>
        <v/>
      </c>
      <c r="K60" s="37" t="inlineStr">
        <is>
          <t>Verify</t>
        </is>
      </c>
      <c r="L60" s="37" t="inlineStr">
        <is>
          <t>250g</t>
        </is>
      </c>
      <c r="M60" s="40" t="n">
        <v>2500</v>
      </c>
      <c r="N60" s="37" t="inlineStr">
        <is>
          <t>1 pack runner beans (size not stated)</t>
        </is>
      </c>
      <c r="O60" s="39" t="inlineStr">
        <is>
          <t>The Fresh Place (thefreshplace.ng), 17 Oct 2026; listed out of stock</t>
        </is>
      </c>
      <c r="P60" s="41" t="n"/>
      <c r="Q60" s="42" t="inlineStr">
        <is>
          <t>Y</t>
        </is>
      </c>
      <c r="R60" s="37" t="inlineStr">
        <is>
          <t>Core</t>
        </is>
      </c>
      <c r="S60" s="37">
        <f>COUNTIF('Recipe Ingredients'!$F$2:$F$2000,A60)</f>
        <v/>
      </c>
      <c r="T60" s="39" t="inlineStr">
        <is>
          <t>Fridge</t>
        </is>
      </c>
      <c r="U60" s="37" t="inlineStr">
        <is>
          <t>5-7 days</t>
        </is>
      </c>
      <c r="V60" s="39" t="inlineStr">
        <is>
          <t>Plateau</t>
        </is>
      </c>
      <c r="W60" s="37" t="inlineStr">
        <is>
          <t>Weight management</t>
        </is>
      </c>
      <c r="X60" s="39" t="n"/>
    </row>
    <row r="61" ht="23.85" customHeight="1" s="26">
      <c r="A61" s="37" t="inlineStr">
        <is>
          <t>P060</t>
        </is>
      </c>
      <c r="B61" s="38" t="inlineStr">
        <is>
          <t>Sweet corn</t>
        </is>
      </c>
      <c r="C61" s="39" t="inlineStr">
        <is>
          <t>Agbado (Yor), Oka (Igbo), Masara (Hau)</t>
        </is>
      </c>
      <c r="D61" s="37" t="inlineStr">
        <is>
          <t>Vegetable</t>
        </is>
      </c>
      <c r="E61" s="37" t="inlineStr">
        <is>
          <t>Local</t>
        </is>
      </c>
      <c r="F61" s="37" t="inlineStr">
        <is>
          <t>Eat as-is + recipes</t>
        </is>
      </c>
      <c r="G61" s="37" t="inlineStr">
        <is>
          <t>Seasonal</t>
        </is>
      </c>
      <c r="H61" s="37" t="inlineStr">
        <is>
          <t>Apr-Aug</t>
        </is>
      </c>
      <c r="I61" s="37" t="inlineStr">
        <is>
          <t>Jun-Jul</t>
        </is>
      </c>
      <c r="J61" s="37">
        <f>IFERROR(IF(INDEX('Seasonal Calendar'!$C$2:$N$500,MATCH(A61,'Seasonal Calendar'!$A$2:$A$500,0),MONTH(TODAY()))="","Out",INDEX('Seasonal Calendar'!$C$2:$N$500,MATCH(A61,'Seasonal Calendar'!$A$2:$A$500,0),MONTH(TODAY()))),"")</f>
        <v/>
      </c>
      <c r="K61" s="37" t="inlineStr">
        <is>
          <t>Sourced</t>
        </is>
      </c>
      <c r="L61" s="37" t="inlineStr">
        <is>
          <t>3 cobs</t>
        </is>
      </c>
      <c r="M61" s="40" t="n">
        <v>3900</v>
      </c>
      <c r="N61" s="37" t="inlineStr">
        <is>
          <t>3 cobs, peeled</t>
        </is>
      </c>
      <c r="O61" s="39" t="inlineStr">
        <is>
          <t>Mint Foods (mintfoods.store), 11 Oct 2026</t>
        </is>
      </c>
      <c r="P61" s="41" t="n"/>
      <c r="Q61" s="42" t="inlineStr">
        <is>
          <t>Seasonal</t>
        </is>
      </c>
      <c r="R61" s="37" t="inlineStr">
        <is>
          <t>Seasonal drop</t>
        </is>
      </c>
      <c r="S61" s="37">
        <f>COUNTIF('Recipe Ingredients'!$F$2:$F$2000,A61)</f>
        <v/>
      </c>
      <c r="T61" s="39" t="inlineStr">
        <is>
          <t>Fridge, in husk</t>
        </is>
      </c>
      <c r="U61" s="37" t="inlineStr">
        <is>
          <t>2-3 days</t>
        </is>
      </c>
      <c r="V61" s="39" t="inlineStr">
        <is>
          <t>Nationwide</t>
        </is>
      </c>
      <c r="W61" s="37" t="inlineStr">
        <is>
          <t>Energy</t>
        </is>
      </c>
      <c r="X61" s="39" t="inlineStr">
        <is>
          <t>Fresh corn Apr-Aug (Kitchen Butterfly). Pair with ube.</t>
        </is>
      </c>
    </row>
    <row r="62" ht="23.85" customHeight="1" s="26">
      <c r="A62" s="37" t="inlineStr">
        <is>
          <t>P061</t>
        </is>
      </c>
      <c r="B62" s="38" t="inlineStr">
        <is>
          <t>Garden egg</t>
        </is>
      </c>
      <c r="C62" s="39" t="inlineStr">
        <is>
          <t>Igba (Yor), Anara (Igbo), Gauta (Hau)</t>
        </is>
      </c>
      <c r="D62" s="37" t="inlineStr">
        <is>
          <t>Vegetable</t>
        </is>
      </c>
      <c r="E62" s="37" t="inlineStr">
        <is>
          <t>Local</t>
        </is>
      </c>
      <c r="F62" s="37" t="inlineStr">
        <is>
          <t>Eat as-is + recipes</t>
        </is>
      </c>
      <c r="G62" s="37" t="inlineStr">
        <is>
          <t>Seasonal</t>
        </is>
      </c>
      <c r="H62" s="37" t="inlineStr">
        <is>
          <t>Jan-Oct</t>
        </is>
      </c>
      <c r="I62" s="37" t="n"/>
      <c r="J62" s="37">
        <f>IFERROR(IF(INDEX('Seasonal Calendar'!$C$2:$N$500,MATCH(A62,'Seasonal Calendar'!$A$2:$A$500,0),MONTH(TODAY()))="","Out",INDEX('Seasonal Calendar'!$C$2:$N$500,MATCH(A62,'Seasonal Calendar'!$A$2:$A$500,0),MONTH(TODAY()))),"")</f>
        <v/>
      </c>
      <c r="K62" s="37" t="inlineStr">
        <is>
          <t>Sourced</t>
        </is>
      </c>
      <c r="L62" s="37" t="inlineStr">
        <is>
          <t>Pack of 6</t>
        </is>
      </c>
      <c r="M62" s="40" t="n"/>
      <c r="N62" s="37" t="n"/>
      <c r="O62" s="39" t="n"/>
      <c r="P62" s="41" t="n"/>
      <c r="Q62" s="42" t="inlineStr">
        <is>
          <t>Y</t>
        </is>
      </c>
      <c r="R62" s="37" t="inlineStr">
        <is>
          <t>Core</t>
        </is>
      </c>
      <c r="S62" s="37">
        <f>COUNTIF('Recipe Ingredients'!$F$2:$F$2000,A62)</f>
        <v/>
      </c>
      <c r="T62" s="39" t="inlineStr">
        <is>
          <t>Room temp / fridge</t>
        </is>
      </c>
      <c r="U62" s="37" t="inlineStr">
        <is>
          <t>5-7 days</t>
        </is>
      </c>
      <c r="V62" s="39" t="inlineStr">
        <is>
          <t>Nationwide</t>
        </is>
      </c>
      <c r="W62" s="37" t="inlineStr">
        <is>
          <t>Weight management</t>
        </is>
      </c>
      <c r="X62" s="39" t="inlineStr">
        <is>
          <t>Eaten raw as a snack and stands in for aubergine in global recipes.</t>
        </is>
      </c>
    </row>
    <row r="63" ht="23.85" customHeight="1" s="26">
      <c r="A63" s="37" t="inlineStr">
        <is>
          <t>P062</t>
        </is>
      </c>
      <c r="B63" s="38" t="inlineStr">
        <is>
          <t>Okra</t>
        </is>
      </c>
      <c r="C63" s="39" t="inlineStr">
        <is>
          <t>Ila (Yor), Okwuru (Igbo), Kubewa (Hau)</t>
        </is>
      </c>
      <c r="D63" s="37" t="inlineStr">
        <is>
          <t>Vegetable</t>
        </is>
      </c>
      <c r="E63" s="37" t="inlineStr">
        <is>
          <t>Local</t>
        </is>
      </c>
      <c r="F63" s="37" t="inlineStr">
        <is>
          <t>Recipe ingredient</t>
        </is>
      </c>
      <c r="G63" s="37" t="inlineStr">
        <is>
          <t>Year-round</t>
        </is>
      </c>
      <c r="H63" s="37" t="inlineStr">
        <is>
          <t>All year</t>
        </is>
      </c>
      <c r="I63" s="37" t="n"/>
      <c r="J63" s="37">
        <f>IFERROR(IF(INDEX('Seasonal Calendar'!$C$2:$N$500,MATCH(A63,'Seasonal Calendar'!$A$2:$A$500,0),MONTH(TODAY()))="","Out",INDEX('Seasonal Calendar'!$C$2:$N$500,MATCH(A63,'Seasonal Calendar'!$A$2:$A$500,0),MONTH(TODAY()))),"")</f>
        <v/>
      </c>
      <c r="K63" s="37" t="inlineStr">
        <is>
          <t>Verify</t>
        </is>
      </c>
      <c r="L63" s="37" t="inlineStr">
        <is>
          <t>250g</t>
        </is>
      </c>
      <c r="M63" s="40" t="n"/>
      <c r="N63" s="37" t="n"/>
      <c r="O63" s="39" t="n"/>
      <c r="P63" s="41" t="n"/>
      <c r="Q63" s="42" t="inlineStr">
        <is>
          <t>Y</t>
        </is>
      </c>
      <c r="R63" s="37" t="inlineStr">
        <is>
          <t>Core</t>
        </is>
      </c>
      <c r="S63" s="37">
        <f>COUNTIF('Recipe Ingredients'!$F$2:$F$2000,A63)</f>
        <v/>
      </c>
      <c r="T63" s="39" t="inlineStr">
        <is>
          <t>Fridge, dry</t>
        </is>
      </c>
      <c r="U63" s="37" t="inlineStr">
        <is>
          <t>3-4 days</t>
        </is>
      </c>
      <c r="V63" s="39" t="inlineStr">
        <is>
          <t>Nationwide</t>
        </is>
      </c>
      <c r="W63" s="37" t="inlineStr">
        <is>
          <t>Gut health</t>
        </is>
      </c>
      <c r="X63" s="39" t="n"/>
    </row>
    <row r="64" ht="35.05" customHeight="1" s="26">
      <c r="A64" s="37" t="inlineStr">
        <is>
          <t>P063</t>
        </is>
      </c>
      <c r="B64" s="38" t="inlineStr">
        <is>
          <t>Broccoli</t>
        </is>
      </c>
      <c r="C64" s="39" t="n"/>
      <c r="D64" s="37" t="inlineStr">
        <is>
          <t>Vegetable</t>
        </is>
      </c>
      <c r="E64" s="37" t="inlineStr">
        <is>
          <t>Local (limited) + imported</t>
        </is>
      </c>
      <c r="F64" s="37" t="inlineStr">
        <is>
          <t>Recipe ingredient</t>
        </is>
      </c>
      <c r="G64" s="37" t="inlineStr">
        <is>
          <t>Year-round</t>
        </is>
      </c>
      <c r="H64" s="37" t="inlineStr">
        <is>
          <t>All year</t>
        </is>
      </c>
      <c r="I64" s="37" t="n"/>
      <c r="J64" s="37">
        <f>IFERROR(IF(INDEX('Seasonal Calendar'!$C$2:$N$500,MATCH(A64,'Seasonal Calendar'!$A$2:$A$500,0),MONTH(TODAY()))="","Out",INDEX('Seasonal Calendar'!$C$2:$N$500,MATCH(A64,'Seasonal Calendar'!$A$2:$A$500,0),MONTH(TODAY()))),"")</f>
        <v/>
      </c>
      <c r="K64" s="37" t="inlineStr">
        <is>
          <t>Verify</t>
        </is>
      </c>
      <c r="L64" s="37" t="inlineStr">
        <is>
          <t>Head</t>
        </is>
      </c>
      <c r="M64" s="40" t="n">
        <v>10000</v>
      </c>
      <c r="N64" s="37" t="inlineStr">
        <is>
          <t>1kg</t>
        </is>
      </c>
      <c r="O64" s="39" t="inlineStr">
        <is>
          <t>The Fresh Place (thefreshplace.ng), 17 Oct 2026; listed out of stock</t>
        </is>
      </c>
      <c r="P64" s="41" t="n"/>
      <c r="Q64" s="42" t="inlineStr">
        <is>
          <t>N</t>
        </is>
      </c>
      <c r="R64" s="37" t="inlineStr">
        <is>
          <t>Premium</t>
        </is>
      </c>
      <c r="S64" s="37">
        <f>COUNTIF('Recipe Ingredients'!$F$2:$F$2000,A64)</f>
        <v/>
      </c>
      <c r="T64" s="39" t="inlineStr">
        <is>
          <t>Fridge</t>
        </is>
      </c>
      <c r="U64" s="37" t="inlineStr">
        <is>
          <t>5-7 days</t>
        </is>
      </c>
      <c r="V64" s="39" t="inlineStr">
        <is>
          <t>Plateau + imports</t>
        </is>
      </c>
      <c r="W64" s="37" t="inlineStr">
        <is>
          <t>Training, Weight management</t>
        </is>
      </c>
      <c r="X64" s="39" t="inlineStr">
        <is>
          <t>Green beans are the budget swap in every recipe.</t>
        </is>
      </c>
    </row>
    <row r="65" ht="23.85" customHeight="1" s="26">
      <c r="A65" s="37" t="inlineStr">
        <is>
          <t>P064</t>
        </is>
      </c>
      <c r="B65" s="38" t="inlineStr">
        <is>
          <t>Cauliflower</t>
        </is>
      </c>
      <c r="C65" s="39" t="n"/>
      <c r="D65" s="37" t="inlineStr">
        <is>
          <t>Vegetable</t>
        </is>
      </c>
      <c r="E65" s="37" t="inlineStr">
        <is>
          <t>Local + imported</t>
        </is>
      </c>
      <c r="F65" s="37" t="inlineStr">
        <is>
          <t>Recipe ingredient</t>
        </is>
      </c>
      <c r="G65" s="37" t="inlineStr">
        <is>
          <t>Year-round</t>
        </is>
      </c>
      <c r="H65" s="37" t="inlineStr">
        <is>
          <t>All year</t>
        </is>
      </c>
      <c r="I65" s="37" t="n"/>
      <c r="J65" s="37">
        <f>IFERROR(IF(INDEX('Seasonal Calendar'!$C$2:$N$500,MATCH(A65,'Seasonal Calendar'!$A$2:$A$500,0),MONTH(TODAY()))="","Out",INDEX('Seasonal Calendar'!$C$2:$N$500,MATCH(A65,'Seasonal Calendar'!$A$2:$A$500,0),MONTH(TODAY()))),"")</f>
        <v/>
      </c>
      <c r="K65" s="37" t="inlineStr">
        <is>
          <t>Verify</t>
        </is>
      </c>
      <c r="L65" s="37" t="inlineStr">
        <is>
          <t>Head</t>
        </is>
      </c>
      <c r="M65" s="40" t="n">
        <v>5500</v>
      </c>
      <c r="N65" s="37" t="inlineStr">
        <is>
          <t>1kg</t>
        </is>
      </c>
      <c r="O65" s="39" t="inlineStr">
        <is>
          <t>The Fresh Place (thefreshplace.ng), 17 Oct 2026; listed out of stock</t>
        </is>
      </c>
      <c r="P65" s="41" t="n"/>
      <c r="Q65" s="42" t="inlineStr">
        <is>
          <t>N</t>
        </is>
      </c>
      <c r="R65" s="37" t="inlineStr">
        <is>
          <t>Premium</t>
        </is>
      </c>
      <c r="S65" s="37">
        <f>COUNTIF('Recipe Ingredients'!$F$2:$F$2000,A65)</f>
        <v/>
      </c>
      <c r="T65" s="39" t="inlineStr">
        <is>
          <t>Fridge</t>
        </is>
      </c>
      <c r="U65" s="37" t="inlineStr">
        <is>
          <t>1 week</t>
        </is>
      </c>
      <c r="V65" s="39" t="inlineStr">
        <is>
          <t>Plateau + imports</t>
        </is>
      </c>
      <c r="W65" s="37" t="inlineStr">
        <is>
          <t>Weight management</t>
        </is>
      </c>
      <c r="X65" s="39" t="inlineStr">
        <is>
          <t>Local heads are 6x cheaper than imported when available.</t>
        </is>
      </c>
    </row>
    <row r="66" ht="15" customHeight="1" s="26">
      <c r="A66" s="37" t="inlineStr">
        <is>
          <t>P065</t>
        </is>
      </c>
      <c r="B66" s="38" t="inlineStr">
        <is>
          <t>Beetroot</t>
        </is>
      </c>
      <c r="C66" s="39" t="n"/>
      <c r="D66" s="37" t="inlineStr">
        <is>
          <t>Vegetable</t>
        </is>
      </c>
      <c r="E66" s="37" t="inlineStr">
        <is>
          <t>Local</t>
        </is>
      </c>
      <c r="F66" s="37" t="inlineStr">
        <is>
          <t>Recipe ingredient</t>
        </is>
      </c>
      <c r="G66" s="37" t="inlineStr">
        <is>
          <t>Year-round</t>
        </is>
      </c>
      <c r="H66" s="37" t="inlineStr">
        <is>
          <t>All year</t>
        </is>
      </c>
      <c r="I66" s="37" t="n"/>
      <c r="J66" s="37">
        <f>IFERROR(IF(INDEX('Seasonal Calendar'!$C$2:$N$500,MATCH(A66,'Seasonal Calendar'!$A$2:$A$500,0),MONTH(TODAY()))="","Out",INDEX('Seasonal Calendar'!$C$2:$N$500,MATCH(A66,'Seasonal Calendar'!$A$2:$A$500,0),MONTH(TODAY()))),"")</f>
        <v/>
      </c>
      <c r="K66" s="37" t="inlineStr">
        <is>
          <t>Verify</t>
        </is>
      </c>
      <c r="L66" s="37" t="inlineStr">
        <is>
          <t>500g / 1kg</t>
        </is>
      </c>
      <c r="M66" s="40" t="n">
        <v>4500</v>
      </c>
      <c r="N66" s="37" t="inlineStr">
        <is>
          <t>1kg</t>
        </is>
      </c>
      <c r="O66" s="39" t="inlineStr">
        <is>
          <t>The Fresh Place (thefreshplace.ng), 17 Oct 2026</t>
        </is>
      </c>
      <c r="P66" s="41" t="n"/>
      <c r="Q66" s="42" t="inlineStr">
        <is>
          <t>Y</t>
        </is>
      </c>
      <c r="R66" s="37" t="inlineStr">
        <is>
          <t>Core</t>
        </is>
      </c>
      <c r="S66" s="37">
        <f>COUNTIF('Recipe Ingredients'!$F$2:$F$2000,A66)</f>
        <v/>
      </c>
      <c r="T66" s="39" t="inlineStr">
        <is>
          <t>Fridge</t>
        </is>
      </c>
      <c r="U66" s="37" t="inlineStr">
        <is>
          <t>2-3 weeks</t>
        </is>
      </c>
      <c r="V66" s="39" t="inlineStr">
        <is>
          <t>Plateau</t>
        </is>
      </c>
      <c r="W66" s="37" t="inlineStr">
        <is>
          <t>Training (endurance)</t>
        </is>
      </c>
      <c r="X66" s="39" t="n"/>
    </row>
    <row r="67" ht="15" customHeight="1" s="26">
      <c r="A67" s="37" t="inlineStr">
        <is>
          <t>P066</t>
        </is>
      </c>
      <c r="B67" s="38" t="inlineStr">
        <is>
          <t>Zucchini (courgette)</t>
        </is>
      </c>
      <c r="C67" s="39" t="n"/>
      <c r="D67" s="37" t="inlineStr">
        <is>
          <t>Vegetable</t>
        </is>
      </c>
      <c r="E67" s="37" t="inlineStr">
        <is>
          <t>Local (limited) + imported</t>
        </is>
      </c>
      <c r="F67" s="37" t="inlineStr">
        <is>
          <t>Recipe ingredient</t>
        </is>
      </c>
      <c r="G67" s="37" t="inlineStr">
        <is>
          <t>Year-round</t>
        </is>
      </c>
      <c r="H67" s="37" t="inlineStr">
        <is>
          <t>All year</t>
        </is>
      </c>
      <c r="I67" s="37" t="n"/>
      <c r="J67" s="37">
        <f>IFERROR(IF(INDEX('Seasonal Calendar'!$C$2:$N$500,MATCH(A67,'Seasonal Calendar'!$A$2:$A$500,0),MONTH(TODAY()))="","Out",INDEX('Seasonal Calendar'!$C$2:$N$500,MATCH(A67,'Seasonal Calendar'!$A$2:$A$500,0),MONTH(TODAY()))),"")</f>
        <v/>
      </c>
      <c r="K67" s="37" t="inlineStr">
        <is>
          <t>Verify</t>
        </is>
      </c>
      <c r="L67" s="37" t="inlineStr">
        <is>
          <t>Piece</t>
        </is>
      </c>
      <c r="M67" s="40" t="n"/>
      <c r="N67" s="37" t="n"/>
      <c r="O67" s="39" t="n"/>
      <c r="P67" s="41" t="n"/>
      <c r="Q67" s="42" t="inlineStr">
        <is>
          <t>N</t>
        </is>
      </c>
      <c r="R67" s="37" t="inlineStr">
        <is>
          <t>Later</t>
        </is>
      </c>
      <c r="S67" s="37">
        <f>COUNTIF('Recipe Ingredients'!$F$2:$F$2000,A67)</f>
        <v/>
      </c>
      <c r="T67" s="39" t="inlineStr">
        <is>
          <t>Fridge</t>
        </is>
      </c>
      <c r="U67" s="37" t="inlineStr">
        <is>
          <t>5-7 days</t>
        </is>
      </c>
      <c r="V67" s="39" t="inlineStr">
        <is>
          <t>Plateau + imports</t>
        </is>
      </c>
      <c r="W67" s="37" t="inlineStr">
        <is>
          <t>Weight management</t>
        </is>
      </c>
      <c r="X67" s="39" t="inlineStr">
        <is>
          <t>Optional in every recipe that lists it.</t>
        </is>
      </c>
    </row>
    <row r="68" ht="15" customHeight="1" s="26">
      <c r="A68" s="37" t="inlineStr">
        <is>
          <t>P067</t>
        </is>
      </c>
      <c r="B68" s="38" t="inlineStr">
        <is>
          <t>Mushrooms (oyster / button)</t>
        </is>
      </c>
      <c r="C68" s="39" t="n"/>
      <c r="D68" s="37" t="inlineStr">
        <is>
          <t>Vegetable</t>
        </is>
      </c>
      <c r="E68" s="37" t="inlineStr">
        <is>
          <t>Local + imported</t>
        </is>
      </c>
      <c r="F68" s="37" t="inlineStr">
        <is>
          <t>Recipe ingredient</t>
        </is>
      </c>
      <c r="G68" s="37" t="inlineStr">
        <is>
          <t>Year-round</t>
        </is>
      </c>
      <c r="H68" s="37" t="inlineStr">
        <is>
          <t>All year</t>
        </is>
      </c>
      <c r="I68" s="37" t="n"/>
      <c r="J68" s="37">
        <f>IFERROR(IF(INDEX('Seasonal Calendar'!$C$2:$N$500,MATCH(A68,'Seasonal Calendar'!$A$2:$A$500,0),MONTH(TODAY()))="","Out",INDEX('Seasonal Calendar'!$C$2:$N$500,MATCH(A68,'Seasonal Calendar'!$A$2:$A$500,0),MONTH(TODAY()))),"")</f>
        <v/>
      </c>
      <c r="K68" s="37" t="inlineStr">
        <is>
          <t>Verify</t>
        </is>
      </c>
      <c r="L68" s="37" t="inlineStr">
        <is>
          <t>250g</t>
        </is>
      </c>
      <c r="M68" s="40" t="n">
        <v>5980</v>
      </c>
      <c r="N68" s="37" t="inlineStr">
        <is>
          <t>250g white button</t>
        </is>
      </c>
      <c r="O68" s="39" t="inlineStr">
        <is>
          <t>Mint Foods (mintfoods.store), 11 Oct 2026</t>
        </is>
      </c>
      <c r="P68" s="41" t="n"/>
      <c r="Q68" s="42" t="inlineStr">
        <is>
          <t>N</t>
        </is>
      </c>
      <c r="R68" s="37" t="inlineStr">
        <is>
          <t>Premium</t>
        </is>
      </c>
      <c r="S68" s="37">
        <f>COUNTIF('Recipe Ingredients'!$F$2:$F$2000,A68)</f>
        <v/>
      </c>
      <c r="T68" s="39" t="inlineStr">
        <is>
          <t>Fridge, paper bag</t>
        </is>
      </c>
      <c r="U68" s="37" t="inlineStr">
        <is>
          <t>4-5 days</t>
        </is>
      </c>
      <c r="V68" s="39" t="inlineStr">
        <is>
          <t>Local oyster growers + imports</t>
        </is>
      </c>
      <c r="W68" s="37" t="inlineStr">
        <is>
          <t>Plant-based</t>
        </is>
      </c>
      <c r="X68" s="39" t="inlineStr">
        <is>
          <t>Local oyster mushrooms are the cheaper default.</t>
        </is>
      </c>
    </row>
    <row r="69" ht="15" customHeight="1" s="26">
      <c r="A69" s="37" t="inlineStr">
        <is>
          <t>P068</t>
        </is>
      </c>
      <c r="B69" s="38" t="inlineStr">
        <is>
          <t>Pumpkin (squash)</t>
        </is>
      </c>
      <c r="C69" s="39" t="inlineStr">
        <is>
          <t>Elegede (Yor), Kabewa (Hau)</t>
        </is>
      </c>
      <c r="D69" s="37" t="inlineStr">
        <is>
          <t>Vegetable</t>
        </is>
      </c>
      <c r="E69" s="37" t="inlineStr">
        <is>
          <t>Local</t>
        </is>
      </c>
      <c r="F69" s="37" t="inlineStr">
        <is>
          <t>Recipe ingredient</t>
        </is>
      </c>
      <c r="G69" s="37" t="inlineStr">
        <is>
          <t>Year-round</t>
        </is>
      </c>
      <c r="H69" s="37" t="inlineStr">
        <is>
          <t>All year</t>
        </is>
      </c>
      <c r="I69" s="37" t="n"/>
      <c r="J69" s="37">
        <f>IFERROR(IF(INDEX('Seasonal Calendar'!$C$2:$N$500,MATCH(A69,'Seasonal Calendar'!$A$2:$A$500,0),MONTH(TODAY()))="","Out",INDEX('Seasonal Calendar'!$C$2:$N$500,MATCH(A69,'Seasonal Calendar'!$A$2:$A$500,0),MONTH(TODAY()))),"")</f>
        <v/>
      </c>
      <c r="K69" s="37" t="inlineStr">
        <is>
          <t>Verify</t>
        </is>
      </c>
      <c r="L69" s="37" t="inlineStr">
        <is>
          <t>Wedge / 1kg</t>
        </is>
      </c>
      <c r="M69" s="40" t="n"/>
      <c r="N69" s="37" t="n"/>
      <c r="O69" s="39" t="n"/>
      <c r="P69" s="41" t="n"/>
      <c r="Q69" s="42" t="inlineStr">
        <is>
          <t>Y</t>
        </is>
      </c>
      <c r="R69" s="37" t="inlineStr">
        <is>
          <t>Core</t>
        </is>
      </c>
      <c r="S69" s="37">
        <f>COUNTIF('Recipe Ingredients'!$F$2:$F$2000,A69)</f>
        <v/>
      </c>
      <c r="T69" s="39" t="inlineStr">
        <is>
          <t>Whole at room temp</t>
        </is>
      </c>
      <c r="U69" s="37" t="inlineStr">
        <is>
          <t>Weeks whole, 5 days cut</t>
        </is>
      </c>
      <c r="V69" s="39" t="inlineStr">
        <is>
          <t>North, Southwest</t>
        </is>
      </c>
      <c r="W69" s="37" t="inlineStr">
        <is>
          <t>Wellness</t>
        </is>
      </c>
      <c r="X69" s="39" t="inlineStr">
        <is>
          <t>Sell as wedges. Season window needs supplier confirmation.</t>
        </is>
      </c>
    </row>
    <row r="70" ht="23.85" customHeight="1" s="26">
      <c r="A70" s="37" t="inlineStr">
        <is>
          <t>P069</t>
        </is>
      </c>
      <c r="B70" s="38" t="inlineStr">
        <is>
          <t>Sweet potato</t>
        </is>
      </c>
      <c r="C70" s="39" t="inlineStr">
        <is>
          <t>Odunkun (Yor), Dankali (Hau)</t>
        </is>
      </c>
      <c r="D70" s="37" t="inlineStr">
        <is>
          <t>Tuber</t>
        </is>
      </c>
      <c r="E70" s="37" t="inlineStr">
        <is>
          <t>Local</t>
        </is>
      </c>
      <c r="F70" s="37" t="inlineStr">
        <is>
          <t>Recipe ingredient</t>
        </is>
      </c>
      <c r="G70" s="37" t="inlineStr">
        <is>
          <t>Year-round</t>
        </is>
      </c>
      <c r="H70" s="37" t="inlineStr">
        <is>
          <t>All year</t>
        </is>
      </c>
      <c r="I70" s="37" t="n"/>
      <c r="J70" s="37">
        <f>IFERROR(IF(INDEX('Seasonal Calendar'!$C$2:$N$500,MATCH(A70,'Seasonal Calendar'!$A$2:$A$500,0),MONTH(TODAY()))="","Out",INDEX('Seasonal Calendar'!$C$2:$N$500,MATCH(A70,'Seasonal Calendar'!$A$2:$A$500,0),MONTH(TODAY()))),"")</f>
        <v/>
      </c>
      <c r="K70" s="37" t="inlineStr">
        <is>
          <t>Verify</t>
        </is>
      </c>
      <c r="L70" s="37" t="inlineStr">
        <is>
          <t>1kg</t>
        </is>
      </c>
      <c r="M70" s="40" t="n">
        <v>1200</v>
      </c>
      <c r="N70" s="37" t="inlineStr">
        <is>
          <t>~1kg</t>
        </is>
      </c>
      <c r="O70" s="39" t="inlineStr">
        <is>
          <t>Mint Foods (mintfoods.store), 11 Oct 2026</t>
        </is>
      </c>
      <c r="P70" s="41" t="n"/>
      <c r="Q70" s="42" t="inlineStr">
        <is>
          <t>Y</t>
        </is>
      </c>
      <c r="R70" s="37" t="inlineStr">
        <is>
          <t>Core</t>
        </is>
      </c>
      <c r="S70" s="37">
        <f>COUNTIF('Recipe Ingredients'!$F$2:$F$2000,A70)</f>
        <v/>
      </c>
      <c r="T70" s="39" t="inlineStr">
        <is>
          <t>Cool, dry</t>
        </is>
      </c>
      <c r="U70" s="37" t="inlineStr">
        <is>
          <t>2-3 weeks</t>
        </is>
      </c>
      <c r="V70" s="39" t="inlineStr">
        <is>
          <t>Benue, Kwara, Kaduna</t>
        </is>
      </c>
      <c r="W70" s="37" t="inlineStr">
        <is>
          <t>Training, Energy</t>
        </is>
      </c>
      <c r="X70" s="39" t="inlineStr">
        <is>
          <t>Cheap, filling, and the default starch swap for potatoes across the library.</t>
        </is>
      </c>
    </row>
    <row r="71" ht="15" customHeight="1" s="26">
      <c r="A71" s="37" t="inlineStr">
        <is>
          <t>P070</t>
        </is>
      </c>
      <c r="B71" s="38" t="inlineStr">
        <is>
          <t>Irish potato</t>
        </is>
      </c>
      <c r="C71" s="39" t="inlineStr">
        <is>
          <t>Dankalin turawa (Hau)</t>
        </is>
      </c>
      <c r="D71" s="37" t="inlineStr">
        <is>
          <t>Tuber</t>
        </is>
      </c>
      <c r="E71" s="37" t="inlineStr">
        <is>
          <t>Local</t>
        </is>
      </c>
      <c r="F71" s="37" t="inlineStr">
        <is>
          <t>Recipe ingredient</t>
        </is>
      </c>
      <c r="G71" s="37" t="inlineStr">
        <is>
          <t>Year-round</t>
        </is>
      </c>
      <c r="H71" s="37" t="inlineStr">
        <is>
          <t>All year</t>
        </is>
      </c>
      <c r="I71" s="37" t="n"/>
      <c r="J71" s="37">
        <f>IFERROR(IF(INDEX('Seasonal Calendar'!$C$2:$N$500,MATCH(A71,'Seasonal Calendar'!$A$2:$A$500,0),MONTH(TODAY()))="","Out",INDEX('Seasonal Calendar'!$C$2:$N$500,MATCH(A71,'Seasonal Calendar'!$A$2:$A$500,0),MONTH(TODAY()))),"")</f>
        <v/>
      </c>
      <c r="K71" s="37" t="inlineStr">
        <is>
          <t>Verify</t>
        </is>
      </c>
      <c r="L71" s="37" t="inlineStr">
        <is>
          <t>1kg</t>
        </is>
      </c>
      <c r="M71" s="40" t="n">
        <v>3650</v>
      </c>
      <c r="N71" s="37" t="inlineStr">
        <is>
          <t>~1kg</t>
        </is>
      </c>
      <c r="O71" s="39" t="inlineStr">
        <is>
          <t>Mint Foods (mintfoods.store), 11 Oct 2026</t>
        </is>
      </c>
      <c r="P71" s="41" t="n"/>
      <c r="Q71" s="42" t="inlineStr">
        <is>
          <t>Y</t>
        </is>
      </c>
      <c r="R71" s="37" t="inlineStr">
        <is>
          <t>Core</t>
        </is>
      </c>
      <c r="S71" s="37">
        <f>COUNTIF('Recipe Ingredients'!$F$2:$F$2000,A71)</f>
        <v/>
      </c>
      <c r="T71" s="39" t="inlineStr">
        <is>
          <t>Cool, dark</t>
        </is>
      </c>
      <c r="U71" s="37" t="inlineStr">
        <is>
          <t>3-4 weeks</t>
        </is>
      </c>
      <c r="V71" s="39" t="inlineStr">
        <is>
          <t>Plateau (Jos)</t>
        </is>
      </c>
      <c r="W71" s="37" t="inlineStr">
        <is>
          <t>Training</t>
        </is>
      </c>
      <c r="X71" s="39" t="n"/>
    </row>
    <row r="72" ht="15" customHeight="1" s="26">
      <c r="A72" s="37" t="inlineStr">
        <is>
          <t>P071</t>
        </is>
      </c>
      <c r="B72" s="38" t="inlineStr">
        <is>
          <t>Yam</t>
        </is>
      </c>
      <c r="C72" s="39" t="inlineStr">
        <is>
          <t>Isu (Yor), Ji (Igbo), Doya (Hau)</t>
        </is>
      </c>
      <c r="D72" s="37" t="inlineStr">
        <is>
          <t>Tuber</t>
        </is>
      </c>
      <c r="E72" s="37" t="inlineStr">
        <is>
          <t>Local</t>
        </is>
      </c>
      <c r="F72" s="37" t="inlineStr">
        <is>
          <t>Recipe ingredient</t>
        </is>
      </c>
      <c r="G72" s="37" t="inlineStr">
        <is>
          <t>Year-round</t>
        </is>
      </c>
      <c r="H72" s="37" t="inlineStr">
        <is>
          <t>All year</t>
        </is>
      </c>
      <c r="I72" s="37" t="inlineStr">
        <is>
          <t>Aug-Oct</t>
        </is>
      </c>
      <c r="J72" s="37">
        <f>IFERROR(IF(INDEX('Seasonal Calendar'!$C$2:$N$500,MATCH(A72,'Seasonal Calendar'!$A$2:$A$500,0),MONTH(TODAY()))="","Out",INDEX('Seasonal Calendar'!$C$2:$N$500,MATCH(A72,'Seasonal Calendar'!$A$2:$A$500,0),MONTH(TODAY()))),"")</f>
        <v/>
      </c>
      <c r="K72" s="37" t="inlineStr">
        <is>
          <t>Sourced</t>
        </is>
      </c>
      <c r="L72" s="37" t="inlineStr">
        <is>
          <t>Tuber</t>
        </is>
      </c>
      <c r="M72" s="40" t="n"/>
      <c r="N72" s="37" t="n"/>
      <c r="O72" s="39" t="n"/>
      <c r="P72" s="41" t="n"/>
      <c r="Q72" s="42" t="inlineStr">
        <is>
          <t>N</t>
        </is>
      </c>
      <c r="R72" s="37" t="inlineStr">
        <is>
          <t>Later</t>
        </is>
      </c>
      <c r="S72" s="37">
        <f>COUNTIF('Recipe Ingredients'!$F$2:$F$2000,A72)</f>
        <v/>
      </c>
      <c r="T72" s="39" t="inlineStr">
        <is>
          <t>Cool, dry</t>
        </is>
      </c>
      <c r="U72" s="37" t="inlineStr">
        <is>
          <t>Weeks</t>
        </is>
      </c>
      <c r="V72" s="39" t="inlineStr">
        <is>
          <t>Benue, Niger, Oyo</t>
        </is>
      </c>
      <c r="W72" s="37" t="inlineStr">
        <is>
          <t>Energy</t>
        </is>
      </c>
      <c r="X72" s="39" t="inlineStr">
        <is>
          <t>New yam Aug-Oct. Not used in the light-recipe library yet.</t>
        </is>
      </c>
    </row>
    <row r="73" ht="23.85" customHeight="1" s="26">
      <c r="A73" s="37" t="inlineStr">
        <is>
          <t>P072</t>
        </is>
      </c>
      <c r="B73" s="38" t="inlineStr">
        <is>
          <t>Fluted pumpkin leaf</t>
        </is>
      </c>
      <c r="C73" s="39" t="inlineStr">
        <is>
          <t>Ugu (Igbo)</t>
        </is>
      </c>
      <c r="D73" s="37" t="inlineStr">
        <is>
          <t>Leafy green</t>
        </is>
      </c>
      <c r="E73" s="37" t="inlineStr">
        <is>
          <t>Local</t>
        </is>
      </c>
      <c r="F73" s="37" t="inlineStr">
        <is>
          <t>Recipe ingredient</t>
        </is>
      </c>
      <c r="G73" s="37" t="inlineStr">
        <is>
          <t>Year-round</t>
        </is>
      </c>
      <c r="H73" s="37" t="inlineStr">
        <is>
          <t>All year</t>
        </is>
      </c>
      <c r="I73" s="37" t="n"/>
      <c r="J73" s="37">
        <f>IFERROR(IF(INDEX('Seasonal Calendar'!$C$2:$N$500,MATCH(A73,'Seasonal Calendar'!$A$2:$A$500,0),MONTH(TODAY()))="","Out",INDEX('Seasonal Calendar'!$C$2:$N$500,MATCH(A73,'Seasonal Calendar'!$A$2:$A$500,0),MONTH(TODAY()))),"")</f>
        <v/>
      </c>
      <c r="K73" s="37" t="inlineStr">
        <is>
          <t>Verify</t>
        </is>
      </c>
      <c r="L73" s="37" t="inlineStr">
        <is>
          <t>Bunch</t>
        </is>
      </c>
      <c r="M73" s="40" t="n"/>
      <c r="N73" s="37" t="n"/>
      <c r="O73" s="39" t="n"/>
      <c r="P73" s="41" t="n"/>
      <c r="Q73" s="42" t="inlineStr">
        <is>
          <t>Y</t>
        </is>
      </c>
      <c r="R73" s="37" t="inlineStr">
        <is>
          <t>Core</t>
        </is>
      </c>
      <c r="S73" s="37">
        <f>COUNTIF('Recipe Ingredients'!$F$2:$F$2000,A73)</f>
        <v/>
      </c>
      <c r="T73" s="39" t="inlineStr">
        <is>
          <t>Fridge, wrapped</t>
        </is>
      </c>
      <c r="U73" s="37" t="inlineStr">
        <is>
          <t>3-4 days</t>
        </is>
      </c>
      <c r="V73" s="39" t="inlineStr">
        <is>
          <t>Southeast, Lagos</t>
        </is>
      </c>
      <c r="W73" s="37" t="inlineStr">
        <is>
          <t>Wellness</t>
        </is>
      </c>
      <c r="X73" s="39" t="inlineStr">
        <is>
          <t>Becomes pesto, curry greens and smoothie greens in this library.</t>
        </is>
      </c>
    </row>
    <row r="74" ht="23.85" customHeight="1" s="26">
      <c r="A74" s="37" t="inlineStr">
        <is>
          <t>P073</t>
        </is>
      </c>
      <c r="B74" s="38" t="inlineStr">
        <is>
          <t>Amaranth greens (Nigerian spinach)</t>
        </is>
      </c>
      <c r="C74" s="39" t="inlineStr">
        <is>
          <t>Efo tete (Yor), Alayyahu (Hau)</t>
        </is>
      </c>
      <c r="D74" s="37" t="inlineStr">
        <is>
          <t>Leafy green</t>
        </is>
      </c>
      <c r="E74" s="37" t="inlineStr">
        <is>
          <t>Local</t>
        </is>
      </c>
      <c r="F74" s="37" t="inlineStr">
        <is>
          <t>Recipe ingredient</t>
        </is>
      </c>
      <c r="G74" s="37" t="inlineStr">
        <is>
          <t>Year-round</t>
        </is>
      </c>
      <c r="H74" s="37" t="inlineStr">
        <is>
          <t>All year</t>
        </is>
      </c>
      <c r="I74" s="37" t="n"/>
      <c r="J74" s="37">
        <f>IFERROR(IF(INDEX('Seasonal Calendar'!$C$2:$N$500,MATCH(A74,'Seasonal Calendar'!$A$2:$A$500,0),MONTH(TODAY()))="","Out",INDEX('Seasonal Calendar'!$C$2:$N$500,MATCH(A74,'Seasonal Calendar'!$A$2:$A$500,0),MONTH(TODAY()))),"")</f>
        <v/>
      </c>
      <c r="K74" s="37" t="inlineStr">
        <is>
          <t>Verify</t>
        </is>
      </c>
      <c r="L74" s="37" t="inlineStr">
        <is>
          <t>Bunch</t>
        </is>
      </c>
      <c r="M74" s="40" t="n">
        <v>1000</v>
      </c>
      <c r="N74" s="37" t="inlineStr">
        <is>
          <t>1 unit, sold as 'Spinach' (size not stated)</t>
        </is>
      </c>
      <c r="O74" s="39" t="inlineStr">
        <is>
          <t>The Fresh Place (thefreshplace.ng), 17 Oct 2026; listed out of stock</t>
        </is>
      </c>
      <c r="P74" s="41" t="n"/>
      <c r="Q74" s="42" t="inlineStr">
        <is>
          <t>Y</t>
        </is>
      </c>
      <c r="R74" s="37" t="inlineStr">
        <is>
          <t>Core</t>
        </is>
      </c>
      <c r="S74" s="37">
        <f>COUNTIF('Recipe Ingredients'!$F$2:$F$2000,A74)</f>
        <v/>
      </c>
      <c r="T74" s="39" t="inlineStr">
        <is>
          <t>Fridge, wrapped</t>
        </is>
      </c>
      <c r="U74" s="37" t="inlineStr">
        <is>
          <t>3-4 days</t>
        </is>
      </c>
      <c r="V74" s="39" t="inlineStr">
        <is>
          <t>Nationwide</t>
        </is>
      </c>
      <c r="W74" s="37" t="inlineStr">
        <is>
          <t>Wellness, Training</t>
        </is>
      </c>
      <c r="X74" s="39" t="inlineStr">
        <is>
          <t>Becomes pesto and curry greens in this library.</t>
        </is>
      </c>
    </row>
    <row r="75" ht="15" customHeight="1" s="26">
      <c r="A75" s="37" t="inlineStr">
        <is>
          <t>P074</t>
        </is>
      </c>
      <c r="B75" s="38" t="inlineStr">
        <is>
          <t>Waterleaf</t>
        </is>
      </c>
      <c r="C75" s="39" t="inlineStr">
        <is>
          <t>Gbure (Yor), Mgbolodi (Igbo)</t>
        </is>
      </c>
      <c r="D75" s="37" t="inlineStr">
        <is>
          <t>Leafy green</t>
        </is>
      </c>
      <c r="E75" s="37" t="inlineStr">
        <is>
          <t>Local</t>
        </is>
      </c>
      <c r="F75" s="37" t="inlineStr">
        <is>
          <t>Recipe ingredient</t>
        </is>
      </c>
      <c r="G75" s="37" t="inlineStr">
        <is>
          <t>Year-round</t>
        </is>
      </c>
      <c r="H75" s="37" t="inlineStr">
        <is>
          <t>All year</t>
        </is>
      </c>
      <c r="I75" s="37" t="n"/>
      <c r="J75" s="37">
        <f>IFERROR(IF(INDEX('Seasonal Calendar'!$C$2:$N$500,MATCH(A75,'Seasonal Calendar'!$A$2:$A$500,0),MONTH(TODAY()))="","Out",INDEX('Seasonal Calendar'!$C$2:$N$500,MATCH(A75,'Seasonal Calendar'!$A$2:$A$500,0),MONTH(TODAY()))),"")</f>
        <v/>
      </c>
      <c r="K75" s="37" t="inlineStr">
        <is>
          <t>Verify</t>
        </is>
      </c>
      <c r="L75" s="37" t="inlineStr">
        <is>
          <t>Bunch</t>
        </is>
      </c>
      <c r="M75" s="40" t="n"/>
      <c r="N75" s="37" t="n"/>
      <c r="O75" s="39" t="n"/>
      <c r="P75" s="41" t="n"/>
      <c r="Q75" s="42" t="inlineStr">
        <is>
          <t>N</t>
        </is>
      </c>
      <c r="R75" s="37" t="inlineStr">
        <is>
          <t>Later</t>
        </is>
      </c>
      <c r="S75" s="37">
        <f>COUNTIF('Recipe Ingredients'!$F$2:$F$2000,A75)</f>
        <v/>
      </c>
      <c r="T75" s="39" t="inlineStr">
        <is>
          <t>Fridge</t>
        </is>
      </c>
      <c r="U75" s="37" t="inlineStr">
        <is>
          <t>2-3 days</t>
        </is>
      </c>
      <c r="V75" s="39" t="inlineStr">
        <is>
          <t>South</t>
        </is>
      </c>
      <c r="W75" s="37" t="n"/>
      <c r="X75" s="39" t="inlineStr">
        <is>
          <t>Mostly a soup green. Not in the current library.</t>
        </is>
      </c>
    </row>
    <row r="76" ht="15" customHeight="1" s="26">
      <c r="A76" s="37" t="inlineStr">
        <is>
          <t>P075</t>
        </is>
      </c>
      <c r="B76" s="38" t="inlineStr">
        <is>
          <t>Baby spinach</t>
        </is>
      </c>
      <c r="C76" s="39" t="n"/>
      <c r="D76" s="37" t="inlineStr">
        <is>
          <t>Leafy green</t>
        </is>
      </c>
      <c r="E76" s="37" t="inlineStr">
        <is>
          <t>Local hydroponic + imported</t>
        </is>
      </c>
      <c r="F76" s="37" t="inlineStr">
        <is>
          <t>Recipe ingredient</t>
        </is>
      </c>
      <c r="G76" s="37" t="inlineStr">
        <is>
          <t>Year-round</t>
        </is>
      </c>
      <c r="H76" s="37" t="inlineStr">
        <is>
          <t>All year</t>
        </is>
      </c>
      <c r="I76" s="37" t="n"/>
      <c r="J76" s="37">
        <f>IFERROR(IF(INDEX('Seasonal Calendar'!$C$2:$N$500,MATCH(A76,'Seasonal Calendar'!$A$2:$A$500,0),MONTH(TODAY()))="","Out",INDEX('Seasonal Calendar'!$C$2:$N$500,MATCH(A76,'Seasonal Calendar'!$A$2:$A$500,0),MONTH(TODAY()))),"")</f>
        <v/>
      </c>
      <c r="K76" s="37" t="inlineStr">
        <is>
          <t>Verify</t>
        </is>
      </c>
      <c r="L76" s="37" t="inlineStr">
        <is>
          <t>125g</t>
        </is>
      </c>
      <c r="M76" s="40" t="n">
        <v>4950</v>
      </c>
      <c r="N76" s="37" t="inlineStr">
        <is>
          <t>125g</t>
        </is>
      </c>
      <c r="O76" s="39" t="inlineStr">
        <is>
          <t>Mint Foods (mintfoods.store), 11 Oct 2026</t>
        </is>
      </c>
      <c r="P76" s="41" t="n"/>
      <c r="Q76" s="42" t="inlineStr">
        <is>
          <t>N</t>
        </is>
      </c>
      <c r="R76" s="37" t="inlineStr">
        <is>
          <t>Premium</t>
        </is>
      </c>
      <c r="S76" s="37">
        <f>COUNTIF('Recipe Ingredients'!$F$2:$F$2000,A76)</f>
        <v/>
      </c>
      <c r="T76" s="39" t="inlineStr">
        <is>
          <t>Fridge</t>
        </is>
      </c>
      <c r="U76" s="37" t="inlineStr">
        <is>
          <t>4-5 days</t>
        </is>
      </c>
      <c r="V76" s="39" t="inlineStr">
        <is>
          <t>Lagos hydroponics + imports</t>
        </is>
      </c>
      <c r="W76" s="37" t="inlineStr">
        <is>
          <t>Wellness</t>
        </is>
      </c>
      <c r="X76" s="39" t="inlineStr">
        <is>
          <t>Efo tete works anywhere this is listed.</t>
        </is>
      </c>
    </row>
    <row r="77" ht="15" customHeight="1" s="26">
      <c r="A77" s="37" t="inlineStr">
        <is>
          <t>P076</t>
        </is>
      </c>
      <c r="B77" s="38" t="inlineStr">
        <is>
          <t>Kale</t>
        </is>
      </c>
      <c r="C77" s="39" t="n"/>
      <c r="D77" s="37" t="inlineStr">
        <is>
          <t>Leafy green</t>
        </is>
      </c>
      <c r="E77" s="37" t="inlineStr">
        <is>
          <t>Local hydroponic + imported</t>
        </is>
      </c>
      <c r="F77" s="37" t="inlineStr">
        <is>
          <t>Recipe ingredient</t>
        </is>
      </c>
      <c r="G77" s="37" t="inlineStr">
        <is>
          <t>Year-round</t>
        </is>
      </c>
      <c r="H77" s="37" t="inlineStr">
        <is>
          <t>All year</t>
        </is>
      </c>
      <c r="I77" s="37" t="n"/>
      <c r="J77" s="37">
        <f>IFERROR(IF(INDEX('Seasonal Calendar'!$C$2:$N$500,MATCH(A77,'Seasonal Calendar'!$A$2:$A$500,0),MONTH(TODAY()))="","Out",INDEX('Seasonal Calendar'!$C$2:$N$500,MATCH(A77,'Seasonal Calendar'!$A$2:$A$500,0),MONTH(TODAY()))),"")</f>
        <v/>
      </c>
      <c r="K77" s="37" t="inlineStr">
        <is>
          <t>Verify</t>
        </is>
      </c>
      <c r="L77" s="37" t="inlineStr">
        <is>
          <t>125g</t>
        </is>
      </c>
      <c r="M77" s="40" t="n">
        <v>4940</v>
      </c>
      <c r="N77" s="37" t="inlineStr">
        <is>
          <t>125g</t>
        </is>
      </c>
      <c r="O77" s="39" t="inlineStr">
        <is>
          <t>Mint Foods (mintfoods.store), 11 Oct 2026</t>
        </is>
      </c>
      <c r="P77" s="41" t="n"/>
      <c r="Q77" s="42" t="inlineStr">
        <is>
          <t>N</t>
        </is>
      </c>
      <c r="R77" s="37" t="inlineStr">
        <is>
          <t>Later</t>
        </is>
      </c>
      <c r="S77" s="37">
        <f>COUNTIF('Recipe Ingredients'!$F$2:$F$2000,A77)</f>
        <v/>
      </c>
      <c r="T77" s="39" t="inlineStr">
        <is>
          <t>Fridge</t>
        </is>
      </c>
      <c r="U77" s="37" t="inlineStr">
        <is>
          <t>5-7 days</t>
        </is>
      </c>
      <c r="V77" s="39" t="inlineStr">
        <is>
          <t>Hydroponic farms</t>
        </is>
      </c>
      <c r="W77" s="37" t="inlineStr">
        <is>
          <t>Wellness</t>
        </is>
      </c>
      <c r="X77" s="39" t="inlineStr">
        <is>
          <t>Not needed while efo tete and ugu cover the same jobs.</t>
        </is>
      </c>
    </row>
    <row r="78" ht="23.85" customHeight="1" s="26">
      <c r="A78" s="37" t="inlineStr">
        <is>
          <t>P077</t>
        </is>
      </c>
      <c r="B78" s="38" t="inlineStr">
        <is>
          <t>Scent leaf (African basil)</t>
        </is>
      </c>
      <c r="C78" s="39" t="inlineStr">
        <is>
          <t>Efirin (Yor), Nchanwu (Igbo), Daidoya (Hau)</t>
        </is>
      </c>
      <c r="D78" s="37" t="inlineStr">
        <is>
          <t>Herb</t>
        </is>
      </c>
      <c r="E78" s="37" t="inlineStr">
        <is>
          <t>Local</t>
        </is>
      </c>
      <c r="F78" s="37" t="inlineStr">
        <is>
          <t>Recipe ingredient</t>
        </is>
      </c>
      <c r="G78" s="37" t="inlineStr">
        <is>
          <t>Year-round</t>
        </is>
      </c>
      <c r="H78" s="37" t="inlineStr">
        <is>
          <t>All year</t>
        </is>
      </c>
      <c r="I78" s="37" t="n"/>
      <c r="J78" s="37">
        <f>IFERROR(IF(INDEX('Seasonal Calendar'!$C$2:$N$500,MATCH(A78,'Seasonal Calendar'!$A$2:$A$500,0),MONTH(TODAY()))="","Out",INDEX('Seasonal Calendar'!$C$2:$N$500,MATCH(A78,'Seasonal Calendar'!$A$2:$A$500,0),MONTH(TODAY()))),"")</f>
        <v/>
      </c>
      <c r="K78" s="37" t="inlineStr">
        <is>
          <t>Verify</t>
        </is>
      </c>
      <c r="L78" s="37" t="inlineStr">
        <is>
          <t>Bunch</t>
        </is>
      </c>
      <c r="M78" s="40" t="n"/>
      <c r="N78" s="37" t="n"/>
      <c r="O78" s="39" t="n"/>
      <c r="P78" s="41" t="n"/>
      <c r="Q78" s="42" t="inlineStr">
        <is>
          <t>Y</t>
        </is>
      </c>
      <c r="R78" s="37" t="inlineStr">
        <is>
          <t>Core</t>
        </is>
      </c>
      <c r="S78" s="37">
        <f>COUNTIF('Recipe Ingredients'!$F$2:$F$2000,A78)</f>
        <v/>
      </c>
      <c r="T78" s="39" t="inlineStr">
        <is>
          <t>Stems in water, room temp</t>
        </is>
      </c>
      <c r="U78" s="37" t="inlineStr">
        <is>
          <t>3-4 days</t>
        </is>
      </c>
      <c r="V78" s="39" t="inlineStr">
        <is>
          <t>Nationwide</t>
        </is>
      </c>
      <c r="W78" s="37" t="inlineStr">
        <is>
          <t>Wellness</t>
        </is>
      </c>
      <c r="X78" s="39" t="inlineStr">
        <is>
          <t>Stands in for Thai basil and parsley in chimichurri. A real point of difference.</t>
        </is>
      </c>
    </row>
    <row r="79" ht="23.85" customHeight="1" s="26">
      <c r="A79" s="37" t="inlineStr">
        <is>
          <t>P078</t>
        </is>
      </c>
      <c r="B79" s="38" t="inlineStr">
        <is>
          <t>Bitter leaf</t>
        </is>
      </c>
      <c r="C79" s="39" t="inlineStr">
        <is>
          <t>Ewuro (Yor), Onugbu (Igbo), Shiwaka (Hau)</t>
        </is>
      </c>
      <c r="D79" s="37" t="inlineStr">
        <is>
          <t>Leafy green</t>
        </is>
      </c>
      <c r="E79" s="37" t="inlineStr">
        <is>
          <t>Local</t>
        </is>
      </c>
      <c r="F79" s="37" t="inlineStr">
        <is>
          <t>Recipe ingredient</t>
        </is>
      </c>
      <c r="G79" s="37" t="inlineStr">
        <is>
          <t>Year-round</t>
        </is>
      </c>
      <c r="H79" s="37" t="inlineStr">
        <is>
          <t>All year</t>
        </is>
      </c>
      <c r="I79" s="37" t="n"/>
      <c r="J79" s="37">
        <f>IFERROR(IF(INDEX('Seasonal Calendar'!$C$2:$N$500,MATCH(A79,'Seasonal Calendar'!$A$2:$A$500,0),MONTH(TODAY()))="","Out",INDEX('Seasonal Calendar'!$C$2:$N$500,MATCH(A79,'Seasonal Calendar'!$A$2:$A$500,0),MONTH(TODAY()))),"")</f>
        <v/>
      </c>
      <c r="K79" s="37" t="inlineStr">
        <is>
          <t>Verify</t>
        </is>
      </c>
      <c r="L79" s="37" t="inlineStr">
        <is>
          <t>Bunch (washed)</t>
        </is>
      </c>
      <c r="M79" s="40" t="n"/>
      <c r="N79" s="37" t="n"/>
      <c r="O79" s="39" t="n"/>
      <c r="P79" s="41" t="n"/>
      <c r="Q79" s="42" t="inlineStr">
        <is>
          <t>N</t>
        </is>
      </c>
      <c r="R79" s="37" t="inlineStr">
        <is>
          <t>Later</t>
        </is>
      </c>
      <c r="S79" s="37">
        <f>COUNTIF('Recipe Ingredients'!$F$2:$F$2000,A79)</f>
        <v/>
      </c>
      <c r="T79" s="39" t="inlineStr">
        <is>
          <t>Fridge</t>
        </is>
      </c>
      <c r="U79" s="37" t="inlineStr">
        <is>
          <t>3-4 days</t>
        </is>
      </c>
      <c r="V79" s="39" t="inlineStr">
        <is>
          <t>Nationwide</t>
        </is>
      </c>
      <c r="W79" s="37" t="n"/>
      <c r="X79" s="39" t="inlineStr">
        <is>
          <t>Soup green. Not in the current library.</t>
        </is>
      </c>
    </row>
    <row r="80" ht="15" customHeight="1" s="26">
      <c r="A80" s="37" t="inlineStr">
        <is>
          <t>P079</t>
        </is>
      </c>
      <c r="B80" s="38" t="inlineStr">
        <is>
          <t>Mint</t>
        </is>
      </c>
      <c r="C80" s="39" t="inlineStr">
        <is>
          <t>Na'a na'a (Hau)</t>
        </is>
      </c>
      <c r="D80" s="37" t="inlineStr">
        <is>
          <t>Herb</t>
        </is>
      </c>
      <c r="E80" s="37" t="inlineStr">
        <is>
          <t>Local</t>
        </is>
      </c>
      <c r="F80" s="37" t="inlineStr">
        <is>
          <t>Recipe ingredient</t>
        </is>
      </c>
      <c r="G80" s="37" t="inlineStr">
        <is>
          <t>Year-round</t>
        </is>
      </c>
      <c r="H80" s="37" t="inlineStr">
        <is>
          <t>All year</t>
        </is>
      </c>
      <c r="I80" s="37" t="n"/>
      <c r="J80" s="37">
        <f>IFERROR(IF(INDEX('Seasonal Calendar'!$C$2:$N$500,MATCH(A80,'Seasonal Calendar'!$A$2:$A$500,0),MONTH(TODAY()))="","Out",INDEX('Seasonal Calendar'!$C$2:$N$500,MATCH(A80,'Seasonal Calendar'!$A$2:$A$500,0),MONTH(TODAY()))),"")</f>
        <v/>
      </c>
      <c r="K80" s="37" t="inlineStr">
        <is>
          <t>Verify</t>
        </is>
      </c>
      <c r="L80" s="37" t="inlineStr">
        <is>
          <t>Bunch</t>
        </is>
      </c>
      <c r="M80" s="40" t="n"/>
      <c r="N80" s="37" t="n"/>
      <c r="O80" s="39" t="n"/>
      <c r="P80" s="41" t="n"/>
      <c r="Q80" s="42" t="inlineStr">
        <is>
          <t>Y</t>
        </is>
      </c>
      <c r="R80" s="37" t="inlineStr">
        <is>
          <t>Core</t>
        </is>
      </c>
      <c r="S80" s="37">
        <f>COUNTIF('Recipe Ingredients'!$F$2:$F$2000,A80)</f>
        <v/>
      </c>
      <c r="T80" s="39" t="inlineStr">
        <is>
          <t>Stems in water, fridge</t>
        </is>
      </c>
      <c r="U80" s="37" t="inlineStr">
        <is>
          <t>4-5 days</t>
        </is>
      </c>
      <c r="V80" s="39" t="inlineStr">
        <is>
          <t>North, Lagos hydroponics</t>
        </is>
      </c>
      <c r="W80" s="37" t="inlineStr">
        <is>
          <t>Hydration</t>
        </is>
      </c>
      <c r="X80" s="39" t="n"/>
    </row>
    <row r="81" ht="15" customHeight="1" s="26">
      <c r="A81" s="37" t="inlineStr">
        <is>
          <t>P080</t>
        </is>
      </c>
      <c r="B81" s="38" t="inlineStr">
        <is>
          <t>Coriander (cilantro)</t>
        </is>
      </c>
      <c r="C81" s="39" t="n"/>
      <c r="D81" s="37" t="inlineStr">
        <is>
          <t>Herb</t>
        </is>
      </c>
      <c r="E81" s="37" t="inlineStr">
        <is>
          <t>Local</t>
        </is>
      </c>
      <c r="F81" s="37" t="inlineStr">
        <is>
          <t>Recipe ingredient</t>
        </is>
      </c>
      <c r="G81" s="37" t="inlineStr">
        <is>
          <t>Year-round</t>
        </is>
      </c>
      <c r="H81" s="37" t="inlineStr">
        <is>
          <t>All year</t>
        </is>
      </c>
      <c r="I81" s="37" t="n"/>
      <c r="J81" s="37">
        <f>IFERROR(IF(INDEX('Seasonal Calendar'!$C$2:$N$500,MATCH(A81,'Seasonal Calendar'!$A$2:$A$500,0),MONTH(TODAY()))="","Out",INDEX('Seasonal Calendar'!$C$2:$N$500,MATCH(A81,'Seasonal Calendar'!$A$2:$A$500,0),MONTH(TODAY()))),"")</f>
        <v/>
      </c>
      <c r="K81" s="37" t="inlineStr">
        <is>
          <t>Verify</t>
        </is>
      </c>
      <c r="L81" s="37" t="inlineStr">
        <is>
          <t>Bunch / 100g</t>
        </is>
      </c>
      <c r="M81" s="40" t="n">
        <v>3550</v>
      </c>
      <c r="N81" s="37" t="inlineStr">
        <is>
          <t>100g</t>
        </is>
      </c>
      <c r="O81" s="39" t="inlineStr">
        <is>
          <t>Mint Foods (mintfoods.store), 11 Oct 2026</t>
        </is>
      </c>
      <c r="P81" s="41" t="n"/>
      <c r="Q81" s="42" t="inlineStr">
        <is>
          <t>Y</t>
        </is>
      </c>
      <c r="R81" s="37" t="inlineStr">
        <is>
          <t>Core</t>
        </is>
      </c>
      <c r="S81" s="37">
        <f>COUNTIF('Recipe Ingredients'!$F$2:$F$2000,A81)</f>
        <v/>
      </c>
      <c r="T81" s="39" t="inlineStr">
        <is>
          <t>Stems in water, fridge</t>
        </is>
      </c>
      <c r="U81" s="37" t="inlineStr">
        <is>
          <t>4-5 days</t>
        </is>
      </c>
      <c r="V81" s="39" t="inlineStr">
        <is>
          <t>Plateau, Lagos</t>
        </is>
      </c>
      <c r="W81" s="37" t="n"/>
      <c r="X81" s="39" t="n"/>
    </row>
    <row r="82" ht="15" customHeight="1" s="26">
      <c r="A82" s="37" t="inlineStr">
        <is>
          <t>P081</t>
        </is>
      </c>
      <c r="B82" s="38" t="inlineStr">
        <is>
          <t>Parsley</t>
        </is>
      </c>
      <c r="C82" s="39" t="n"/>
      <c r="D82" s="37" t="inlineStr">
        <is>
          <t>Herb</t>
        </is>
      </c>
      <c r="E82" s="37" t="inlineStr">
        <is>
          <t>Local</t>
        </is>
      </c>
      <c r="F82" s="37" t="inlineStr">
        <is>
          <t>Recipe ingredient</t>
        </is>
      </c>
      <c r="G82" s="37" t="inlineStr">
        <is>
          <t>Year-round</t>
        </is>
      </c>
      <c r="H82" s="37" t="inlineStr">
        <is>
          <t>All year</t>
        </is>
      </c>
      <c r="I82" s="37" t="n"/>
      <c r="J82" s="37">
        <f>IFERROR(IF(INDEX('Seasonal Calendar'!$C$2:$N$500,MATCH(A82,'Seasonal Calendar'!$A$2:$A$500,0),MONTH(TODAY()))="","Out",INDEX('Seasonal Calendar'!$C$2:$N$500,MATCH(A82,'Seasonal Calendar'!$A$2:$A$500,0),MONTH(TODAY()))),"")</f>
        <v/>
      </c>
      <c r="K82" s="37" t="inlineStr">
        <is>
          <t>Verify</t>
        </is>
      </c>
      <c r="L82" s="37" t="inlineStr">
        <is>
          <t>Bunch</t>
        </is>
      </c>
      <c r="M82" s="40" t="n"/>
      <c r="N82" s="37" t="n"/>
      <c r="O82" s="39" t="n"/>
      <c r="P82" s="41" t="n"/>
      <c r="Q82" s="42" t="inlineStr">
        <is>
          <t>Y</t>
        </is>
      </c>
      <c r="R82" s="37" t="inlineStr">
        <is>
          <t>Core</t>
        </is>
      </c>
      <c r="S82" s="37">
        <f>COUNTIF('Recipe Ingredients'!$F$2:$F$2000,A82)</f>
        <v/>
      </c>
      <c r="T82" s="39" t="inlineStr">
        <is>
          <t>Stems in water, fridge</t>
        </is>
      </c>
      <c r="U82" s="37" t="inlineStr">
        <is>
          <t>5-7 days</t>
        </is>
      </c>
      <c r="V82" s="39" t="inlineStr">
        <is>
          <t>Plateau, hydroponics</t>
        </is>
      </c>
      <c r="W82" s="37" t="n"/>
      <c r="X82" s="39" t="n"/>
    </row>
    <row r="83" ht="15" customHeight="1" s="26">
      <c r="A83" s="37" t="inlineStr">
        <is>
          <t>P082</t>
        </is>
      </c>
      <c r="B83" s="38" t="inlineStr">
        <is>
          <t>Basil (sweet)</t>
        </is>
      </c>
      <c r="C83" s="39" t="n"/>
      <c r="D83" s="37" t="inlineStr">
        <is>
          <t>Herb</t>
        </is>
      </c>
      <c r="E83" s="37" t="inlineStr">
        <is>
          <t>Local hydroponic + imported</t>
        </is>
      </c>
      <c r="F83" s="37" t="inlineStr">
        <is>
          <t>Recipe ingredient</t>
        </is>
      </c>
      <c r="G83" s="37" t="inlineStr">
        <is>
          <t>Year-round</t>
        </is>
      </c>
      <c r="H83" s="37" t="inlineStr">
        <is>
          <t>All year</t>
        </is>
      </c>
      <c r="I83" s="37" t="n"/>
      <c r="J83" s="37">
        <f>IFERROR(IF(INDEX('Seasonal Calendar'!$C$2:$N$500,MATCH(A83,'Seasonal Calendar'!$A$2:$A$500,0),MONTH(TODAY()))="","Out",INDEX('Seasonal Calendar'!$C$2:$N$500,MATCH(A83,'Seasonal Calendar'!$A$2:$A$500,0),MONTH(TODAY()))),"")</f>
        <v/>
      </c>
      <c r="K83" s="37" t="inlineStr">
        <is>
          <t>Verify</t>
        </is>
      </c>
      <c r="L83" s="37" t="inlineStr">
        <is>
          <t>150g</t>
        </is>
      </c>
      <c r="M83" s="40" t="n">
        <v>3550</v>
      </c>
      <c r="N83" s="37" t="inlineStr">
        <is>
          <t>150g hydroponic</t>
        </is>
      </c>
      <c r="O83" s="39" t="inlineStr">
        <is>
          <t>Mint Foods (mintfoods.store), 11 Oct 2026</t>
        </is>
      </c>
      <c r="P83" s="41" t="n"/>
      <c r="Q83" s="42" t="inlineStr">
        <is>
          <t>N</t>
        </is>
      </c>
      <c r="R83" s="37" t="inlineStr">
        <is>
          <t>Premium</t>
        </is>
      </c>
      <c r="S83" s="37">
        <f>COUNTIF('Recipe Ingredients'!$F$2:$F$2000,A83)</f>
        <v/>
      </c>
      <c r="T83" s="39" t="inlineStr">
        <is>
          <t>Room temp, stems in water</t>
        </is>
      </c>
      <c r="U83" s="37" t="inlineStr">
        <is>
          <t>3-4 days</t>
        </is>
      </c>
      <c r="V83" s="39" t="inlineStr">
        <is>
          <t>Lagos hydroponics</t>
        </is>
      </c>
      <c r="W83" s="37" t="n"/>
      <c r="X83" s="39" t="inlineStr">
        <is>
          <t>Scent leaf is the local swap in every recipe.</t>
        </is>
      </c>
    </row>
    <row r="84" ht="15" customHeight="1" s="26">
      <c r="A84" s="37" t="inlineStr">
        <is>
          <t>P083</t>
        </is>
      </c>
      <c r="B84" s="38" t="inlineStr">
        <is>
          <t>Lemongrass</t>
        </is>
      </c>
      <c r="C84" s="39" t="inlineStr">
        <is>
          <t>Fever grass</t>
        </is>
      </c>
      <c r="D84" s="37" t="inlineStr">
        <is>
          <t>Herb</t>
        </is>
      </c>
      <c r="E84" s="37" t="inlineStr">
        <is>
          <t>Local</t>
        </is>
      </c>
      <c r="F84" s="37" t="inlineStr">
        <is>
          <t>Recipe ingredient</t>
        </is>
      </c>
      <c r="G84" s="37" t="inlineStr">
        <is>
          <t>Year-round</t>
        </is>
      </c>
      <c r="H84" s="37" t="inlineStr">
        <is>
          <t>All year</t>
        </is>
      </c>
      <c r="I84" s="37" t="n"/>
      <c r="J84" s="37">
        <f>IFERROR(IF(INDEX('Seasonal Calendar'!$C$2:$N$500,MATCH(A84,'Seasonal Calendar'!$A$2:$A$500,0),MONTH(TODAY()))="","Out",INDEX('Seasonal Calendar'!$C$2:$N$500,MATCH(A84,'Seasonal Calendar'!$A$2:$A$500,0),MONTH(TODAY()))),"")</f>
        <v/>
      </c>
      <c r="K84" s="37" t="inlineStr">
        <is>
          <t>Verify</t>
        </is>
      </c>
      <c r="L84" s="37" t="inlineStr">
        <is>
          <t>Bunch</t>
        </is>
      </c>
      <c r="M84" s="40" t="n"/>
      <c r="N84" s="37" t="n"/>
      <c r="O84" s="39" t="n"/>
      <c r="P84" s="41" t="n"/>
      <c r="Q84" s="42" t="inlineStr">
        <is>
          <t>Y</t>
        </is>
      </c>
      <c r="R84" s="37" t="inlineStr">
        <is>
          <t>Core</t>
        </is>
      </c>
      <c r="S84" s="37">
        <f>COUNTIF('Recipe Ingredients'!$F$2:$F$2000,A84)</f>
        <v/>
      </c>
      <c r="T84" s="39" t="inlineStr">
        <is>
          <t>Fridge</t>
        </is>
      </c>
      <c r="U84" s="37" t="inlineStr">
        <is>
          <t>1-2 weeks</t>
        </is>
      </c>
      <c r="V84" s="39" t="inlineStr">
        <is>
          <t>Nationwide</t>
        </is>
      </c>
      <c r="W84" s="37" t="inlineStr">
        <is>
          <t>Wellness</t>
        </is>
      </c>
      <c r="X84" s="39" t="n"/>
    </row>
    <row r="85" ht="15" customHeight="1" s="26">
      <c r="A85" s="37" t="inlineStr">
        <is>
          <t>P084</t>
        </is>
      </c>
      <c r="B85" s="38" t="inlineStr">
        <is>
          <t>Rosemary</t>
        </is>
      </c>
      <c r="C85" s="39" t="n"/>
      <c r="D85" s="37" t="inlineStr">
        <is>
          <t>Herb</t>
        </is>
      </c>
      <c r="E85" s="37" t="inlineStr">
        <is>
          <t>Local hydroponic + imported</t>
        </is>
      </c>
      <c r="F85" s="37" t="inlineStr">
        <is>
          <t>Recipe ingredient</t>
        </is>
      </c>
      <c r="G85" s="37" t="inlineStr">
        <is>
          <t>Year-round</t>
        </is>
      </c>
      <c r="H85" s="37" t="inlineStr">
        <is>
          <t>All year</t>
        </is>
      </c>
      <c r="I85" s="37" t="n"/>
      <c r="J85" s="37">
        <f>IFERROR(IF(INDEX('Seasonal Calendar'!$C$2:$N$500,MATCH(A85,'Seasonal Calendar'!$A$2:$A$500,0),MONTH(TODAY()))="","Out",INDEX('Seasonal Calendar'!$C$2:$N$500,MATCH(A85,'Seasonal Calendar'!$A$2:$A$500,0),MONTH(TODAY()))),"")</f>
        <v/>
      </c>
      <c r="K85" s="37" t="inlineStr">
        <is>
          <t>Verify</t>
        </is>
      </c>
      <c r="L85" s="37" t="inlineStr">
        <is>
          <t>100g</t>
        </is>
      </c>
      <c r="M85" s="40" t="n">
        <v>5950</v>
      </c>
      <c r="N85" s="37" t="inlineStr">
        <is>
          <t>100g</t>
        </is>
      </c>
      <c r="O85" s="39" t="inlineStr">
        <is>
          <t>Mint Foods (mintfoods.store), 11 Oct 2026</t>
        </is>
      </c>
      <c r="P85" s="41" t="n"/>
      <c r="Q85" s="42" t="inlineStr">
        <is>
          <t>N</t>
        </is>
      </c>
      <c r="R85" s="37" t="inlineStr">
        <is>
          <t>Later</t>
        </is>
      </c>
      <c r="S85" s="37">
        <f>COUNTIF('Recipe Ingredients'!$F$2:$F$2000,A85)</f>
        <v/>
      </c>
      <c r="T85" s="39" t="inlineStr">
        <is>
          <t>Fridge</t>
        </is>
      </c>
      <c r="U85" s="37" t="inlineStr">
        <is>
          <t>1-2 weeks</t>
        </is>
      </c>
      <c r="V85" s="39" t="inlineStr">
        <is>
          <t>Hydroponics + imports</t>
        </is>
      </c>
      <c r="W85" s="37" t="n"/>
      <c r="X85" s="39" t="inlineStr">
        <is>
          <t>Scent leaf or dried thyme covers it.</t>
        </is>
      </c>
    </row>
  </sheetData>
  <autoFilter ref="A1:X85"/>
  <conditionalFormatting sqref="J2:J85">
    <cfRule type="cellIs" rank="0" priority="2" equalAverage="0" operator="equal" aboveAverage="0" dxfId="8" text="" percent="0" bottom="0">
      <formula>"Peak"</formula>
    </cfRule>
    <cfRule type="cellIs" rank="0" priority="3" equalAverage="0" operator="equal" aboveAverage="0" dxfId="9" text="" percent="0" bottom="0">
      <formula>"In"</formula>
    </cfRule>
    <cfRule type="cellIs" rank="0" priority="4" equalAverage="0" operator="equal" aboveAverage="0" dxfId="10" text="" percent="0" bottom="0">
      <formula>"Out"</formula>
    </cfRule>
  </conditionalFormatting>
  <dataValidations count="1">
    <dataValidation sqref="Q2:Q85" showDropDown="0" showInputMessage="0" showErrorMessage="0" allowBlank="1" type="list" errorStyle="stop" operator="between">
      <formula1>"Y,N,Seasonal"</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6FA35A"/>
    <outlinePr summaryBelow="1" summaryRight="1"/>
    <pageSetUpPr fitToPage="0"/>
  </sheetPr>
  <dimension ref="A1:P87"/>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7" customWidth="1" style="25" min="1" max="1"/>
    <col width="30" customWidth="1" style="25" min="2" max="2"/>
    <col width="6" customWidth="1" style="25" min="3" max="14"/>
    <col width="11" customWidth="1" style="25" min="15" max="15"/>
    <col width="18" customWidth="1" style="25" min="16" max="16"/>
  </cols>
  <sheetData>
    <row r="1" ht="31.5" customHeight="1" s="26">
      <c r="A1" s="36" t="inlineStr">
        <is>
          <t>ID</t>
        </is>
      </c>
      <c r="B1" s="36" t="inlineStr">
        <is>
          <t>Produce</t>
        </is>
      </c>
      <c r="C1" s="36" t="inlineStr">
        <is>
          <t>Jan</t>
        </is>
      </c>
      <c r="D1" s="36" t="inlineStr">
        <is>
          <t>Feb</t>
        </is>
      </c>
      <c r="E1" s="36" t="inlineStr">
        <is>
          <t>Mar</t>
        </is>
      </c>
      <c r="F1" s="36" t="inlineStr">
        <is>
          <t>Apr</t>
        </is>
      </c>
      <c r="G1" s="36" t="inlineStr">
        <is>
          <t>May</t>
        </is>
      </c>
      <c r="H1" s="36" t="inlineStr">
        <is>
          <t>Jun</t>
        </is>
      </c>
      <c r="I1" s="36" t="inlineStr">
        <is>
          <t>Jul</t>
        </is>
      </c>
      <c r="J1" s="36" t="inlineStr">
        <is>
          <t>Aug</t>
        </is>
      </c>
      <c r="K1" s="36" t="inlineStr">
        <is>
          <t>Sep</t>
        </is>
      </c>
      <c r="L1" s="36" t="inlineStr">
        <is>
          <t>Oct</t>
        </is>
      </c>
      <c r="M1" s="36" t="inlineStr">
        <is>
          <t>Nov</t>
        </is>
      </c>
      <c r="N1" s="36" t="inlineStr">
        <is>
          <t>Dec</t>
        </is>
      </c>
      <c r="O1" s="36" t="inlineStr">
        <is>
          <t>Months available</t>
        </is>
      </c>
      <c r="P1" s="36" t="inlineStr">
        <is>
          <t>Role</t>
        </is>
      </c>
    </row>
    <row r="2" ht="15" customHeight="1" s="26">
      <c r="A2" s="37" t="inlineStr">
        <is>
          <t>P001</t>
        </is>
      </c>
      <c r="B2" s="37" t="inlineStr">
        <is>
          <t>Banana</t>
        </is>
      </c>
      <c r="C2" s="43" t="inlineStr">
        <is>
          <t>In</t>
        </is>
      </c>
      <c r="D2" s="43" t="inlineStr">
        <is>
          <t>In</t>
        </is>
      </c>
      <c r="E2" s="43" t="inlineStr">
        <is>
          <t>In</t>
        </is>
      </c>
      <c r="F2" s="43" t="inlineStr">
        <is>
          <t>In</t>
        </is>
      </c>
      <c r="G2" s="43" t="inlineStr">
        <is>
          <t>In</t>
        </is>
      </c>
      <c r="H2" s="43" t="inlineStr">
        <is>
          <t>In</t>
        </is>
      </c>
      <c r="I2" s="43" t="inlineStr">
        <is>
          <t>In</t>
        </is>
      </c>
      <c r="J2" s="43" t="inlineStr">
        <is>
          <t>In</t>
        </is>
      </c>
      <c r="K2" s="43" t="inlineStr">
        <is>
          <t>In</t>
        </is>
      </c>
      <c r="L2" s="43" t="inlineStr">
        <is>
          <t>In</t>
        </is>
      </c>
      <c r="M2" s="43" t="inlineStr">
        <is>
          <t>In</t>
        </is>
      </c>
      <c r="N2" s="43" t="inlineStr">
        <is>
          <t>In</t>
        </is>
      </c>
      <c r="O2" s="37">
        <f>COUNTIF(C2:N2,"Peak")+COUNTIF(C2:N2,"In")</f>
        <v/>
      </c>
      <c r="P2" s="37" t="inlineStr">
        <is>
          <t>Eat as-is + recipes</t>
        </is>
      </c>
    </row>
    <row r="3" ht="15" customHeight="1" s="26">
      <c r="A3" s="37" t="inlineStr">
        <is>
          <t>P002</t>
        </is>
      </c>
      <c r="B3" s="37" t="inlineStr">
        <is>
          <t>Plantain (ripe &amp; unripe)</t>
        </is>
      </c>
      <c r="C3" s="43" t="inlineStr">
        <is>
          <t>In</t>
        </is>
      </c>
      <c r="D3" s="43" t="inlineStr">
        <is>
          <t>In</t>
        </is>
      </c>
      <c r="E3" s="43" t="inlineStr">
        <is>
          <t>In</t>
        </is>
      </c>
      <c r="F3" s="43" t="inlineStr">
        <is>
          <t>In</t>
        </is>
      </c>
      <c r="G3" s="43" t="inlineStr">
        <is>
          <t>In</t>
        </is>
      </c>
      <c r="H3" s="43" t="inlineStr">
        <is>
          <t>In</t>
        </is>
      </c>
      <c r="I3" s="43" t="inlineStr">
        <is>
          <t>In</t>
        </is>
      </c>
      <c r="J3" s="43" t="inlineStr">
        <is>
          <t>In</t>
        </is>
      </c>
      <c r="K3" s="43" t="inlineStr">
        <is>
          <t>In</t>
        </is>
      </c>
      <c r="L3" s="43" t="inlineStr">
        <is>
          <t>In</t>
        </is>
      </c>
      <c r="M3" s="43" t="inlineStr">
        <is>
          <t>In</t>
        </is>
      </c>
      <c r="N3" s="43" t="inlineStr">
        <is>
          <t>In</t>
        </is>
      </c>
      <c r="O3" s="37">
        <f>COUNTIF(C3:N3,"Peak")+COUNTIF(C3:N3,"In")</f>
        <v/>
      </c>
      <c r="P3" s="37" t="inlineStr">
        <is>
          <t>Recipe ingredient</t>
        </is>
      </c>
    </row>
    <row r="4" ht="15" customHeight="1" s="26">
      <c r="A4" s="37" t="inlineStr">
        <is>
          <t>P003</t>
        </is>
      </c>
      <c r="B4" s="37" t="inlineStr">
        <is>
          <t>Pineapple</t>
        </is>
      </c>
      <c r="C4" s="43" t="inlineStr">
        <is>
          <t>In</t>
        </is>
      </c>
      <c r="D4" s="43" t="inlineStr">
        <is>
          <t>In</t>
        </is>
      </c>
      <c r="E4" s="43" t="inlineStr">
        <is>
          <t>In</t>
        </is>
      </c>
      <c r="F4" s="43" t="inlineStr">
        <is>
          <t>In</t>
        </is>
      </c>
      <c r="G4" s="43" t="inlineStr">
        <is>
          <t>In</t>
        </is>
      </c>
      <c r="H4" s="43" t="inlineStr">
        <is>
          <t>In</t>
        </is>
      </c>
      <c r="I4" s="43" t="inlineStr">
        <is>
          <t>In</t>
        </is>
      </c>
      <c r="J4" s="43" t="inlineStr">
        <is>
          <t>In</t>
        </is>
      </c>
      <c r="K4" s="43" t="inlineStr">
        <is>
          <t>In</t>
        </is>
      </c>
      <c r="L4" s="43" t="inlineStr">
        <is>
          <t>In</t>
        </is>
      </c>
      <c r="M4" s="43" t="inlineStr">
        <is>
          <t>In</t>
        </is>
      </c>
      <c r="N4" s="43" t="inlineStr">
        <is>
          <t>In</t>
        </is>
      </c>
      <c r="O4" s="37">
        <f>COUNTIF(C4:N4,"Peak")+COUNTIF(C4:N4,"In")</f>
        <v/>
      </c>
      <c r="P4" s="37" t="inlineStr">
        <is>
          <t>Eat as-is + recipes</t>
        </is>
      </c>
    </row>
    <row r="5" ht="15" customHeight="1" s="26">
      <c r="A5" s="37" t="inlineStr">
        <is>
          <t>P004</t>
        </is>
      </c>
      <c r="B5" s="37" t="inlineStr">
        <is>
          <t>Watermelon</t>
        </is>
      </c>
      <c r="C5" s="43" t="inlineStr">
        <is>
          <t>Peak</t>
        </is>
      </c>
      <c r="D5" s="43" t="inlineStr">
        <is>
          <t>Peak</t>
        </is>
      </c>
      <c r="E5" s="43" t="inlineStr">
        <is>
          <t>Peak</t>
        </is>
      </c>
      <c r="F5" s="43" t="inlineStr">
        <is>
          <t>Peak</t>
        </is>
      </c>
      <c r="G5" s="43" t="inlineStr">
        <is>
          <t>In</t>
        </is>
      </c>
      <c r="H5" s="43" t="inlineStr">
        <is>
          <t>In</t>
        </is>
      </c>
      <c r="I5" s="43" t="inlineStr">
        <is>
          <t>In</t>
        </is>
      </c>
      <c r="J5" s="43" t="inlineStr">
        <is>
          <t>In</t>
        </is>
      </c>
      <c r="K5" s="43" t="inlineStr">
        <is>
          <t>In</t>
        </is>
      </c>
      <c r="L5" s="43" t="inlineStr">
        <is>
          <t>In</t>
        </is>
      </c>
      <c r="M5" s="43" t="inlineStr">
        <is>
          <t>In</t>
        </is>
      </c>
      <c r="N5" s="43" t="inlineStr">
        <is>
          <t>Peak</t>
        </is>
      </c>
      <c r="O5" s="37">
        <f>COUNTIF(C5:N5,"Peak")+COUNTIF(C5:N5,"In")</f>
        <v/>
      </c>
      <c r="P5" s="37" t="inlineStr">
        <is>
          <t>Eat as-is + recipes</t>
        </is>
      </c>
    </row>
    <row r="6" ht="15" customHeight="1" s="26">
      <c r="A6" s="37" t="inlineStr">
        <is>
          <t>P005</t>
        </is>
      </c>
      <c r="B6" s="37" t="inlineStr">
        <is>
          <t>Pawpaw (papaya)</t>
        </is>
      </c>
      <c r="C6" s="43" t="inlineStr">
        <is>
          <t>In</t>
        </is>
      </c>
      <c r="D6" s="43" t="inlineStr">
        <is>
          <t>In</t>
        </is>
      </c>
      <c r="E6" s="43" t="inlineStr">
        <is>
          <t>In</t>
        </is>
      </c>
      <c r="F6" s="43" t="inlineStr">
        <is>
          <t>In</t>
        </is>
      </c>
      <c r="G6" s="43" t="inlineStr">
        <is>
          <t>In</t>
        </is>
      </c>
      <c r="H6" s="43" t="inlineStr">
        <is>
          <t>In</t>
        </is>
      </c>
      <c r="I6" s="43" t="inlineStr">
        <is>
          <t>In</t>
        </is>
      </c>
      <c r="J6" s="43" t="inlineStr">
        <is>
          <t>In</t>
        </is>
      </c>
      <c r="K6" s="43" t="inlineStr">
        <is>
          <t>In</t>
        </is>
      </c>
      <c r="L6" s="43" t="inlineStr">
        <is>
          <t>In</t>
        </is>
      </c>
      <c r="M6" s="43" t="inlineStr">
        <is>
          <t>In</t>
        </is>
      </c>
      <c r="N6" s="43" t="inlineStr">
        <is>
          <t>In</t>
        </is>
      </c>
      <c r="O6" s="37">
        <f>COUNTIF(C6:N6,"Peak")+COUNTIF(C6:N6,"In")</f>
        <v/>
      </c>
      <c r="P6" s="37" t="inlineStr">
        <is>
          <t>Eat as-is + recipes</t>
        </is>
      </c>
    </row>
    <row r="7" ht="15" customHeight="1" s="26">
      <c r="A7" s="37" t="inlineStr">
        <is>
          <t>P006</t>
        </is>
      </c>
      <c r="B7" s="37" t="inlineStr">
        <is>
          <t>Mango</t>
        </is>
      </c>
      <c r="C7" s="43" t="n"/>
      <c r="D7" s="43" t="inlineStr">
        <is>
          <t>In</t>
        </is>
      </c>
      <c r="E7" s="43" t="inlineStr">
        <is>
          <t>Peak</t>
        </is>
      </c>
      <c r="F7" s="43" t="inlineStr">
        <is>
          <t>Peak</t>
        </is>
      </c>
      <c r="G7" s="43" t="inlineStr">
        <is>
          <t>In</t>
        </is>
      </c>
      <c r="H7" s="43" t="n"/>
      <c r="I7" s="43" t="n"/>
      <c r="J7" s="43" t="inlineStr">
        <is>
          <t>In</t>
        </is>
      </c>
      <c r="K7" s="43" t="inlineStr">
        <is>
          <t>In</t>
        </is>
      </c>
      <c r="L7" s="43" t="n"/>
      <c r="M7" s="43" t="n"/>
      <c r="N7" s="43" t="n"/>
      <c r="O7" s="37">
        <f>COUNTIF(C7:N7,"Peak")+COUNTIF(C7:N7,"In")</f>
        <v/>
      </c>
      <c r="P7" s="37" t="inlineStr">
        <is>
          <t>Eat as-is + recipes</t>
        </is>
      </c>
    </row>
    <row r="8" ht="15" customHeight="1" s="26">
      <c r="A8" s="37" t="inlineStr">
        <is>
          <t>P007</t>
        </is>
      </c>
      <c r="B8" s="37" t="inlineStr">
        <is>
          <t>Orange</t>
        </is>
      </c>
      <c r="C8" s="43" t="inlineStr">
        <is>
          <t>Peak</t>
        </is>
      </c>
      <c r="D8" s="43" t="inlineStr">
        <is>
          <t>In</t>
        </is>
      </c>
      <c r="E8" s="43" t="inlineStr">
        <is>
          <t>In</t>
        </is>
      </c>
      <c r="F8" s="43" t="inlineStr">
        <is>
          <t>In</t>
        </is>
      </c>
      <c r="G8" s="43" t="inlineStr">
        <is>
          <t>In</t>
        </is>
      </c>
      <c r="H8" s="43" t="inlineStr">
        <is>
          <t>In</t>
        </is>
      </c>
      <c r="I8" s="43" t="inlineStr">
        <is>
          <t>In</t>
        </is>
      </c>
      <c r="J8" s="43" t="inlineStr">
        <is>
          <t>In</t>
        </is>
      </c>
      <c r="K8" s="43" t="inlineStr">
        <is>
          <t>In</t>
        </is>
      </c>
      <c r="L8" s="43" t="inlineStr">
        <is>
          <t>Peak</t>
        </is>
      </c>
      <c r="M8" s="43" t="inlineStr">
        <is>
          <t>Peak</t>
        </is>
      </c>
      <c r="N8" s="43" t="inlineStr">
        <is>
          <t>Peak</t>
        </is>
      </c>
      <c r="O8" s="37">
        <f>COUNTIF(C8:N8,"Peak")+COUNTIF(C8:N8,"In")</f>
        <v/>
      </c>
      <c r="P8" s="37" t="inlineStr">
        <is>
          <t>Eat as-is + recipes</t>
        </is>
      </c>
    </row>
    <row r="9" ht="15" customHeight="1" s="26">
      <c r="A9" s="37" t="inlineStr">
        <is>
          <t>P008</t>
        </is>
      </c>
      <c r="B9" s="37" t="inlineStr">
        <is>
          <t>Tangerine</t>
        </is>
      </c>
      <c r="C9" s="43" t="inlineStr">
        <is>
          <t>Peak</t>
        </is>
      </c>
      <c r="D9" s="43" t="inlineStr">
        <is>
          <t>In</t>
        </is>
      </c>
      <c r="E9" s="43" t="inlineStr">
        <is>
          <t>In</t>
        </is>
      </c>
      <c r="F9" s="43" t="inlineStr">
        <is>
          <t>In</t>
        </is>
      </c>
      <c r="G9" s="43" t="inlineStr">
        <is>
          <t>In</t>
        </is>
      </c>
      <c r="H9" s="43" t="inlineStr">
        <is>
          <t>In</t>
        </is>
      </c>
      <c r="I9" s="43" t="inlineStr">
        <is>
          <t>In</t>
        </is>
      </c>
      <c r="J9" s="43" t="inlineStr">
        <is>
          <t>In</t>
        </is>
      </c>
      <c r="K9" s="43" t="inlineStr">
        <is>
          <t>In</t>
        </is>
      </c>
      <c r="L9" s="43" t="inlineStr">
        <is>
          <t>Peak</t>
        </is>
      </c>
      <c r="M9" s="43" t="inlineStr">
        <is>
          <t>Peak</t>
        </is>
      </c>
      <c r="N9" s="43" t="inlineStr">
        <is>
          <t>Peak</t>
        </is>
      </c>
      <c r="O9" s="37">
        <f>COUNTIF(C9:N9,"Peak")+COUNTIF(C9:N9,"In")</f>
        <v/>
      </c>
      <c r="P9" s="37" t="inlineStr">
        <is>
          <t>Eat as-is + recipes</t>
        </is>
      </c>
    </row>
    <row r="10" ht="15" customHeight="1" s="26">
      <c r="A10" s="37" t="inlineStr">
        <is>
          <t>P009</t>
        </is>
      </c>
      <c r="B10" s="37" t="inlineStr">
        <is>
          <t>Lemon</t>
        </is>
      </c>
      <c r="C10" s="43" t="inlineStr">
        <is>
          <t>Peak</t>
        </is>
      </c>
      <c r="D10" s="43" t="inlineStr">
        <is>
          <t>In</t>
        </is>
      </c>
      <c r="E10" s="43" t="inlineStr">
        <is>
          <t>In</t>
        </is>
      </c>
      <c r="F10" s="43" t="inlineStr">
        <is>
          <t>In</t>
        </is>
      </c>
      <c r="G10" s="43" t="inlineStr">
        <is>
          <t>In</t>
        </is>
      </c>
      <c r="H10" s="43" t="inlineStr">
        <is>
          <t>In</t>
        </is>
      </c>
      <c r="I10" s="43" t="inlineStr">
        <is>
          <t>In</t>
        </is>
      </c>
      <c r="J10" s="43" t="inlineStr">
        <is>
          <t>In</t>
        </is>
      </c>
      <c r="K10" s="43" t="inlineStr">
        <is>
          <t>In</t>
        </is>
      </c>
      <c r="L10" s="43" t="inlineStr">
        <is>
          <t>Peak</t>
        </is>
      </c>
      <c r="M10" s="43" t="inlineStr">
        <is>
          <t>Peak</t>
        </is>
      </c>
      <c r="N10" s="43" t="inlineStr">
        <is>
          <t>Peak</t>
        </is>
      </c>
      <c r="O10" s="37">
        <f>COUNTIF(C10:N10,"Peak")+COUNTIF(C10:N10,"In")</f>
        <v/>
      </c>
      <c r="P10" s="37" t="inlineStr">
        <is>
          <t>Recipe ingredient</t>
        </is>
      </c>
    </row>
    <row r="11" ht="15" customHeight="1" s="26">
      <c r="A11" s="37" t="inlineStr">
        <is>
          <t>P010</t>
        </is>
      </c>
      <c r="B11" s="37" t="inlineStr">
        <is>
          <t>Lime</t>
        </is>
      </c>
      <c r="C11" s="43" t="inlineStr">
        <is>
          <t>Peak</t>
        </is>
      </c>
      <c r="D11" s="43" t="inlineStr">
        <is>
          <t>In</t>
        </is>
      </c>
      <c r="E11" s="43" t="inlineStr">
        <is>
          <t>In</t>
        </is>
      </c>
      <c r="F11" s="43" t="inlineStr">
        <is>
          <t>In</t>
        </is>
      </c>
      <c r="G11" s="43" t="inlineStr">
        <is>
          <t>In</t>
        </is>
      </c>
      <c r="H11" s="43" t="inlineStr">
        <is>
          <t>In</t>
        </is>
      </c>
      <c r="I11" s="43" t="inlineStr">
        <is>
          <t>In</t>
        </is>
      </c>
      <c r="J11" s="43" t="inlineStr">
        <is>
          <t>In</t>
        </is>
      </c>
      <c r="K11" s="43" t="inlineStr">
        <is>
          <t>In</t>
        </is>
      </c>
      <c r="L11" s="43" t="inlineStr">
        <is>
          <t>Peak</t>
        </is>
      </c>
      <c r="M11" s="43" t="inlineStr">
        <is>
          <t>Peak</t>
        </is>
      </c>
      <c r="N11" s="43" t="inlineStr">
        <is>
          <t>Peak</t>
        </is>
      </c>
      <c r="O11" s="37">
        <f>COUNTIF(C11:N11,"Peak")+COUNTIF(C11:N11,"In")</f>
        <v/>
      </c>
      <c r="P11" s="37" t="inlineStr">
        <is>
          <t>Recipe ingredient</t>
        </is>
      </c>
    </row>
    <row r="12" ht="15" customHeight="1" s="26">
      <c r="A12" s="37" t="inlineStr">
        <is>
          <t>P011</t>
        </is>
      </c>
      <c r="B12" s="37" t="inlineStr">
        <is>
          <t>Grapefruit</t>
        </is>
      </c>
      <c r="C12" s="43" t="inlineStr">
        <is>
          <t>Peak</t>
        </is>
      </c>
      <c r="D12" s="43" t="inlineStr">
        <is>
          <t>In</t>
        </is>
      </c>
      <c r="E12" s="43" t="inlineStr">
        <is>
          <t>In</t>
        </is>
      </c>
      <c r="F12" s="43" t="inlineStr">
        <is>
          <t>In</t>
        </is>
      </c>
      <c r="G12" s="43" t="inlineStr">
        <is>
          <t>In</t>
        </is>
      </c>
      <c r="H12" s="43" t="inlineStr">
        <is>
          <t>In</t>
        </is>
      </c>
      <c r="I12" s="43" t="inlineStr">
        <is>
          <t>In</t>
        </is>
      </c>
      <c r="J12" s="43" t="inlineStr">
        <is>
          <t>In</t>
        </is>
      </c>
      <c r="K12" s="43" t="inlineStr">
        <is>
          <t>In</t>
        </is>
      </c>
      <c r="L12" s="43" t="inlineStr">
        <is>
          <t>Peak</t>
        </is>
      </c>
      <c r="M12" s="43" t="inlineStr">
        <is>
          <t>Peak</t>
        </is>
      </c>
      <c r="N12" s="43" t="inlineStr">
        <is>
          <t>Peak</t>
        </is>
      </c>
      <c r="O12" s="37">
        <f>COUNTIF(C12:N12,"Peak")+COUNTIF(C12:N12,"In")</f>
        <v/>
      </c>
      <c r="P12" s="37" t="inlineStr">
        <is>
          <t>Eat as-is + recipes</t>
        </is>
      </c>
    </row>
    <row r="13" ht="15" customHeight="1" s="26">
      <c r="A13" s="37" t="inlineStr">
        <is>
          <t>P012</t>
        </is>
      </c>
      <c r="B13" s="37" t="inlineStr">
        <is>
          <t>Avocado</t>
        </is>
      </c>
      <c r="C13" s="43" t="inlineStr">
        <is>
          <t>In</t>
        </is>
      </c>
      <c r="D13" s="43" t="inlineStr">
        <is>
          <t>In</t>
        </is>
      </c>
      <c r="E13" s="43" t="inlineStr">
        <is>
          <t>In</t>
        </is>
      </c>
      <c r="F13" s="43" t="inlineStr">
        <is>
          <t>In</t>
        </is>
      </c>
      <c r="G13" s="43" t="inlineStr">
        <is>
          <t>In</t>
        </is>
      </c>
      <c r="H13" s="43" t="inlineStr">
        <is>
          <t>In</t>
        </is>
      </c>
      <c r="I13" s="43" t="inlineStr">
        <is>
          <t>In</t>
        </is>
      </c>
      <c r="J13" s="43" t="inlineStr">
        <is>
          <t>In</t>
        </is>
      </c>
      <c r="K13" s="43" t="inlineStr">
        <is>
          <t>In</t>
        </is>
      </c>
      <c r="L13" s="43" t="inlineStr">
        <is>
          <t>In</t>
        </is>
      </c>
      <c r="M13" s="43" t="inlineStr">
        <is>
          <t>In</t>
        </is>
      </c>
      <c r="N13" s="43" t="inlineStr">
        <is>
          <t>In</t>
        </is>
      </c>
      <c r="O13" s="37">
        <f>COUNTIF(C13:N13,"Peak")+COUNTIF(C13:N13,"In")</f>
        <v/>
      </c>
      <c r="P13" s="37" t="inlineStr">
        <is>
          <t>Eat as-is + recipes</t>
        </is>
      </c>
    </row>
    <row r="14" ht="15" customHeight="1" s="26">
      <c r="A14" s="37" t="inlineStr">
        <is>
          <t>P013</t>
        </is>
      </c>
      <c r="B14" s="37" t="inlineStr">
        <is>
          <t>Guava</t>
        </is>
      </c>
      <c r="C14" s="43" t="n"/>
      <c r="D14" s="43" t="inlineStr">
        <is>
          <t>Peak</t>
        </is>
      </c>
      <c r="E14" s="43" t="inlineStr">
        <is>
          <t>Peak</t>
        </is>
      </c>
      <c r="F14" s="43" t="n"/>
      <c r="G14" s="43" t="n"/>
      <c r="H14" s="43" t="n"/>
      <c r="I14" s="43" t="n"/>
      <c r="J14" s="43" t="inlineStr">
        <is>
          <t>In</t>
        </is>
      </c>
      <c r="K14" s="43" t="inlineStr">
        <is>
          <t>In</t>
        </is>
      </c>
      <c r="L14" s="43" t="n"/>
      <c r="M14" s="43" t="n"/>
      <c r="N14" s="43" t="n"/>
      <c r="O14" s="37">
        <f>COUNTIF(C14:N14,"Peak")+COUNTIF(C14:N14,"In")</f>
        <v/>
      </c>
      <c r="P14" s="37" t="inlineStr">
        <is>
          <t>Eat as-is + recipes</t>
        </is>
      </c>
    </row>
    <row r="15" ht="15" customHeight="1" s="26">
      <c r="A15" s="37" t="inlineStr">
        <is>
          <t>P014</t>
        </is>
      </c>
      <c r="B15" s="37" t="inlineStr">
        <is>
          <t>Soursop</t>
        </is>
      </c>
      <c r="C15" s="43" t="inlineStr">
        <is>
          <t>In</t>
        </is>
      </c>
      <c r="D15" s="43" t="inlineStr">
        <is>
          <t>Peak</t>
        </is>
      </c>
      <c r="E15" s="43" t="inlineStr">
        <is>
          <t>Peak</t>
        </is>
      </c>
      <c r="F15" s="43" t="n"/>
      <c r="G15" s="43" t="inlineStr">
        <is>
          <t>In</t>
        </is>
      </c>
      <c r="H15" s="43" t="inlineStr">
        <is>
          <t>In</t>
        </is>
      </c>
      <c r="I15" s="43" t="inlineStr">
        <is>
          <t>In</t>
        </is>
      </c>
      <c r="J15" s="43" t="inlineStr">
        <is>
          <t>In</t>
        </is>
      </c>
      <c r="K15" s="43" t="n"/>
      <c r="L15" s="43" t="inlineStr">
        <is>
          <t>In</t>
        </is>
      </c>
      <c r="M15" s="43" t="n"/>
      <c r="N15" s="43" t="inlineStr">
        <is>
          <t>In</t>
        </is>
      </c>
      <c r="O15" s="37">
        <f>COUNTIF(C15:N15,"Peak")+COUNTIF(C15:N15,"In")</f>
        <v/>
      </c>
      <c r="P15" s="37" t="inlineStr">
        <is>
          <t>Eat as-is + recipes</t>
        </is>
      </c>
    </row>
    <row r="16" ht="15" customHeight="1" s="26">
      <c r="A16" s="37" t="inlineStr">
        <is>
          <t>P015</t>
        </is>
      </c>
      <c r="B16" s="37" t="inlineStr">
        <is>
          <t>Passion fruit</t>
        </is>
      </c>
      <c r="C16" s="43" t="inlineStr">
        <is>
          <t>In</t>
        </is>
      </c>
      <c r="D16" s="43" t="inlineStr">
        <is>
          <t>In</t>
        </is>
      </c>
      <c r="E16" s="43" t="inlineStr">
        <is>
          <t>In</t>
        </is>
      </c>
      <c r="F16" s="43" t="n"/>
      <c r="G16" s="43" t="inlineStr">
        <is>
          <t>In</t>
        </is>
      </c>
      <c r="H16" s="43" t="inlineStr">
        <is>
          <t>In</t>
        </is>
      </c>
      <c r="I16" s="43" t="n"/>
      <c r="J16" s="43" t="inlineStr">
        <is>
          <t>In</t>
        </is>
      </c>
      <c r="K16" s="43" t="inlineStr">
        <is>
          <t>In</t>
        </is>
      </c>
      <c r="L16" s="43" t="inlineStr">
        <is>
          <t>In</t>
        </is>
      </c>
      <c r="M16" s="43" t="inlineStr">
        <is>
          <t>In</t>
        </is>
      </c>
      <c r="N16" s="43" t="n"/>
      <c r="O16" s="37">
        <f>COUNTIF(C16:N16,"Peak")+COUNTIF(C16:N16,"In")</f>
        <v/>
      </c>
      <c r="P16" s="37" t="inlineStr">
        <is>
          <t>Recipe ingredient</t>
        </is>
      </c>
    </row>
    <row r="17" ht="15" customHeight="1" s="26">
      <c r="A17" s="37" t="inlineStr">
        <is>
          <t>P016</t>
        </is>
      </c>
      <c r="B17" s="37" t="inlineStr">
        <is>
          <t>Coconut</t>
        </is>
      </c>
      <c r="C17" s="43" t="inlineStr">
        <is>
          <t>In</t>
        </is>
      </c>
      <c r="D17" s="43" t="inlineStr">
        <is>
          <t>In</t>
        </is>
      </c>
      <c r="E17" s="43" t="inlineStr">
        <is>
          <t>In</t>
        </is>
      </c>
      <c r="F17" s="43" t="inlineStr">
        <is>
          <t>In</t>
        </is>
      </c>
      <c r="G17" s="43" t="inlineStr">
        <is>
          <t>In</t>
        </is>
      </c>
      <c r="H17" s="43" t="inlineStr">
        <is>
          <t>In</t>
        </is>
      </c>
      <c r="I17" s="43" t="inlineStr">
        <is>
          <t>In</t>
        </is>
      </c>
      <c r="J17" s="43" t="inlineStr">
        <is>
          <t>In</t>
        </is>
      </c>
      <c r="K17" s="43" t="inlineStr">
        <is>
          <t>In</t>
        </is>
      </c>
      <c r="L17" s="43" t="inlineStr">
        <is>
          <t>In</t>
        </is>
      </c>
      <c r="M17" s="43" t="inlineStr">
        <is>
          <t>In</t>
        </is>
      </c>
      <c r="N17" s="43" t="inlineStr">
        <is>
          <t>In</t>
        </is>
      </c>
      <c r="O17" s="37">
        <f>COUNTIF(C17:N17,"Peak")+COUNTIF(C17:N17,"In")</f>
        <v/>
      </c>
      <c r="P17" s="37" t="inlineStr">
        <is>
          <t>Eat as-is + recipes</t>
        </is>
      </c>
    </row>
    <row r="18" ht="15" customHeight="1" s="26">
      <c r="A18" s="37" t="inlineStr">
        <is>
          <t>P017</t>
        </is>
      </c>
      <c r="B18" s="37" t="inlineStr">
        <is>
          <t>Agbalumo (African star apple)</t>
        </is>
      </c>
      <c r="C18" s="43" t="inlineStr">
        <is>
          <t>Peak</t>
        </is>
      </c>
      <c r="D18" s="43" t="inlineStr">
        <is>
          <t>Peak</t>
        </is>
      </c>
      <c r="E18" s="43" t="inlineStr">
        <is>
          <t>Peak</t>
        </is>
      </c>
      <c r="F18" s="43" t="inlineStr">
        <is>
          <t>In</t>
        </is>
      </c>
      <c r="G18" s="43" t="inlineStr">
        <is>
          <t>In</t>
        </is>
      </c>
      <c r="H18" s="43" t="n"/>
      <c r="I18" s="43" t="n"/>
      <c r="J18" s="43" t="n"/>
      <c r="K18" s="43" t="n"/>
      <c r="L18" s="43" t="n"/>
      <c r="M18" s="43" t="n"/>
      <c r="N18" s="43" t="inlineStr">
        <is>
          <t>In</t>
        </is>
      </c>
      <c r="O18" s="37">
        <f>COUNTIF(C18:N18,"Peak")+COUNTIF(C18:N18,"In")</f>
        <v/>
      </c>
      <c r="P18" s="37" t="inlineStr">
        <is>
          <t>Eat as-is only</t>
        </is>
      </c>
    </row>
    <row r="19" ht="15" customHeight="1" s="26">
      <c r="A19" s="37" t="inlineStr">
        <is>
          <t>P018</t>
        </is>
      </c>
      <c r="B19" s="37" t="inlineStr">
        <is>
          <t>Cashew apple</t>
        </is>
      </c>
      <c r="C19" s="43" t="n"/>
      <c r="D19" s="43" t="inlineStr">
        <is>
          <t>Peak</t>
        </is>
      </c>
      <c r="E19" s="43" t="inlineStr">
        <is>
          <t>Peak</t>
        </is>
      </c>
      <c r="F19" s="43" t="n"/>
      <c r="G19" s="43" t="n"/>
      <c r="H19" s="43" t="n"/>
      <c r="I19" s="43" t="n"/>
      <c r="J19" s="43" t="n"/>
      <c r="K19" s="43" t="n"/>
      <c r="L19" s="43" t="n"/>
      <c r="M19" s="43" t="n"/>
      <c r="N19" s="43" t="n"/>
      <c r="O19" s="37">
        <f>COUNTIF(C19:N19,"Peak")+COUNTIF(C19:N19,"In")</f>
        <v/>
      </c>
      <c r="P19" s="37" t="inlineStr">
        <is>
          <t>Eat as-is only</t>
        </is>
      </c>
    </row>
    <row r="20" ht="15" customHeight="1" s="26">
      <c r="A20" s="37" t="inlineStr">
        <is>
          <t>P019</t>
        </is>
      </c>
      <c r="B20" s="37" t="inlineStr">
        <is>
          <t>Velvet tamarind</t>
        </is>
      </c>
      <c r="C20" s="43" t="inlineStr">
        <is>
          <t>In</t>
        </is>
      </c>
      <c r="D20" s="43" t="inlineStr">
        <is>
          <t>Peak</t>
        </is>
      </c>
      <c r="E20" s="43" t="inlineStr">
        <is>
          <t>Peak</t>
        </is>
      </c>
      <c r="F20" s="43" t="inlineStr">
        <is>
          <t>In</t>
        </is>
      </c>
      <c r="G20" s="43" t="inlineStr">
        <is>
          <t>In</t>
        </is>
      </c>
      <c r="H20" s="43" t="n"/>
      <c r="I20" s="43" t="n"/>
      <c r="J20" s="43" t="n"/>
      <c r="K20" s="43" t="n"/>
      <c r="L20" s="43" t="n"/>
      <c r="M20" s="43" t="n"/>
      <c r="N20" s="43" t="n"/>
      <c r="O20" s="37">
        <f>COUNTIF(C20:N20,"Peak")+COUNTIF(C20:N20,"In")</f>
        <v/>
      </c>
      <c r="P20" s="37" t="inlineStr">
        <is>
          <t>Eat as-is only</t>
        </is>
      </c>
    </row>
    <row r="21" ht="15" customHeight="1" s="26">
      <c r="A21" s="37" t="inlineStr">
        <is>
          <t>P020</t>
        </is>
      </c>
      <c r="B21" s="37" t="inlineStr">
        <is>
          <t>Hog plum</t>
        </is>
      </c>
      <c r="C21" s="43" t="n"/>
      <c r="D21" s="43" t="n"/>
      <c r="E21" s="43" t="n"/>
      <c r="F21" s="43" t="n"/>
      <c r="G21" s="43" t="n"/>
      <c r="H21" s="43" t="n"/>
      <c r="I21" s="43" t="inlineStr">
        <is>
          <t>Peak</t>
        </is>
      </c>
      <c r="J21" s="43" t="n"/>
      <c r="K21" s="43" t="n"/>
      <c r="L21" s="43" t="n"/>
      <c r="M21" s="43" t="n"/>
      <c r="N21" s="43" t="inlineStr">
        <is>
          <t>In</t>
        </is>
      </c>
      <c r="O21" s="37">
        <f>COUNTIF(C21:N21,"Peak")+COUNTIF(C21:N21,"In")</f>
        <v/>
      </c>
      <c r="P21" s="37" t="inlineStr">
        <is>
          <t>Eat as-is only</t>
        </is>
      </c>
    </row>
    <row r="22" ht="15" customHeight="1" s="26">
      <c r="A22" s="37" t="inlineStr">
        <is>
          <t>P021</t>
        </is>
      </c>
      <c r="B22" s="37" t="inlineStr">
        <is>
          <t>Pepper fruit</t>
        </is>
      </c>
      <c r="C22" s="43" t="n"/>
      <c r="D22" s="43" t="inlineStr">
        <is>
          <t>In</t>
        </is>
      </c>
      <c r="E22" s="43" t="inlineStr">
        <is>
          <t>In</t>
        </is>
      </c>
      <c r="F22" s="43" t="inlineStr">
        <is>
          <t>In</t>
        </is>
      </c>
      <c r="G22" s="43" t="inlineStr">
        <is>
          <t>In</t>
        </is>
      </c>
      <c r="H22" s="43" t="n"/>
      <c r="I22" s="43" t="n"/>
      <c r="J22" s="43" t="n"/>
      <c r="K22" s="43" t="n"/>
      <c r="L22" s="43" t="n"/>
      <c r="M22" s="43" t="n"/>
      <c r="N22" s="43" t="n"/>
      <c r="O22" s="37">
        <f>COUNTIF(C22:N22,"Peak")+COUNTIF(C22:N22,"In")</f>
        <v/>
      </c>
      <c r="P22" s="37" t="inlineStr">
        <is>
          <t>Eat as-is only</t>
        </is>
      </c>
    </row>
    <row r="23" ht="15" customHeight="1" s="26">
      <c r="A23" s="37" t="inlineStr">
        <is>
          <t>P022</t>
        </is>
      </c>
      <c r="B23" s="37" t="inlineStr">
        <is>
          <t>Monkey kola</t>
        </is>
      </c>
      <c r="C23" s="43" t="n"/>
      <c r="D23" s="43" t="n"/>
      <c r="E23" s="43" t="n"/>
      <c r="F23" s="43" t="n"/>
      <c r="G23" s="43" t="inlineStr">
        <is>
          <t>In</t>
        </is>
      </c>
      <c r="H23" s="43" t="inlineStr">
        <is>
          <t>In</t>
        </is>
      </c>
      <c r="I23" s="43" t="inlineStr">
        <is>
          <t>In</t>
        </is>
      </c>
      <c r="J23" s="43" t="inlineStr">
        <is>
          <t>In</t>
        </is>
      </c>
      <c r="K23" s="43" t="n"/>
      <c r="L23" s="43" t="n"/>
      <c r="M23" s="43" t="n"/>
      <c r="N23" s="43" t="n"/>
      <c r="O23" s="37">
        <f>COUNTIF(C23:N23,"Peak")+COUNTIF(C23:N23,"In")</f>
        <v/>
      </c>
      <c r="P23" s="37" t="inlineStr">
        <is>
          <t>Eat as-is only</t>
        </is>
      </c>
    </row>
    <row r="24" ht="15" customHeight="1" s="26">
      <c r="A24" s="37" t="inlineStr">
        <is>
          <t>P023</t>
        </is>
      </c>
      <c r="B24" s="37" t="inlineStr">
        <is>
          <t>African pear</t>
        </is>
      </c>
      <c r="C24" s="43" t="n"/>
      <c r="D24" s="43" t="n"/>
      <c r="E24" s="43" t="n"/>
      <c r="F24" s="43" t="n"/>
      <c r="G24" s="43" t="inlineStr">
        <is>
          <t>In</t>
        </is>
      </c>
      <c r="H24" s="43" t="inlineStr">
        <is>
          <t>Peak</t>
        </is>
      </c>
      <c r="I24" s="43" t="inlineStr">
        <is>
          <t>Peak</t>
        </is>
      </c>
      <c r="J24" s="43" t="inlineStr">
        <is>
          <t>Peak</t>
        </is>
      </c>
      <c r="K24" s="43" t="inlineStr">
        <is>
          <t>In</t>
        </is>
      </c>
      <c r="L24" s="43" t="n"/>
      <c r="M24" s="43" t="n"/>
      <c r="N24" s="43" t="n"/>
      <c r="O24" s="37">
        <f>COUNTIF(C24:N24,"Peak")+COUNTIF(C24:N24,"In")</f>
        <v/>
      </c>
      <c r="P24" s="37" t="inlineStr">
        <is>
          <t>Eat as-is only</t>
        </is>
      </c>
    </row>
    <row r="25" ht="15" customHeight="1" s="26">
      <c r="A25" s="37" t="inlineStr">
        <is>
          <t>P024</t>
        </is>
      </c>
      <c r="B25" s="37" t="inlineStr">
        <is>
          <t>Tiger nut</t>
        </is>
      </c>
      <c r="C25" s="43" t="inlineStr">
        <is>
          <t>In</t>
        </is>
      </c>
      <c r="D25" s="43" t="inlineStr">
        <is>
          <t>In</t>
        </is>
      </c>
      <c r="E25" s="43" t="inlineStr">
        <is>
          <t>In</t>
        </is>
      </c>
      <c r="F25" s="43" t="inlineStr">
        <is>
          <t>In</t>
        </is>
      </c>
      <c r="G25" s="43" t="inlineStr">
        <is>
          <t>In</t>
        </is>
      </c>
      <c r="H25" s="43" t="n"/>
      <c r="I25" s="43" t="inlineStr">
        <is>
          <t>In</t>
        </is>
      </c>
      <c r="J25" s="43" t="inlineStr">
        <is>
          <t>In</t>
        </is>
      </c>
      <c r="K25" s="43" t="inlineStr">
        <is>
          <t>In</t>
        </is>
      </c>
      <c r="L25" s="43" t="n"/>
      <c r="M25" s="43" t="inlineStr">
        <is>
          <t>In</t>
        </is>
      </c>
      <c r="N25" s="43" t="inlineStr">
        <is>
          <t>In</t>
        </is>
      </c>
      <c r="O25" s="37">
        <f>COUNTIF(C25:N25,"Peak")+COUNTIF(C25:N25,"In")</f>
        <v/>
      </c>
      <c r="P25" s="37" t="inlineStr">
        <is>
          <t>Eat as-is + recipes</t>
        </is>
      </c>
    </row>
    <row r="26" ht="15" customHeight="1" s="26">
      <c r="A26" s="37" t="inlineStr">
        <is>
          <t>P025</t>
        </is>
      </c>
      <c r="B26" s="37" t="inlineStr">
        <is>
          <t>Sugarcane</t>
        </is>
      </c>
      <c r="C26" s="43" t="inlineStr">
        <is>
          <t>In</t>
        </is>
      </c>
      <c r="D26" s="43" t="inlineStr">
        <is>
          <t>In</t>
        </is>
      </c>
      <c r="E26" s="43" t="inlineStr">
        <is>
          <t>In</t>
        </is>
      </c>
      <c r="F26" s="43" t="n"/>
      <c r="G26" s="43" t="n"/>
      <c r="H26" s="43" t="n"/>
      <c r="I26" s="43" t="n"/>
      <c r="J26" s="43" t="inlineStr">
        <is>
          <t>In</t>
        </is>
      </c>
      <c r="K26" s="43" t="inlineStr">
        <is>
          <t>In</t>
        </is>
      </c>
      <c r="L26" s="43" t="inlineStr">
        <is>
          <t>In</t>
        </is>
      </c>
      <c r="M26" s="43" t="inlineStr">
        <is>
          <t>In</t>
        </is>
      </c>
      <c r="N26" s="43" t="inlineStr">
        <is>
          <t>In</t>
        </is>
      </c>
      <c r="O26" s="37">
        <f>COUNTIF(C26:N26,"Peak")+COUNTIF(C26:N26,"In")</f>
        <v/>
      </c>
      <c r="P26" s="37" t="inlineStr">
        <is>
          <t>Eat as-is only</t>
        </is>
      </c>
    </row>
    <row r="27" ht="15" customHeight="1" s="26">
      <c r="A27" s="37" t="inlineStr">
        <is>
          <t>P026</t>
        </is>
      </c>
      <c r="B27" s="37" t="inlineStr">
        <is>
          <t>Custard apple (sweetsop)</t>
        </is>
      </c>
      <c r="C27" s="43" t="n"/>
      <c r="D27" s="43" t="inlineStr">
        <is>
          <t>In</t>
        </is>
      </c>
      <c r="E27" s="43" t="n"/>
      <c r="F27" s="43" t="n"/>
      <c r="G27" s="43" t="n"/>
      <c r="H27" s="43" t="n"/>
      <c r="I27" s="43" t="n"/>
      <c r="J27" s="43" t="inlineStr">
        <is>
          <t>In</t>
        </is>
      </c>
      <c r="K27" s="43" t="inlineStr">
        <is>
          <t>In</t>
        </is>
      </c>
      <c r="L27" s="43" t="n"/>
      <c r="M27" s="43" t="n"/>
      <c r="N27" s="43" t="n"/>
      <c r="O27" s="37">
        <f>COUNTIF(C27:N27,"Peak")+COUNTIF(C27:N27,"In")</f>
        <v/>
      </c>
      <c r="P27" s="37" t="inlineStr">
        <is>
          <t>Eat as-is only</t>
        </is>
      </c>
    </row>
    <row r="28" ht="15" customHeight="1" s="26">
      <c r="A28" s="37" t="inlineStr">
        <is>
          <t>P027</t>
        </is>
      </c>
      <c r="B28" s="37" t="inlineStr">
        <is>
          <t>Jackfruit</t>
        </is>
      </c>
      <c r="C28" s="43" t="n"/>
      <c r="D28" s="43" t="n"/>
      <c r="E28" s="43" t="n"/>
      <c r="F28" s="43" t="n"/>
      <c r="G28" s="43" t="inlineStr">
        <is>
          <t>Peak</t>
        </is>
      </c>
      <c r="H28" s="43" t="inlineStr">
        <is>
          <t>In</t>
        </is>
      </c>
      <c r="I28" s="43" t="n"/>
      <c r="J28" s="43" t="n"/>
      <c r="K28" s="43" t="n"/>
      <c r="L28" s="43" t="n"/>
      <c r="M28" s="43" t="n"/>
      <c r="N28" s="43" t="n"/>
      <c r="O28" s="37">
        <f>COUNTIF(C28:N28,"Peak")+COUNTIF(C28:N28,"In")</f>
        <v/>
      </c>
      <c r="P28" s="37" t="inlineStr">
        <is>
          <t>Eat as-is + recipes</t>
        </is>
      </c>
    </row>
    <row r="29" ht="15" customHeight="1" s="26">
      <c r="A29" s="37" t="inlineStr">
        <is>
          <t>P028</t>
        </is>
      </c>
      <c r="B29" s="37" t="inlineStr">
        <is>
          <t>June plum</t>
        </is>
      </c>
      <c r="C29" s="43" t="inlineStr">
        <is>
          <t>In</t>
        </is>
      </c>
      <c r="D29" s="43" t="n"/>
      <c r="E29" s="43" t="n"/>
      <c r="F29" s="43" t="n"/>
      <c r="G29" s="43" t="n"/>
      <c r="H29" s="43" t="n"/>
      <c r="I29" s="43" t="n"/>
      <c r="J29" s="43" t="n"/>
      <c r="K29" s="43" t="n"/>
      <c r="L29" s="43" t="n"/>
      <c r="M29" s="43" t="n"/>
      <c r="N29" s="43" t="inlineStr">
        <is>
          <t>In</t>
        </is>
      </c>
      <c r="O29" s="37">
        <f>COUNTIF(C29:N29,"Peak")+COUNTIF(C29:N29,"In")</f>
        <v/>
      </c>
      <c r="P29" s="37" t="inlineStr">
        <is>
          <t>Eat as-is only</t>
        </is>
      </c>
    </row>
    <row r="30" ht="15" customHeight="1" s="26">
      <c r="A30" s="37" t="inlineStr">
        <is>
          <t>P029</t>
        </is>
      </c>
      <c r="B30" s="37" t="inlineStr">
        <is>
          <t>Sweet melon (golden / cantaloupe)</t>
        </is>
      </c>
      <c r="C30" s="43" t="inlineStr">
        <is>
          <t>Peak</t>
        </is>
      </c>
      <c r="D30" s="43" t="inlineStr">
        <is>
          <t>In</t>
        </is>
      </c>
      <c r="E30" s="43" t="inlineStr">
        <is>
          <t>In</t>
        </is>
      </c>
      <c r="F30" s="43" t="inlineStr">
        <is>
          <t>In</t>
        </is>
      </c>
      <c r="G30" s="43" t="inlineStr">
        <is>
          <t>Peak</t>
        </is>
      </c>
      <c r="H30" s="43" t="inlineStr">
        <is>
          <t>Peak</t>
        </is>
      </c>
      <c r="I30" s="43" t="inlineStr">
        <is>
          <t>In</t>
        </is>
      </c>
      <c r="J30" s="43" t="inlineStr">
        <is>
          <t>In</t>
        </is>
      </c>
      <c r="K30" s="43" t="inlineStr">
        <is>
          <t>In</t>
        </is>
      </c>
      <c r="L30" s="43" t="inlineStr">
        <is>
          <t>In</t>
        </is>
      </c>
      <c r="M30" s="43" t="inlineStr">
        <is>
          <t>In</t>
        </is>
      </c>
      <c r="N30" s="43" t="inlineStr">
        <is>
          <t>In</t>
        </is>
      </c>
      <c r="O30" s="37">
        <f>COUNTIF(C30:N30,"Peak")+COUNTIF(C30:N30,"In")</f>
        <v/>
      </c>
      <c r="P30" s="37" t="inlineStr">
        <is>
          <t>Eat as-is + recipes</t>
        </is>
      </c>
    </row>
    <row r="31" ht="15" customHeight="1" s="26">
      <c r="A31" s="37" t="inlineStr">
        <is>
          <t>P030</t>
        </is>
      </c>
      <c r="B31" s="37" t="inlineStr">
        <is>
          <t>Dates</t>
        </is>
      </c>
      <c r="C31" s="43" t="inlineStr">
        <is>
          <t>In</t>
        </is>
      </c>
      <c r="D31" s="43" t="inlineStr">
        <is>
          <t>In</t>
        </is>
      </c>
      <c r="E31" s="43" t="inlineStr">
        <is>
          <t>In</t>
        </is>
      </c>
      <c r="F31" s="43" t="inlineStr">
        <is>
          <t>Peak</t>
        </is>
      </c>
      <c r="G31" s="43" t="inlineStr">
        <is>
          <t>Peak</t>
        </is>
      </c>
      <c r="H31" s="43" t="inlineStr">
        <is>
          <t>Peak</t>
        </is>
      </c>
      <c r="I31" s="43" t="inlineStr">
        <is>
          <t>Peak</t>
        </is>
      </c>
      <c r="J31" s="43" t="inlineStr">
        <is>
          <t>In</t>
        </is>
      </c>
      <c r="K31" s="43" t="inlineStr">
        <is>
          <t>In</t>
        </is>
      </c>
      <c r="L31" s="43" t="inlineStr">
        <is>
          <t>In</t>
        </is>
      </c>
      <c r="M31" s="43" t="inlineStr">
        <is>
          <t>In</t>
        </is>
      </c>
      <c r="N31" s="43" t="inlineStr">
        <is>
          <t>In</t>
        </is>
      </c>
      <c r="O31" s="37">
        <f>COUNTIF(C31:N31,"Peak")+COUNTIF(C31:N31,"In")</f>
        <v/>
      </c>
      <c r="P31" s="37" t="inlineStr">
        <is>
          <t>Eat as-is + recipes</t>
        </is>
      </c>
    </row>
    <row r="32" ht="15" customHeight="1" s="26">
      <c r="A32" s="37" t="inlineStr">
        <is>
          <t>P031</t>
        </is>
      </c>
      <c r="B32" s="37" t="inlineStr">
        <is>
          <t>Apple (red &amp; green)</t>
        </is>
      </c>
      <c r="C32" s="43" t="inlineStr">
        <is>
          <t>In</t>
        </is>
      </c>
      <c r="D32" s="43" t="inlineStr">
        <is>
          <t>In</t>
        </is>
      </c>
      <c r="E32" s="43" t="inlineStr">
        <is>
          <t>In</t>
        </is>
      </c>
      <c r="F32" s="43" t="inlineStr">
        <is>
          <t>In</t>
        </is>
      </c>
      <c r="G32" s="43" t="inlineStr">
        <is>
          <t>In</t>
        </is>
      </c>
      <c r="H32" s="43" t="inlineStr">
        <is>
          <t>In</t>
        </is>
      </c>
      <c r="I32" s="43" t="inlineStr">
        <is>
          <t>In</t>
        </is>
      </c>
      <c r="J32" s="43" t="inlineStr">
        <is>
          <t>In</t>
        </is>
      </c>
      <c r="K32" s="43" t="inlineStr">
        <is>
          <t>In</t>
        </is>
      </c>
      <c r="L32" s="43" t="inlineStr">
        <is>
          <t>In</t>
        </is>
      </c>
      <c r="M32" s="43" t="inlineStr">
        <is>
          <t>In</t>
        </is>
      </c>
      <c r="N32" s="43" t="inlineStr">
        <is>
          <t>In</t>
        </is>
      </c>
      <c r="O32" s="37">
        <f>COUNTIF(C32:N32,"Peak")+COUNTIF(C32:N32,"In")</f>
        <v/>
      </c>
      <c r="P32" s="37" t="inlineStr">
        <is>
          <t>Eat as-is + recipes</t>
        </is>
      </c>
    </row>
    <row r="33" ht="15" customHeight="1" s="26">
      <c r="A33" s="37" t="inlineStr">
        <is>
          <t>P032</t>
        </is>
      </c>
      <c r="B33" s="37" t="inlineStr">
        <is>
          <t>Pear</t>
        </is>
      </c>
      <c r="C33" s="43" t="inlineStr">
        <is>
          <t>In</t>
        </is>
      </c>
      <c r="D33" s="43" t="inlineStr">
        <is>
          <t>In</t>
        </is>
      </c>
      <c r="E33" s="43" t="inlineStr">
        <is>
          <t>In</t>
        </is>
      </c>
      <c r="F33" s="43" t="inlineStr">
        <is>
          <t>In</t>
        </is>
      </c>
      <c r="G33" s="43" t="inlineStr">
        <is>
          <t>In</t>
        </is>
      </c>
      <c r="H33" s="43" t="inlineStr">
        <is>
          <t>In</t>
        </is>
      </c>
      <c r="I33" s="43" t="inlineStr">
        <is>
          <t>In</t>
        </is>
      </c>
      <c r="J33" s="43" t="inlineStr">
        <is>
          <t>In</t>
        </is>
      </c>
      <c r="K33" s="43" t="inlineStr">
        <is>
          <t>In</t>
        </is>
      </c>
      <c r="L33" s="43" t="inlineStr">
        <is>
          <t>In</t>
        </is>
      </c>
      <c r="M33" s="43" t="inlineStr">
        <is>
          <t>In</t>
        </is>
      </c>
      <c r="N33" s="43" t="inlineStr">
        <is>
          <t>In</t>
        </is>
      </c>
      <c r="O33" s="37">
        <f>COUNTIF(C33:N33,"Peak")+COUNTIF(C33:N33,"In")</f>
        <v/>
      </c>
      <c r="P33" s="37" t="inlineStr">
        <is>
          <t>Eat as-is + recipes</t>
        </is>
      </c>
    </row>
    <row r="34" ht="15" customHeight="1" s="26">
      <c r="A34" s="37" t="inlineStr">
        <is>
          <t>P033</t>
        </is>
      </c>
      <c r="B34" s="37" t="inlineStr">
        <is>
          <t>Grapes (red / black seedless)</t>
        </is>
      </c>
      <c r="C34" s="43" t="inlineStr">
        <is>
          <t>In</t>
        </is>
      </c>
      <c r="D34" s="43" t="inlineStr">
        <is>
          <t>In</t>
        </is>
      </c>
      <c r="E34" s="43" t="inlineStr">
        <is>
          <t>In</t>
        </is>
      </c>
      <c r="F34" s="43" t="inlineStr">
        <is>
          <t>In</t>
        </is>
      </c>
      <c r="G34" s="43" t="inlineStr">
        <is>
          <t>In</t>
        </is>
      </c>
      <c r="H34" s="43" t="inlineStr">
        <is>
          <t>In</t>
        </is>
      </c>
      <c r="I34" s="43" t="inlineStr">
        <is>
          <t>In</t>
        </is>
      </c>
      <c r="J34" s="43" t="inlineStr">
        <is>
          <t>In</t>
        </is>
      </c>
      <c r="K34" s="43" t="inlineStr">
        <is>
          <t>In</t>
        </is>
      </c>
      <c r="L34" s="43" t="inlineStr">
        <is>
          <t>In</t>
        </is>
      </c>
      <c r="M34" s="43" t="inlineStr">
        <is>
          <t>In</t>
        </is>
      </c>
      <c r="N34" s="43" t="inlineStr">
        <is>
          <t>In</t>
        </is>
      </c>
      <c r="O34" s="37">
        <f>COUNTIF(C34:N34,"Peak")+COUNTIF(C34:N34,"In")</f>
        <v/>
      </c>
      <c r="P34" s="37" t="inlineStr">
        <is>
          <t>Eat as-is + recipes</t>
        </is>
      </c>
    </row>
    <row r="35" ht="15" customHeight="1" s="26">
      <c r="A35" s="37" t="inlineStr">
        <is>
          <t>P034</t>
        </is>
      </c>
      <c r="B35" s="37" t="inlineStr">
        <is>
          <t>Strawberry</t>
        </is>
      </c>
      <c r="C35" s="43" t="inlineStr">
        <is>
          <t>Peak</t>
        </is>
      </c>
      <c r="D35" s="43" t="inlineStr">
        <is>
          <t>Peak</t>
        </is>
      </c>
      <c r="E35" s="43" t="inlineStr">
        <is>
          <t>In</t>
        </is>
      </c>
      <c r="F35" s="43" t="inlineStr">
        <is>
          <t>In</t>
        </is>
      </c>
      <c r="G35" s="43" t="n"/>
      <c r="H35" s="43" t="n"/>
      <c r="I35" s="43" t="n"/>
      <c r="J35" s="43" t="n"/>
      <c r="K35" s="43" t="n"/>
      <c r="L35" s="43" t="n"/>
      <c r="M35" s="43" t="inlineStr">
        <is>
          <t>In</t>
        </is>
      </c>
      <c r="N35" s="43" t="inlineStr">
        <is>
          <t>Peak</t>
        </is>
      </c>
      <c r="O35" s="37">
        <f>COUNTIF(C35:N35,"Peak")+COUNTIF(C35:N35,"In")</f>
        <v/>
      </c>
      <c r="P35" s="37" t="inlineStr">
        <is>
          <t>Eat as-is + recipes</t>
        </is>
      </c>
    </row>
    <row r="36" ht="15" customHeight="1" s="26">
      <c r="A36" s="37" t="inlineStr">
        <is>
          <t>P035</t>
        </is>
      </c>
      <c r="B36" s="37" t="inlineStr">
        <is>
          <t>Blueberry</t>
        </is>
      </c>
      <c r="C36" s="43" t="inlineStr">
        <is>
          <t>In</t>
        </is>
      </c>
      <c r="D36" s="43" t="inlineStr">
        <is>
          <t>In</t>
        </is>
      </c>
      <c r="E36" s="43" t="inlineStr">
        <is>
          <t>In</t>
        </is>
      </c>
      <c r="F36" s="43" t="inlineStr">
        <is>
          <t>In</t>
        </is>
      </c>
      <c r="G36" s="43" t="inlineStr">
        <is>
          <t>In</t>
        </is>
      </c>
      <c r="H36" s="43" t="inlineStr">
        <is>
          <t>In</t>
        </is>
      </c>
      <c r="I36" s="43" t="inlineStr">
        <is>
          <t>In</t>
        </is>
      </c>
      <c r="J36" s="43" t="inlineStr">
        <is>
          <t>In</t>
        </is>
      </c>
      <c r="K36" s="43" t="inlineStr">
        <is>
          <t>In</t>
        </is>
      </c>
      <c r="L36" s="43" t="inlineStr">
        <is>
          <t>In</t>
        </is>
      </c>
      <c r="M36" s="43" t="inlineStr">
        <is>
          <t>In</t>
        </is>
      </c>
      <c r="N36" s="43" t="inlineStr">
        <is>
          <t>In</t>
        </is>
      </c>
      <c r="O36" s="37">
        <f>COUNTIF(C36:N36,"Peak")+COUNTIF(C36:N36,"In")</f>
        <v/>
      </c>
      <c r="P36" s="37" t="inlineStr">
        <is>
          <t>Eat as-is + recipes</t>
        </is>
      </c>
    </row>
    <row r="37" ht="15" customHeight="1" s="26">
      <c r="A37" s="37" t="inlineStr">
        <is>
          <t>P036</t>
        </is>
      </c>
      <c r="B37" s="37" t="inlineStr">
        <is>
          <t>Kiwi</t>
        </is>
      </c>
      <c r="C37" s="43" t="inlineStr">
        <is>
          <t>In</t>
        </is>
      </c>
      <c r="D37" s="43" t="inlineStr">
        <is>
          <t>In</t>
        </is>
      </c>
      <c r="E37" s="43" t="inlineStr">
        <is>
          <t>In</t>
        </is>
      </c>
      <c r="F37" s="43" t="inlineStr">
        <is>
          <t>In</t>
        </is>
      </c>
      <c r="G37" s="43" t="inlineStr">
        <is>
          <t>In</t>
        </is>
      </c>
      <c r="H37" s="43" t="inlineStr">
        <is>
          <t>In</t>
        </is>
      </c>
      <c r="I37" s="43" t="inlineStr">
        <is>
          <t>In</t>
        </is>
      </c>
      <c r="J37" s="43" t="inlineStr">
        <is>
          <t>In</t>
        </is>
      </c>
      <c r="K37" s="43" t="inlineStr">
        <is>
          <t>In</t>
        </is>
      </c>
      <c r="L37" s="43" t="inlineStr">
        <is>
          <t>In</t>
        </is>
      </c>
      <c r="M37" s="43" t="inlineStr">
        <is>
          <t>In</t>
        </is>
      </c>
      <c r="N37" s="43" t="inlineStr">
        <is>
          <t>In</t>
        </is>
      </c>
      <c r="O37" s="37">
        <f>COUNTIF(C37:N37,"Peak")+COUNTIF(C37:N37,"In")</f>
        <v/>
      </c>
      <c r="P37" s="37" t="inlineStr">
        <is>
          <t>Eat as-is + recipes</t>
        </is>
      </c>
    </row>
    <row r="38" ht="15" customHeight="1" s="26">
      <c r="A38" s="37" t="inlineStr">
        <is>
          <t>P037</t>
        </is>
      </c>
      <c r="B38" s="37" t="inlineStr">
        <is>
          <t>Pomegranate</t>
        </is>
      </c>
      <c r="C38" s="43" t="inlineStr">
        <is>
          <t>In</t>
        </is>
      </c>
      <c r="D38" s="43" t="inlineStr">
        <is>
          <t>In</t>
        </is>
      </c>
      <c r="E38" s="43" t="inlineStr">
        <is>
          <t>In</t>
        </is>
      </c>
      <c r="F38" s="43" t="inlineStr">
        <is>
          <t>In</t>
        </is>
      </c>
      <c r="G38" s="43" t="inlineStr">
        <is>
          <t>In</t>
        </is>
      </c>
      <c r="H38" s="43" t="inlineStr">
        <is>
          <t>In</t>
        </is>
      </c>
      <c r="I38" s="43" t="inlineStr">
        <is>
          <t>In</t>
        </is>
      </c>
      <c r="J38" s="43" t="inlineStr">
        <is>
          <t>In</t>
        </is>
      </c>
      <c r="K38" s="43" t="inlineStr">
        <is>
          <t>In</t>
        </is>
      </c>
      <c r="L38" s="43" t="inlineStr">
        <is>
          <t>In</t>
        </is>
      </c>
      <c r="M38" s="43" t="inlineStr">
        <is>
          <t>In</t>
        </is>
      </c>
      <c r="N38" s="43" t="inlineStr">
        <is>
          <t>In</t>
        </is>
      </c>
      <c r="O38" s="37">
        <f>COUNTIF(C38:N38,"Peak")+COUNTIF(C38:N38,"In")</f>
        <v/>
      </c>
      <c r="P38" s="37" t="inlineStr">
        <is>
          <t>Eat as-is + recipes</t>
        </is>
      </c>
    </row>
    <row r="39" ht="15" customHeight="1" s="26">
      <c r="A39" s="37" t="inlineStr">
        <is>
          <t>P038</t>
        </is>
      </c>
      <c r="B39" s="37" t="inlineStr">
        <is>
          <t>Dragon fruit</t>
        </is>
      </c>
      <c r="C39" s="43" t="inlineStr">
        <is>
          <t>In</t>
        </is>
      </c>
      <c r="D39" s="43" t="inlineStr">
        <is>
          <t>In</t>
        </is>
      </c>
      <c r="E39" s="43" t="inlineStr">
        <is>
          <t>In</t>
        </is>
      </c>
      <c r="F39" s="43" t="inlineStr">
        <is>
          <t>In</t>
        </is>
      </c>
      <c r="G39" s="43" t="inlineStr">
        <is>
          <t>In</t>
        </is>
      </c>
      <c r="H39" s="43" t="inlineStr">
        <is>
          <t>In</t>
        </is>
      </c>
      <c r="I39" s="43" t="inlineStr">
        <is>
          <t>In</t>
        </is>
      </c>
      <c r="J39" s="43" t="inlineStr">
        <is>
          <t>In</t>
        </is>
      </c>
      <c r="K39" s="43" t="inlineStr">
        <is>
          <t>In</t>
        </is>
      </c>
      <c r="L39" s="43" t="inlineStr">
        <is>
          <t>In</t>
        </is>
      </c>
      <c r="M39" s="43" t="inlineStr">
        <is>
          <t>In</t>
        </is>
      </c>
      <c r="N39" s="43" t="inlineStr">
        <is>
          <t>In</t>
        </is>
      </c>
      <c r="O39" s="37">
        <f>COUNTIF(C39:N39,"Peak")+COUNTIF(C39:N39,"In")</f>
        <v/>
      </c>
      <c r="P39" s="37" t="inlineStr">
        <is>
          <t>Eat as-is + recipes</t>
        </is>
      </c>
    </row>
    <row r="40" ht="15" customHeight="1" s="26">
      <c r="A40" s="37" t="inlineStr">
        <is>
          <t>P039</t>
        </is>
      </c>
      <c r="B40" s="37" t="inlineStr">
        <is>
          <t>Star fruit (carambola)</t>
        </is>
      </c>
      <c r="C40" s="43" t="inlineStr">
        <is>
          <t>In</t>
        </is>
      </c>
      <c r="D40" s="43" t="inlineStr">
        <is>
          <t>In</t>
        </is>
      </c>
      <c r="E40" s="43" t="inlineStr">
        <is>
          <t>In</t>
        </is>
      </c>
      <c r="F40" s="43" t="inlineStr">
        <is>
          <t>In</t>
        </is>
      </c>
      <c r="G40" s="43" t="inlineStr">
        <is>
          <t>In</t>
        </is>
      </c>
      <c r="H40" s="43" t="inlineStr">
        <is>
          <t>In</t>
        </is>
      </c>
      <c r="I40" s="43" t="inlineStr">
        <is>
          <t>In</t>
        </is>
      </c>
      <c r="J40" s="43" t="inlineStr">
        <is>
          <t>In</t>
        </is>
      </c>
      <c r="K40" s="43" t="inlineStr">
        <is>
          <t>In</t>
        </is>
      </c>
      <c r="L40" s="43" t="inlineStr">
        <is>
          <t>In</t>
        </is>
      </c>
      <c r="M40" s="43" t="inlineStr">
        <is>
          <t>In</t>
        </is>
      </c>
      <c r="N40" s="43" t="inlineStr">
        <is>
          <t>In</t>
        </is>
      </c>
      <c r="O40" s="37">
        <f>COUNTIF(C40:N40,"Peak")+COUNTIF(C40:N40,"In")</f>
        <v/>
      </c>
      <c r="P40" s="37" t="inlineStr">
        <is>
          <t>Eat as-is + recipes</t>
        </is>
      </c>
    </row>
    <row r="41" ht="15" customHeight="1" s="26">
      <c r="A41" s="37" t="inlineStr">
        <is>
          <t>P040</t>
        </is>
      </c>
      <c r="B41" s="37" t="inlineStr">
        <is>
          <t>Groundnut (fresh or roasted)</t>
        </is>
      </c>
      <c r="C41" s="43" t="inlineStr">
        <is>
          <t>In</t>
        </is>
      </c>
      <c r="D41" s="43" t="inlineStr">
        <is>
          <t>In</t>
        </is>
      </c>
      <c r="E41" s="43" t="inlineStr">
        <is>
          <t>In</t>
        </is>
      </c>
      <c r="F41" s="43" t="inlineStr">
        <is>
          <t>In</t>
        </is>
      </c>
      <c r="G41" s="43" t="inlineStr">
        <is>
          <t>Peak</t>
        </is>
      </c>
      <c r="H41" s="43" t="inlineStr">
        <is>
          <t>Peak</t>
        </is>
      </c>
      <c r="I41" s="43" t="inlineStr">
        <is>
          <t>Peak</t>
        </is>
      </c>
      <c r="J41" s="43" t="inlineStr">
        <is>
          <t>Peak</t>
        </is>
      </c>
      <c r="K41" s="43" t="inlineStr">
        <is>
          <t>Peak</t>
        </is>
      </c>
      <c r="L41" s="43" t="inlineStr">
        <is>
          <t>Peak</t>
        </is>
      </c>
      <c r="M41" s="43" t="inlineStr">
        <is>
          <t>In</t>
        </is>
      </c>
      <c r="N41" s="43" t="inlineStr">
        <is>
          <t>In</t>
        </is>
      </c>
      <c r="O41" s="37">
        <f>COUNTIF(C41:N41,"Peak")+COUNTIF(C41:N41,"In")</f>
        <v/>
      </c>
      <c r="P41" s="37" t="inlineStr">
        <is>
          <t>Recipe ingredient</t>
        </is>
      </c>
    </row>
    <row r="42" ht="15" customHeight="1" s="26">
      <c r="A42" s="37" t="inlineStr">
        <is>
          <t>P041</t>
        </is>
      </c>
      <c r="B42" s="37" t="inlineStr">
        <is>
          <t>African walnut</t>
        </is>
      </c>
      <c r="C42" s="43" t="n"/>
      <c r="D42" s="43" t="n"/>
      <c r="E42" s="43" t="inlineStr">
        <is>
          <t>In</t>
        </is>
      </c>
      <c r="F42" s="43" t="inlineStr">
        <is>
          <t>In</t>
        </is>
      </c>
      <c r="G42" s="43" t="inlineStr">
        <is>
          <t>In</t>
        </is>
      </c>
      <c r="H42" s="43" t="n"/>
      <c r="I42" s="43" t="inlineStr">
        <is>
          <t>In</t>
        </is>
      </c>
      <c r="J42" s="43" t="inlineStr">
        <is>
          <t>In</t>
        </is>
      </c>
      <c r="K42" s="43" t="n"/>
      <c r="L42" s="43" t="inlineStr">
        <is>
          <t>In</t>
        </is>
      </c>
      <c r="M42" s="43" t="n"/>
      <c r="N42" s="43" t="n"/>
      <c r="O42" s="37">
        <f>COUNTIF(C42:N42,"Peak")+COUNTIF(C42:N42,"In")</f>
        <v/>
      </c>
      <c r="P42" s="37" t="inlineStr">
        <is>
          <t>Eat as-is only</t>
        </is>
      </c>
    </row>
    <row r="43" ht="15" customHeight="1" s="26">
      <c r="A43" s="37" t="inlineStr">
        <is>
          <t>P042</t>
        </is>
      </c>
      <c r="B43" s="37" t="inlineStr">
        <is>
          <t>Tomato (plum)</t>
        </is>
      </c>
      <c r="C43" s="43" t="inlineStr">
        <is>
          <t>Peak</t>
        </is>
      </c>
      <c r="D43" s="43" t="inlineStr">
        <is>
          <t>In</t>
        </is>
      </c>
      <c r="E43" s="43" t="inlineStr">
        <is>
          <t>In</t>
        </is>
      </c>
      <c r="F43" s="43" t="inlineStr">
        <is>
          <t>In</t>
        </is>
      </c>
      <c r="G43" s="43" t="inlineStr">
        <is>
          <t>In</t>
        </is>
      </c>
      <c r="H43" s="43" t="inlineStr">
        <is>
          <t>In</t>
        </is>
      </c>
      <c r="I43" s="43" t="inlineStr">
        <is>
          <t>In</t>
        </is>
      </c>
      <c r="J43" s="43" t="inlineStr">
        <is>
          <t>Peak</t>
        </is>
      </c>
      <c r="K43" s="43" t="inlineStr">
        <is>
          <t>Peak</t>
        </is>
      </c>
      <c r="L43" s="43" t="inlineStr">
        <is>
          <t>In</t>
        </is>
      </c>
      <c r="M43" s="43" t="inlineStr">
        <is>
          <t>In</t>
        </is>
      </c>
      <c r="N43" s="43" t="inlineStr">
        <is>
          <t>Peak</t>
        </is>
      </c>
      <c r="O43" s="37">
        <f>COUNTIF(C43:N43,"Peak")+COUNTIF(C43:N43,"In")</f>
        <v/>
      </c>
      <c r="P43" s="37" t="inlineStr">
        <is>
          <t>Recipe ingredient</t>
        </is>
      </c>
    </row>
    <row r="44" ht="15" customHeight="1" s="26">
      <c r="A44" s="37" t="inlineStr">
        <is>
          <t>P043</t>
        </is>
      </c>
      <c r="B44" s="37" t="inlineStr">
        <is>
          <t>Cherry tomato</t>
        </is>
      </c>
      <c r="C44" s="43" t="inlineStr">
        <is>
          <t>In</t>
        </is>
      </c>
      <c r="D44" s="43" t="inlineStr">
        <is>
          <t>In</t>
        </is>
      </c>
      <c r="E44" s="43" t="inlineStr">
        <is>
          <t>In</t>
        </is>
      </c>
      <c r="F44" s="43" t="inlineStr">
        <is>
          <t>In</t>
        </is>
      </c>
      <c r="G44" s="43" t="inlineStr">
        <is>
          <t>In</t>
        </is>
      </c>
      <c r="H44" s="43" t="inlineStr">
        <is>
          <t>In</t>
        </is>
      </c>
      <c r="I44" s="43" t="inlineStr">
        <is>
          <t>In</t>
        </is>
      </c>
      <c r="J44" s="43" t="inlineStr">
        <is>
          <t>In</t>
        </is>
      </c>
      <c r="K44" s="43" t="inlineStr">
        <is>
          <t>In</t>
        </is>
      </c>
      <c r="L44" s="43" t="inlineStr">
        <is>
          <t>In</t>
        </is>
      </c>
      <c r="M44" s="43" t="inlineStr">
        <is>
          <t>In</t>
        </is>
      </c>
      <c r="N44" s="43" t="inlineStr">
        <is>
          <t>In</t>
        </is>
      </c>
      <c r="O44" s="37">
        <f>COUNTIF(C44:N44,"Peak")+COUNTIF(C44:N44,"In")</f>
        <v/>
      </c>
      <c r="P44" s="37" t="inlineStr">
        <is>
          <t>Eat as-is + recipes</t>
        </is>
      </c>
    </row>
    <row r="45" ht="15" customHeight="1" s="26">
      <c r="A45" s="37" t="inlineStr">
        <is>
          <t>P044</t>
        </is>
      </c>
      <c r="B45" s="37" t="inlineStr">
        <is>
          <t>Red bell pepper</t>
        </is>
      </c>
      <c r="C45" s="43" t="inlineStr">
        <is>
          <t>In</t>
        </is>
      </c>
      <c r="D45" s="43" t="inlineStr">
        <is>
          <t>In</t>
        </is>
      </c>
      <c r="E45" s="43" t="inlineStr">
        <is>
          <t>In</t>
        </is>
      </c>
      <c r="F45" s="43" t="inlineStr">
        <is>
          <t>In</t>
        </is>
      </c>
      <c r="G45" s="43" t="inlineStr">
        <is>
          <t>In</t>
        </is>
      </c>
      <c r="H45" s="43" t="inlineStr">
        <is>
          <t>In</t>
        </is>
      </c>
      <c r="I45" s="43" t="inlineStr">
        <is>
          <t>In</t>
        </is>
      </c>
      <c r="J45" s="43" t="inlineStr">
        <is>
          <t>In</t>
        </is>
      </c>
      <c r="K45" s="43" t="inlineStr">
        <is>
          <t>In</t>
        </is>
      </c>
      <c r="L45" s="43" t="inlineStr">
        <is>
          <t>In</t>
        </is>
      </c>
      <c r="M45" s="43" t="inlineStr">
        <is>
          <t>In</t>
        </is>
      </c>
      <c r="N45" s="43" t="inlineStr">
        <is>
          <t>In</t>
        </is>
      </c>
      <c r="O45" s="37">
        <f>COUNTIF(C45:N45,"Peak")+COUNTIF(C45:N45,"In")</f>
        <v/>
      </c>
      <c r="P45" s="37" t="inlineStr">
        <is>
          <t>Recipe ingredient</t>
        </is>
      </c>
    </row>
    <row r="46" ht="15" customHeight="1" s="26">
      <c r="A46" s="37" t="inlineStr">
        <is>
          <t>P045</t>
        </is>
      </c>
      <c r="B46" s="37" t="inlineStr">
        <is>
          <t>Green / yellow bell pepper</t>
        </is>
      </c>
      <c r="C46" s="43" t="inlineStr">
        <is>
          <t>In</t>
        </is>
      </c>
      <c r="D46" s="43" t="inlineStr">
        <is>
          <t>In</t>
        </is>
      </c>
      <c r="E46" s="43" t="inlineStr">
        <is>
          <t>In</t>
        </is>
      </c>
      <c r="F46" s="43" t="inlineStr">
        <is>
          <t>In</t>
        </is>
      </c>
      <c r="G46" s="43" t="inlineStr">
        <is>
          <t>In</t>
        </is>
      </c>
      <c r="H46" s="43" t="inlineStr">
        <is>
          <t>In</t>
        </is>
      </c>
      <c r="I46" s="43" t="inlineStr">
        <is>
          <t>In</t>
        </is>
      </c>
      <c r="J46" s="43" t="inlineStr">
        <is>
          <t>In</t>
        </is>
      </c>
      <c r="K46" s="43" t="inlineStr">
        <is>
          <t>In</t>
        </is>
      </c>
      <c r="L46" s="43" t="inlineStr">
        <is>
          <t>In</t>
        </is>
      </c>
      <c r="M46" s="43" t="inlineStr">
        <is>
          <t>In</t>
        </is>
      </c>
      <c r="N46" s="43" t="inlineStr">
        <is>
          <t>In</t>
        </is>
      </c>
      <c r="O46" s="37">
        <f>COUNTIF(C46:N46,"Peak")+COUNTIF(C46:N46,"In")</f>
        <v/>
      </c>
      <c r="P46" s="37" t="inlineStr">
        <is>
          <t>Recipe ingredient</t>
        </is>
      </c>
    </row>
    <row r="47" ht="15" customHeight="1" s="26">
      <c r="A47" s="37" t="inlineStr">
        <is>
          <t>P046</t>
        </is>
      </c>
      <c r="B47" s="37" t="inlineStr">
        <is>
          <t>Scotch bonnet</t>
        </is>
      </c>
      <c r="C47" s="43" t="inlineStr">
        <is>
          <t>In</t>
        </is>
      </c>
      <c r="D47" s="43" t="inlineStr">
        <is>
          <t>In</t>
        </is>
      </c>
      <c r="E47" s="43" t="inlineStr">
        <is>
          <t>In</t>
        </is>
      </c>
      <c r="F47" s="43" t="inlineStr">
        <is>
          <t>In</t>
        </is>
      </c>
      <c r="G47" s="43" t="inlineStr">
        <is>
          <t>In</t>
        </is>
      </c>
      <c r="H47" s="43" t="inlineStr">
        <is>
          <t>In</t>
        </is>
      </c>
      <c r="I47" s="43" t="inlineStr">
        <is>
          <t>In</t>
        </is>
      </c>
      <c r="J47" s="43" t="inlineStr">
        <is>
          <t>In</t>
        </is>
      </c>
      <c r="K47" s="43" t="inlineStr">
        <is>
          <t>In</t>
        </is>
      </c>
      <c r="L47" s="43" t="inlineStr">
        <is>
          <t>In</t>
        </is>
      </c>
      <c r="M47" s="43" t="inlineStr">
        <is>
          <t>In</t>
        </is>
      </c>
      <c r="N47" s="43" t="inlineStr">
        <is>
          <t>In</t>
        </is>
      </c>
      <c r="O47" s="37">
        <f>COUNTIF(C47:N47,"Peak")+COUNTIF(C47:N47,"In")</f>
        <v/>
      </c>
      <c r="P47" s="37" t="inlineStr">
        <is>
          <t>Recipe ingredient</t>
        </is>
      </c>
    </row>
    <row r="48" ht="15" customHeight="1" s="26">
      <c r="A48" s="37" t="inlineStr">
        <is>
          <t>P047</t>
        </is>
      </c>
      <c r="B48" s="37" t="inlineStr">
        <is>
          <t>Long red chilli</t>
        </is>
      </c>
      <c r="C48" s="43" t="inlineStr">
        <is>
          <t>In</t>
        </is>
      </c>
      <c r="D48" s="43" t="inlineStr">
        <is>
          <t>In</t>
        </is>
      </c>
      <c r="E48" s="43" t="inlineStr">
        <is>
          <t>In</t>
        </is>
      </c>
      <c r="F48" s="43" t="inlineStr">
        <is>
          <t>In</t>
        </is>
      </c>
      <c r="G48" s="43" t="inlineStr">
        <is>
          <t>In</t>
        </is>
      </c>
      <c r="H48" s="43" t="inlineStr">
        <is>
          <t>In</t>
        </is>
      </c>
      <c r="I48" s="43" t="inlineStr">
        <is>
          <t>In</t>
        </is>
      </c>
      <c r="J48" s="43" t="inlineStr">
        <is>
          <t>In</t>
        </is>
      </c>
      <c r="K48" s="43" t="inlineStr">
        <is>
          <t>In</t>
        </is>
      </c>
      <c r="L48" s="43" t="inlineStr">
        <is>
          <t>In</t>
        </is>
      </c>
      <c r="M48" s="43" t="inlineStr">
        <is>
          <t>In</t>
        </is>
      </c>
      <c r="N48" s="43" t="inlineStr">
        <is>
          <t>In</t>
        </is>
      </c>
      <c r="O48" s="37">
        <f>COUNTIF(C48:N48,"Peak")+COUNTIF(C48:N48,"In")</f>
        <v/>
      </c>
      <c r="P48" s="37" t="inlineStr">
        <is>
          <t>Recipe ingredient</t>
        </is>
      </c>
    </row>
    <row r="49" ht="15" customHeight="1" s="26">
      <c r="A49" s="37" t="inlineStr">
        <is>
          <t>P048</t>
        </is>
      </c>
      <c r="B49" s="37" t="inlineStr">
        <is>
          <t>Onion (red &amp; white)</t>
        </is>
      </c>
      <c r="C49" s="43" t="inlineStr">
        <is>
          <t>In</t>
        </is>
      </c>
      <c r="D49" s="43" t="inlineStr">
        <is>
          <t>In</t>
        </is>
      </c>
      <c r="E49" s="43" t="inlineStr">
        <is>
          <t>In</t>
        </is>
      </c>
      <c r="F49" s="43" t="inlineStr">
        <is>
          <t>In</t>
        </is>
      </c>
      <c r="G49" s="43" t="inlineStr">
        <is>
          <t>In</t>
        </is>
      </c>
      <c r="H49" s="43" t="inlineStr">
        <is>
          <t>In</t>
        </is>
      </c>
      <c r="I49" s="43" t="inlineStr">
        <is>
          <t>In</t>
        </is>
      </c>
      <c r="J49" s="43" t="inlineStr">
        <is>
          <t>In</t>
        </is>
      </c>
      <c r="K49" s="43" t="inlineStr">
        <is>
          <t>In</t>
        </is>
      </c>
      <c r="L49" s="43" t="inlineStr">
        <is>
          <t>In</t>
        </is>
      </c>
      <c r="M49" s="43" t="inlineStr">
        <is>
          <t>In</t>
        </is>
      </c>
      <c r="N49" s="43" t="inlineStr">
        <is>
          <t>In</t>
        </is>
      </c>
      <c r="O49" s="37">
        <f>COUNTIF(C49:N49,"Peak")+COUNTIF(C49:N49,"In")</f>
        <v/>
      </c>
      <c r="P49" s="37" t="inlineStr">
        <is>
          <t>Recipe ingredient</t>
        </is>
      </c>
    </row>
    <row r="50" ht="15" customHeight="1" s="26">
      <c r="A50" s="37" t="inlineStr">
        <is>
          <t>P049</t>
        </is>
      </c>
      <c r="B50" s="37" t="inlineStr">
        <is>
          <t>Spring onion</t>
        </is>
      </c>
      <c r="C50" s="43" t="inlineStr">
        <is>
          <t>In</t>
        </is>
      </c>
      <c r="D50" s="43" t="inlineStr">
        <is>
          <t>In</t>
        </is>
      </c>
      <c r="E50" s="43" t="inlineStr">
        <is>
          <t>In</t>
        </is>
      </c>
      <c r="F50" s="43" t="inlineStr">
        <is>
          <t>In</t>
        </is>
      </c>
      <c r="G50" s="43" t="inlineStr">
        <is>
          <t>In</t>
        </is>
      </c>
      <c r="H50" s="43" t="inlineStr">
        <is>
          <t>In</t>
        </is>
      </c>
      <c r="I50" s="43" t="inlineStr">
        <is>
          <t>In</t>
        </is>
      </c>
      <c r="J50" s="43" t="inlineStr">
        <is>
          <t>In</t>
        </is>
      </c>
      <c r="K50" s="43" t="inlineStr">
        <is>
          <t>In</t>
        </is>
      </c>
      <c r="L50" s="43" t="inlineStr">
        <is>
          <t>In</t>
        </is>
      </c>
      <c r="M50" s="43" t="inlineStr">
        <is>
          <t>In</t>
        </is>
      </c>
      <c r="N50" s="43" t="inlineStr">
        <is>
          <t>In</t>
        </is>
      </c>
      <c r="O50" s="37">
        <f>COUNTIF(C50:N50,"Peak")+COUNTIF(C50:N50,"In")</f>
        <v/>
      </c>
      <c r="P50" s="37" t="inlineStr">
        <is>
          <t>Recipe ingredient</t>
        </is>
      </c>
    </row>
    <row r="51" ht="15" customHeight="1" s="26">
      <c r="A51" s="37" t="inlineStr">
        <is>
          <t>P050</t>
        </is>
      </c>
      <c r="B51" s="37" t="inlineStr">
        <is>
          <t>Shallots</t>
        </is>
      </c>
      <c r="C51" s="43" t="inlineStr">
        <is>
          <t>In</t>
        </is>
      </c>
      <c r="D51" s="43" t="inlineStr">
        <is>
          <t>In</t>
        </is>
      </c>
      <c r="E51" s="43" t="inlineStr">
        <is>
          <t>In</t>
        </is>
      </c>
      <c r="F51" s="43" t="inlineStr">
        <is>
          <t>In</t>
        </is>
      </c>
      <c r="G51" s="43" t="inlineStr">
        <is>
          <t>In</t>
        </is>
      </c>
      <c r="H51" s="43" t="inlineStr">
        <is>
          <t>In</t>
        </is>
      </c>
      <c r="I51" s="43" t="inlineStr">
        <is>
          <t>In</t>
        </is>
      </c>
      <c r="J51" s="43" t="inlineStr">
        <is>
          <t>In</t>
        </is>
      </c>
      <c r="K51" s="43" t="inlineStr">
        <is>
          <t>In</t>
        </is>
      </c>
      <c r="L51" s="43" t="inlineStr">
        <is>
          <t>In</t>
        </is>
      </c>
      <c r="M51" s="43" t="inlineStr">
        <is>
          <t>In</t>
        </is>
      </c>
      <c r="N51" s="43" t="inlineStr">
        <is>
          <t>In</t>
        </is>
      </c>
      <c r="O51" s="37">
        <f>COUNTIF(C51:N51,"Peak")+COUNTIF(C51:N51,"In")</f>
        <v/>
      </c>
      <c r="P51" s="37" t="inlineStr">
        <is>
          <t>Recipe ingredient</t>
        </is>
      </c>
    </row>
    <row r="52" ht="15" customHeight="1" s="26">
      <c r="A52" s="37" t="inlineStr">
        <is>
          <t>P051</t>
        </is>
      </c>
      <c r="B52" s="37" t="inlineStr">
        <is>
          <t>Garlic</t>
        </is>
      </c>
      <c r="C52" s="43" t="inlineStr">
        <is>
          <t>In</t>
        </is>
      </c>
      <c r="D52" s="43" t="inlineStr">
        <is>
          <t>In</t>
        </is>
      </c>
      <c r="E52" s="43" t="inlineStr">
        <is>
          <t>In</t>
        </is>
      </c>
      <c r="F52" s="43" t="inlineStr">
        <is>
          <t>In</t>
        </is>
      </c>
      <c r="G52" s="43" t="inlineStr">
        <is>
          <t>In</t>
        </is>
      </c>
      <c r="H52" s="43" t="inlineStr">
        <is>
          <t>In</t>
        </is>
      </c>
      <c r="I52" s="43" t="inlineStr">
        <is>
          <t>In</t>
        </is>
      </c>
      <c r="J52" s="43" t="inlineStr">
        <is>
          <t>In</t>
        </is>
      </c>
      <c r="K52" s="43" t="inlineStr">
        <is>
          <t>In</t>
        </is>
      </c>
      <c r="L52" s="43" t="inlineStr">
        <is>
          <t>In</t>
        </is>
      </c>
      <c r="M52" s="43" t="inlineStr">
        <is>
          <t>In</t>
        </is>
      </c>
      <c r="N52" s="43" t="inlineStr">
        <is>
          <t>In</t>
        </is>
      </c>
      <c r="O52" s="37">
        <f>COUNTIF(C52:N52,"Peak")+COUNTIF(C52:N52,"In")</f>
        <v/>
      </c>
      <c r="P52" s="37" t="inlineStr">
        <is>
          <t>Recipe ingredient</t>
        </is>
      </c>
    </row>
    <row r="53" ht="15" customHeight="1" s="26">
      <c r="A53" s="37" t="inlineStr">
        <is>
          <t>P052</t>
        </is>
      </c>
      <c r="B53" s="37" t="inlineStr">
        <is>
          <t>Ginger</t>
        </is>
      </c>
      <c r="C53" s="43" t="inlineStr">
        <is>
          <t>In</t>
        </is>
      </c>
      <c r="D53" s="43" t="inlineStr">
        <is>
          <t>In</t>
        </is>
      </c>
      <c r="E53" s="43" t="inlineStr">
        <is>
          <t>In</t>
        </is>
      </c>
      <c r="F53" s="43" t="inlineStr">
        <is>
          <t>In</t>
        </is>
      </c>
      <c r="G53" s="43" t="inlineStr">
        <is>
          <t>In</t>
        </is>
      </c>
      <c r="H53" s="43" t="inlineStr">
        <is>
          <t>In</t>
        </is>
      </c>
      <c r="I53" s="43" t="inlineStr">
        <is>
          <t>In</t>
        </is>
      </c>
      <c r="J53" s="43" t="inlineStr">
        <is>
          <t>In</t>
        </is>
      </c>
      <c r="K53" s="43" t="inlineStr">
        <is>
          <t>Peak</t>
        </is>
      </c>
      <c r="L53" s="43" t="inlineStr">
        <is>
          <t>Peak</t>
        </is>
      </c>
      <c r="M53" s="43" t="inlineStr">
        <is>
          <t>In</t>
        </is>
      </c>
      <c r="N53" s="43" t="inlineStr">
        <is>
          <t>In</t>
        </is>
      </c>
      <c r="O53" s="37">
        <f>COUNTIF(C53:N53,"Peak")+COUNTIF(C53:N53,"In")</f>
        <v/>
      </c>
      <c r="P53" s="37" t="inlineStr">
        <is>
          <t>Recipe ingredient</t>
        </is>
      </c>
    </row>
    <row r="54" ht="15" customHeight="1" s="26">
      <c r="A54" s="37" t="inlineStr">
        <is>
          <t>P053</t>
        </is>
      </c>
      <c r="B54" s="37" t="inlineStr">
        <is>
          <t>Turmeric (fresh)</t>
        </is>
      </c>
      <c r="C54" s="43" t="inlineStr">
        <is>
          <t>In</t>
        </is>
      </c>
      <c r="D54" s="43" t="inlineStr">
        <is>
          <t>In</t>
        </is>
      </c>
      <c r="E54" s="43" t="inlineStr">
        <is>
          <t>In</t>
        </is>
      </c>
      <c r="F54" s="43" t="inlineStr">
        <is>
          <t>In</t>
        </is>
      </c>
      <c r="G54" s="43" t="inlineStr">
        <is>
          <t>In</t>
        </is>
      </c>
      <c r="H54" s="43" t="inlineStr">
        <is>
          <t>In</t>
        </is>
      </c>
      <c r="I54" s="43" t="n"/>
      <c r="J54" s="43" t="n"/>
      <c r="K54" s="43" t="inlineStr">
        <is>
          <t>In</t>
        </is>
      </c>
      <c r="L54" s="43" t="inlineStr">
        <is>
          <t>In</t>
        </is>
      </c>
      <c r="M54" s="43" t="inlineStr">
        <is>
          <t>In</t>
        </is>
      </c>
      <c r="N54" s="43" t="inlineStr">
        <is>
          <t>In</t>
        </is>
      </c>
      <c r="O54" s="37">
        <f>COUNTIF(C54:N54,"Peak")+COUNTIF(C54:N54,"In")</f>
        <v/>
      </c>
      <c r="P54" s="37" t="inlineStr">
        <is>
          <t>Recipe ingredient</t>
        </is>
      </c>
    </row>
    <row r="55" ht="15" customHeight="1" s="26">
      <c r="A55" s="37" t="inlineStr">
        <is>
          <t>P054</t>
        </is>
      </c>
      <c r="B55" s="37" t="inlineStr">
        <is>
          <t>Cucumber</t>
        </is>
      </c>
      <c r="C55" s="43" t="inlineStr">
        <is>
          <t>Peak</t>
        </is>
      </c>
      <c r="D55" s="43" t="inlineStr">
        <is>
          <t>Peak</t>
        </is>
      </c>
      <c r="E55" s="43" t="inlineStr">
        <is>
          <t>Peak</t>
        </is>
      </c>
      <c r="F55" s="43" t="inlineStr">
        <is>
          <t>Peak</t>
        </is>
      </c>
      <c r="G55" s="43" t="inlineStr">
        <is>
          <t>Peak</t>
        </is>
      </c>
      <c r="H55" s="43" t="inlineStr">
        <is>
          <t>In</t>
        </is>
      </c>
      <c r="I55" s="43" t="inlineStr">
        <is>
          <t>In</t>
        </is>
      </c>
      <c r="J55" s="43" t="inlineStr">
        <is>
          <t>In</t>
        </is>
      </c>
      <c r="K55" s="43" t="inlineStr">
        <is>
          <t>In</t>
        </is>
      </c>
      <c r="L55" s="43" t="inlineStr">
        <is>
          <t>In</t>
        </is>
      </c>
      <c r="M55" s="43" t="inlineStr">
        <is>
          <t>In</t>
        </is>
      </c>
      <c r="N55" s="43" t="inlineStr">
        <is>
          <t>In</t>
        </is>
      </c>
      <c r="O55" s="37">
        <f>COUNTIF(C55:N55,"Peak")+COUNTIF(C55:N55,"In")</f>
        <v/>
      </c>
      <c r="P55" s="37" t="inlineStr">
        <is>
          <t>Eat as-is + recipes</t>
        </is>
      </c>
    </row>
    <row r="56" ht="15" customHeight="1" s="26">
      <c r="A56" s="37" t="inlineStr">
        <is>
          <t>P055</t>
        </is>
      </c>
      <c r="B56" s="37" t="inlineStr">
        <is>
          <t>Carrot</t>
        </is>
      </c>
      <c r="C56" s="43" t="inlineStr">
        <is>
          <t>Peak</t>
        </is>
      </c>
      <c r="D56" s="43" t="inlineStr">
        <is>
          <t>Peak</t>
        </is>
      </c>
      <c r="E56" s="43" t="inlineStr">
        <is>
          <t>Peak</t>
        </is>
      </c>
      <c r="F56" s="43" t="inlineStr">
        <is>
          <t>Peak</t>
        </is>
      </c>
      <c r="G56" s="43" t="inlineStr">
        <is>
          <t>Peak</t>
        </is>
      </c>
      <c r="H56" s="43" t="inlineStr">
        <is>
          <t>In</t>
        </is>
      </c>
      <c r="I56" s="43" t="inlineStr">
        <is>
          <t>In</t>
        </is>
      </c>
      <c r="J56" s="43" t="inlineStr">
        <is>
          <t>In</t>
        </is>
      </c>
      <c r="K56" s="43" t="inlineStr">
        <is>
          <t>Peak</t>
        </is>
      </c>
      <c r="L56" s="43" t="inlineStr">
        <is>
          <t>Peak</t>
        </is>
      </c>
      <c r="M56" s="43" t="inlineStr">
        <is>
          <t>Peak</t>
        </is>
      </c>
      <c r="N56" s="43" t="inlineStr">
        <is>
          <t>Peak</t>
        </is>
      </c>
      <c r="O56" s="37">
        <f>COUNTIF(C56:N56,"Peak")+COUNTIF(C56:N56,"In")</f>
        <v/>
      </c>
      <c r="P56" s="37" t="inlineStr">
        <is>
          <t>Eat as-is + recipes</t>
        </is>
      </c>
    </row>
    <row r="57" ht="15" customHeight="1" s="26">
      <c r="A57" s="37" t="inlineStr">
        <is>
          <t>P056</t>
        </is>
      </c>
      <c r="B57" s="37" t="inlineStr">
        <is>
          <t>Cabbage (white)</t>
        </is>
      </c>
      <c r="C57" s="43" t="inlineStr">
        <is>
          <t>In</t>
        </is>
      </c>
      <c r="D57" s="43" t="inlineStr">
        <is>
          <t>In</t>
        </is>
      </c>
      <c r="E57" s="43" t="inlineStr">
        <is>
          <t>In</t>
        </is>
      </c>
      <c r="F57" s="43" t="inlineStr">
        <is>
          <t>In</t>
        </is>
      </c>
      <c r="G57" s="43" t="inlineStr">
        <is>
          <t>In</t>
        </is>
      </c>
      <c r="H57" s="43" t="inlineStr">
        <is>
          <t>In</t>
        </is>
      </c>
      <c r="I57" s="43" t="inlineStr">
        <is>
          <t>In</t>
        </is>
      </c>
      <c r="J57" s="43" t="inlineStr">
        <is>
          <t>In</t>
        </is>
      </c>
      <c r="K57" s="43" t="inlineStr">
        <is>
          <t>In</t>
        </is>
      </c>
      <c r="L57" s="43" t="inlineStr">
        <is>
          <t>In</t>
        </is>
      </c>
      <c r="M57" s="43" t="inlineStr">
        <is>
          <t>In</t>
        </is>
      </c>
      <c r="N57" s="43" t="inlineStr">
        <is>
          <t>In</t>
        </is>
      </c>
      <c r="O57" s="37">
        <f>COUNTIF(C57:N57,"Peak")+COUNTIF(C57:N57,"In")</f>
        <v/>
      </c>
      <c r="P57" s="37" t="inlineStr">
        <is>
          <t>Recipe ingredient</t>
        </is>
      </c>
    </row>
    <row r="58" ht="15" customHeight="1" s="26">
      <c r="A58" s="37" t="inlineStr">
        <is>
          <t>P057</t>
        </is>
      </c>
      <c r="B58" s="37" t="inlineStr">
        <is>
          <t>Purple cabbage</t>
        </is>
      </c>
      <c r="C58" s="43" t="inlineStr">
        <is>
          <t>In</t>
        </is>
      </c>
      <c r="D58" s="43" t="inlineStr">
        <is>
          <t>In</t>
        </is>
      </c>
      <c r="E58" s="43" t="inlineStr">
        <is>
          <t>In</t>
        </is>
      </c>
      <c r="F58" s="43" t="inlineStr">
        <is>
          <t>In</t>
        </is>
      </c>
      <c r="G58" s="43" t="inlineStr">
        <is>
          <t>In</t>
        </is>
      </c>
      <c r="H58" s="43" t="inlineStr">
        <is>
          <t>In</t>
        </is>
      </c>
      <c r="I58" s="43" t="inlineStr">
        <is>
          <t>In</t>
        </is>
      </c>
      <c r="J58" s="43" t="inlineStr">
        <is>
          <t>In</t>
        </is>
      </c>
      <c r="K58" s="43" t="inlineStr">
        <is>
          <t>In</t>
        </is>
      </c>
      <c r="L58" s="43" t="inlineStr">
        <is>
          <t>In</t>
        </is>
      </c>
      <c r="M58" s="43" t="inlineStr">
        <is>
          <t>In</t>
        </is>
      </c>
      <c r="N58" s="43" t="inlineStr">
        <is>
          <t>In</t>
        </is>
      </c>
      <c r="O58" s="37">
        <f>COUNTIF(C58:N58,"Peak")+COUNTIF(C58:N58,"In")</f>
        <v/>
      </c>
      <c r="P58" s="37" t="inlineStr">
        <is>
          <t>Recipe ingredient</t>
        </is>
      </c>
    </row>
    <row r="59" ht="15" customHeight="1" s="26">
      <c r="A59" s="37" t="inlineStr">
        <is>
          <t>P058</t>
        </is>
      </c>
      <c r="B59" s="37" t="inlineStr">
        <is>
          <t>Lettuce (iceberg / romaine / local)</t>
        </is>
      </c>
      <c r="C59" s="43" t="inlineStr">
        <is>
          <t>In</t>
        </is>
      </c>
      <c r="D59" s="43" t="inlineStr">
        <is>
          <t>In</t>
        </is>
      </c>
      <c r="E59" s="43" t="inlineStr">
        <is>
          <t>In</t>
        </is>
      </c>
      <c r="F59" s="43" t="inlineStr">
        <is>
          <t>In</t>
        </is>
      </c>
      <c r="G59" s="43" t="inlineStr">
        <is>
          <t>In</t>
        </is>
      </c>
      <c r="H59" s="43" t="inlineStr">
        <is>
          <t>In</t>
        </is>
      </c>
      <c r="I59" s="43" t="inlineStr">
        <is>
          <t>In</t>
        </is>
      </c>
      <c r="J59" s="43" t="inlineStr">
        <is>
          <t>In</t>
        </is>
      </c>
      <c r="K59" s="43" t="inlineStr">
        <is>
          <t>In</t>
        </is>
      </c>
      <c r="L59" s="43" t="inlineStr">
        <is>
          <t>In</t>
        </is>
      </c>
      <c r="M59" s="43" t="inlineStr">
        <is>
          <t>In</t>
        </is>
      </c>
      <c r="N59" s="43" t="inlineStr">
        <is>
          <t>In</t>
        </is>
      </c>
      <c r="O59" s="37">
        <f>COUNTIF(C59:N59,"Peak")+COUNTIF(C59:N59,"In")</f>
        <v/>
      </c>
      <c r="P59" s="37" t="inlineStr">
        <is>
          <t>Recipe ingredient</t>
        </is>
      </c>
    </row>
    <row r="60" ht="15" customHeight="1" s="26">
      <c r="A60" s="37" t="inlineStr">
        <is>
          <t>P059</t>
        </is>
      </c>
      <c r="B60" s="37" t="inlineStr">
        <is>
          <t>Green beans</t>
        </is>
      </c>
      <c r="C60" s="43" t="inlineStr">
        <is>
          <t>In</t>
        </is>
      </c>
      <c r="D60" s="43" t="inlineStr">
        <is>
          <t>In</t>
        </is>
      </c>
      <c r="E60" s="43" t="inlineStr">
        <is>
          <t>In</t>
        </is>
      </c>
      <c r="F60" s="43" t="inlineStr">
        <is>
          <t>In</t>
        </is>
      </c>
      <c r="G60" s="43" t="inlineStr">
        <is>
          <t>In</t>
        </is>
      </c>
      <c r="H60" s="43" t="inlineStr">
        <is>
          <t>In</t>
        </is>
      </c>
      <c r="I60" s="43" t="inlineStr">
        <is>
          <t>In</t>
        </is>
      </c>
      <c r="J60" s="43" t="inlineStr">
        <is>
          <t>In</t>
        </is>
      </c>
      <c r="K60" s="43" t="inlineStr">
        <is>
          <t>In</t>
        </is>
      </c>
      <c r="L60" s="43" t="inlineStr">
        <is>
          <t>In</t>
        </is>
      </c>
      <c r="M60" s="43" t="inlineStr">
        <is>
          <t>In</t>
        </is>
      </c>
      <c r="N60" s="43" t="inlineStr">
        <is>
          <t>In</t>
        </is>
      </c>
      <c r="O60" s="37">
        <f>COUNTIF(C60:N60,"Peak")+COUNTIF(C60:N60,"In")</f>
        <v/>
      </c>
      <c r="P60" s="37" t="inlineStr">
        <is>
          <t>Recipe ingredient</t>
        </is>
      </c>
    </row>
    <row r="61" ht="15" customHeight="1" s="26">
      <c r="A61" s="37" t="inlineStr">
        <is>
          <t>P060</t>
        </is>
      </c>
      <c r="B61" s="37" t="inlineStr">
        <is>
          <t>Sweet corn</t>
        </is>
      </c>
      <c r="C61" s="43" t="n"/>
      <c r="D61" s="43" t="n"/>
      <c r="E61" s="43" t="n"/>
      <c r="F61" s="43" t="inlineStr">
        <is>
          <t>In</t>
        </is>
      </c>
      <c r="G61" s="43" t="inlineStr">
        <is>
          <t>In</t>
        </is>
      </c>
      <c r="H61" s="43" t="inlineStr">
        <is>
          <t>Peak</t>
        </is>
      </c>
      <c r="I61" s="43" t="inlineStr">
        <is>
          <t>Peak</t>
        </is>
      </c>
      <c r="J61" s="43" t="inlineStr">
        <is>
          <t>In</t>
        </is>
      </c>
      <c r="K61" s="43" t="n"/>
      <c r="L61" s="43" t="n"/>
      <c r="M61" s="43" t="n"/>
      <c r="N61" s="43" t="n"/>
      <c r="O61" s="37">
        <f>COUNTIF(C61:N61,"Peak")+COUNTIF(C61:N61,"In")</f>
        <v/>
      </c>
      <c r="P61" s="37" t="inlineStr">
        <is>
          <t>Eat as-is + recipes</t>
        </is>
      </c>
    </row>
    <row r="62" ht="15" customHeight="1" s="26">
      <c r="A62" s="37" t="inlineStr">
        <is>
          <t>P061</t>
        </is>
      </c>
      <c r="B62" s="37" t="inlineStr">
        <is>
          <t>Garden egg</t>
        </is>
      </c>
      <c r="C62" s="43" t="inlineStr">
        <is>
          <t>In</t>
        </is>
      </c>
      <c r="D62" s="43" t="inlineStr">
        <is>
          <t>In</t>
        </is>
      </c>
      <c r="E62" s="43" t="inlineStr">
        <is>
          <t>In</t>
        </is>
      </c>
      <c r="F62" s="43" t="inlineStr">
        <is>
          <t>In</t>
        </is>
      </c>
      <c r="G62" s="43" t="inlineStr">
        <is>
          <t>In</t>
        </is>
      </c>
      <c r="H62" s="43" t="inlineStr">
        <is>
          <t>In</t>
        </is>
      </c>
      <c r="I62" s="43" t="inlineStr">
        <is>
          <t>In</t>
        </is>
      </c>
      <c r="J62" s="43" t="inlineStr">
        <is>
          <t>In</t>
        </is>
      </c>
      <c r="K62" s="43" t="inlineStr">
        <is>
          <t>In</t>
        </is>
      </c>
      <c r="L62" s="43" t="inlineStr">
        <is>
          <t>In</t>
        </is>
      </c>
      <c r="M62" s="43" t="n"/>
      <c r="N62" s="43" t="n"/>
      <c r="O62" s="37">
        <f>COUNTIF(C62:N62,"Peak")+COUNTIF(C62:N62,"In")</f>
        <v/>
      </c>
      <c r="P62" s="37" t="inlineStr">
        <is>
          <t>Eat as-is + recipes</t>
        </is>
      </c>
    </row>
    <row r="63" ht="15" customHeight="1" s="26">
      <c r="A63" s="37" t="inlineStr">
        <is>
          <t>P062</t>
        </is>
      </c>
      <c r="B63" s="37" t="inlineStr">
        <is>
          <t>Okra</t>
        </is>
      </c>
      <c r="C63" s="43" t="inlineStr">
        <is>
          <t>In</t>
        </is>
      </c>
      <c r="D63" s="43" t="inlineStr">
        <is>
          <t>In</t>
        </is>
      </c>
      <c r="E63" s="43" t="inlineStr">
        <is>
          <t>In</t>
        </is>
      </c>
      <c r="F63" s="43" t="inlineStr">
        <is>
          <t>In</t>
        </is>
      </c>
      <c r="G63" s="43" t="inlineStr">
        <is>
          <t>In</t>
        </is>
      </c>
      <c r="H63" s="43" t="inlineStr">
        <is>
          <t>In</t>
        </is>
      </c>
      <c r="I63" s="43" t="inlineStr">
        <is>
          <t>In</t>
        </is>
      </c>
      <c r="J63" s="43" t="inlineStr">
        <is>
          <t>In</t>
        </is>
      </c>
      <c r="K63" s="43" t="inlineStr">
        <is>
          <t>In</t>
        </is>
      </c>
      <c r="L63" s="43" t="inlineStr">
        <is>
          <t>In</t>
        </is>
      </c>
      <c r="M63" s="43" t="inlineStr">
        <is>
          <t>In</t>
        </is>
      </c>
      <c r="N63" s="43" t="inlineStr">
        <is>
          <t>In</t>
        </is>
      </c>
      <c r="O63" s="37">
        <f>COUNTIF(C63:N63,"Peak")+COUNTIF(C63:N63,"In")</f>
        <v/>
      </c>
      <c r="P63" s="37" t="inlineStr">
        <is>
          <t>Recipe ingredient</t>
        </is>
      </c>
    </row>
    <row r="64" ht="15" customHeight="1" s="26">
      <c r="A64" s="37" t="inlineStr">
        <is>
          <t>P063</t>
        </is>
      </c>
      <c r="B64" s="37" t="inlineStr">
        <is>
          <t>Broccoli</t>
        </is>
      </c>
      <c r="C64" s="43" t="inlineStr">
        <is>
          <t>In</t>
        </is>
      </c>
      <c r="D64" s="43" t="inlineStr">
        <is>
          <t>In</t>
        </is>
      </c>
      <c r="E64" s="43" t="inlineStr">
        <is>
          <t>In</t>
        </is>
      </c>
      <c r="F64" s="43" t="inlineStr">
        <is>
          <t>In</t>
        </is>
      </c>
      <c r="G64" s="43" t="inlineStr">
        <is>
          <t>In</t>
        </is>
      </c>
      <c r="H64" s="43" t="inlineStr">
        <is>
          <t>In</t>
        </is>
      </c>
      <c r="I64" s="43" t="inlineStr">
        <is>
          <t>In</t>
        </is>
      </c>
      <c r="J64" s="43" t="inlineStr">
        <is>
          <t>In</t>
        </is>
      </c>
      <c r="K64" s="43" t="inlineStr">
        <is>
          <t>In</t>
        </is>
      </c>
      <c r="L64" s="43" t="inlineStr">
        <is>
          <t>In</t>
        </is>
      </c>
      <c r="M64" s="43" t="inlineStr">
        <is>
          <t>In</t>
        </is>
      </c>
      <c r="N64" s="43" t="inlineStr">
        <is>
          <t>In</t>
        </is>
      </c>
      <c r="O64" s="37">
        <f>COUNTIF(C64:N64,"Peak")+COUNTIF(C64:N64,"In")</f>
        <v/>
      </c>
      <c r="P64" s="37" t="inlineStr">
        <is>
          <t>Recipe ingredient</t>
        </is>
      </c>
    </row>
    <row r="65" ht="15" customHeight="1" s="26">
      <c r="A65" s="37" t="inlineStr">
        <is>
          <t>P064</t>
        </is>
      </c>
      <c r="B65" s="37" t="inlineStr">
        <is>
          <t>Cauliflower</t>
        </is>
      </c>
      <c r="C65" s="43" t="inlineStr">
        <is>
          <t>In</t>
        </is>
      </c>
      <c r="D65" s="43" t="inlineStr">
        <is>
          <t>In</t>
        </is>
      </c>
      <c r="E65" s="43" t="inlineStr">
        <is>
          <t>In</t>
        </is>
      </c>
      <c r="F65" s="43" t="inlineStr">
        <is>
          <t>In</t>
        </is>
      </c>
      <c r="G65" s="43" t="inlineStr">
        <is>
          <t>In</t>
        </is>
      </c>
      <c r="H65" s="43" t="inlineStr">
        <is>
          <t>In</t>
        </is>
      </c>
      <c r="I65" s="43" t="inlineStr">
        <is>
          <t>In</t>
        </is>
      </c>
      <c r="J65" s="43" t="inlineStr">
        <is>
          <t>In</t>
        </is>
      </c>
      <c r="K65" s="43" t="inlineStr">
        <is>
          <t>In</t>
        </is>
      </c>
      <c r="L65" s="43" t="inlineStr">
        <is>
          <t>In</t>
        </is>
      </c>
      <c r="M65" s="43" t="inlineStr">
        <is>
          <t>In</t>
        </is>
      </c>
      <c r="N65" s="43" t="inlineStr">
        <is>
          <t>In</t>
        </is>
      </c>
      <c r="O65" s="37">
        <f>COUNTIF(C65:N65,"Peak")+COUNTIF(C65:N65,"In")</f>
        <v/>
      </c>
      <c r="P65" s="37" t="inlineStr">
        <is>
          <t>Recipe ingredient</t>
        </is>
      </c>
    </row>
    <row r="66" ht="15" customHeight="1" s="26">
      <c r="A66" s="37" t="inlineStr">
        <is>
          <t>P065</t>
        </is>
      </c>
      <c r="B66" s="37" t="inlineStr">
        <is>
          <t>Beetroot</t>
        </is>
      </c>
      <c r="C66" s="43" t="inlineStr">
        <is>
          <t>In</t>
        </is>
      </c>
      <c r="D66" s="43" t="inlineStr">
        <is>
          <t>In</t>
        </is>
      </c>
      <c r="E66" s="43" t="inlineStr">
        <is>
          <t>In</t>
        </is>
      </c>
      <c r="F66" s="43" t="inlineStr">
        <is>
          <t>In</t>
        </is>
      </c>
      <c r="G66" s="43" t="inlineStr">
        <is>
          <t>In</t>
        </is>
      </c>
      <c r="H66" s="43" t="inlineStr">
        <is>
          <t>In</t>
        </is>
      </c>
      <c r="I66" s="43" t="inlineStr">
        <is>
          <t>In</t>
        </is>
      </c>
      <c r="J66" s="43" t="inlineStr">
        <is>
          <t>In</t>
        </is>
      </c>
      <c r="K66" s="43" t="inlineStr">
        <is>
          <t>In</t>
        </is>
      </c>
      <c r="L66" s="43" t="inlineStr">
        <is>
          <t>In</t>
        </is>
      </c>
      <c r="M66" s="43" t="inlineStr">
        <is>
          <t>In</t>
        </is>
      </c>
      <c r="N66" s="43" t="inlineStr">
        <is>
          <t>In</t>
        </is>
      </c>
      <c r="O66" s="37">
        <f>COUNTIF(C66:N66,"Peak")+COUNTIF(C66:N66,"In")</f>
        <v/>
      </c>
      <c r="P66" s="37" t="inlineStr">
        <is>
          <t>Recipe ingredient</t>
        </is>
      </c>
    </row>
    <row r="67" ht="15" customHeight="1" s="26">
      <c r="A67" s="37" t="inlineStr">
        <is>
          <t>P066</t>
        </is>
      </c>
      <c r="B67" s="37" t="inlineStr">
        <is>
          <t>Zucchini (courgette)</t>
        </is>
      </c>
      <c r="C67" s="43" t="inlineStr">
        <is>
          <t>In</t>
        </is>
      </c>
      <c r="D67" s="43" t="inlineStr">
        <is>
          <t>In</t>
        </is>
      </c>
      <c r="E67" s="43" t="inlineStr">
        <is>
          <t>In</t>
        </is>
      </c>
      <c r="F67" s="43" t="inlineStr">
        <is>
          <t>In</t>
        </is>
      </c>
      <c r="G67" s="43" t="inlineStr">
        <is>
          <t>In</t>
        </is>
      </c>
      <c r="H67" s="43" t="inlineStr">
        <is>
          <t>In</t>
        </is>
      </c>
      <c r="I67" s="43" t="inlineStr">
        <is>
          <t>In</t>
        </is>
      </c>
      <c r="J67" s="43" t="inlineStr">
        <is>
          <t>In</t>
        </is>
      </c>
      <c r="K67" s="43" t="inlineStr">
        <is>
          <t>In</t>
        </is>
      </c>
      <c r="L67" s="43" t="inlineStr">
        <is>
          <t>In</t>
        </is>
      </c>
      <c r="M67" s="43" t="inlineStr">
        <is>
          <t>In</t>
        </is>
      </c>
      <c r="N67" s="43" t="inlineStr">
        <is>
          <t>In</t>
        </is>
      </c>
      <c r="O67" s="37">
        <f>COUNTIF(C67:N67,"Peak")+COUNTIF(C67:N67,"In")</f>
        <v/>
      </c>
      <c r="P67" s="37" t="inlineStr">
        <is>
          <t>Recipe ingredient</t>
        </is>
      </c>
    </row>
    <row r="68" ht="15" customHeight="1" s="26">
      <c r="A68" s="37" t="inlineStr">
        <is>
          <t>P067</t>
        </is>
      </c>
      <c r="B68" s="37" t="inlineStr">
        <is>
          <t>Mushrooms (oyster / button)</t>
        </is>
      </c>
      <c r="C68" s="43" t="inlineStr">
        <is>
          <t>In</t>
        </is>
      </c>
      <c r="D68" s="43" t="inlineStr">
        <is>
          <t>In</t>
        </is>
      </c>
      <c r="E68" s="43" t="inlineStr">
        <is>
          <t>In</t>
        </is>
      </c>
      <c r="F68" s="43" t="inlineStr">
        <is>
          <t>In</t>
        </is>
      </c>
      <c r="G68" s="43" t="inlineStr">
        <is>
          <t>In</t>
        </is>
      </c>
      <c r="H68" s="43" t="inlineStr">
        <is>
          <t>In</t>
        </is>
      </c>
      <c r="I68" s="43" t="inlineStr">
        <is>
          <t>In</t>
        </is>
      </c>
      <c r="J68" s="43" t="inlineStr">
        <is>
          <t>In</t>
        </is>
      </c>
      <c r="K68" s="43" t="inlineStr">
        <is>
          <t>In</t>
        </is>
      </c>
      <c r="L68" s="43" t="inlineStr">
        <is>
          <t>In</t>
        </is>
      </c>
      <c r="M68" s="43" t="inlineStr">
        <is>
          <t>In</t>
        </is>
      </c>
      <c r="N68" s="43" t="inlineStr">
        <is>
          <t>In</t>
        </is>
      </c>
      <c r="O68" s="37">
        <f>COUNTIF(C68:N68,"Peak")+COUNTIF(C68:N68,"In")</f>
        <v/>
      </c>
      <c r="P68" s="37" t="inlineStr">
        <is>
          <t>Recipe ingredient</t>
        </is>
      </c>
    </row>
    <row r="69" ht="15" customHeight="1" s="26">
      <c r="A69" s="37" t="inlineStr">
        <is>
          <t>P068</t>
        </is>
      </c>
      <c r="B69" s="37" t="inlineStr">
        <is>
          <t>Pumpkin (squash)</t>
        </is>
      </c>
      <c r="C69" s="43" t="inlineStr">
        <is>
          <t>In</t>
        </is>
      </c>
      <c r="D69" s="43" t="inlineStr">
        <is>
          <t>In</t>
        </is>
      </c>
      <c r="E69" s="43" t="inlineStr">
        <is>
          <t>In</t>
        </is>
      </c>
      <c r="F69" s="43" t="inlineStr">
        <is>
          <t>In</t>
        </is>
      </c>
      <c r="G69" s="43" t="inlineStr">
        <is>
          <t>In</t>
        </is>
      </c>
      <c r="H69" s="43" t="inlineStr">
        <is>
          <t>In</t>
        </is>
      </c>
      <c r="I69" s="43" t="inlineStr">
        <is>
          <t>In</t>
        </is>
      </c>
      <c r="J69" s="43" t="inlineStr">
        <is>
          <t>In</t>
        </is>
      </c>
      <c r="K69" s="43" t="inlineStr">
        <is>
          <t>In</t>
        </is>
      </c>
      <c r="L69" s="43" t="inlineStr">
        <is>
          <t>In</t>
        </is>
      </c>
      <c r="M69" s="43" t="inlineStr">
        <is>
          <t>In</t>
        </is>
      </c>
      <c r="N69" s="43" t="inlineStr">
        <is>
          <t>In</t>
        </is>
      </c>
      <c r="O69" s="37">
        <f>COUNTIF(C69:N69,"Peak")+COUNTIF(C69:N69,"In")</f>
        <v/>
      </c>
      <c r="P69" s="37" t="inlineStr">
        <is>
          <t>Recipe ingredient</t>
        </is>
      </c>
    </row>
    <row r="70" ht="15" customHeight="1" s="26">
      <c r="A70" s="37" t="inlineStr">
        <is>
          <t>P069</t>
        </is>
      </c>
      <c r="B70" s="37" t="inlineStr">
        <is>
          <t>Sweet potato</t>
        </is>
      </c>
      <c r="C70" s="43" t="inlineStr">
        <is>
          <t>In</t>
        </is>
      </c>
      <c r="D70" s="43" t="inlineStr">
        <is>
          <t>In</t>
        </is>
      </c>
      <c r="E70" s="43" t="inlineStr">
        <is>
          <t>In</t>
        </is>
      </c>
      <c r="F70" s="43" t="inlineStr">
        <is>
          <t>In</t>
        </is>
      </c>
      <c r="G70" s="43" t="inlineStr">
        <is>
          <t>In</t>
        </is>
      </c>
      <c r="H70" s="43" t="inlineStr">
        <is>
          <t>In</t>
        </is>
      </c>
      <c r="I70" s="43" t="inlineStr">
        <is>
          <t>In</t>
        </is>
      </c>
      <c r="J70" s="43" t="inlineStr">
        <is>
          <t>In</t>
        </is>
      </c>
      <c r="K70" s="43" t="inlineStr">
        <is>
          <t>In</t>
        </is>
      </c>
      <c r="L70" s="43" t="inlineStr">
        <is>
          <t>In</t>
        </is>
      </c>
      <c r="M70" s="43" t="inlineStr">
        <is>
          <t>In</t>
        </is>
      </c>
      <c r="N70" s="43" t="inlineStr">
        <is>
          <t>In</t>
        </is>
      </c>
      <c r="O70" s="37">
        <f>COUNTIF(C70:N70,"Peak")+COUNTIF(C70:N70,"In")</f>
        <v/>
      </c>
      <c r="P70" s="37" t="inlineStr">
        <is>
          <t>Recipe ingredient</t>
        </is>
      </c>
    </row>
    <row r="71" ht="15" customHeight="1" s="26">
      <c r="A71" s="37" t="inlineStr">
        <is>
          <t>P070</t>
        </is>
      </c>
      <c r="B71" s="37" t="inlineStr">
        <is>
          <t>Irish potato</t>
        </is>
      </c>
      <c r="C71" s="43" t="inlineStr">
        <is>
          <t>In</t>
        </is>
      </c>
      <c r="D71" s="43" t="inlineStr">
        <is>
          <t>In</t>
        </is>
      </c>
      <c r="E71" s="43" t="inlineStr">
        <is>
          <t>In</t>
        </is>
      </c>
      <c r="F71" s="43" t="inlineStr">
        <is>
          <t>In</t>
        </is>
      </c>
      <c r="G71" s="43" t="inlineStr">
        <is>
          <t>In</t>
        </is>
      </c>
      <c r="H71" s="43" t="inlineStr">
        <is>
          <t>In</t>
        </is>
      </c>
      <c r="I71" s="43" t="inlineStr">
        <is>
          <t>In</t>
        </is>
      </c>
      <c r="J71" s="43" t="inlineStr">
        <is>
          <t>In</t>
        </is>
      </c>
      <c r="K71" s="43" t="inlineStr">
        <is>
          <t>In</t>
        </is>
      </c>
      <c r="L71" s="43" t="inlineStr">
        <is>
          <t>In</t>
        </is>
      </c>
      <c r="M71" s="43" t="inlineStr">
        <is>
          <t>In</t>
        </is>
      </c>
      <c r="N71" s="43" t="inlineStr">
        <is>
          <t>In</t>
        </is>
      </c>
      <c r="O71" s="37">
        <f>COUNTIF(C71:N71,"Peak")+COUNTIF(C71:N71,"In")</f>
        <v/>
      </c>
      <c r="P71" s="37" t="inlineStr">
        <is>
          <t>Recipe ingredient</t>
        </is>
      </c>
    </row>
    <row r="72" ht="15" customHeight="1" s="26">
      <c r="A72" s="37" t="inlineStr">
        <is>
          <t>P071</t>
        </is>
      </c>
      <c r="B72" s="37" t="inlineStr">
        <is>
          <t>Yam</t>
        </is>
      </c>
      <c r="C72" s="43" t="inlineStr">
        <is>
          <t>In</t>
        </is>
      </c>
      <c r="D72" s="43" t="inlineStr">
        <is>
          <t>In</t>
        </is>
      </c>
      <c r="E72" s="43" t="inlineStr">
        <is>
          <t>In</t>
        </is>
      </c>
      <c r="F72" s="43" t="inlineStr">
        <is>
          <t>In</t>
        </is>
      </c>
      <c r="G72" s="43" t="inlineStr">
        <is>
          <t>In</t>
        </is>
      </c>
      <c r="H72" s="43" t="inlineStr">
        <is>
          <t>In</t>
        </is>
      </c>
      <c r="I72" s="43" t="inlineStr">
        <is>
          <t>In</t>
        </is>
      </c>
      <c r="J72" s="43" t="inlineStr">
        <is>
          <t>Peak</t>
        </is>
      </c>
      <c r="K72" s="43" t="inlineStr">
        <is>
          <t>Peak</t>
        </is>
      </c>
      <c r="L72" s="43" t="inlineStr">
        <is>
          <t>Peak</t>
        </is>
      </c>
      <c r="M72" s="43" t="inlineStr">
        <is>
          <t>In</t>
        </is>
      </c>
      <c r="N72" s="43" t="inlineStr">
        <is>
          <t>In</t>
        </is>
      </c>
      <c r="O72" s="37">
        <f>COUNTIF(C72:N72,"Peak")+COUNTIF(C72:N72,"In")</f>
        <v/>
      </c>
      <c r="P72" s="37" t="inlineStr">
        <is>
          <t>Recipe ingredient</t>
        </is>
      </c>
    </row>
    <row r="73" ht="15" customHeight="1" s="26">
      <c r="A73" s="37" t="inlineStr">
        <is>
          <t>P072</t>
        </is>
      </c>
      <c r="B73" s="37" t="inlineStr">
        <is>
          <t>Fluted pumpkin leaf</t>
        </is>
      </c>
      <c r="C73" s="43" t="inlineStr">
        <is>
          <t>In</t>
        </is>
      </c>
      <c r="D73" s="43" t="inlineStr">
        <is>
          <t>In</t>
        </is>
      </c>
      <c r="E73" s="43" t="inlineStr">
        <is>
          <t>In</t>
        </is>
      </c>
      <c r="F73" s="43" t="inlineStr">
        <is>
          <t>In</t>
        </is>
      </c>
      <c r="G73" s="43" t="inlineStr">
        <is>
          <t>In</t>
        </is>
      </c>
      <c r="H73" s="43" t="inlineStr">
        <is>
          <t>In</t>
        </is>
      </c>
      <c r="I73" s="43" t="inlineStr">
        <is>
          <t>In</t>
        </is>
      </c>
      <c r="J73" s="43" t="inlineStr">
        <is>
          <t>In</t>
        </is>
      </c>
      <c r="K73" s="43" t="inlineStr">
        <is>
          <t>In</t>
        </is>
      </c>
      <c r="L73" s="43" t="inlineStr">
        <is>
          <t>In</t>
        </is>
      </c>
      <c r="M73" s="43" t="inlineStr">
        <is>
          <t>In</t>
        </is>
      </c>
      <c r="N73" s="43" t="inlineStr">
        <is>
          <t>In</t>
        </is>
      </c>
      <c r="O73" s="37">
        <f>COUNTIF(C73:N73,"Peak")+COUNTIF(C73:N73,"In")</f>
        <v/>
      </c>
      <c r="P73" s="37" t="inlineStr">
        <is>
          <t>Recipe ingredient</t>
        </is>
      </c>
    </row>
    <row r="74" ht="15" customHeight="1" s="26">
      <c r="A74" s="37" t="inlineStr">
        <is>
          <t>P073</t>
        </is>
      </c>
      <c r="B74" s="37" t="inlineStr">
        <is>
          <t>Amaranth greens (Nigerian spinach)</t>
        </is>
      </c>
      <c r="C74" s="43" t="inlineStr">
        <is>
          <t>In</t>
        </is>
      </c>
      <c r="D74" s="43" t="inlineStr">
        <is>
          <t>In</t>
        </is>
      </c>
      <c r="E74" s="43" t="inlineStr">
        <is>
          <t>In</t>
        </is>
      </c>
      <c r="F74" s="43" t="inlineStr">
        <is>
          <t>In</t>
        </is>
      </c>
      <c r="G74" s="43" t="inlineStr">
        <is>
          <t>In</t>
        </is>
      </c>
      <c r="H74" s="43" t="inlineStr">
        <is>
          <t>In</t>
        </is>
      </c>
      <c r="I74" s="43" t="inlineStr">
        <is>
          <t>In</t>
        </is>
      </c>
      <c r="J74" s="43" t="inlineStr">
        <is>
          <t>In</t>
        </is>
      </c>
      <c r="K74" s="43" t="inlineStr">
        <is>
          <t>In</t>
        </is>
      </c>
      <c r="L74" s="43" t="inlineStr">
        <is>
          <t>In</t>
        </is>
      </c>
      <c r="M74" s="43" t="inlineStr">
        <is>
          <t>In</t>
        </is>
      </c>
      <c r="N74" s="43" t="inlineStr">
        <is>
          <t>In</t>
        </is>
      </c>
      <c r="O74" s="37">
        <f>COUNTIF(C74:N74,"Peak")+COUNTIF(C74:N74,"In")</f>
        <v/>
      </c>
      <c r="P74" s="37" t="inlineStr">
        <is>
          <t>Recipe ingredient</t>
        </is>
      </c>
    </row>
    <row r="75" ht="15" customHeight="1" s="26">
      <c r="A75" s="37" t="inlineStr">
        <is>
          <t>P074</t>
        </is>
      </c>
      <c r="B75" s="37" t="inlineStr">
        <is>
          <t>Waterleaf</t>
        </is>
      </c>
      <c r="C75" s="43" t="inlineStr">
        <is>
          <t>In</t>
        </is>
      </c>
      <c r="D75" s="43" t="inlineStr">
        <is>
          <t>In</t>
        </is>
      </c>
      <c r="E75" s="43" t="inlineStr">
        <is>
          <t>In</t>
        </is>
      </c>
      <c r="F75" s="43" t="inlineStr">
        <is>
          <t>In</t>
        </is>
      </c>
      <c r="G75" s="43" t="inlineStr">
        <is>
          <t>In</t>
        </is>
      </c>
      <c r="H75" s="43" t="inlineStr">
        <is>
          <t>In</t>
        </is>
      </c>
      <c r="I75" s="43" t="inlineStr">
        <is>
          <t>In</t>
        </is>
      </c>
      <c r="J75" s="43" t="inlineStr">
        <is>
          <t>In</t>
        </is>
      </c>
      <c r="K75" s="43" t="inlineStr">
        <is>
          <t>In</t>
        </is>
      </c>
      <c r="L75" s="43" t="inlineStr">
        <is>
          <t>In</t>
        </is>
      </c>
      <c r="M75" s="43" t="inlineStr">
        <is>
          <t>In</t>
        </is>
      </c>
      <c r="N75" s="43" t="inlineStr">
        <is>
          <t>In</t>
        </is>
      </c>
      <c r="O75" s="37">
        <f>COUNTIF(C75:N75,"Peak")+COUNTIF(C75:N75,"In")</f>
        <v/>
      </c>
      <c r="P75" s="37" t="inlineStr">
        <is>
          <t>Recipe ingredient</t>
        </is>
      </c>
    </row>
    <row r="76" ht="15" customHeight="1" s="26">
      <c r="A76" s="37" t="inlineStr">
        <is>
          <t>P075</t>
        </is>
      </c>
      <c r="B76" s="37" t="inlineStr">
        <is>
          <t>Baby spinach</t>
        </is>
      </c>
      <c r="C76" s="43" t="inlineStr">
        <is>
          <t>In</t>
        </is>
      </c>
      <c r="D76" s="43" t="inlineStr">
        <is>
          <t>In</t>
        </is>
      </c>
      <c r="E76" s="43" t="inlineStr">
        <is>
          <t>In</t>
        </is>
      </c>
      <c r="F76" s="43" t="inlineStr">
        <is>
          <t>In</t>
        </is>
      </c>
      <c r="G76" s="43" t="inlineStr">
        <is>
          <t>In</t>
        </is>
      </c>
      <c r="H76" s="43" t="inlineStr">
        <is>
          <t>In</t>
        </is>
      </c>
      <c r="I76" s="43" t="inlineStr">
        <is>
          <t>In</t>
        </is>
      </c>
      <c r="J76" s="43" t="inlineStr">
        <is>
          <t>In</t>
        </is>
      </c>
      <c r="K76" s="43" t="inlineStr">
        <is>
          <t>In</t>
        </is>
      </c>
      <c r="L76" s="43" t="inlineStr">
        <is>
          <t>In</t>
        </is>
      </c>
      <c r="M76" s="43" t="inlineStr">
        <is>
          <t>In</t>
        </is>
      </c>
      <c r="N76" s="43" t="inlineStr">
        <is>
          <t>In</t>
        </is>
      </c>
      <c r="O76" s="37">
        <f>COUNTIF(C76:N76,"Peak")+COUNTIF(C76:N76,"In")</f>
        <v/>
      </c>
      <c r="P76" s="37" t="inlineStr">
        <is>
          <t>Recipe ingredient</t>
        </is>
      </c>
    </row>
    <row r="77" ht="15" customHeight="1" s="26">
      <c r="A77" s="37" t="inlineStr">
        <is>
          <t>P076</t>
        </is>
      </c>
      <c r="B77" s="37" t="inlineStr">
        <is>
          <t>Kale</t>
        </is>
      </c>
      <c r="C77" s="43" t="inlineStr">
        <is>
          <t>In</t>
        </is>
      </c>
      <c r="D77" s="43" t="inlineStr">
        <is>
          <t>In</t>
        </is>
      </c>
      <c r="E77" s="43" t="inlineStr">
        <is>
          <t>In</t>
        </is>
      </c>
      <c r="F77" s="43" t="inlineStr">
        <is>
          <t>In</t>
        </is>
      </c>
      <c r="G77" s="43" t="inlineStr">
        <is>
          <t>In</t>
        </is>
      </c>
      <c r="H77" s="43" t="inlineStr">
        <is>
          <t>In</t>
        </is>
      </c>
      <c r="I77" s="43" t="inlineStr">
        <is>
          <t>In</t>
        </is>
      </c>
      <c r="J77" s="43" t="inlineStr">
        <is>
          <t>In</t>
        </is>
      </c>
      <c r="K77" s="43" t="inlineStr">
        <is>
          <t>In</t>
        </is>
      </c>
      <c r="L77" s="43" t="inlineStr">
        <is>
          <t>In</t>
        </is>
      </c>
      <c r="M77" s="43" t="inlineStr">
        <is>
          <t>In</t>
        </is>
      </c>
      <c r="N77" s="43" t="inlineStr">
        <is>
          <t>In</t>
        </is>
      </c>
      <c r="O77" s="37">
        <f>COUNTIF(C77:N77,"Peak")+COUNTIF(C77:N77,"In")</f>
        <v/>
      </c>
      <c r="P77" s="37" t="inlineStr">
        <is>
          <t>Recipe ingredient</t>
        </is>
      </c>
    </row>
    <row r="78" ht="15" customHeight="1" s="26">
      <c r="A78" s="37" t="inlineStr">
        <is>
          <t>P077</t>
        </is>
      </c>
      <c r="B78" s="37" t="inlineStr">
        <is>
          <t>Scent leaf (African basil)</t>
        </is>
      </c>
      <c r="C78" s="43" t="inlineStr">
        <is>
          <t>In</t>
        </is>
      </c>
      <c r="D78" s="43" t="inlineStr">
        <is>
          <t>In</t>
        </is>
      </c>
      <c r="E78" s="43" t="inlineStr">
        <is>
          <t>In</t>
        </is>
      </c>
      <c r="F78" s="43" t="inlineStr">
        <is>
          <t>In</t>
        </is>
      </c>
      <c r="G78" s="43" t="inlineStr">
        <is>
          <t>In</t>
        </is>
      </c>
      <c r="H78" s="43" t="inlineStr">
        <is>
          <t>In</t>
        </is>
      </c>
      <c r="I78" s="43" t="inlineStr">
        <is>
          <t>In</t>
        </is>
      </c>
      <c r="J78" s="43" t="inlineStr">
        <is>
          <t>In</t>
        </is>
      </c>
      <c r="K78" s="43" t="inlineStr">
        <is>
          <t>In</t>
        </is>
      </c>
      <c r="L78" s="43" t="inlineStr">
        <is>
          <t>In</t>
        </is>
      </c>
      <c r="M78" s="43" t="inlineStr">
        <is>
          <t>In</t>
        </is>
      </c>
      <c r="N78" s="43" t="inlineStr">
        <is>
          <t>In</t>
        </is>
      </c>
      <c r="O78" s="37">
        <f>COUNTIF(C78:N78,"Peak")+COUNTIF(C78:N78,"In")</f>
        <v/>
      </c>
      <c r="P78" s="37" t="inlineStr">
        <is>
          <t>Recipe ingredient</t>
        </is>
      </c>
    </row>
    <row r="79" ht="15" customHeight="1" s="26">
      <c r="A79" s="37" t="inlineStr">
        <is>
          <t>P078</t>
        </is>
      </c>
      <c r="B79" s="37" t="inlineStr">
        <is>
          <t>Bitter leaf</t>
        </is>
      </c>
      <c r="C79" s="43" t="inlineStr">
        <is>
          <t>In</t>
        </is>
      </c>
      <c r="D79" s="43" t="inlineStr">
        <is>
          <t>In</t>
        </is>
      </c>
      <c r="E79" s="43" t="inlineStr">
        <is>
          <t>In</t>
        </is>
      </c>
      <c r="F79" s="43" t="inlineStr">
        <is>
          <t>In</t>
        </is>
      </c>
      <c r="G79" s="43" t="inlineStr">
        <is>
          <t>In</t>
        </is>
      </c>
      <c r="H79" s="43" t="inlineStr">
        <is>
          <t>In</t>
        </is>
      </c>
      <c r="I79" s="43" t="inlineStr">
        <is>
          <t>In</t>
        </is>
      </c>
      <c r="J79" s="43" t="inlineStr">
        <is>
          <t>In</t>
        </is>
      </c>
      <c r="K79" s="43" t="inlineStr">
        <is>
          <t>In</t>
        </is>
      </c>
      <c r="L79" s="43" t="inlineStr">
        <is>
          <t>In</t>
        </is>
      </c>
      <c r="M79" s="43" t="inlineStr">
        <is>
          <t>In</t>
        </is>
      </c>
      <c r="N79" s="43" t="inlineStr">
        <is>
          <t>In</t>
        </is>
      </c>
      <c r="O79" s="37">
        <f>COUNTIF(C79:N79,"Peak")+COUNTIF(C79:N79,"In")</f>
        <v/>
      </c>
      <c r="P79" s="37" t="inlineStr">
        <is>
          <t>Recipe ingredient</t>
        </is>
      </c>
    </row>
    <row r="80" ht="15" customHeight="1" s="26">
      <c r="A80" s="37" t="inlineStr">
        <is>
          <t>P079</t>
        </is>
      </c>
      <c r="B80" s="37" t="inlineStr">
        <is>
          <t>Mint</t>
        </is>
      </c>
      <c r="C80" s="43" t="inlineStr">
        <is>
          <t>In</t>
        </is>
      </c>
      <c r="D80" s="43" t="inlineStr">
        <is>
          <t>In</t>
        </is>
      </c>
      <c r="E80" s="43" t="inlineStr">
        <is>
          <t>In</t>
        </is>
      </c>
      <c r="F80" s="43" t="inlineStr">
        <is>
          <t>In</t>
        </is>
      </c>
      <c r="G80" s="43" t="inlineStr">
        <is>
          <t>In</t>
        </is>
      </c>
      <c r="H80" s="43" t="inlineStr">
        <is>
          <t>In</t>
        </is>
      </c>
      <c r="I80" s="43" t="inlineStr">
        <is>
          <t>In</t>
        </is>
      </c>
      <c r="J80" s="43" t="inlineStr">
        <is>
          <t>In</t>
        </is>
      </c>
      <c r="K80" s="43" t="inlineStr">
        <is>
          <t>In</t>
        </is>
      </c>
      <c r="L80" s="43" t="inlineStr">
        <is>
          <t>In</t>
        </is>
      </c>
      <c r="M80" s="43" t="inlineStr">
        <is>
          <t>In</t>
        </is>
      </c>
      <c r="N80" s="43" t="inlineStr">
        <is>
          <t>In</t>
        </is>
      </c>
      <c r="O80" s="37">
        <f>COUNTIF(C80:N80,"Peak")+COUNTIF(C80:N80,"In")</f>
        <v/>
      </c>
      <c r="P80" s="37" t="inlineStr">
        <is>
          <t>Recipe ingredient</t>
        </is>
      </c>
    </row>
    <row r="81" ht="15" customHeight="1" s="26">
      <c r="A81" s="37" t="inlineStr">
        <is>
          <t>P080</t>
        </is>
      </c>
      <c r="B81" s="37" t="inlineStr">
        <is>
          <t>Coriander (cilantro)</t>
        </is>
      </c>
      <c r="C81" s="43" t="inlineStr">
        <is>
          <t>In</t>
        </is>
      </c>
      <c r="D81" s="43" t="inlineStr">
        <is>
          <t>In</t>
        </is>
      </c>
      <c r="E81" s="43" t="inlineStr">
        <is>
          <t>In</t>
        </is>
      </c>
      <c r="F81" s="43" t="inlineStr">
        <is>
          <t>In</t>
        </is>
      </c>
      <c r="G81" s="43" t="inlineStr">
        <is>
          <t>In</t>
        </is>
      </c>
      <c r="H81" s="43" t="inlineStr">
        <is>
          <t>In</t>
        </is>
      </c>
      <c r="I81" s="43" t="inlineStr">
        <is>
          <t>In</t>
        </is>
      </c>
      <c r="J81" s="43" t="inlineStr">
        <is>
          <t>In</t>
        </is>
      </c>
      <c r="K81" s="43" t="inlineStr">
        <is>
          <t>In</t>
        </is>
      </c>
      <c r="L81" s="43" t="inlineStr">
        <is>
          <t>In</t>
        </is>
      </c>
      <c r="M81" s="43" t="inlineStr">
        <is>
          <t>In</t>
        </is>
      </c>
      <c r="N81" s="43" t="inlineStr">
        <is>
          <t>In</t>
        </is>
      </c>
      <c r="O81" s="37">
        <f>COUNTIF(C81:N81,"Peak")+COUNTIF(C81:N81,"In")</f>
        <v/>
      </c>
      <c r="P81" s="37" t="inlineStr">
        <is>
          <t>Recipe ingredient</t>
        </is>
      </c>
    </row>
    <row r="82" ht="15" customHeight="1" s="26">
      <c r="A82" s="37" t="inlineStr">
        <is>
          <t>P081</t>
        </is>
      </c>
      <c r="B82" s="37" t="inlineStr">
        <is>
          <t>Parsley</t>
        </is>
      </c>
      <c r="C82" s="43" t="inlineStr">
        <is>
          <t>In</t>
        </is>
      </c>
      <c r="D82" s="43" t="inlineStr">
        <is>
          <t>In</t>
        </is>
      </c>
      <c r="E82" s="43" t="inlineStr">
        <is>
          <t>In</t>
        </is>
      </c>
      <c r="F82" s="43" t="inlineStr">
        <is>
          <t>In</t>
        </is>
      </c>
      <c r="G82" s="43" t="inlineStr">
        <is>
          <t>In</t>
        </is>
      </c>
      <c r="H82" s="43" t="inlineStr">
        <is>
          <t>In</t>
        </is>
      </c>
      <c r="I82" s="43" t="inlineStr">
        <is>
          <t>In</t>
        </is>
      </c>
      <c r="J82" s="43" t="inlineStr">
        <is>
          <t>In</t>
        </is>
      </c>
      <c r="K82" s="43" t="inlineStr">
        <is>
          <t>In</t>
        </is>
      </c>
      <c r="L82" s="43" t="inlineStr">
        <is>
          <t>In</t>
        </is>
      </c>
      <c r="M82" s="43" t="inlineStr">
        <is>
          <t>In</t>
        </is>
      </c>
      <c r="N82" s="43" t="inlineStr">
        <is>
          <t>In</t>
        </is>
      </c>
      <c r="O82" s="37">
        <f>COUNTIF(C82:N82,"Peak")+COUNTIF(C82:N82,"In")</f>
        <v/>
      </c>
      <c r="P82" s="37" t="inlineStr">
        <is>
          <t>Recipe ingredient</t>
        </is>
      </c>
    </row>
    <row r="83" ht="15" customHeight="1" s="26">
      <c r="A83" s="37" t="inlineStr">
        <is>
          <t>P082</t>
        </is>
      </c>
      <c r="B83" s="37" t="inlineStr">
        <is>
          <t>Basil (sweet)</t>
        </is>
      </c>
      <c r="C83" s="43" t="inlineStr">
        <is>
          <t>In</t>
        </is>
      </c>
      <c r="D83" s="43" t="inlineStr">
        <is>
          <t>In</t>
        </is>
      </c>
      <c r="E83" s="43" t="inlineStr">
        <is>
          <t>In</t>
        </is>
      </c>
      <c r="F83" s="43" t="inlineStr">
        <is>
          <t>In</t>
        </is>
      </c>
      <c r="G83" s="43" t="inlineStr">
        <is>
          <t>In</t>
        </is>
      </c>
      <c r="H83" s="43" t="inlineStr">
        <is>
          <t>In</t>
        </is>
      </c>
      <c r="I83" s="43" t="inlineStr">
        <is>
          <t>In</t>
        </is>
      </c>
      <c r="J83" s="43" t="inlineStr">
        <is>
          <t>In</t>
        </is>
      </c>
      <c r="K83" s="43" t="inlineStr">
        <is>
          <t>In</t>
        </is>
      </c>
      <c r="L83" s="43" t="inlineStr">
        <is>
          <t>In</t>
        </is>
      </c>
      <c r="M83" s="43" t="inlineStr">
        <is>
          <t>In</t>
        </is>
      </c>
      <c r="N83" s="43" t="inlineStr">
        <is>
          <t>In</t>
        </is>
      </c>
      <c r="O83" s="37">
        <f>COUNTIF(C83:N83,"Peak")+COUNTIF(C83:N83,"In")</f>
        <v/>
      </c>
      <c r="P83" s="37" t="inlineStr">
        <is>
          <t>Recipe ingredient</t>
        </is>
      </c>
    </row>
    <row r="84" ht="15" customHeight="1" s="26">
      <c r="A84" s="37" t="inlineStr">
        <is>
          <t>P083</t>
        </is>
      </c>
      <c r="B84" s="37" t="inlineStr">
        <is>
          <t>Lemongrass</t>
        </is>
      </c>
      <c r="C84" s="43" t="inlineStr">
        <is>
          <t>In</t>
        </is>
      </c>
      <c r="D84" s="43" t="inlineStr">
        <is>
          <t>In</t>
        </is>
      </c>
      <c r="E84" s="43" t="inlineStr">
        <is>
          <t>In</t>
        </is>
      </c>
      <c r="F84" s="43" t="inlineStr">
        <is>
          <t>In</t>
        </is>
      </c>
      <c r="G84" s="43" t="inlineStr">
        <is>
          <t>In</t>
        </is>
      </c>
      <c r="H84" s="43" t="inlineStr">
        <is>
          <t>In</t>
        </is>
      </c>
      <c r="I84" s="43" t="inlineStr">
        <is>
          <t>In</t>
        </is>
      </c>
      <c r="J84" s="43" t="inlineStr">
        <is>
          <t>In</t>
        </is>
      </c>
      <c r="K84" s="43" t="inlineStr">
        <is>
          <t>In</t>
        </is>
      </c>
      <c r="L84" s="43" t="inlineStr">
        <is>
          <t>In</t>
        </is>
      </c>
      <c r="M84" s="43" t="inlineStr">
        <is>
          <t>In</t>
        </is>
      </c>
      <c r="N84" s="43" t="inlineStr">
        <is>
          <t>In</t>
        </is>
      </c>
      <c r="O84" s="37">
        <f>COUNTIF(C84:N84,"Peak")+COUNTIF(C84:N84,"In")</f>
        <v/>
      </c>
      <c r="P84" s="37" t="inlineStr">
        <is>
          <t>Recipe ingredient</t>
        </is>
      </c>
    </row>
    <row r="85" ht="15" customHeight="1" s="26">
      <c r="A85" s="37" t="inlineStr">
        <is>
          <t>P084</t>
        </is>
      </c>
      <c r="B85" s="37" t="inlineStr">
        <is>
          <t>Rosemary</t>
        </is>
      </c>
      <c r="C85" s="43" t="inlineStr">
        <is>
          <t>In</t>
        </is>
      </c>
      <c r="D85" s="43" t="inlineStr">
        <is>
          <t>In</t>
        </is>
      </c>
      <c r="E85" s="43" t="inlineStr">
        <is>
          <t>In</t>
        </is>
      </c>
      <c r="F85" s="43" t="inlineStr">
        <is>
          <t>In</t>
        </is>
      </c>
      <c r="G85" s="43" t="inlineStr">
        <is>
          <t>In</t>
        </is>
      </c>
      <c r="H85" s="43" t="inlineStr">
        <is>
          <t>In</t>
        </is>
      </c>
      <c r="I85" s="43" t="inlineStr">
        <is>
          <t>In</t>
        </is>
      </c>
      <c r="J85" s="43" t="inlineStr">
        <is>
          <t>In</t>
        </is>
      </c>
      <c r="K85" s="43" t="inlineStr">
        <is>
          <t>In</t>
        </is>
      </c>
      <c r="L85" s="43" t="inlineStr">
        <is>
          <t>In</t>
        </is>
      </c>
      <c r="M85" s="43" t="inlineStr">
        <is>
          <t>In</t>
        </is>
      </c>
      <c r="N85" s="43" t="inlineStr">
        <is>
          <t>In</t>
        </is>
      </c>
      <c r="O85" s="37">
        <f>COUNTIF(C85:N85,"Peak")+COUNTIF(C85:N85,"In")</f>
        <v/>
      </c>
      <c r="P85" s="37" t="inlineStr">
        <is>
          <t>Recipe ingredient</t>
        </is>
      </c>
    </row>
    <row r="87" ht="15" customHeight="1" s="26">
      <c r="B87" s="44" t="inlineStr">
        <is>
          <t>Peak = best quality and price. In = available. Blank = scarce or out. Nigeria: dry season roughly Oct/Nov-Mar, rainy season Apr-Oct with the 'August break'.</t>
        </is>
      </c>
    </row>
  </sheetData>
  <autoFilter ref="A1:P85"/>
  <conditionalFormatting sqref="C2:N85">
    <cfRule type="cellIs" rank="0" priority="2" equalAverage="0" operator="equal" aboveAverage="0" dxfId="12" text="" percent="0" bottom="0">
      <formula>"Peak"</formula>
    </cfRule>
    <cfRule type="cellIs" rank="0" priority="3" equalAverage="0" operator="equal" aboveAverage="0" dxfId="13" text="" percent="0" bottom="0">
      <formula>"In"</formula>
    </cfRule>
  </conditionalFormatting>
  <dataValidations count="1">
    <dataValidation sqref="C2:N85" showDropDown="0" showInputMessage="0" showErrorMessage="0" allowBlank="1" type="list" errorStyle="stop" operator="between">
      <formula1>"Peak,In"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6FA35A"/>
    <outlinePr summaryBelow="1" summaryRight="1"/>
    <pageSetUpPr fitToPage="0"/>
  </sheetPr>
  <dimension ref="A1:X93"/>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7" customWidth="1" style="25" min="1" max="1"/>
    <col width="30" customWidth="1" style="25" min="2" max="2"/>
    <col width="11" customWidth="1" style="25" min="3" max="3"/>
    <col width="15" customWidth="1" style="25" min="4" max="4"/>
    <col width="30" customWidth="1" style="25" min="5" max="5"/>
    <col width="40" customWidth="1" style="25" min="6" max="6"/>
    <col width="24" customWidth="1" style="25" min="7" max="7"/>
    <col width="13" customWidth="1" style="25" min="8" max="8"/>
    <col width="8" customWidth="1" style="25" min="9" max="11"/>
    <col width="12" customWidth="1" style="25" min="12" max="12"/>
    <col width="8" customWidth="1" style="25" min="13" max="13"/>
    <col width="10" customWidth="1" style="25" min="14" max="15"/>
    <col width="32" customWidth="1" style="25" min="16" max="16"/>
    <col width="8" customWidth="1" style="25" min="17" max="18"/>
    <col width="10" customWidth="1" style="25" min="19" max="19"/>
    <col width="9" customWidth="1" style="25" min="20" max="20"/>
    <col width="30" customWidth="1" style="25" min="21" max="21"/>
    <col width="70" customWidth="1" style="25" min="22" max="22"/>
    <col width="36" customWidth="1" style="25" min="23" max="23"/>
    <col width="10" customWidth="1" style="25" min="24" max="24"/>
  </cols>
  <sheetData>
    <row r="1" ht="31.5" customHeight="1" s="26">
      <c r="A1" s="36" t="inlineStr">
        <is>
          <t>ID</t>
        </is>
      </c>
      <c r="B1" s="36" t="inlineStr">
        <is>
          <t>Recipe</t>
        </is>
      </c>
      <c r="C1" s="36" t="inlineStr">
        <is>
          <t>Category</t>
        </is>
      </c>
      <c r="D1" s="36" t="inlineStr">
        <is>
          <t>Meal</t>
        </is>
      </c>
      <c r="E1" s="36" t="inlineStr">
        <is>
          <t>Inspired by</t>
        </is>
      </c>
      <c r="F1" s="36" t="inlineStr">
        <is>
          <t>Local adaptation</t>
        </is>
      </c>
      <c r="G1" s="36" t="inlineStr">
        <is>
          <t>Goal tags</t>
        </is>
      </c>
      <c r="H1" s="36" t="inlineStr">
        <is>
          <t>Diet</t>
        </is>
      </c>
      <c r="I1" s="36" t="inlineStr">
        <is>
          <t>Prep (min)</t>
        </is>
      </c>
      <c r="J1" s="36" t="inlineStr">
        <is>
          <t>Cook (min)</t>
        </is>
      </c>
      <c r="K1" s="36" t="inlineStr">
        <is>
          <t>Total (min)</t>
        </is>
      </c>
      <c r="L1" s="36" t="inlineStr">
        <is>
          <t>Effort tier</t>
        </is>
      </c>
      <c r="M1" s="36" t="inlineStr">
        <is>
          <t>Servings</t>
        </is>
      </c>
      <c r="N1" s="36" t="inlineStr">
        <is>
          <t>Est. kcal / serving</t>
        </is>
      </c>
      <c r="O1" s="36" t="inlineStr">
        <is>
          <t>Est. protein (g) / serving</t>
        </is>
      </c>
      <c r="P1" s="36" t="inlineStr">
        <is>
          <t>Hero produce</t>
        </is>
      </c>
      <c r="Q1" s="36" t="inlineStr">
        <is>
          <t>Basket items</t>
        </is>
      </c>
      <c r="R1" s="36" t="inlineStr">
        <is>
          <t>Other items</t>
        </is>
      </c>
      <c r="S1" s="36" t="inlineStr">
        <is>
          <t>Basket coverage</t>
        </is>
      </c>
      <c r="T1" s="36" t="inlineStr">
        <is>
          <t>Hits target?</t>
        </is>
      </c>
      <c r="U1" s="36" t="inlineStr">
        <is>
          <t>Seasonal ingredients</t>
        </is>
      </c>
      <c r="V1" s="36" t="inlineStr">
        <is>
          <t>Method</t>
        </is>
      </c>
      <c r="W1" s="36" t="inlineStr">
        <is>
          <t>Tip</t>
        </is>
      </c>
      <c r="X1" s="36" t="inlineStr">
        <is>
          <t>Status</t>
        </is>
      </c>
    </row>
    <row r="2" ht="105" customHeight="1" s="26">
      <c r="A2" s="37" t="inlineStr">
        <is>
          <t>R015</t>
        </is>
      </c>
      <c r="B2" s="38" t="inlineStr">
        <is>
          <t>Mango &amp; Passion Fruit Overnight Oats</t>
        </is>
      </c>
      <c r="C2" s="37" t="inlineStr">
        <is>
          <t>Breakfast</t>
        </is>
      </c>
      <c r="D2" s="37" t="inlineStr">
        <is>
          <t>Breakfast</t>
        </is>
      </c>
      <c r="E2" s="39" t="inlineStr">
        <is>
          <t>Bircher muesli (Switzerland) / overnight oats</t>
        </is>
      </c>
      <c r="F2" s="39" t="inlineStr">
        <is>
          <t>Mango and passion fruit on top, tiger nut milk as an option.</t>
        </is>
      </c>
      <c r="G2" s="39" t="inlineStr">
        <is>
          <t>Training, Weight management</t>
        </is>
      </c>
      <c r="H2" s="37" t="inlineStr">
        <is>
          <t>Vegetarian</t>
        </is>
      </c>
      <c r="I2" s="45" t="n">
        <v>10</v>
      </c>
      <c r="J2" s="45" t="n">
        <v>0</v>
      </c>
      <c r="K2" s="37">
        <f>I2+J2</f>
        <v/>
      </c>
      <c r="L2" s="37">
        <f>IF(J2=0,"No-cook",IF(K2&lt;=25,"Quick","Standard"))</f>
        <v/>
      </c>
      <c r="M2" s="45" t="n">
        <v>2</v>
      </c>
      <c r="N2" s="45" t="n">
        <v>380</v>
      </c>
      <c r="O2" s="45" t="n">
        <v>14</v>
      </c>
      <c r="P2" s="39" t="inlineStr">
        <is>
          <t>Mango, Passion fruit</t>
        </is>
      </c>
      <c r="Q2" s="37">
        <f>COUNTIFS('Recipe Ingredients'!$A$2:$A$2000,A2,'Recipe Ingredients'!$G$2:$G$2000,"Basket")</f>
        <v/>
      </c>
      <c r="R2" s="37">
        <f>COUNTIFS('Recipe Ingredients'!$A$2:$A$2000,A2,'Recipe Ingredients'!$G$2:$G$2000,"Protein")+COUNTIFS('Recipe Ingredients'!$A$2:$A$2000,A2,'Recipe Ingredients'!$G$2:$G$2000,"Pantry")</f>
        <v/>
      </c>
      <c r="S2" s="46">
        <f>IFERROR(Q2/(Q2+R2),0)</f>
        <v/>
      </c>
      <c r="T2" s="37">
        <f>IF(S2&gt;='Start Here'!$C$6,"Yes","No")</f>
        <v/>
      </c>
      <c r="U2" s="39" t="inlineStr">
        <is>
          <t>Mango (Feb-May, Aug-Sep); Passion fruit (Jan-Mar, May-Jun, Aug-Nov)</t>
        </is>
      </c>
      <c r="V2" s="39" t="inlineStr">
        <is>
          <t>1. Stir oats, milk, yoghurt and chia together in two jars.
2. Cover and refrigerate overnight.
3. In the morning, top with diced mango and passion fruit pulp.
4. Drizzle with honey if you like.</t>
        </is>
      </c>
      <c r="W2" s="39" t="inlineStr">
        <is>
          <t>Make 3 days at once for a week of grab-and-go breakfasts.</t>
        </is>
      </c>
      <c r="X2" s="42" t="inlineStr">
        <is>
          <t>Draft</t>
        </is>
      </c>
    </row>
    <row r="3" ht="105" customHeight="1" s="26">
      <c r="A3" s="37" t="inlineStr">
        <is>
          <t>R016</t>
        </is>
      </c>
      <c r="B3" s="38" t="inlineStr">
        <is>
          <t>Pawpaw Boats with Yoghurt &amp; Groundnut Crunch</t>
        </is>
      </c>
      <c r="C3" s="37" t="inlineStr">
        <is>
          <t>Breakfast</t>
        </is>
      </c>
      <c r="D3" s="37" t="inlineStr">
        <is>
          <t>Breakfast</t>
        </is>
      </c>
      <c r="E3" s="39" t="inlineStr">
        <is>
          <t>Papaya boats (Hawaii / Bali brunch spots)</t>
        </is>
      </c>
      <c r="F3" s="39" t="inlineStr">
        <is>
          <t>Crushed groundnuts and pineapple replace imported berries.</t>
        </is>
      </c>
      <c r="G3" s="39" t="inlineStr">
        <is>
          <t>Weight management, Wellness</t>
        </is>
      </c>
      <c r="H3" s="37" t="inlineStr">
        <is>
          <t>Vegetarian</t>
        </is>
      </c>
      <c r="I3" s="45" t="n">
        <v>5</v>
      </c>
      <c r="J3" s="45" t="n">
        <v>0</v>
      </c>
      <c r="K3" s="37">
        <f>I3+J3</f>
        <v/>
      </c>
      <c r="L3" s="37">
        <f>IF(J3=0,"No-cook",IF(K3&lt;=25,"Quick","Standard"))</f>
        <v/>
      </c>
      <c r="M3" s="45" t="n">
        <v>2</v>
      </c>
      <c r="N3" s="45" t="n">
        <v>320</v>
      </c>
      <c r="O3" s="45" t="n">
        <v>12</v>
      </c>
      <c r="P3" s="39" t="inlineStr">
        <is>
          <t>Pawpaw, Pineapple, Lime, Groundnut</t>
        </is>
      </c>
      <c r="Q3" s="37">
        <f>COUNTIFS('Recipe Ingredients'!$A$2:$A$2000,A3,'Recipe Ingredients'!$G$2:$G$2000,"Basket")</f>
        <v/>
      </c>
      <c r="R3" s="37">
        <f>COUNTIFS('Recipe Ingredients'!$A$2:$A$2000,A3,'Recipe Ingredients'!$G$2:$G$2000,"Protein")+COUNTIFS('Recipe Ingredients'!$A$2:$A$2000,A3,'Recipe Ingredients'!$G$2:$G$2000,"Pantry")</f>
        <v/>
      </c>
      <c r="S3" s="46">
        <f>IFERROR(Q3/(Q3+R3),0)</f>
        <v/>
      </c>
      <c r="T3" s="37">
        <f>IF(S3&gt;='Start Here'!$C$6,"Yes","No")</f>
        <v/>
      </c>
      <c r="U3" s="39" t="inlineStr">
        <is>
          <t>Year-round</t>
        </is>
      </c>
      <c r="V3" s="39" t="inlineStr">
        <is>
          <t>1. Halve the pawpaw lengthways and scoop out the seeds.
2. Fill each half with yoghurt.
3. Top with granola, pineapple and crushed groundnuts.
4. Finish with lime zest and a drizzle of honey.</t>
        </is>
      </c>
      <c r="W3" s="39" t="n"/>
      <c r="X3" s="42" t="inlineStr">
        <is>
          <t>Draft</t>
        </is>
      </c>
    </row>
    <row r="4" ht="105" customHeight="1" s="26">
      <c r="A4" s="37" t="inlineStr">
        <is>
          <t>R017</t>
        </is>
      </c>
      <c r="B4" s="38" t="inlineStr">
        <is>
          <t>Banana Oat Pancakes with Pineapple Compote</t>
        </is>
      </c>
      <c r="C4" s="37" t="inlineStr">
        <is>
          <t>Breakfast</t>
        </is>
      </c>
      <c r="D4" s="37" t="inlineStr">
        <is>
          <t>Breakfast</t>
        </is>
      </c>
      <c r="E4" s="39" t="inlineStr">
        <is>
          <t>Three-ingredient banana pancakes (US fitness)</t>
        </is>
      </c>
      <c r="F4" s="39" t="inlineStr">
        <is>
          <t>Warm pineapple compote stands in for maple syrup and berries.</t>
        </is>
      </c>
      <c r="G4" s="39" t="inlineStr">
        <is>
          <t>Training</t>
        </is>
      </c>
      <c r="H4" s="37" t="inlineStr">
        <is>
          <t>Vegetarian</t>
        </is>
      </c>
      <c r="I4" s="45" t="n">
        <v>10</v>
      </c>
      <c r="J4" s="45" t="n">
        <v>15</v>
      </c>
      <c r="K4" s="37">
        <f>I4+J4</f>
        <v/>
      </c>
      <c r="L4" s="37">
        <f>IF(J4=0,"No-cook",IF(K4&lt;=25,"Quick","Standard"))</f>
        <v/>
      </c>
      <c r="M4" s="45" t="n">
        <v>2</v>
      </c>
      <c r="N4" s="45" t="n">
        <v>360</v>
      </c>
      <c r="O4" s="45" t="n">
        <v>15</v>
      </c>
      <c r="P4" s="39" t="inlineStr">
        <is>
          <t>Banana, Pineapple, Lime</t>
        </is>
      </c>
      <c r="Q4" s="37">
        <f>COUNTIFS('Recipe Ingredients'!$A$2:$A$2000,A4,'Recipe Ingredients'!$G$2:$G$2000,"Basket")</f>
        <v/>
      </c>
      <c r="R4" s="37">
        <f>COUNTIFS('Recipe Ingredients'!$A$2:$A$2000,A4,'Recipe Ingredients'!$G$2:$G$2000,"Protein")+COUNTIFS('Recipe Ingredients'!$A$2:$A$2000,A4,'Recipe Ingredients'!$G$2:$G$2000,"Pantry")</f>
        <v/>
      </c>
      <c r="S4" s="46">
        <f>IFERROR(Q4/(Q4+R4),0)</f>
        <v/>
      </c>
      <c r="T4" s="37">
        <f>IF(S4&gt;='Start Here'!$C$6,"Yes","No")</f>
        <v/>
      </c>
      <c r="U4" s="39" t="inlineStr">
        <is>
          <t>Year-round</t>
        </is>
      </c>
      <c r="V4" s="39" t="inlineStr">
        <is>
          <t>1. Blend bananas, eggs, oats and cinnamon into a thick batter.
2. Cook small pancakes in a lightly oiled pan, 2 minutes a side.
3. Simmer pineapple with lime juice for 5 minutes until jammy.
4. Stack the pancakes and spoon the compote over.</t>
        </is>
      </c>
      <c r="W4" s="39" t="n"/>
      <c r="X4" s="42" t="inlineStr">
        <is>
          <t>Draft</t>
        </is>
      </c>
    </row>
    <row r="5" ht="105" customHeight="1" s="26">
      <c r="A5" s="37" t="inlineStr">
        <is>
          <t>R018</t>
        </is>
      </c>
      <c r="B5" s="38" t="inlineStr">
        <is>
          <t>Shakshuka with Tatashe &amp; Efo</t>
        </is>
      </c>
      <c r="C5" s="37" t="inlineStr">
        <is>
          <t>Breakfast</t>
        </is>
      </c>
      <c r="D5" s="37" t="inlineStr">
        <is>
          <t>Brunch</t>
        </is>
      </c>
      <c r="E5" s="39" t="inlineStr">
        <is>
          <t>Shakshuka (North Africa / Middle East)</t>
        </is>
      </c>
      <c r="F5" s="39" t="inlineStr">
        <is>
          <t>The sauce is basically a lighter obe ata. Greens folded in at the end.</t>
        </is>
      </c>
      <c r="G5" s="39" t="inlineStr">
        <is>
          <t>Training, Weight management</t>
        </is>
      </c>
      <c r="H5" s="37" t="inlineStr">
        <is>
          <t>Vegetarian</t>
        </is>
      </c>
      <c r="I5" s="45" t="n">
        <v>10</v>
      </c>
      <c r="J5" s="45" t="n">
        <v>20</v>
      </c>
      <c r="K5" s="37">
        <f>I5+J5</f>
        <v/>
      </c>
      <c r="L5" s="37">
        <f>IF(J5=0,"No-cook",IF(K5&lt;=25,"Quick","Standard"))</f>
        <v/>
      </c>
      <c r="M5" s="45" t="n">
        <v>2</v>
      </c>
      <c r="N5" s="45" t="n">
        <v>330</v>
      </c>
      <c r="O5" s="45" t="n">
        <v>17</v>
      </c>
      <c r="P5" s="39" t="inlineStr">
        <is>
          <t>Tomato, Red bell pepper, Scotch bonnet, Onion</t>
        </is>
      </c>
      <c r="Q5" s="37">
        <f>COUNTIFS('Recipe Ingredients'!$A$2:$A$2000,A5,'Recipe Ingredients'!$G$2:$G$2000,"Basket")</f>
        <v/>
      </c>
      <c r="R5" s="37">
        <f>COUNTIFS('Recipe Ingredients'!$A$2:$A$2000,A5,'Recipe Ingredients'!$G$2:$G$2000,"Protein")+COUNTIFS('Recipe Ingredients'!$A$2:$A$2000,A5,'Recipe Ingredients'!$G$2:$G$2000,"Pantry")</f>
        <v/>
      </c>
      <c r="S5" s="46">
        <f>IFERROR(Q5/(Q5+R5),0)</f>
        <v/>
      </c>
      <c r="T5" s="37">
        <f>IF(S5&gt;='Start Here'!$C$6,"Yes","No")</f>
        <v/>
      </c>
      <c r="U5" s="39" t="inlineStr">
        <is>
          <t>Year-round</t>
        </is>
      </c>
      <c r="V5" s="39" t="inlineStr">
        <is>
          <t>1. Soften chopped onion and garlic in oil.
2. Add chopped tomatoes, tatashe, ata rodo and cumin. Simmer 10 minutes until thick.
3. Stir in the efo tete, then make four wells and crack in the eggs.
4. Cover and cook 5 to 6 minutes until the whites set. Serve with bread.</t>
        </is>
      </c>
      <c r="W5" s="39" t="n"/>
      <c r="X5" s="42" t="inlineStr">
        <is>
          <t>Draft</t>
        </is>
      </c>
    </row>
    <row r="6" ht="105" customHeight="1" s="26">
      <c r="A6" s="37" t="inlineStr">
        <is>
          <t>R019</t>
        </is>
      </c>
      <c r="B6" s="38" t="inlineStr">
        <is>
          <t>Avocado Toast with Ata Rodo Salsa</t>
        </is>
      </c>
      <c r="C6" s="37" t="inlineStr">
        <is>
          <t>Breakfast</t>
        </is>
      </c>
      <c r="D6" s="37" t="inlineStr">
        <is>
          <t>Breakfast</t>
        </is>
      </c>
      <c r="E6" s="39" t="inlineStr">
        <is>
          <t>Avocado toast (Australian cafe culture)</t>
        </is>
      </c>
      <c r="F6" s="39" t="inlineStr">
        <is>
          <t>A fresh tomato, onion and ata rodo salsa on top instead of chilli flakes.</t>
        </is>
      </c>
      <c r="G6" s="39" t="inlineStr">
        <is>
          <t>Wellness, Weight management</t>
        </is>
      </c>
      <c r="H6" s="37" t="inlineStr">
        <is>
          <t>Vegetarian</t>
        </is>
      </c>
      <c r="I6" s="45" t="n">
        <v>10</v>
      </c>
      <c r="J6" s="45" t="n">
        <v>3</v>
      </c>
      <c r="K6" s="37">
        <f>I6+J6</f>
        <v/>
      </c>
      <c r="L6" s="37">
        <f>IF(J6=0,"No-cook",IF(K6&lt;=25,"Quick","Standard"))</f>
        <v/>
      </c>
      <c r="M6" s="45" t="n">
        <v>2</v>
      </c>
      <c r="N6" s="45" t="n">
        <v>380</v>
      </c>
      <c r="O6" s="45" t="n">
        <v>13</v>
      </c>
      <c r="P6" s="39" t="inlineStr">
        <is>
          <t>Avocado, Tomato, Onion, Scotch bonnet</t>
        </is>
      </c>
      <c r="Q6" s="37">
        <f>COUNTIFS('Recipe Ingredients'!$A$2:$A$2000,A6,'Recipe Ingredients'!$G$2:$G$2000,"Basket")</f>
        <v/>
      </c>
      <c r="R6" s="37">
        <f>COUNTIFS('Recipe Ingredients'!$A$2:$A$2000,A6,'Recipe Ingredients'!$G$2:$G$2000,"Protein")+COUNTIFS('Recipe Ingredients'!$A$2:$A$2000,A6,'Recipe Ingredients'!$G$2:$G$2000,"Pantry")</f>
        <v/>
      </c>
      <c r="S6" s="46">
        <f>IFERROR(Q6/(Q6+R6),0)</f>
        <v/>
      </c>
      <c r="T6" s="37">
        <f>IF(S6&gt;='Start Here'!$C$6,"Yes","No")</f>
        <v/>
      </c>
      <c r="U6" s="39" t="inlineStr">
        <is>
          <t>Year-round</t>
        </is>
      </c>
      <c r="V6" s="39" t="inlineStr">
        <is>
          <t>1. Toast the bread.
2. Mash avocado with half the lime juice and a pinch of salt.
3. Dice tomato, onion and ata rodo and toss with the rest of the lime.
4. Spread avocado, spoon over salsa, top with sliced boiled egg if using.</t>
        </is>
      </c>
      <c r="W6" s="39" t="n"/>
      <c r="X6" s="42" t="inlineStr">
        <is>
          <t>Draft</t>
        </is>
      </c>
    </row>
    <row r="7" ht="105" customHeight="1" s="26">
      <c r="A7" s="37" t="inlineStr">
        <is>
          <t>R020</t>
        </is>
      </c>
      <c r="B7" s="38" t="inlineStr">
        <is>
          <t>Sweet Potato Breakfast Hash</t>
        </is>
      </c>
      <c r="C7" s="37" t="inlineStr">
        <is>
          <t>Breakfast</t>
        </is>
      </c>
      <c r="D7" s="37" t="inlineStr">
        <is>
          <t>Breakfast</t>
        </is>
      </c>
      <c r="E7" s="39" t="inlineStr">
        <is>
          <t>American diner hash</t>
        </is>
      </c>
      <c r="F7" s="39" t="inlineStr">
        <is>
          <t>Sweet potato is cheaper locally than Irish potato and keeps you full longer.</t>
        </is>
      </c>
      <c r="G7" s="39" t="inlineStr">
        <is>
          <t>Training</t>
        </is>
      </c>
      <c r="H7" s="37" t="inlineStr">
        <is>
          <t>Vegetarian</t>
        </is>
      </c>
      <c r="I7" s="45" t="n">
        <v>10</v>
      </c>
      <c r="J7" s="45" t="n">
        <v>20</v>
      </c>
      <c r="K7" s="37">
        <f>I7+J7</f>
        <v/>
      </c>
      <c r="L7" s="37">
        <f>IF(J7=0,"No-cook",IF(K7&lt;=25,"Quick","Standard"))</f>
        <v/>
      </c>
      <c r="M7" s="45" t="n">
        <v>2</v>
      </c>
      <c r="N7" s="45" t="n">
        <v>420</v>
      </c>
      <c r="O7" s="45" t="n">
        <v>16</v>
      </c>
      <c r="P7" s="39" t="inlineStr">
        <is>
          <t>Sweet potato, Onion, Red bell pepper, Amaranth greens</t>
        </is>
      </c>
      <c r="Q7" s="37">
        <f>COUNTIFS('Recipe Ingredients'!$A$2:$A$2000,A7,'Recipe Ingredients'!$G$2:$G$2000,"Basket")</f>
        <v/>
      </c>
      <c r="R7" s="37">
        <f>COUNTIFS('Recipe Ingredients'!$A$2:$A$2000,A7,'Recipe Ingredients'!$G$2:$G$2000,"Protein")+COUNTIFS('Recipe Ingredients'!$A$2:$A$2000,A7,'Recipe Ingredients'!$G$2:$G$2000,"Pantry")</f>
        <v/>
      </c>
      <c r="S7" s="46">
        <f>IFERROR(Q7/(Q7+R7),0)</f>
        <v/>
      </c>
      <c r="T7" s="37">
        <f>IF(S7&gt;='Start Here'!$C$6,"Yes","No")</f>
        <v/>
      </c>
      <c r="U7" s="39" t="inlineStr">
        <is>
          <t>Year-round</t>
        </is>
      </c>
      <c r="V7" s="39" t="inlineStr">
        <is>
          <t>1. Dice sweet potatoes small and fry in oil for 10 minutes until golden.
2. Add onion and tatashe, cook 4 minutes. Season with paprika and salt.
3. Stir in efo tete until wilted.
4. Make wells, crack in eggs, cover until set. Finish with spring onion.</t>
        </is>
      </c>
      <c r="W7" s="39" t="n"/>
      <c r="X7" s="42" t="inlineStr">
        <is>
          <t>Draft</t>
        </is>
      </c>
    </row>
    <row r="8" ht="105" customHeight="1" s="26">
      <c r="A8" s="37" t="inlineStr">
        <is>
          <t>R021</t>
        </is>
      </c>
      <c r="B8" s="38" t="inlineStr">
        <is>
          <t>Plantain &amp; Efo Frittata</t>
        </is>
      </c>
      <c r="C8" s="37" t="inlineStr">
        <is>
          <t>Breakfast</t>
        </is>
      </c>
      <c r="D8" s="37" t="inlineStr">
        <is>
          <t>Breakfast / Lunch</t>
        </is>
      </c>
      <c r="E8" s="39" t="inlineStr">
        <is>
          <t>Spanish tortilla / Italian frittata</t>
        </is>
      </c>
      <c r="F8" s="39" t="inlineStr">
        <is>
          <t>Ripe plantain takes the place of potato. Dodo meets tortilla.</t>
        </is>
      </c>
      <c r="G8" s="39" t="inlineStr">
        <is>
          <t>Training</t>
        </is>
      </c>
      <c r="H8" s="37" t="inlineStr">
        <is>
          <t>Vegetarian</t>
        </is>
      </c>
      <c r="I8" s="45" t="n">
        <v>10</v>
      </c>
      <c r="J8" s="45" t="n">
        <v>20</v>
      </c>
      <c r="K8" s="37">
        <f>I8+J8</f>
        <v/>
      </c>
      <c r="L8" s="37">
        <f>IF(J8=0,"No-cook",IF(K8&lt;=25,"Quick","Standard"))</f>
        <v/>
      </c>
      <c r="M8" s="45" t="n">
        <v>3</v>
      </c>
      <c r="N8" s="45" t="n">
        <v>350</v>
      </c>
      <c r="O8" s="45" t="n">
        <v>15</v>
      </c>
      <c r="P8" s="39" t="inlineStr">
        <is>
          <t>Plantain, Amaranth greens, Onion, Red bell pepper</t>
        </is>
      </c>
      <c r="Q8" s="37">
        <f>COUNTIFS('Recipe Ingredients'!$A$2:$A$2000,A8,'Recipe Ingredients'!$G$2:$G$2000,"Basket")</f>
        <v/>
      </c>
      <c r="R8" s="37">
        <f>COUNTIFS('Recipe Ingredients'!$A$2:$A$2000,A8,'Recipe Ingredients'!$G$2:$G$2000,"Protein")+COUNTIFS('Recipe Ingredients'!$A$2:$A$2000,A8,'Recipe Ingredients'!$G$2:$G$2000,"Pantry")</f>
        <v/>
      </c>
      <c r="S8" s="46">
        <f>IFERROR(Q8/(Q8+R8),0)</f>
        <v/>
      </c>
      <c r="T8" s="37">
        <f>IF(S8&gt;='Start Here'!$C$6,"Yes","No")</f>
        <v/>
      </c>
      <c r="U8" s="39" t="inlineStr">
        <is>
          <t>Year-round</t>
        </is>
      </c>
      <c r="V8" s="39" t="inlineStr">
        <is>
          <t>1. Slice the plantain and fry until golden on both sides.
2. Add onion, tatashe and ata rodo, cook 3 minutes, then the efo.
3. Pour over beaten, seasoned eggs.
4. Cook on low with a lid until set, about 8 minutes. Slice like a cake.</t>
        </is>
      </c>
      <c r="W8" s="39" t="inlineStr">
        <is>
          <t>Cold slices travel well in a lunch box.</t>
        </is>
      </c>
      <c r="X8" s="42" t="inlineStr">
        <is>
          <t>Draft</t>
        </is>
      </c>
    </row>
    <row r="9" ht="105" customHeight="1" s="26">
      <c r="A9" s="37" t="inlineStr">
        <is>
          <t>R022</t>
        </is>
      </c>
      <c r="B9" s="38" t="inlineStr">
        <is>
          <t>Tropical Parfait with Tiger Nut Crumble</t>
        </is>
      </c>
      <c r="C9" s="37" t="inlineStr">
        <is>
          <t>Breakfast</t>
        </is>
      </c>
      <c r="D9" s="37" t="inlineStr">
        <is>
          <t>Breakfast / Snack</t>
        </is>
      </c>
      <c r="E9" s="39" t="inlineStr">
        <is>
          <t>Yoghurt parfait (France / US cafes)</t>
        </is>
      </c>
      <c r="F9" s="39" t="inlineStr">
        <is>
          <t>Tiger nut and coconut crumble replaces store-bought granola.</t>
        </is>
      </c>
      <c r="G9" s="39" t="inlineStr">
        <is>
          <t>Weight management, Wellness</t>
        </is>
      </c>
      <c r="H9" s="37" t="inlineStr">
        <is>
          <t>Vegetarian</t>
        </is>
      </c>
      <c r="I9" s="45" t="n">
        <v>10</v>
      </c>
      <c r="J9" s="45" t="n">
        <v>0</v>
      </c>
      <c r="K9" s="37">
        <f>I9+J9</f>
        <v/>
      </c>
      <c r="L9" s="37">
        <f>IF(J9=0,"No-cook",IF(K9&lt;=25,"Quick","Standard"))</f>
        <v/>
      </c>
      <c r="M9" s="45" t="n">
        <v>2</v>
      </c>
      <c r="N9" s="45" t="n">
        <v>340</v>
      </c>
      <c r="O9" s="45" t="n">
        <v>14</v>
      </c>
      <c r="P9" s="39" t="inlineStr">
        <is>
          <t>Pineapple, Banana, Mango, Tiger nut</t>
        </is>
      </c>
      <c r="Q9" s="37">
        <f>COUNTIFS('Recipe Ingredients'!$A$2:$A$2000,A9,'Recipe Ingredients'!$G$2:$G$2000,"Basket")</f>
        <v/>
      </c>
      <c r="R9" s="37">
        <f>COUNTIFS('Recipe Ingredients'!$A$2:$A$2000,A9,'Recipe Ingredients'!$G$2:$G$2000,"Protein")+COUNTIFS('Recipe Ingredients'!$A$2:$A$2000,A9,'Recipe Ingredients'!$G$2:$G$2000,"Pantry")</f>
        <v/>
      </c>
      <c r="S9" s="46">
        <f>IFERROR(Q9/(Q9+R9),0)</f>
        <v/>
      </c>
      <c r="T9" s="37">
        <f>IF(S9&gt;='Start Here'!$C$6,"Yes","No")</f>
        <v/>
      </c>
      <c r="U9" s="39" t="inlineStr">
        <is>
          <t>Mango (Feb-May, Aug-Sep); Tiger nut (Nov-May, Jul-Sep)</t>
        </is>
      </c>
      <c r="V9" s="39" t="inlineStr">
        <is>
          <t>1. Chop tiger nuts roughly and toast with grated coconut in a dry pan for 3 minutes.
2. Dice pineapple, banana and mango.
3. Layer yoghurt, fruit and crumble in two glasses.
4. Finish with honey.</t>
        </is>
      </c>
      <c r="W9" s="39" t="inlineStr">
        <is>
          <t>Off season, pawpaw replaces mango.</t>
        </is>
      </c>
      <c r="X9" s="42" t="inlineStr">
        <is>
          <t>Draft</t>
        </is>
      </c>
    </row>
    <row r="10" ht="105" customHeight="1" s="26">
      <c r="A10" s="37" t="inlineStr">
        <is>
          <t>R023</t>
        </is>
      </c>
      <c r="B10" s="38" t="inlineStr">
        <is>
          <t>Coconut Chia Pudding with Mango</t>
        </is>
      </c>
      <c r="C10" s="37" t="inlineStr">
        <is>
          <t>Breakfast</t>
        </is>
      </c>
      <c r="D10" s="37" t="inlineStr">
        <is>
          <t>Breakfast / Dessert</t>
        </is>
      </c>
      <c r="E10" s="39" t="inlineStr">
        <is>
          <t>Chia pudding (wellness cafes)</t>
        </is>
      </c>
      <c r="F10" s="39" t="inlineStr">
        <is>
          <t>Fresh coconut milk and dates instead of canned milk and maple syrup.</t>
        </is>
      </c>
      <c r="G10" s="39" t="inlineStr">
        <is>
          <t>Plant-based, Wellness</t>
        </is>
      </c>
      <c r="H10" s="37" t="inlineStr">
        <is>
          <t>Vegan</t>
        </is>
      </c>
      <c r="I10" s="45" t="n">
        <v>10</v>
      </c>
      <c r="J10" s="45" t="n">
        <v>0</v>
      </c>
      <c r="K10" s="37">
        <f>I10+J10</f>
        <v/>
      </c>
      <c r="L10" s="37">
        <f>IF(J10=0,"No-cook",IF(K10&lt;=25,"Quick","Standard"))</f>
        <v/>
      </c>
      <c r="M10" s="45" t="n">
        <v>2</v>
      </c>
      <c r="N10" s="45" t="n">
        <v>320</v>
      </c>
      <c r="O10" s="45" t="n">
        <v>7</v>
      </c>
      <c r="P10" s="39" t="inlineStr">
        <is>
          <t>Coconut, Dates, Mango, Lime</t>
        </is>
      </c>
      <c r="Q10" s="37">
        <f>COUNTIFS('Recipe Ingredients'!$A$2:$A$2000,A10,'Recipe Ingredients'!$G$2:$G$2000,"Basket")</f>
        <v/>
      </c>
      <c r="R10" s="37">
        <f>COUNTIFS('Recipe Ingredients'!$A$2:$A$2000,A10,'Recipe Ingredients'!$G$2:$G$2000,"Protein")+COUNTIFS('Recipe Ingredients'!$A$2:$A$2000,A10,'Recipe Ingredients'!$G$2:$G$2000,"Pantry")</f>
        <v/>
      </c>
      <c r="S10" s="46">
        <f>IFERROR(Q10/(Q10+R10),0)</f>
        <v/>
      </c>
      <c r="T10" s="37">
        <f>IF(S10&gt;='Start Here'!$C$6,"Yes","No")</f>
        <v/>
      </c>
      <c r="U10" s="39" t="inlineStr">
        <is>
          <t>Mango (Feb-May, Aug-Sep)</t>
        </is>
      </c>
      <c r="V10" s="39" t="inlineStr">
        <is>
          <t>1. Blend coconut flesh with warm water and dates, then strain to get sweet coconut milk.
2. Stir chia seeds into the milk and leave 10 minutes, then stir again.
3. Refrigerate at least 4 hours.
4. Top with diced mango and lime zest.</t>
        </is>
      </c>
      <c r="W10" s="39" t="n"/>
      <c r="X10" s="42" t="inlineStr">
        <is>
          <t>Draft</t>
        </is>
      </c>
    </row>
    <row r="11" ht="105" customHeight="1" s="26">
      <c r="A11" s="37" t="inlineStr">
        <is>
          <t>R024</t>
        </is>
      </c>
      <c r="B11" s="38" t="inlineStr">
        <is>
          <t>Chilli-Lime Fruit Cup (Yaji Edition)</t>
        </is>
      </c>
      <c r="C11" s="37" t="inlineStr">
        <is>
          <t>Snack</t>
        </is>
      </c>
      <c r="D11" s="37" t="inlineStr">
        <is>
          <t>Snack</t>
        </is>
      </c>
      <c r="E11" s="39" t="inlineStr">
        <is>
          <t>Mexican fruit cup with chile and lime (Tajin)</t>
        </is>
      </c>
      <c r="F11" s="39" t="inlineStr">
        <is>
          <t>Yaji replaces Tajin. Same salty, spicy, sour hit on cold fruit.</t>
        </is>
      </c>
      <c r="G11" s="39" t="inlineStr">
        <is>
          <t>Hydration, Weight management</t>
        </is>
      </c>
      <c r="H11" s="37" t="inlineStr">
        <is>
          <t>Vegan</t>
        </is>
      </c>
      <c r="I11" s="45" t="n">
        <v>10</v>
      </c>
      <c r="J11" s="45" t="n">
        <v>0</v>
      </c>
      <c r="K11" s="37">
        <f>I11+J11</f>
        <v/>
      </c>
      <c r="L11" s="37">
        <f>IF(J11=0,"No-cook",IF(K11&lt;=25,"Quick","Standard"))</f>
        <v/>
      </c>
      <c r="M11" s="45" t="n">
        <v>2</v>
      </c>
      <c r="N11" s="45" t="n">
        <v>120</v>
      </c>
      <c r="O11" s="45" t="n">
        <v>2</v>
      </c>
      <c r="P11" s="39" t="inlineStr">
        <is>
          <t>Watermelon, Pineapple, Pawpaw, Cucumber</t>
        </is>
      </c>
      <c r="Q11" s="37">
        <f>COUNTIFS('Recipe Ingredients'!$A$2:$A$2000,A11,'Recipe Ingredients'!$G$2:$G$2000,"Basket")</f>
        <v/>
      </c>
      <c r="R11" s="37">
        <f>COUNTIFS('Recipe Ingredients'!$A$2:$A$2000,A11,'Recipe Ingredients'!$G$2:$G$2000,"Protein")+COUNTIFS('Recipe Ingredients'!$A$2:$A$2000,A11,'Recipe Ingredients'!$G$2:$G$2000,"Pantry")</f>
        <v/>
      </c>
      <c r="S11" s="46">
        <f>IFERROR(Q11/(Q11+R11),0)</f>
        <v/>
      </c>
      <c r="T11" s="37">
        <f>IF(S11&gt;='Start Here'!$C$6,"Yes","No")</f>
        <v/>
      </c>
      <c r="U11" s="39" t="inlineStr">
        <is>
          <t>Mango (Feb-May, Aug-Sep)</t>
        </is>
      </c>
      <c r="V11" s="39" t="inlineStr">
        <is>
          <t>1. Cut all the fruit and cucumber into spears or chunks.
2. Pile into cups.
3. Squeeze lime over generously.
4. Dust with yaji and a pinch of salt just before eating.</t>
        </is>
      </c>
      <c r="W11" s="39" t="inlineStr">
        <is>
          <t>A strong candidate for a ready-to-eat snack box.</t>
        </is>
      </c>
      <c r="X11" s="42" t="inlineStr">
        <is>
          <t>Draft</t>
        </is>
      </c>
    </row>
    <row r="12" ht="105" customHeight="1" s="26">
      <c r="A12" s="37" t="inlineStr">
        <is>
          <t>R025</t>
        </is>
      </c>
      <c r="B12" s="38" t="inlineStr">
        <is>
          <t>Garden Egg Chopped Salad</t>
        </is>
      </c>
      <c r="C12" s="37" t="inlineStr">
        <is>
          <t>Salad</t>
        </is>
      </c>
      <c r="D12" s="37" t="inlineStr">
        <is>
          <t>Lunch / Side</t>
        </is>
      </c>
      <c r="E12" s="39" t="inlineStr">
        <is>
          <t>Shirazi / Israeli chopped salad</t>
        </is>
      </c>
      <c r="F12" s="39" t="inlineStr">
        <is>
          <t>Raw garden egg adds a crunchy, slightly bitter bite.</t>
        </is>
      </c>
      <c r="G12" s="39" t="inlineStr">
        <is>
          <t>Weight management, Wellness</t>
        </is>
      </c>
      <c r="H12" s="37" t="inlineStr">
        <is>
          <t>Vegan</t>
        </is>
      </c>
      <c r="I12" s="45" t="n">
        <v>15</v>
      </c>
      <c r="J12" s="45" t="n">
        <v>0</v>
      </c>
      <c r="K12" s="37">
        <f>I12+J12</f>
        <v/>
      </c>
      <c r="L12" s="37">
        <f>IF(J12=0,"No-cook",IF(K12&lt;=25,"Quick","Standard"))</f>
        <v/>
      </c>
      <c r="M12" s="45" t="n">
        <v>2</v>
      </c>
      <c r="N12" s="45" t="n">
        <v>140</v>
      </c>
      <c r="O12" s="45" t="n">
        <v>3</v>
      </c>
      <c r="P12" s="39" t="inlineStr">
        <is>
          <t>Garden egg, Tomato, Cucumber, Onion</t>
        </is>
      </c>
      <c r="Q12" s="37">
        <f>COUNTIFS('Recipe Ingredients'!$A$2:$A$2000,A12,'Recipe Ingredients'!$G$2:$G$2000,"Basket")</f>
        <v/>
      </c>
      <c r="R12" s="37">
        <f>COUNTIFS('Recipe Ingredients'!$A$2:$A$2000,A12,'Recipe Ingredients'!$G$2:$G$2000,"Protein")+COUNTIFS('Recipe Ingredients'!$A$2:$A$2000,A12,'Recipe Ingredients'!$G$2:$G$2000,"Pantry")</f>
        <v/>
      </c>
      <c r="S12" s="46">
        <f>IFERROR(Q12/(Q12+R12),0)</f>
        <v/>
      </c>
      <c r="T12" s="37">
        <f>IF(S12&gt;='Start Here'!$C$6,"Yes","No")</f>
        <v/>
      </c>
      <c r="U12" s="39" t="inlineStr">
        <is>
          <t>Garden egg (Jan-Oct)</t>
        </is>
      </c>
      <c r="V12" s="39" t="inlineStr">
        <is>
          <t>1. Dice garden eggs, tomatoes, cucumber and onion into small even pieces.
2. Chop the parsley.
3. Dress with lemon juice, olive oil and salt.
4. Rest 5 minutes before serving.</t>
        </is>
      </c>
      <c r="W12" s="39" t="inlineStr">
        <is>
          <t>Scent leaf instead of parsley gives it a distinctly Nigerian finish.</t>
        </is>
      </c>
      <c r="X12" s="42" t="inlineStr">
        <is>
          <t>Draft</t>
        </is>
      </c>
    </row>
    <row r="13" ht="105" customHeight="1" s="26">
      <c r="A13" s="37" t="inlineStr">
        <is>
          <t>R026</t>
        </is>
      </c>
      <c r="B13" s="38" t="inlineStr">
        <is>
          <t>Grilled Pineapple &amp; Chicken Salad</t>
        </is>
      </c>
      <c r="C13" s="37" t="inlineStr">
        <is>
          <t>Salad</t>
        </is>
      </c>
      <c r="D13" s="37" t="inlineStr">
        <is>
          <t>Lunch / Dinner</t>
        </is>
      </c>
      <c r="E13" s="39" t="inlineStr">
        <is>
          <t>Hawaiian grilled chicken salad</t>
        </is>
      </c>
      <c r="F13" s="39" t="inlineStr">
        <is>
          <t>Yaji-rubbed chicken and local lettuce.</t>
        </is>
      </c>
      <c r="G13" s="39" t="inlineStr">
        <is>
          <t>Training, Weight management</t>
        </is>
      </c>
      <c r="H13" s="37" t="inlineStr">
        <is>
          <t>Contains meat</t>
        </is>
      </c>
      <c r="I13" s="45" t="n">
        <v>15</v>
      </c>
      <c r="J13" s="45" t="n">
        <v>15</v>
      </c>
      <c r="K13" s="37">
        <f>I13+J13</f>
        <v/>
      </c>
      <c r="L13" s="37">
        <f>IF(J13=0,"No-cook",IF(K13&lt;=25,"Quick","Standard"))</f>
        <v/>
      </c>
      <c r="M13" s="45" t="n">
        <v>2</v>
      </c>
      <c r="N13" s="45" t="n">
        <v>420</v>
      </c>
      <c r="O13" s="45" t="n">
        <v>35</v>
      </c>
      <c r="P13" s="39" t="inlineStr">
        <is>
          <t>Pineapple, Lettuce, Cucumber, Red bell pepper</t>
        </is>
      </c>
      <c r="Q13" s="37">
        <f>COUNTIFS('Recipe Ingredients'!$A$2:$A$2000,A13,'Recipe Ingredients'!$G$2:$G$2000,"Basket")</f>
        <v/>
      </c>
      <c r="R13" s="37">
        <f>COUNTIFS('Recipe Ingredients'!$A$2:$A$2000,A13,'Recipe Ingredients'!$G$2:$G$2000,"Protein")+COUNTIFS('Recipe Ingredients'!$A$2:$A$2000,A13,'Recipe Ingredients'!$G$2:$G$2000,"Pantry")</f>
        <v/>
      </c>
      <c r="S13" s="46">
        <f>IFERROR(Q13/(Q13+R13),0)</f>
        <v/>
      </c>
      <c r="T13" s="37">
        <f>IF(S13&gt;='Start Here'!$C$6,"Yes","No")</f>
        <v/>
      </c>
      <c r="U13" s="39" t="inlineStr">
        <is>
          <t>Year-round</t>
        </is>
      </c>
      <c r="V13" s="39" t="inlineStr">
        <is>
          <t>1. Rub chicken with yaji, oil and salt. Grill or pan-fry 6 minutes a side.
2. Grill pineapple rings until charred.
3. Whisk lime juice, honey and oil into a dressing.
4. Toss lettuce, cucumber, tatashe and spring onion with dressing. Top with sliced chicken and pineapple.</t>
        </is>
      </c>
      <c r="W13" s="39" t="n"/>
      <c r="X13" s="42" t="inlineStr">
        <is>
          <t>Draft</t>
        </is>
      </c>
    </row>
    <row r="14" ht="105" customHeight="1" s="26">
      <c r="A14" s="37" t="inlineStr">
        <is>
          <t>R027</t>
        </is>
      </c>
      <c r="B14" s="38" t="inlineStr">
        <is>
          <t>Avocado, Mango &amp; Cucumber Salad</t>
        </is>
      </c>
      <c r="C14" s="37" t="inlineStr">
        <is>
          <t>Salad</t>
        </is>
      </c>
      <c r="D14" s="37" t="inlineStr">
        <is>
          <t>Lunch / Side</t>
        </is>
      </c>
      <c r="E14" s="39" t="inlineStr">
        <is>
          <t>Mexican mango and avocado salad</t>
        </is>
      </c>
      <c r="F14" s="39" t="inlineStr">
        <is>
          <t>Ata rodo for heat, coriander for freshness.</t>
        </is>
      </c>
      <c r="G14" s="39" t="inlineStr">
        <is>
          <t>Wellness, Plant-based</t>
        </is>
      </c>
      <c r="H14" s="37" t="inlineStr">
        <is>
          <t>Vegan</t>
        </is>
      </c>
      <c r="I14" s="45" t="n">
        <v>15</v>
      </c>
      <c r="J14" s="45" t="n">
        <v>0</v>
      </c>
      <c r="K14" s="37">
        <f>I14+J14</f>
        <v/>
      </c>
      <c r="L14" s="37">
        <f>IF(J14=0,"No-cook",IF(K14&lt;=25,"Quick","Standard"))</f>
        <v/>
      </c>
      <c r="M14" s="45" t="n">
        <v>2</v>
      </c>
      <c r="N14" s="45" t="n">
        <v>260</v>
      </c>
      <c r="O14" s="45" t="n">
        <v>3</v>
      </c>
      <c r="P14" s="39" t="inlineStr">
        <is>
          <t>Avocado, Mango, Cucumber, Onion</t>
        </is>
      </c>
      <c r="Q14" s="37">
        <f>COUNTIFS('Recipe Ingredients'!$A$2:$A$2000,A14,'Recipe Ingredients'!$G$2:$G$2000,"Basket")</f>
        <v/>
      </c>
      <c r="R14" s="37">
        <f>COUNTIFS('Recipe Ingredients'!$A$2:$A$2000,A14,'Recipe Ingredients'!$G$2:$G$2000,"Protein")+COUNTIFS('Recipe Ingredients'!$A$2:$A$2000,A14,'Recipe Ingredients'!$G$2:$G$2000,"Pantry")</f>
        <v/>
      </c>
      <c r="S14" s="46">
        <f>IFERROR(Q14/(Q14+R14),0)</f>
        <v/>
      </c>
      <c r="T14" s="37">
        <f>IF(S14&gt;='Start Here'!$C$6,"Yes","No")</f>
        <v/>
      </c>
      <c r="U14" s="39" t="inlineStr">
        <is>
          <t>Mango (Feb-May, Aug-Sep)</t>
        </is>
      </c>
      <c r="V14" s="39" t="inlineStr">
        <is>
          <t>1. Cube avocado, mango and cucumber.
2. Finely slice onion and ata rodo.
3. Toss with lime juice, olive oil and salt.
4. Scatter coriander over the top.</t>
        </is>
      </c>
      <c r="W14" s="39" t="inlineStr">
        <is>
          <t>Best Feb to May. Use pineapple off season.</t>
        </is>
      </c>
      <c r="X14" s="42" t="inlineStr">
        <is>
          <t>Draft</t>
        </is>
      </c>
    </row>
    <row r="15" ht="105" customHeight="1" s="26">
      <c r="A15" s="37" t="inlineStr">
        <is>
          <t>R028</t>
        </is>
      </c>
      <c r="B15" s="38" t="inlineStr">
        <is>
          <t>Watermelon, Cucumber &amp; Grilled Wara Salad</t>
        </is>
      </c>
      <c r="C15" s="37" t="inlineStr">
        <is>
          <t>Salad</t>
        </is>
      </c>
      <c r="D15" s="37" t="inlineStr">
        <is>
          <t>Lunch / Side</t>
        </is>
      </c>
      <c r="E15" s="39" t="inlineStr">
        <is>
          <t>Watermelon and feta salad (Greece / Levant)</t>
        </is>
      </c>
      <c r="F15" s="39" t="inlineStr">
        <is>
          <t>Grilled wara (local soft cheese) replaces feta.</t>
        </is>
      </c>
      <c r="G15" s="39" t="inlineStr">
        <is>
          <t>Hydration, Wellness</t>
        </is>
      </c>
      <c r="H15" s="37" t="inlineStr">
        <is>
          <t>Vegetarian</t>
        </is>
      </c>
      <c r="I15" s="45" t="n">
        <v>15</v>
      </c>
      <c r="J15" s="45" t="n">
        <v>5</v>
      </c>
      <c r="K15" s="37">
        <f>I15+J15</f>
        <v/>
      </c>
      <c r="L15" s="37">
        <f>IF(J15=0,"No-cook",IF(K15&lt;=25,"Quick","Standard"))</f>
        <v/>
      </c>
      <c r="M15" s="45" t="n">
        <v>2</v>
      </c>
      <c r="N15" s="45" t="n">
        <v>230</v>
      </c>
      <c r="O15" s="45" t="n">
        <v>12</v>
      </c>
      <c r="P15" s="39" t="inlineStr">
        <is>
          <t>Watermelon, Cucumber, Onion, Mint</t>
        </is>
      </c>
      <c r="Q15" s="37">
        <f>COUNTIFS('Recipe Ingredients'!$A$2:$A$2000,A15,'Recipe Ingredients'!$G$2:$G$2000,"Basket")</f>
        <v/>
      </c>
      <c r="R15" s="37">
        <f>COUNTIFS('Recipe Ingredients'!$A$2:$A$2000,A15,'Recipe Ingredients'!$G$2:$G$2000,"Protein")+COUNTIFS('Recipe Ingredients'!$A$2:$A$2000,A15,'Recipe Ingredients'!$G$2:$G$2000,"Pantry")</f>
        <v/>
      </c>
      <c r="S15" s="46">
        <f>IFERROR(Q15/(Q15+R15),0)</f>
        <v/>
      </c>
      <c r="T15" s="37">
        <f>IF(S15&gt;='Start Here'!$C$6,"Yes","No")</f>
        <v/>
      </c>
      <c r="U15" s="39" t="inlineStr">
        <is>
          <t>Year-round</t>
        </is>
      </c>
      <c r="V15" s="39" t="inlineStr">
        <is>
          <t>1. Slice wara and sear in a hot pan until golden on both sides.
2. Cube watermelon and cucumber, thinly slice the onion.
3. Toss with lime juice, mint and olive oil.
4. Top with the warm wara and black pepper.</t>
        </is>
      </c>
      <c r="W15" s="39" t="n"/>
      <c r="X15" s="42" t="inlineStr">
        <is>
          <t>Draft</t>
        </is>
      </c>
    </row>
    <row r="16" ht="105" customHeight="1" s="26">
      <c r="A16" s="37" t="inlineStr">
        <is>
          <t>R029</t>
        </is>
      </c>
      <c r="B16" s="38" t="inlineStr">
        <is>
          <t>Lighter Chicken Caesar</t>
        </is>
      </c>
      <c r="C16" s="37" t="inlineStr">
        <is>
          <t>Salad</t>
        </is>
      </c>
      <c r="D16" s="37" t="inlineStr">
        <is>
          <t>Lunch / Dinner</t>
        </is>
      </c>
      <c r="E16" s="39" t="inlineStr">
        <is>
          <t>Caesar salad (Tijuana, Mexico)</t>
        </is>
      </c>
      <c r="F16" s="39" t="inlineStr">
        <is>
          <t>Yoghurt, garlic and lemon dressing instead of a mayo-heavy one.</t>
        </is>
      </c>
      <c r="G16" s="39" t="inlineStr">
        <is>
          <t>Training, Weight management</t>
        </is>
      </c>
      <c r="H16" s="37" t="inlineStr">
        <is>
          <t>Contains meat</t>
        </is>
      </c>
      <c r="I16" s="45" t="n">
        <v>15</v>
      </c>
      <c r="J16" s="45" t="n">
        <v>15</v>
      </c>
      <c r="K16" s="37">
        <f>I16+J16</f>
        <v/>
      </c>
      <c r="L16" s="37">
        <f>IF(J16=0,"No-cook",IF(K16&lt;=25,"Quick","Standard"))</f>
        <v/>
      </c>
      <c r="M16" s="45" t="n">
        <v>2</v>
      </c>
      <c r="N16" s="45" t="n">
        <v>430</v>
      </c>
      <c r="O16" s="45" t="n">
        <v>38</v>
      </c>
      <c r="P16" s="39" t="inlineStr">
        <is>
          <t>Lettuce, Tomato, Lemon, Garlic</t>
        </is>
      </c>
      <c r="Q16" s="37">
        <f>COUNTIFS('Recipe Ingredients'!$A$2:$A$2000,A16,'Recipe Ingredients'!$G$2:$G$2000,"Basket")</f>
        <v/>
      </c>
      <c r="R16" s="37">
        <f>COUNTIFS('Recipe Ingredients'!$A$2:$A$2000,A16,'Recipe Ingredients'!$G$2:$G$2000,"Protein")+COUNTIFS('Recipe Ingredients'!$A$2:$A$2000,A16,'Recipe Ingredients'!$G$2:$G$2000,"Pantry")</f>
        <v/>
      </c>
      <c r="S16" s="46">
        <f>IFERROR(Q16/(Q16+R16),0)</f>
        <v/>
      </c>
      <c r="T16" s="37">
        <f>IF(S16&gt;='Start Here'!$C$6,"Yes","No")</f>
        <v/>
      </c>
      <c r="U16" s="39" t="inlineStr">
        <is>
          <t>Year-round</t>
        </is>
      </c>
      <c r="V16" s="39" t="inlineStr">
        <is>
          <t>1. Season and grill the chicken, then slice.
2. Whisk yoghurt, grated garlic, lemon juice, mustard and half the parmesan.
3. Tear lettuce and toss with tomatoes and dressing.
4. Top with chicken, croutons and the rest of the parmesan.</t>
        </is>
      </c>
      <c r="W16" s="39" t="n"/>
      <c r="X16" s="42" t="inlineStr">
        <is>
          <t>Draft</t>
        </is>
      </c>
    </row>
    <row r="17" ht="105" customHeight="1" s="26">
      <c r="A17" s="37" t="inlineStr">
        <is>
          <t>R030</t>
        </is>
      </c>
      <c r="B17" s="38" t="inlineStr">
        <is>
          <t>Crunchy Groundnut Cabbage Slaw</t>
        </is>
      </c>
      <c r="C17" s="37" t="inlineStr">
        <is>
          <t>Salad</t>
        </is>
      </c>
      <c r="D17" s="37" t="inlineStr">
        <is>
          <t>Side / Lunch</t>
        </is>
      </c>
      <c r="E17" s="39" t="inlineStr">
        <is>
          <t>Thai / Asian slaw with peanut dressing</t>
        </is>
      </c>
      <c r="F17" s="39" t="inlineStr">
        <is>
          <t>Local groundnut paste and both cabbages.</t>
        </is>
      </c>
      <c r="G17" s="39" t="inlineStr">
        <is>
          <t>Plant-based, Weight management</t>
        </is>
      </c>
      <c r="H17" s="37" t="inlineStr">
        <is>
          <t>Vegan</t>
        </is>
      </c>
      <c r="I17" s="45" t="n">
        <v>20</v>
      </c>
      <c r="J17" s="45" t="n">
        <v>0</v>
      </c>
      <c r="K17" s="37">
        <f>I17+J17</f>
        <v/>
      </c>
      <c r="L17" s="37">
        <f>IF(J17=0,"No-cook",IF(K17&lt;=25,"Quick","Standard"))</f>
        <v/>
      </c>
      <c r="M17" s="45" t="n">
        <v>4</v>
      </c>
      <c r="N17" s="45" t="n">
        <v>210</v>
      </c>
      <c r="O17" s="45" t="n">
        <v>7</v>
      </c>
      <c r="P17" s="39" t="inlineStr">
        <is>
          <t>Cabbage, Purple cabbage, Carrot, Spring onion</t>
        </is>
      </c>
      <c r="Q17" s="37">
        <f>COUNTIFS('Recipe Ingredients'!$A$2:$A$2000,A17,'Recipe Ingredients'!$G$2:$G$2000,"Basket")</f>
        <v/>
      </c>
      <c r="R17" s="37">
        <f>COUNTIFS('Recipe Ingredients'!$A$2:$A$2000,A17,'Recipe Ingredients'!$G$2:$G$2000,"Protein")+COUNTIFS('Recipe Ingredients'!$A$2:$A$2000,A17,'Recipe Ingredients'!$G$2:$G$2000,"Pantry")</f>
        <v/>
      </c>
      <c r="S17" s="46">
        <f>IFERROR(Q17/(Q17+R17),0)</f>
        <v/>
      </c>
      <c r="T17" s="37">
        <f>IF(S17&gt;='Start Here'!$C$6,"Yes","No")</f>
        <v/>
      </c>
      <c r="U17" s="39" t="inlineStr">
        <is>
          <t>Year-round</t>
        </is>
      </c>
      <c r="V17" s="39" t="inlineStr">
        <is>
          <t>1. Finely shred both cabbages and julienne the carrots.
2. Whisk groundnut paste, lime juice, grated ginger, soy and honey with a splash of water.
3. Toss vegetables with dressing.
4. Top with spring onion, coriander and roasted groundnuts.</t>
        </is>
      </c>
      <c r="W17" s="39" t="inlineStr">
        <is>
          <t>Holds well for 2 days, so it is a good meal-prep side.</t>
        </is>
      </c>
      <c r="X17" s="42" t="inlineStr">
        <is>
          <t>Draft</t>
        </is>
      </c>
    </row>
    <row r="18" ht="105" customHeight="1" s="26">
      <c r="A18" s="37" t="inlineStr">
        <is>
          <t>R031</t>
        </is>
      </c>
      <c r="B18" s="38" t="inlineStr">
        <is>
          <t>Greek Salad with Wara</t>
        </is>
      </c>
      <c r="C18" s="37" t="inlineStr">
        <is>
          <t>Salad</t>
        </is>
      </c>
      <c r="D18" s="37" t="inlineStr">
        <is>
          <t>Lunch / Side</t>
        </is>
      </c>
      <c r="E18" s="39" t="inlineStr">
        <is>
          <t>Horiatiki (Greece)</t>
        </is>
      </c>
      <c r="F18" s="39" t="inlineStr">
        <is>
          <t>Wara replaces feta, local green pepper stays.</t>
        </is>
      </c>
      <c r="G18" s="39" t="inlineStr">
        <is>
          <t>Weight management, Wellness</t>
        </is>
      </c>
      <c r="H18" s="37" t="inlineStr">
        <is>
          <t>Vegetarian</t>
        </is>
      </c>
      <c r="I18" s="45" t="n">
        <v>15</v>
      </c>
      <c r="J18" s="45" t="n">
        <v>0</v>
      </c>
      <c r="K18" s="37">
        <f>I18+J18</f>
        <v/>
      </c>
      <c r="L18" s="37">
        <f>IF(J18=0,"No-cook",IF(K18&lt;=25,"Quick","Standard"))</f>
        <v/>
      </c>
      <c r="M18" s="45" t="n">
        <v>2</v>
      </c>
      <c r="N18" s="45" t="n">
        <v>280</v>
      </c>
      <c r="O18" s="45" t="n">
        <v>12</v>
      </c>
      <c r="P18" s="39" t="inlineStr">
        <is>
          <t>Tomato, Cucumber, Green / yellow bell pepper, Onion</t>
        </is>
      </c>
      <c r="Q18" s="37">
        <f>COUNTIFS('Recipe Ingredients'!$A$2:$A$2000,A18,'Recipe Ingredients'!$G$2:$G$2000,"Basket")</f>
        <v/>
      </c>
      <c r="R18" s="37">
        <f>COUNTIFS('Recipe Ingredients'!$A$2:$A$2000,A18,'Recipe Ingredients'!$G$2:$G$2000,"Protein")+COUNTIFS('Recipe Ingredients'!$A$2:$A$2000,A18,'Recipe Ingredients'!$G$2:$G$2000,"Pantry")</f>
        <v/>
      </c>
      <c r="S18" s="46">
        <f>IFERROR(Q18/(Q18+R18),0)</f>
        <v/>
      </c>
      <c r="T18" s="37">
        <f>IF(S18&gt;='Start Here'!$C$6,"Yes","No")</f>
        <v/>
      </c>
      <c r="U18" s="39" t="inlineStr">
        <is>
          <t>Year-round</t>
        </is>
      </c>
      <c r="V18" s="39" t="inlineStr">
        <is>
          <t>1. Cut tomatoes and cucumber into chunks.
2. Slice green pepper and onion into rings.
3. Add olives and cubes of wara.
4. Dress with olive oil, lemon and oregano.</t>
        </is>
      </c>
      <c r="W18" s="39" t="n"/>
      <c r="X18" s="42" t="inlineStr">
        <is>
          <t>Draft</t>
        </is>
      </c>
    </row>
    <row r="19" ht="105" customHeight="1" s="26">
      <c r="A19" s="37" t="inlineStr">
        <is>
          <t>R032</t>
        </is>
      </c>
      <c r="B19" s="38" t="inlineStr">
        <is>
          <t>Orange, Spinach &amp; Tiger Nut Salad</t>
        </is>
      </c>
      <c r="C19" s="37" t="inlineStr">
        <is>
          <t>Salad</t>
        </is>
      </c>
      <c r="D19" s="37" t="inlineStr">
        <is>
          <t>Lunch / Side</t>
        </is>
      </c>
      <c r="E19" s="39" t="inlineStr">
        <is>
          <t>Californian citrus spinach salad</t>
        </is>
      </c>
      <c r="F19" s="39" t="inlineStr">
        <is>
          <t>Local oranges or tangerines and tiger nuts for crunch.</t>
        </is>
      </c>
      <c r="G19" s="39" t="inlineStr">
        <is>
          <t>Wellness, Plant-based</t>
        </is>
      </c>
      <c r="H19" s="37" t="inlineStr">
        <is>
          <t>Vegan</t>
        </is>
      </c>
      <c r="I19" s="45" t="n">
        <v>15</v>
      </c>
      <c r="J19" s="45" t="n">
        <v>0</v>
      </c>
      <c r="K19" s="37">
        <f>I19+J19</f>
        <v/>
      </c>
      <c r="L19" s="37">
        <f>IF(J19=0,"No-cook",IF(K19&lt;=25,"Quick","Standard"))</f>
        <v/>
      </c>
      <c r="M19" s="45" t="n">
        <v>2</v>
      </c>
      <c r="N19" s="45" t="n">
        <v>220</v>
      </c>
      <c r="O19" s="45" t="n">
        <v>5</v>
      </c>
      <c r="P19" s="39" t="inlineStr">
        <is>
          <t>Baby spinach, Orange, Onion, Tiger nut</t>
        </is>
      </c>
      <c r="Q19" s="37">
        <f>COUNTIFS('Recipe Ingredients'!$A$2:$A$2000,A19,'Recipe Ingredients'!$G$2:$G$2000,"Basket")</f>
        <v/>
      </c>
      <c r="R19" s="37">
        <f>COUNTIFS('Recipe Ingredients'!$A$2:$A$2000,A19,'Recipe Ingredients'!$G$2:$G$2000,"Protein")+COUNTIFS('Recipe Ingredients'!$A$2:$A$2000,A19,'Recipe Ingredients'!$G$2:$G$2000,"Pantry")</f>
        <v/>
      </c>
      <c r="S19" s="46">
        <f>IFERROR(Q19/(Q19+R19),0)</f>
        <v/>
      </c>
      <c r="T19" s="37">
        <f>IF(S19&gt;='Start Here'!$C$6,"Yes","No")</f>
        <v/>
      </c>
      <c r="U19" s="39" t="inlineStr">
        <is>
          <t>Tiger nut (Nov-May, Jul-Sep)</t>
        </is>
      </c>
      <c r="V19" s="39" t="inlineStr">
        <is>
          <t>1. Peel and segment the oranges, saving the juice.
2. Whisk saved juice with lemon, honey and olive oil.
3. Toss spinach, onion, avocado and orange segments with the dressing.
4. Scatter sliced tiger nuts on top.</t>
        </is>
      </c>
      <c r="W19" s="39" t="inlineStr">
        <is>
          <t>Best Oct to Jan when citrus is at its peak. Use dates instead of honey to keep it vegan.</t>
        </is>
      </c>
      <c r="X19" s="42" t="inlineStr">
        <is>
          <t>Draft</t>
        </is>
      </c>
    </row>
    <row r="20" ht="105" customHeight="1" s="26">
      <c r="A20" s="37" t="inlineStr">
        <is>
          <t>R033</t>
        </is>
      </c>
      <c r="B20" s="38" t="inlineStr">
        <is>
          <t>Roast Sweet Potato &amp; Efo Salad</t>
        </is>
      </c>
      <c r="C20" s="37" t="inlineStr">
        <is>
          <t>Salad</t>
        </is>
      </c>
      <c r="D20" s="37" t="inlineStr">
        <is>
          <t>Lunch</t>
        </is>
      </c>
      <c r="E20" s="39" t="inlineStr">
        <is>
          <t>Roasted sweet potato and kale salad (US)</t>
        </is>
      </c>
      <c r="F20" s="39" t="inlineStr">
        <is>
          <t>Young efo tete or ugu replaces kale.</t>
        </is>
      </c>
      <c r="G20" s="39" t="inlineStr">
        <is>
          <t>Training, Wellness</t>
        </is>
      </c>
      <c r="H20" s="37" t="inlineStr">
        <is>
          <t>Vegetarian</t>
        </is>
      </c>
      <c r="I20" s="45" t="n">
        <v>10</v>
      </c>
      <c r="J20" s="45" t="n">
        <v>25</v>
      </c>
      <c r="K20" s="37">
        <f>I20+J20</f>
        <v/>
      </c>
      <c r="L20" s="37">
        <f>IF(J20=0,"No-cook",IF(K20&lt;=25,"Quick","Standard"))</f>
        <v/>
      </c>
      <c r="M20" s="45" t="n">
        <v>2</v>
      </c>
      <c r="N20" s="45" t="n">
        <v>350</v>
      </c>
      <c r="O20" s="45" t="n">
        <v>9</v>
      </c>
      <c r="P20" s="39" t="inlineStr">
        <is>
          <t>Sweet potato, Amaranth greens, Onion, Groundnut</t>
        </is>
      </c>
      <c r="Q20" s="37">
        <f>COUNTIFS('Recipe Ingredients'!$A$2:$A$2000,A20,'Recipe Ingredients'!$G$2:$G$2000,"Basket")</f>
        <v/>
      </c>
      <c r="R20" s="37">
        <f>COUNTIFS('Recipe Ingredients'!$A$2:$A$2000,A20,'Recipe Ingredients'!$G$2:$G$2000,"Protein")+COUNTIFS('Recipe Ingredients'!$A$2:$A$2000,A20,'Recipe Ingredients'!$G$2:$G$2000,"Pantry")</f>
        <v/>
      </c>
      <c r="S20" s="46">
        <f>IFERROR(Q20/(Q20+R20),0)</f>
        <v/>
      </c>
      <c r="T20" s="37">
        <f>IF(S20&gt;='Start Here'!$C$6,"Yes","No")</f>
        <v/>
      </c>
      <c r="U20" s="39" t="inlineStr">
        <is>
          <t>Year-round</t>
        </is>
      </c>
      <c r="V20" s="39" t="inlineStr">
        <is>
          <t>1. Cube sweet potatoes, toss with oil, paprika and salt. Roast at 200C for 25 minutes.
2. Massage the efo with a little salt and lime juice for 1 minute.
3. Whisk remaining lime with honey and a splash of oil.
4. Toss warm potatoes with greens and onion, top with groundnuts.</t>
        </is>
      </c>
      <c r="W20" s="39" t="n"/>
      <c r="X20" s="42" t="inlineStr">
        <is>
          <t>Draft</t>
        </is>
      </c>
    </row>
    <row r="21" ht="105" customHeight="1" s="26">
      <c r="A21" s="37" t="inlineStr">
        <is>
          <t>R034</t>
        </is>
      </c>
      <c r="B21" s="38" t="inlineStr">
        <is>
          <t>Black-Eyed Bean 'Lagos Caviar'</t>
        </is>
      </c>
      <c r="C21" s="37" t="inlineStr">
        <is>
          <t>Salad</t>
        </is>
      </c>
      <c r="D21" s="37" t="inlineStr">
        <is>
          <t>Lunch / Side</t>
        </is>
      </c>
      <c r="E21" s="39" t="inlineStr">
        <is>
          <t>Texas caviar (US South)</t>
        </is>
      </c>
      <c r="F21" s="39" t="inlineStr">
        <is>
          <t>Black-eyed beans are the original bean in the US recipe. Tatashe and ata rodo bring it home.</t>
        </is>
      </c>
      <c r="G21" s="39" t="inlineStr">
        <is>
          <t>Plant-based, Training</t>
        </is>
      </c>
      <c r="H21" s="37" t="inlineStr">
        <is>
          <t>Vegan</t>
        </is>
      </c>
      <c r="I21" s="45" t="n">
        <v>15</v>
      </c>
      <c r="J21" s="45" t="n">
        <v>30</v>
      </c>
      <c r="K21" s="37">
        <f>I21+J21</f>
        <v/>
      </c>
      <c r="L21" s="37">
        <f>IF(J21=0,"No-cook",IF(K21&lt;=25,"Quick","Standard"))</f>
        <v/>
      </c>
      <c r="M21" s="45" t="n">
        <v>4</v>
      </c>
      <c r="N21" s="45" t="n">
        <v>260</v>
      </c>
      <c r="O21" s="45" t="n">
        <v>12</v>
      </c>
      <c r="P21" s="39" t="inlineStr">
        <is>
          <t>Sweet corn, Red bell pepper, Tomato, Onion</t>
        </is>
      </c>
      <c r="Q21" s="37">
        <f>COUNTIFS('Recipe Ingredients'!$A$2:$A$2000,A21,'Recipe Ingredients'!$G$2:$G$2000,"Basket")</f>
        <v/>
      </c>
      <c r="R21" s="37">
        <f>COUNTIFS('Recipe Ingredients'!$A$2:$A$2000,A21,'Recipe Ingredients'!$G$2:$G$2000,"Protein")+COUNTIFS('Recipe Ingredients'!$A$2:$A$2000,A21,'Recipe Ingredients'!$G$2:$G$2000,"Pantry")</f>
        <v/>
      </c>
      <c r="S21" s="46">
        <f>IFERROR(Q21/(Q21+R21),0)</f>
        <v/>
      </c>
      <c r="T21" s="37">
        <f>IF(S21&gt;='Start Here'!$C$6,"Yes","No")</f>
        <v/>
      </c>
      <c r="U21" s="39" t="inlineStr">
        <is>
          <t>Sweet corn (Apr-Aug)</t>
        </is>
      </c>
      <c r="V21" s="39" t="inlineStr">
        <is>
          <t>1. Cook the beans until just tender (or use leftover beans). Cool.
2. Boil or char the corn and cut off the kernels.
3. Dice tatashe, tomatoes, onion and ata rodo.
4. Toss everything with lime juice, olive oil, salt and coriander.</t>
        </is>
      </c>
      <c r="W21" s="39" t="inlineStr">
        <is>
          <t>Even better the next day.</t>
        </is>
      </c>
      <c r="X21" s="42" t="inlineStr">
        <is>
          <t>Draft</t>
        </is>
      </c>
    </row>
    <row r="22" ht="105" customHeight="1" s="26">
      <c r="A22" s="37" t="inlineStr">
        <is>
          <t>R035</t>
        </is>
      </c>
      <c r="B22" s="38" t="inlineStr">
        <is>
          <t>Lagos Nicoise</t>
        </is>
      </c>
      <c r="C22" s="37" t="inlineStr">
        <is>
          <t>Salad</t>
        </is>
      </c>
      <c r="D22" s="37" t="inlineStr">
        <is>
          <t>Lunch / Dinner</t>
        </is>
      </c>
      <c r="E22" s="39" t="inlineStr">
        <is>
          <t>Salade nicoise (Nice, France)</t>
        </is>
      </c>
      <c r="F22" s="39" t="inlineStr">
        <is>
          <t>Jos potatoes and green beans with canned tuna or sardines.</t>
        </is>
      </c>
      <c r="G22" s="39" t="inlineStr">
        <is>
          <t>Training</t>
        </is>
      </c>
      <c r="H22" s="37" t="inlineStr">
        <is>
          <t>Pescatarian</t>
        </is>
      </c>
      <c r="I22" s="45" t="n">
        <v>15</v>
      </c>
      <c r="J22" s="45" t="n">
        <v>20</v>
      </c>
      <c r="K22" s="37">
        <f>I22+J22</f>
        <v/>
      </c>
      <c r="L22" s="37">
        <f>IF(J22=0,"No-cook",IF(K22&lt;=25,"Quick","Standard"))</f>
        <v/>
      </c>
      <c r="M22" s="45" t="n">
        <v>2</v>
      </c>
      <c r="N22" s="45" t="n">
        <v>450</v>
      </c>
      <c r="O22" s="45" t="n">
        <v>30</v>
      </c>
      <c r="P22" s="39" t="inlineStr">
        <is>
          <t>Irish potato, Green beans, Tomato, Lettuce</t>
        </is>
      </c>
      <c r="Q22" s="37">
        <f>COUNTIFS('Recipe Ingredients'!$A$2:$A$2000,A22,'Recipe Ingredients'!$G$2:$G$2000,"Basket")</f>
        <v/>
      </c>
      <c r="R22" s="37">
        <f>COUNTIFS('Recipe Ingredients'!$A$2:$A$2000,A22,'Recipe Ingredients'!$G$2:$G$2000,"Protein")+COUNTIFS('Recipe Ingredients'!$A$2:$A$2000,A22,'Recipe Ingredients'!$G$2:$G$2000,"Pantry")</f>
        <v/>
      </c>
      <c r="S22" s="46">
        <f>IFERROR(Q22/(Q22+R22),0)</f>
        <v/>
      </c>
      <c r="T22" s="37">
        <f>IF(S22&gt;='Start Here'!$C$6,"Yes","No")</f>
        <v/>
      </c>
      <c r="U22" s="39" t="inlineStr">
        <is>
          <t>Year-round</t>
        </is>
      </c>
      <c r="V22" s="39" t="inlineStr">
        <is>
          <t>1. Boil potatoes until tender. Add green beans for the last 3 minutes. Boil the eggs.
2. Whisk lemon juice, mustard, olive oil and salt.
3. Arrange lettuce, potatoes, beans, tomatoes, onion, tuna, halved eggs and olives.
4. Spoon over the dressing.</t>
        </is>
      </c>
      <c r="W22" s="39" t="n"/>
      <c r="X22" s="42" t="inlineStr">
        <is>
          <t>Draft</t>
        </is>
      </c>
    </row>
    <row r="23" ht="105" customHeight="1" s="26">
      <c r="A23" s="37" t="inlineStr">
        <is>
          <t>R036</t>
        </is>
      </c>
      <c r="B23" s="38" t="inlineStr">
        <is>
          <t>Green Pawpaw Salad</t>
        </is>
      </c>
      <c r="C23" s="37" t="inlineStr">
        <is>
          <t>Salad</t>
        </is>
      </c>
      <c r="D23" s="37" t="inlineStr">
        <is>
          <t>Lunch / Side</t>
        </is>
      </c>
      <c r="E23" s="39" t="inlineStr">
        <is>
          <t>Som tam (Thailand)</t>
        </is>
      </c>
      <c r="F23" s="39" t="inlineStr">
        <is>
          <t>Unripe Nigerian pawpaw is the same fruit Thai cooks use. Groundnuts replace peanuts.</t>
        </is>
      </c>
      <c r="G23" s="39" t="inlineStr">
        <is>
          <t>Weight management, Wellness</t>
        </is>
      </c>
      <c r="H23" s="37" t="inlineStr">
        <is>
          <t>Pescatarian</t>
        </is>
      </c>
      <c r="I23" s="45" t="n">
        <v>20</v>
      </c>
      <c r="J23" s="45" t="n">
        <v>0</v>
      </c>
      <c r="K23" s="37">
        <f>I23+J23</f>
        <v/>
      </c>
      <c r="L23" s="37">
        <f>IF(J23=0,"No-cook",IF(K23&lt;=25,"Quick","Standard"))</f>
        <v/>
      </c>
      <c r="M23" s="45" t="n">
        <v>2</v>
      </c>
      <c r="N23" s="45" t="n">
        <v>180</v>
      </c>
      <c r="O23" s="45" t="n">
        <v>5</v>
      </c>
      <c r="P23" s="39" t="inlineStr">
        <is>
          <t>Pawpaw, Carrot, Tomato, Garlic</t>
        </is>
      </c>
      <c r="Q23" s="37">
        <f>COUNTIFS('Recipe Ingredients'!$A$2:$A$2000,A23,'Recipe Ingredients'!$G$2:$G$2000,"Basket")</f>
        <v/>
      </c>
      <c r="R23" s="37">
        <f>COUNTIFS('Recipe Ingredients'!$A$2:$A$2000,A23,'Recipe Ingredients'!$G$2:$G$2000,"Protein")+COUNTIFS('Recipe Ingredients'!$A$2:$A$2000,A23,'Recipe Ingredients'!$G$2:$G$2000,"Pantry")</f>
        <v/>
      </c>
      <c r="S23" s="46">
        <f>IFERROR(Q23/(Q23+R23),0)</f>
        <v/>
      </c>
      <c r="T23" s="37">
        <f>IF(S23&gt;='Start Here'!$C$6,"Yes","No")</f>
        <v/>
      </c>
      <c r="U23" s="39" t="inlineStr">
        <is>
          <t>Year-round</t>
        </is>
      </c>
      <c r="V23" s="39" t="inlineStr">
        <is>
          <t>1. Peel and finely shred the green pawpaw and carrot.
2. Pound garlic and ata rodo, then add lime, fish sauce and honey.
3. Lightly bruise tomatoes and green beans in the dressing.
4. Toss with pawpaw and carrot. Top with groundnuts.</t>
        </is>
      </c>
      <c r="W23" s="39" t="inlineStr">
        <is>
          <t>Use soy sauce instead of fish sauce to make it vegan.</t>
        </is>
      </c>
      <c r="X23" s="42" t="inlineStr">
        <is>
          <t>Draft</t>
        </is>
      </c>
    </row>
    <row r="24" ht="105" customHeight="1" s="26">
      <c r="A24" s="37" t="inlineStr">
        <is>
          <t>R037</t>
        </is>
      </c>
      <c r="B24" s="38" t="inlineStr">
        <is>
          <t>Moroccan Carrot &amp; Orange Salad</t>
        </is>
      </c>
      <c r="C24" s="37" t="inlineStr">
        <is>
          <t>Salad</t>
        </is>
      </c>
      <c r="D24" s="37" t="inlineStr">
        <is>
          <t>Side</t>
        </is>
      </c>
      <c r="E24" s="39" t="inlineStr">
        <is>
          <t>Moroccan carrot salad</t>
        </is>
      </c>
      <c r="F24" s="39" t="inlineStr">
        <is>
          <t>Jos carrots, local oranges and fresh mint.</t>
        </is>
      </c>
      <c r="G24" s="39" t="inlineStr">
        <is>
          <t>Wellness, Plant-based</t>
        </is>
      </c>
      <c r="H24" s="37" t="inlineStr">
        <is>
          <t>Vegan</t>
        </is>
      </c>
      <c r="I24" s="45" t="n">
        <v>15</v>
      </c>
      <c r="J24" s="45" t="n">
        <v>0</v>
      </c>
      <c r="K24" s="37">
        <f>I24+J24</f>
        <v/>
      </c>
      <c r="L24" s="37">
        <f>IF(J24=0,"No-cook",IF(K24&lt;=25,"Quick","Standard"))</f>
        <v/>
      </c>
      <c r="M24" s="45" t="n">
        <v>2</v>
      </c>
      <c r="N24" s="45" t="n">
        <v>150</v>
      </c>
      <c r="O24" s="45" t="n">
        <v>2</v>
      </c>
      <c r="P24" s="39" t="inlineStr">
        <is>
          <t>Carrot, Orange, Mint, Lemon</t>
        </is>
      </c>
      <c r="Q24" s="37">
        <f>COUNTIFS('Recipe Ingredients'!$A$2:$A$2000,A24,'Recipe Ingredients'!$G$2:$G$2000,"Basket")</f>
        <v/>
      </c>
      <c r="R24" s="37">
        <f>COUNTIFS('Recipe Ingredients'!$A$2:$A$2000,A24,'Recipe Ingredients'!$G$2:$G$2000,"Protein")+COUNTIFS('Recipe Ingredients'!$A$2:$A$2000,A24,'Recipe Ingredients'!$G$2:$G$2000,"Pantry")</f>
        <v/>
      </c>
      <c r="S24" s="46">
        <f>IFERROR(Q24/(Q24+R24),0)</f>
        <v/>
      </c>
      <c r="T24" s="37">
        <f>IF(S24&gt;='Start Here'!$C$6,"Yes","No")</f>
        <v/>
      </c>
      <c r="U24" s="39" t="inlineStr">
        <is>
          <t>Year-round</t>
        </is>
      </c>
      <c r="V24" s="39" t="inlineStr">
        <is>
          <t>1. Coarsely grate the carrots.
2. Segment the orange and add the juice.
3. Season with lemon, cumin, cinnamon, olive oil and salt.
4. Toss with torn mint.</t>
        </is>
      </c>
      <c r="W24" s="39" t="n"/>
      <c r="X24" s="42" t="inlineStr">
        <is>
          <t>Draft</t>
        </is>
      </c>
    </row>
    <row r="25" ht="105" customHeight="1" s="26">
      <c r="A25" s="37" t="inlineStr">
        <is>
          <t>R038</t>
        </is>
      </c>
      <c r="B25" s="38" t="inlineStr">
        <is>
          <t>Beetroot, Orange &amp; Avocado Salad</t>
        </is>
      </c>
      <c r="C25" s="37" t="inlineStr">
        <is>
          <t>Salad</t>
        </is>
      </c>
      <c r="D25" s="37" t="inlineStr">
        <is>
          <t>Lunch / Side</t>
        </is>
      </c>
      <c r="E25" s="39" t="inlineStr">
        <is>
          <t>Bistro beet and citrus salad</t>
        </is>
      </c>
      <c r="F25" s="39" t="inlineStr">
        <is>
          <t>Local beetroot, boiled rather than roasted to save gas.</t>
        </is>
      </c>
      <c r="G25" s="39" t="inlineStr">
        <is>
          <t>Training, Wellness</t>
        </is>
      </c>
      <c r="H25" s="37" t="inlineStr">
        <is>
          <t>Vegetarian</t>
        </is>
      </c>
      <c r="I25" s="45" t="n">
        <v>15</v>
      </c>
      <c r="J25" s="45" t="n">
        <v>40</v>
      </c>
      <c r="K25" s="37">
        <f>I25+J25</f>
        <v/>
      </c>
      <c r="L25" s="37">
        <f>IF(J25=0,"No-cook",IF(K25&lt;=25,"Quick","Standard"))</f>
        <v/>
      </c>
      <c r="M25" s="45" t="n">
        <v>2</v>
      </c>
      <c r="N25" s="45" t="n">
        <v>260</v>
      </c>
      <c r="O25" s="45" t="n">
        <v>4</v>
      </c>
      <c r="P25" s="39" t="inlineStr">
        <is>
          <t>Beetroot, Orange, Avocado, Lettuce</t>
        </is>
      </c>
      <c r="Q25" s="37">
        <f>COUNTIFS('Recipe Ingredients'!$A$2:$A$2000,A25,'Recipe Ingredients'!$G$2:$G$2000,"Basket")</f>
        <v/>
      </c>
      <c r="R25" s="37">
        <f>COUNTIFS('Recipe Ingredients'!$A$2:$A$2000,A25,'Recipe Ingredients'!$G$2:$G$2000,"Protein")+COUNTIFS('Recipe Ingredients'!$A$2:$A$2000,A25,'Recipe Ingredients'!$G$2:$G$2000,"Pantry")</f>
        <v/>
      </c>
      <c r="S25" s="46">
        <f>IFERROR(Q25/(Q25+R25),0)</f>
        <v/>
      </c>
      <c r="T25" s="37">
        <f>IF(S25&gt;='Start Here'!$C$6,"Yes","No")</f>
        <v/>
      </c>
      <c r="U25" s="39" t="inlineStr">
        <is>
          <t>Year-round</t>
        </is>
      </c>
      <c r="V25" s="39" t="inlineStr">
        <is>
          <t>1. Boil beetroot until tender, about 40 minutes. Cool, peel and slice.
2. Segment the orange and slice the avocado.
3. Arrange on lettuce with onion.
4. Dress with lemon, honey and olive oil. Top with groundnuts.</t>
        </is>
      </c>
      <c r="W25" s="39" t="n"/>
      <c r="X25" s="42" t="inlineStr">
        <is>
          <t>Draft</t>
        </is>
      </c>
    </row>
    <row r="26" ht="105" customHeight="1" s="26">
      <c r="A26" s="37" t="inlineStr">
        <is>
          <t>R039</t>
        </is>
      </c>
      <c r="B26" s="38" t="inlineStr">
        <is>
          <t>Kachumbari</t>
        </is>
      </c>
      <c r="C26" s="37" t="inlineStr">
        <is>
          <t>Side</t>
        </is>
      </c>
      <c r="D26" s="37" t="inlineStr">
        <is>
          <t>Side</t>
        </is>
      </c>
      <c r="E26" s="39" t="inlineStr">
        <is>
          <t>Kachumbari (Kenya / Tanzania)</t>
        </is>
      </c>
      <c r="F26" s="39" t="inlineStr">
        <is>
          <t>Ata rodo for heat. Built to sit next to grilled fish, suya or rice.</t>
        </is>
      </c>
      <c r="G26" s="39" t="inlineStr">
        <is>
          <t>Weight management, Plant-based</t>
        </is>
      </c>
      <c r="H26" s="37" t="inlineStr">
        <is>
          <t>Vegan</t>
        </is>
      </c>
      <c r="I26" s="45" t="n">
        <v>10</v>
      </c>
      <c r="J26" s="45" t="n">
        <v>0</v>
      </c>
      <c r="K26" s="37">
        <f>I26+J26</f>
        <v/>
      </c>
      <c r="L26" s="37">
        <f>IF(J26=0,"No-cook",IF(K26&lt;=25,"Quick","Standard"))</f>
        <v/>
      </c>
      <c r="M26" s="45" t="n">
        <v>4</v>
      </c>
      <c r="N26" s="45" t="n">
        <v>50</v>
      </c>
      <c r="O26" s="45" t="n">
        <v>1</v>
      </c>
      <c r="P26" s="39" t="inlineStr">
        <is>
          <t>Tomato, Onion, Cucumber, Scotch bonnet</t>
        </is>
      </c>
      <c r="Q26" s="37">
        <f>COUNTIFS('Recipe Ingredients'!$A$2:$A$2000,A26,'Recipe Ingredients'!$G$2:$G$2000,"Basket")</f>
        <v/>
      </c>
      <c r="R26" s="37">
        <f>COUNTIFS('Recipe Ingredients'!$A$2:$A$2000,A26,'Recipe Ingredients'!$G$2:$G$2000,"Protein")+COUNTIFS('Recipe Ingredients'!$A$2:$A$2000,A26,'Recipe Ingredients'!$G$2:$G$2000,"Pantry")</f>
        <v/>
      </c>
      <c r="S26" s="46">
        <f>IFERROR(Q26/(Q26+R26),0)</f>
        <v/>
      </c>
      <c r="T26" s="37">
        <f>IF(S26&gt;='Start Here'!$C$6,"Yes","No")</f>
        <v/>
      </c>
      <c r="U26" s="39" t="inlineStr">
        <is>
          <t>Year-round</t>
        </is>
      </c>
      <c r="V26" s="39" t="inlineStr">
        <is>
          <t>1. Dice tomatoes and cucumber.
2. Slice onion very thinly and rinse in cold water to tame it.
3. Finely chop ata rodo and coriander.
4. Toss with lime juice and salt.</t>
        </is>
      </c>
      <c r="W26" s="39" t="n"/>
      <c r="X26" s="42" t="inlineStr">
        <is>
          <t>Draft</t>
        </is>
      </c>
    </row>
    <row r="27" ht="105" customHeight="1" s="26">
      <c r="A27" s="37" t="inlineStr">
        <is>
          <t>R040</t>
        </is>
      </c>
      <c r="B27" s="38" t="inlineStr">
        <is>
          <t>Chicken Suya Power Bowl</t>
        </is>
      </c>
      <c r="C27" s="37" t="inlineStr">
        <is>
          <t>Bowl</t>
        </is>
      </c>
      <c r="D27" s="37" t="inlineStr">
        <is>
          <t>Lunch / Dinner</t>
        </is>
      </c>
      <c r="E27" s="39" t="inlineStr">
        <is>
          <t>Fast-casual grain bowls (US, e.g. Sweetgreen)</t>
        </is>
      </c>
      <c r="F27" s="39" t="inlineStr">
        <is>
          <t>Suya-spiced chicken with the classic suya garnish of onion, tomato and cabbage.</t>
        </is>
      </c>
      <c r="G27" s="39" t="inlineStr">
        <is>
          <t>Training</t>
        </is>
      </c>
      <c r="H27" s="37" t="inlineStr">
        <is>
          <t>Contains meat</t>
        </is>
      </c>
      <c r="I27" s="45" t="n">
        <v>20</v>
      </c>
      <c r="J27" s="45" t="n">
        <v>20</v>
      </c>
      <c r="K27" s="37">
        <f>I27+J27</f>
        <v/>
      </c>
      <c r="L27" s="37">
        <f>IF(J27=0,"No-cook",IF(K27&lt;=25,"Quick","Standard"))</f>
        <v/>
      </c>
      <c r="M27" s="45" t="n">
        <v>2</v>
      </c>
      <c r="N27" s="45" t="n">
        <v>580</v>
      </c>
      <c r="O27" s="45" t="n">
        <v>42</v>
      </c>
      <c r="P27" s="39" t="inlineStr">
        <is>
          <t>Cabbage, Tomato, Onion, Cucumber</t>
        </is>
      </c>
      <c r="Q27" s="37">
        <f>COUNTIFS('Recipe Ingredients'!$A$2:$A$2000,A27,'Recipe Ingredients'!$G$2:$G$2000,"Basket")</f>
        <v/>
      </c>
      <c r="R27" s="37">
        <f>COUNTIFS('Recipe Ingredients'!$A$2:$A$2000,A27,'Recipe Ingredients'!$G$2:$G$2000,"Protein")+COUNTIFS('Recipe Ingredients'!$A$2:$A$2000,A27,'Recipe Ingredients'!$G$2:$G$2000,"Pantry")</f>
        <v/>
      </c>
      <c r="S27" s="46">
        <f>IFERROR(Q27/(Q27+R27),0)</f>
        <v/>
      </c>
      <c r="T27" s="37">
        <f>IF(S27&gt;='Start Here'!$C$6,"Yes","No")</f>
        <v/>
      </c>
      <c r="U27" s="39" t="inlineStr">
        <is>
          <t>Year-round</t>
        </is>
      </c>
      <c r="V27" s="39" t="inlineStr">
        <is>
          <t>1. Cook the rice.
2. Coat chicken in yaji and oil, then grill or pan-fry 6 minutes a side. Slice.
3. Shred cabbage, slice tomatoes, onion and cucumber, slice the avocado.
4. Build bowls: rice, vegetables, chicken. Finish with lime and extra yaji.</t>
        </is>
      </c>
      <c r="W27" s="39" t="inlineStr">
        <is>
          <t>Swap rice for quinoa or extra cabbage on lower-carb days.</t>
        </is>
      </c>
      <c r="X27" s="42" t="inlineStr">
        <is>
          <t>Draft</t>
        </is>
      </c>
    </row>
    <row r="28" ht="105" customHeight="1" s="26">
      <c r="A28" s="37" t="inlineStr">
        <is>
          <t>R041</t>
        </is>
      </c>
      <c r="B28" s="38" t="inlineStr">
        <is>
          <t>Burrito Bowl with Dodo</t>
        </is>
      </c>
      <c r="C28" s="37" t="inlineStr">
        <is>
          <t>Bowl</t>
        </is>
      </c>
      <c r="D28" s="37" t="inlineStr">
        <is>
          <t>Lunch / Dinner</t>
        </is>
      </c>
      <c r="E28" s="39" t="inlineStr">
        <is>
          <t>Burrito bowl (Tex-Mex)</t>
        </is>
      </c>
      <c r="F28" s="39" t="inlineStr">
        <is>
          <t>Ripe plantain and black-eyed beans take the place of pinto beans and sweet corn.</t>
        </is>
      </c>
      <c r="G28" s="39" t="inlineStr">
        <is>
          <t>Training, Plant-based</t>
        </is>
      </c>
      <c r="H28" s="37" t="inlineStr">
        <is>
          <t>Vegan</t>
        </is>
      </c>
      <c r="I28" s="45" t="n">
        <v>20</v>
      </c>
      <c r="J28" s="45" t="n">
        <v>25</v>
      </c>
      <c r="K28" s="37">
        <f>I28+J28</f>
        <v/>
      </c>
      <c r="L28" s="37">
        <f>IF(J28=0,"No-cook",IF(K28&lt;=25,"Quick","Standard"))</f>
        <v/>
      </c>
      <c r="M28" s="45" t="n">
        <v>2</v>
      </c>
      <c r="N28" s="45" t="n">
        <v>620</v>
      </c>
      <c r="O28" s="45" t="n">
        <v>18</v>
      </c>
      <c r="P28" s="39" t="inlineStr">
        <is>
          <t>Plantain, Sweet corn, Tomato, Onion</t>
        </is>
      </c>
      <c r="Q28" s="37">
        <f>COUNTIFS('Recipe Ingredients'!$A$2:$A$2000,A28,'Recipe Ingredients'!$G$2:$G$2000,"Basket")</f>
        <v/>
      </c>
      <c r="R28" s="37">
        <f>COUNTIFS('Recipe Ingredients'!$A$2:$A$2000,A28,'Recipe Ingredients'!$G$2:$G$2000,"Protein")+COUNTIFS('Recipe Ingredients'!$A$2:$A$2000,A28,'Recipe Ingredients'!$G$2:$G$2000,"Pantry")</f>
        <v/>
      </c>
      <c r="S28" s="46">
        <f>IFERROR(Q28/(Q28+R28),0)</f>
        <v/>
      </c>
      <c r="T28" s="37">
        <f>IF(S28&gt;='Start Here'!$C$6,"Yes","No")</f>
        <v/>
      </c>
      <c r="U28" s="39" t="inlineStr">
        <is>
          <t>Sweet corn (Apr-Aug)</t>
        </is>
      </c>
      <c r="V28" s="39" t="inlineStr">
        <is>
          <t>1. Cook rice. Warm beans with cumin and salt.
2. Slice plantain and roast or pan-fry until caramelised. Char the corn and slice off the kernels.
3. Make a quick salsa: tomato, onion, ata rodo, coriander, lime.
4. Build bowls with lettuce, rice, beans, plantain, corn, salsa and sliced avocado.</t>
        </is>
      </c>
      <c r="W28" s="39" t="n"/>
      <c r="X28" s="42" t="inlineStr">
        <is>
          <t>Draft</t>
        </is>
      </c>
    </row>
    <row r="29" ht="105" customHeight="1" s="26">
      <c r="A29" s="37" t="inlineStr">
        <is>
          <t>R042</t>
        </is>
      </c>
      <c r="B29" s="38" t="inlineStr">
        <is>
          <t>Mango Prawn Poke-Style Bowl</t>
        </is>
      </c>
      <c r="C29" s="37" t="inlineStr">
        <is>
          <t>Bowl</t>
        </is>
      </c>
      <c r="D29" s="37" t="inlineStr">
        <is>
          <t>Lunch / Dinner</t>
        </is>
      </c>
      <c r="E29" s="39" t="inlineStr">
        <is>
          <t>Poke (Hawaii)</t>
        </is>
      </c>
      <c r="F29" s="39" t="inlineStr">
        <is>
          <t>Cooked prawns instead of raw fish, which is safer for home delivery. Mango for sweetness.</t>
        </is>
      </c>
      <c r="G29" s="39" t="inlineStr">
        <is>
          <t>Training, Weight management</t>
        </is>
      </c>
      <c r="H29" s="37" t="inlineStr">
        <is>
          <t>Pescatarian</t>
        </is>
      </c>
      <c r="I29" s="45" t="n">
        <v>20</v>
      </c>
      <c r="J29" s="45" t="n">
        <v>20</v>
      </c>
      <c r="K29" s="37">
        <f>I29+J29</f>
        <v/>
      </c>
      <c r="L29" s="37">
        <f>IF(J29=0,"No-cook",IF(K29&lt;=25,"Quick","Standard"))</f>
        <v/>
      </c>
      <c r="M29" s="45" t="n">
        <v>2</v>
      </c>
      <c r="N29" s="45" t="n">
        <v>520</v>
      </c>
      <c r="O29" s="45" t="n">
        <v>30</v>
      </c>
      <c r="P29" s="39" t="inlineStr">
        <is>
          <t>Mango, Cucumber, Carrot, Avocado</t>
        </is>
      </c>
      <c r="Q29" s="37">
        <f>COUNTIFS('Recipe Ingredients'!$A$2:$A$2000,A29,'Recipe Ingredients'!$G$2:$G$2000,"Basket")</f>
        <v/>
      </c>
      <c r="R29" s="37">
        <f>COUNTIFS('Recipe Ingredients'!$A$2:$A$2000,A29,'Recipe Ingredients'!$G$2:$G$2000,"Protein")+COUNTIFS('Recipe Ingredients'!$A$2:$A$2000,A29,'Recipe Ingredients'!$G$2:$G$2000,"Pantry")</f>
        <v/>
      </c>
      <c r="S29" s="46">
        <f>IFERROR(Q29/(Q29+R29),0)</f>
        <v/>
      </c>
      <c r="T29" s="37">
        <f>IF(S29&gt;='Start Here'!$C$6,"Yes","No")</f>
        <v/>
      </c>
      <c r="U29" s="39" t="inlineStr">
        <is>
          <t>Mango (Feb-May, Aug-Sep)</t>
        </is>
      </c>
      <c r="V29" s="39" t="inlineStr">
        <is>
          <t>1. Cook rice and let it cool slightly.
2. Saute prawns 2 to 3 minutes until pink. Toss in soy, sesame oil, honey and lime.
3. Dice mango, cucumber and avocado. Shred the carrot.
4. Build bowls and top with spring onion.</t>
        </is>
      </c>
      <c r="W29" s="39" t="n"/>
      <c r="X29" s="42" t="inlineStr">
        <is>
          <t>Draft</t>
        </is>
      </c>
    </row>
    <row r="30" ht="105" customHeight="1" s="26">
      <c r="A30" s="37" t="inlineStr">
        <is>
          <t>R043</t>
        </is>
      </c>
      <c r="B30" s="38" t="inlineStr">
        <is>
          <t>Teriyaki Chicken &amp; Broccoli Bowl</t>
        </is>
      </c>
      <c r="C30" s="37" t="inlineStr">
        <is>
          <t>Bowl</t>
        </is>
      </c>
      <c r="D30" s="37" t="inlineStr">
        <is>
          <t>Dinner</t>
        </is>
      </c>
      <c r="E30" s="39" t="inlineStr">
        <is>
          <t>Japanese-American teriyaki bowl</t>
        </is>
      </c>
      <c r="F30" s="39" t="inlineStr">
        <is>
          <t>Fresh ginger and garlic glaze. Green beans are the budget swap for broccoli.</t>
        </is>
      </c>
      <c r="G30" s="39" t="inlineStr">
        <is>
          <t>Training</t>
        </is>
      </c>
      <c r="H30" s="37" t="inlineStr">
        <is>
          <t>Contains meat</t>
        </is>
      </c>
      <c r="I30" s="45" t="n">
        <v>15</v>
      </c>
      <c r="J30" s="45" t="n">
        <v>20</v>
      </c>
      <c r="K30" s="37">
        <f>I30+J30</f>
        <v/>
      </c>
      <c r="L30" s="37">
        <f>IF(J30=0,"No-cook",IF(K30&lt;=25,"Quick","Standard"))</f>
        <v/>
      </c>
      <c r="M30" s="45" t="n">
        <v>2</v>
      </c>
      <c r="N30" s="45" t="n">
        <v>560</v>
      </c>
      <c r="O30" s="45" t="n">
        <v>40</v>
      </c>
      <c r="P30" s="39" t="inlineStr">
        <is>
          <t>Broccoli, Carrot, Spring onion, Ginger</t>
        </is>
      </c>
      <c r="Q30" s="37">
        <f>COUNTIFS('Recipe Ingredients'!$A$2:$A$2000,A30,'Recipe Ingredients'!$G$2:$G$2000,"Basket")</f>
        <v/>
      </c>
      <c r="R30" s="37">
        <f>COUNTIFS('Recipe Ingredients'!$A$2:$A$2000,A30,'Recipe Ingredients'!$G$2:$G$2000,"Protein")+COUNTIFS('Recipe Ingredients'!$A$2:$A$2000,A30,'Recipe Ingredients'!$G$2:$G$2000,"Pantry")</f>
        <v/>
      </c>
      <c r="S30" s="46">
        <f>IFERROR(Q30/(Q30+R30),0)</f>
        <v/>
      </c>
      <c r="T30" s="37">
        <f>IF(S30&gt;='Start Here'!$C$6,"Yes","No")</f>
        <v/>
      </c>
      <c r="U30" s="39" t="inlineStr">
        <is>
          <t>Year-round</t>
        </is>
      </c>
      <c r="V30" s="39" t="inlineStr">
        <is>
          <t>1. Cook rice.
2. Simmer soy, honey, grated ginger and garlic for 2 minutes to make the glaze.
3. Pan-fry chicken pieces until cooked, then toss in the glaze.
4. Steam broccoli and sliced carrots 4 minutes. Serve over rice with spring onion.</t>
        </is>
      </c>
      <c r="W30" s="39" t="n"/>
      <c r="X30" s="42" t="inlineStr">
        <is>
          <t>Draft</t>
        </is>
      </c>
    </row>
    <row r="31" ht="105" customHeight="1" s="26">
      <c r="A31" s="37" t="inlineStr">
        <is>
          <t>R044</t>
        </is>
      </c>
      <c r="B31" s="38" t="inlineStr">
        <is>
          <t>Black-Eyed Bean Falafel Bowl</t>
        </is>
      </c>
      <c r="C31" s="37" t="inlineStr">
        <is>
          <t>Bowl</t>
        </is>
      </c>
      <c r="D31" s="37" t="inlineStr">
        <is>
          <t>Lunch / Dinner</t>
        </is>
      </c>
      <c r="E31" s="39" t="inlineStr">
        <is>
          <t>Falafel bowl (Levant)</t>
        </is>
      </c>
      <c r="F31" s="39" t="inlineStr">
        <is>
          <t>Black-eyed beans (akara's cousin) replace chickpeas. Scent leaf joins parsley.</t>
        </is>
      </c>
      <c r="G31" s="39" t="inlineStr">
        <is>
          <t>Plant-based, Training</t>
        </is>
      </c>
      <c r="H31" s="37" t="inlineStr">
        <is>
          <t>Vegetarian</t>
        </is>
      </c>
      <c r="I31" s="45" t="n">
        <v>25</v>
      </c>
      <c r="J31" s="45" t="n">
        <v>20</v>
      </c>
      <c r="K31" s="37">
        <f>I31+J31</f>
        <v/>
      </c>
      <c r="L31" s="37">
        <f>IF(J31=0,"No-cook",IF(K31&lt;=25,"Quick","Standard"))</f>
        <v/>
      </c>
      <c r="M31" s="45" t="n">
        <v>3</v>
      </c>
      <c r="N31" s="45" t="n">
        <v>540</v>
      </c>
      <c r="O31" s="45" t="n">
        <v>20</v>
      </c>
      <c r="P31" s="39" t="inlineStr">
        <is>
          <t>Onion, Garlic, Parsley, Scent leaf</t>
        </is>
      </c>
      <c r="Q31" s="37">
        <f>COUNTIFS('Recipe Ingredients'!$A$2:$A$2000,A31,'Recipe Ingredients'!$G$2:$G$2000,"Basket")</f>
        <v/>
      </c>
      <c r="R31" s="37">
        <f>COUNTIFS('Recipe Ingredients'!$A$2:$A$2000,A31,'Recipe Ingredients'!$G$2:$G$2000,"Protein")+COUNTIFS('Recipe Ingredients'!$A$2:$A$2000,A31,'Recipe Ingredients'!$G$2:$G$2000,"Pantry")</f>
        <v/>
      </c>
      <c r="S31" s="46">
        <f>IFERROR(Q31/(Q31+R31),0)</f>
        <v/>
      </c>
      <c r="T31" s="37">
        <f>IF(S31&gt;='Start Here'!$C$6,"Yes","No")</f>
        <v/>
      </c>
      <c r="U31" s="39" t="inlineStr">
        <is>
          <t>Year-round</t>
        </is>
      </c>
      <c r="V31" s="39" t="inlineStr">
        <is>
          <t>1. Blend soaked, peeled beans with onion, garlic, herbs, cumin and salt into a coarse paste.
2. Shape into small patties and bake at 200C for 20 minutes, flipping once (or shallow fry).
3. Mix yoghurt with lemon juice and a little grated garlic.
4. Serve with chopped lettuce, tomatoes, cucumber, pita and the yoghurt sauce.</t>
        </is>
      </c>
      <c r="W31" s="39" t="inlineStr">
        <is>
          <t>The paste is basically akara batter with herbs, so most Nigerian cooks nail it first try.</t>
        </is>
      </c>
      <c r="X31" s="42" t="inlineStr">
        <is>
          <t>Draft</t>
        </is>
      </c>
    </row>
    <row r="32" ht="105" customHeight="1" s="26">
      <c r="A32" s="37" t="inlineStr">
        <is>
          <t>R045</t>
        </is>
      </c>
      <c r="B32" s="38" t="inlineStr">
        <is>
          <t>Sweet Potato Buddha Bowl with Ugu Pesto</t>
        </is>
      </c>
      <c r="C32" s="37" t="inlineStr">
        <is>
          <t>Bowl</t>
        </is>
      </c>
      <c r="D32" s="37" t="inlineStr">
        <is>
          <t>Lunch / Dinner</t>
        </is>
      </c>
      <c r="E32" s="39" t="inlineStr">
        <is>
          <t>Buddha bowl (US vegan cafes)</t>
        </is>
      </c>
      <c r="F32" s="39" t="inlineStr">
        <is>
          <t>Ugu and groundnut pesto replaces tahini dressing.</t>
        </is>
      </c>
      <c r="G32" s="39" t="inlineStr">
        <is>
          <t>Plant-based, Wellness</t>
        </is>
      </c>
      <c r="H32" s="37" t="inlineStr">
        <is>
          <t>Vegan</t>
        </is>
      </c>
      <c r="I32" s="45" t="n">
        <v>20</v>
      </c>
      <c r="J32" s="45" t="n">
        <v>30</v>
      </c>
      <c r="K32" s="37">
        <f>I32+J32</f>
        <v/>
      </c>
      <c r="L32" s="37">
        <f>IF(J32=0,"No-cook",IF(K32&lt;=25,"Quick","Standard"))</f>
        <v/>
      </c>
      <c r="M32" s="45" t="n">
        <v>2</v>
      </c>
      <c r="N32" s="45" t="n">
        <v>560</v>
      </c>
      <c r="O32" s="45" t="n">
        <v>18</v>
      </c>
      <c r="P32" s="39" t="inlineStr">
        <is>
          <t>Sweet potato, Fluted pumpkin leaf, Groundnut, Garlic</t>
        </is>
      </c>
      <c r="Q32" s="37">
        <f>COUNTIFS('Recipe Ingredients'!$A$2:$A$2000,A32,'Recipe Ingredients'!$G$2:$G$2000,"Basket")</f>
        <v/>
      </c>
      <c r="R32" s="37">
        <f>COUNTIFS('Recipe Ingredients'!$A$2:$A$2000,A32,'Recipe Ingredients'!$G$2:$G$2000,"Protein")+COUNTIFS('Recipe Ingredients'!$A$2:$A$2000,A32,'Recipe Ingredients'!$G$2:$G$2000,"Pantry")</f>
        <v/>
      </c>
      <c r="S32" s="46">
        <f>IFERROR(Q32/(Q32+R32),0)</f>
        <v/>
      </c>
      <c r="T32" s="37">
        <f>IF(S32&gt;='Start Here'!$C$6,"Yes","No")</f>
        <v/>
      </c>
      <c r="U32" s="39" t="inlineStr">
        <is>
          <t>Year-round</t>
        </is>
      </c>
      <c r="V32" s="39" t="inlineStr">
        <is>
          <t>1. Roast cubed sweet potato with oil and salt at 200C for 25 to 30 minutes.
2. Cook quinoa or rice. Warm the chickpeas or beans.
3. Blend ugu, groundnuts, garlic, lemon, olive oil and salt into a pesto.
4. Build bowls with grain, sweet potato, beans, cucumber and grated carrot. Spoon over the pesto.</t>
        </is>
      </c>
      <c r="W32" s="39" t="n"/>
      <c r="X32" s="42" t="inlineStr">
        <is>
          <t>Draft</t>
        </is>
      </c>
    </row>
    <row r="33" ht="105" customHeight="1" s="26">
      <c r="A33" s="37" t="inlineStr">
        <is>
          <t>R046</t>
        </is>
      </c>
      <c r="B33" s="38" t="inlineStr">
        <is>
          <t>Bibimbap-Style Beef Bowl</t>
        </is>
      </c>
      <c r="C33" s="37" t="inlineStr">
        <is>
          <t>Bowl</t>
        </is>
      </c>
      <c r="D33" s="37" t="inlineStr">
        <is>
          <t>Dinner</t>
        </is>
      </c>
      <c r="E33" s="39" t="inlineStr">
        <is>
          <t>Bibimbap (Korea)</t>
        </is>
      </c>
      <c r="F33" s="39" t="inlineStr">
        <is>
          <t>Efo tete stands in for spinach. A honey and ata rodo sauce replaces gochujang.</t>
        </is>
      </c>
      <c r="G33" s="39" t="inlineStr">
        <is>
          <t>Training</t>
        </is>
      </c>
      <c r="H33" s="37" t="inlineStr">
        <is>
          <t>Contains meat</t>
        </is>
      </c>
      <c r="I33" s="45" t="n">
        <v>25</v>
      </c>
      <c r="J33" s="45" t="n">
        <v>20</v>
      </c>
      <c r="K33" s="37">
        <f>I33+J33</f>
        <v/>
      </c>
      <c r="L33" s="37">
        <f>IF(J33=0,"No-cook",IF(K33&lt;=25,"Quick","Standard"))</f>
        <v/>
      </c>
      <c r="M33" s="45" t="n">
        <v>2</v>
      </c>
      <c r="N33" s="45" t="n">
        <v>610</v>
      </c>
      <c r="O33" s="45" t="n">
        <v>35</v>
      </c>
      <c r="P33" s="39" t="inlineStr">
        <is>
          <t>Amaranth greens, Carrot, Cucumber, Mushrooms</t>
        </is>
      </c>
      <c r="Q33" s="37">
        <f>COUNTIFS('Recipe Ingredients'!$A$2:$A$2000,A33,'Recipe Ingredients'!$G$2:$G$2000,"Basket")</f>
        <v/>
      </c>
      <c r="R33" s="37">
        <f>COUNTIFS('Recipe Ingredients'!$A$2:$A$2000,A33,'Recipe Ingredients'!$G$2:$G$2000,"Protein")+COUNTIFS('Recipe Ingredients'!$A$2:$A$2000,A33,'Recipe Ingredients'!$G$2:$G$2000,"Pantry")</f>
        <v/>
      </c>
      <c r="S33" s="46">
        <f>IFERROR(Q33/(Q33+R33),0)</f>
        <v/>
      </c>
      <c r="T33" s="37">
        <f>IF(S33&gt;='Start Here'!$C$6,"Yes","No")</f>
        <v/>
      </c>
      <c r="U33" s="39" t="inlineStr">
        <is>
          <t>Year-round</t>
        </is>
      </c>
      <c r="V33" s="39" t="inlineStr">
        <is>
          <t>1. Cook rice.
2. Brown beef with garlic and half the soy. Saute mushrooms, then wilt the efo.
3. Mix the rest of the soy with honey, sesame oil and finely chopped ata rodo.
4. Top rice with julienned carrot and cucumber, the cooked vegetables, beef and a fried egg. Drizzle sauce.</t>
        </is>
      </c>
      <c r="W33" s="39" t="n"/>
      <c r="X33" s="42" t="inlineStr">
        <is>
          <t>Draft</t>
        </is>
      </c>
    </row>
    <row r="34" ht="105" customHeight="1" s="26">
      <c r="A34" s="37" t="inlineStr">
        <is>
          <t>R047</t>
        </is>
      </c>
      <c r="B34" s="38" t="inlineStr">
        <is>
          <t>Thai Groundnut Wara Bowl</t>
        </is>
      </c>
      <c r="C34" s="37" t="inlineStr">
        <is>
          <t>Bowl</t>
        </is>
      </c>
      <c r="D34" s="37" t="inlineStr">
        <is>
          <t>Lunch / Dinner</t>
        </is>
      </c>
      <c r="E34" s="39" t="inlineStr">
        <is>
          <t>Thai peanut tofu bowl</t>
        </is>
      </c>
      <c r="F34" s="39" t="inlineStr">
        <is>
          <t>Wara soya is Nigerian tofu. Groundnut sauce does the rest.</t>
        </is>
      </c>
      <c r="G34" s="39" t="inlineStr">
        <is>
          <t>Plant-based, Training</t>
        </is>
      </c>
      <c r="H34" s="37" t="inlineStr">
        <is>
          <t>Vegan</t>
        </is>
      </c>
      <c r="I34" s="45" t="n">
        <v>20</v>
      </c>
      <c r="J34" s="45" t="n">
        <v>15</v>
      </c>
      <c r="K34" s="37">
        <f>I34+J34</f>
        <v/>
      </c>
      <c r="L34" s="37">
        <f>IF(J34=0,"No-cook",IF(K34&lt;=25,"Quick","Standard"))</f>
        <v/>
      </c>
      <c r="M34" s="45" t="n">
        <v>2</v>
      </c>
      <c r="N34" s="45" t="n">
        <v>540</v>
      </c>
      <c r="O34" s="45" t="n">
        <v>24</v>
      </c>
      <c r="P34" s="39" t="inlineStr">
        <is>
          <t>Purple cabbage, Carrot, Cucumber, Spring onion</t>
        </is>
      </c>
      <c r="Q34" s="37">
        <f>COUNTIFS('Recipe Ingredients'!$A$2:$A$2000,A34,'Recipe Ingredients'!$G$2:$G$2000,"Basket")</f>
        <v/>
      </c>
      <c r="R34" s="37">
        <f>COUNTIFS('Recipe Ingredients'!$A$2:$A$2000,A34,'Recipe Ingredients'!$G$2:$G$2000,"Protein")+COUNTIFS('Recipe Ingredients'!$A$2:$A$2000,A34,'Recipe Ingredients'!$G$2:$G$2000,"Pantry")</f>
        <v/>
      </c>
      <c r="S34" s="46">
        <f>IFERROR(Q34/(Q34+R34),0)</f>
        <v/>
      </c>
      <c r="T34" s="37">
        <f>IF(S34&gt;='Start Here'!$C$6,"Yes","No")</f>
        <v/>
      </c>
      <c r="U34" s="39" t="inlineStr">
        <is>
          <t>Year-round</t>
        </is>
      </c>
      <c r="V34" s="39" t="inlineStr">
        <is>
          <t>1. Press and cube the wara soya, then pan-fry until golden.
2. Blend groundnut paste, soy, lime juice, ginger, garlic, dates and warm water into a pourable sauce.
3. Cook rice or noodles. Shred cabbage and carrot, slice cucumber.
4. Build bowls, pour over sauce, top with spring onion and coriander.</t>
        </is>
      </c>
      <c r="W34" s="39" t="n"/>
      <c r="X34" s="42" t="inlineStr">
        <is>
          <t>Draft</t>
        </is>
      </c>
    </row>
    <row r="35" ht="105" customHeight="1" s="26">
      <c r="A35" s="37" t="inlineStr">
        <is>
          <t>R048</t>
        </is>
      </c>
      <c r="B35" s="38" t="inlineStr">
        <is>
          <t>Greek Chicken Gyro Bowl with Tzatziki</t>
        </is>
      </c>
      <c r="C35" s="37" t="inlineStr">
        <is>
          <t>Bowl</t>
        </is>
      </c>
      <c r="D35" s="37" t="inlineStr">
        <is>
          <t>Lunch / Dinner</t>
        </is>
      </c>
      <c r="E35" s="39" t="inlineStr">
        <is>
          <t>Gyro (Greece)</t>
        </is>
      </c>
      <c r="F35" s="39" t="inlineStr">
        <is>
          <t>Tzatziki made with local cucumber, mint or parsley.</t>
        </is>
      </c>
      <c r="G35" s="39" t="inlineStr">
        <is>
          <t>Training, Weight management</t>
        </is>
      </c>
      <c r="H35" s="37" t="inlineStr">
        <is>
          <t>Contains meat</t>
        </is>
      </c>
      <c r="I35" s="45" t="n">
        <v>20</v>
      </c>
      <c r="J35" s="45" t="n">
        <v>20</v>
      </c>
      <c r="K35" s="37">
        <f>I35+J35</f>
        <v/>
      </c>
      <c r="L35" s="37">
        <f>IF(J35=0,"No-cook",IF(K35&lt;=25,"Quick","Standard"))</f>
        <v/>
      </c>
      <c r="M35" s="45" t="n">
        <v>2</v>
      </c>
      <c r="N35" s="45" t="n">
        <v>560</v>
      </c>
      <c r="O35" s="45" t="n">
        <v>42</v>
      </c>
      <c r="P35" s="39" t="inlineStr">
        <is>
          <t>Cucumber, Tomato, Onion, Lettuce</t>
        </is>
      </c>
      <c r="Q35" s="37">
        <f>COUNTIFS('Recipe Ingredients'!$A$2:$A$2000,A35,'Recipe Ingredients'!$G$2:$G$2000,"Basket")</f>
        <v/>
      </c>
      <c r="R35" s="37">
        <f>COUNTIFS('Recipe Ingredients'!$A$2:$A$2000,A35,'Recipe Ingredients'!$G$2:$G$2000,"Protein")+COUNTIFS('Recipe Ingredients'!$A$2:$A$2000,A35,'Recipe Ingredients'!$G$2:$G$2000,"Pantry")</f>
        <v/>
      </c>
      <c r="S35" s="46">
        <f>IFERROR(Q35/(Q35+R35),0)</f>
        <v/>
      </c>
      <c r="T35" s="37">
        <f>IF(S35&gt;='Start Here'!$C$6,"Yes","No")</f>
        <v/>
      </c>
      <c r="U35" s="39" t="inlineStr">
        <is>
          <t>Year-round</t>
        </is>
      </c>
      <c r="V35" s="39" t="inlineStr">
        <is>
          <t>1. Marinate chicken in lemon juice, garlic, oregano, oil and salt for 10 minutes, then grill and slice.
2. Cook rice.
3. Grate half the cucumber, squeeze dry, mix with yoghurt, garlic and chopped mint.
4. Build bowls with lettuce, tomatoes, onion, the rest of the cucumber, chicken and tzatziki.</t>
        </is>
      </c>
      <c r="W35" s="39" t="n"/>
      <c r="X35" s="42" t="inlineStr">
        <is>
          <t>Draft</t>
        </is>
      </c>
    </row>
    <row r="36" ht="105" customHeight="1" s="26">
      <c r="A36" s="37" t="inlineStr">
        <is>
          <t>R049</t>
        </is>
      </c>
      <c r="B36" s="38" t="inlineStr">
        <is>
          <t>Coconut Prawn &amp; Mango Rice Bowl</t>
        </is>
      </c>
      <c r="C36" s="37" t="inlineStr">
        <is>
          <t>Bowl</t>
        </is>
      </c>
      <c r="D36" s="37" t="inlineStr">
        <is>
          <t>Dinner</t>
        </is>
      </c>
      <c r="E36" s="39" t="inlineStr">
        <is>
          <t>Caribbean / Thai coconut rice bowls</t>
        </is>
      </c>
      <c r="F36" s="39" t="inlineStr">
        <is>
          <t>Rice cooked in fresh coconut milk with a mango salsa.</t>
        </is>
      </c>
      <c r="G36" s="39" t="inlineStr">
        <is>
          <t>Training, Wellness</t>
        </is>
      </c>
      <c r="H36" s="37" t="inlineStr">
        <is>
          <t>Pescatarian</t>
        </is>
      </c>
      <c r="I36" s="45" t="n">
        <v>20</v>
      </c>
      <c r="J36" s="45" t="n">
        <v>25</v>
      </c>
      <c r="K36" s="37">
        <f>I36+J36</f>
        <v/>
      </c>
      <c r="L36" s="37">
        <f>IF(J36=0,"No-cook",IF(K36&lt;=25,"Quick","Standard"))</f>
        <v/>
      </c>
      <c r="M36" s="45" t="n">
        <v>2</v>
      </c>
      <c r="N36" s="45" t="n">
        <v>600</v>
      </c>
      <c r="O36" s="45" t="n">
        <v>28</v>
      </c>
      <c r="P36" s="39" t="inlineStr">
        <is>
          <t>Coconut, Mango, Onion, Red bell pepper</t>
        </is>
      </c>
      <c r="Q36" s="37">
        <f>COUNTIFS('Recipe Ingredients'!$A$2:$A$2000,A36,'Recipe Ingredients'!$G$2:$G$2000,"Basket")</f>
        <v/>
      </c>
      <c r="R36" s="37">
        <f>COUNTIFS('Recipe Ingredients'!$A$2:$A$2000,A36,'Recipe Ingredients'!$G$2:$G$2000,"Protein")+COUNTIFS('Recipe Ingredients'!$A$2:$A$2000,A36,'Recipe Ingredients'!$G$2:$G$2000,"Pantry")</f>
        <v/>
      </c>
      <c r="S36" s="46">
        <f>IFERROR(Q36/(Q36+R36),0)</f>
        <v/>
      </c>
      <c r="T36" s="37">
        <f>IF(S36&gt;='Start Here'!$C$6,"Yes","No")</f>
        <v/>
      </c>
      <c r="U36" s="39" t="inlineStr">
        <is>
          <t>Mango (Feb-May, Aug-Sep)</t>
        </is>
      </c>
      <c r="V36" s="39" t="inlineStr">
        <is>
          <t>1. Cook rice in fresh coconut milk topped up with water.
2. Saute prawns with garlic and a pinch of salt, 3 minutes.
3. Dice mango, tatashe, onion and ata rodo. Toss with lime and coriander.
4. Serve rice topped with prawns and salsa.</t>
        </is>
      </c>
      <c r="W36" s="39" t="n"/>
      <c r="X36" s="42" t="inlineStr">
        <is>
          <t>Draft</t>
        </is>
      </c>
    </row>
    <row r="37" ht="105" customHeight="1" s="26">
      <c r="A37" s="37" t="inlineStr">
        <is>
          <t>R050</t>
        </is>
      </c>
      <c r="B37" s="38" t="inlineStr">
        <is>
          <t>Lighter Chicken Shawarma</t>
        </is>
      </c>
      <c r="C37" s="37" t="inlineStr">
        <is>
          <t>Wrap</t>
        </is>
      </c>
      <c r="D37" s="37" t="inlineStr">
        <is>
          <t>Lunch / Dinner</t>
        </is>
      </c>
      <c r="E37" s="39" t="inlineStr">
        <is>
          <t>Shawarma (Levant, via Lagos street food)</t>
        </is>
      </c>
      <c r="F37" s="39" t="inlineStr">
        <is>
          <t>Grilled not fried, yoghurt-garlic sauce instead of mayo, twice the vegetables.</t>
        </is>
      </c>
      <c r="G37" s="39" t="inlineStr">
        <is>
          <t>Training, Weight management</t>
        </is>
      </c>
      <c r="H37" s="37" t="inlineStr">
        <is>
          <t>Contains meat</t>
        </is>
      </c>
      <c r="I37" s="45" t="n">
        <v>20</v>
      </c>
      <c r="J37" s="45" t="n">
        <v>15</v>
      </c>
      <c r="K37" s="37">
        <f>I37+J37</f>
        <v/>
      </c>
      <c r="L37" s="37">
        <f>IF(J37=0,"No-cook",IF(K37&lt;=25,"Quick","Standard"))</f>
        <v/>
      </c>
      <c r="M37" s="45" t="n">
        <v>2</v>
      </c>
      <c r="N37" s="45" t="n">
        <v>520</v>
      </c>
      <c r="O37" s="45" t="n">
        <v>38</v>
      </c>
      <c r="P37" s="39" t="inlineStr">
        <is>
          <t>Cabbage, Carrot, Cucumber, Tomato</t>
        </is>
      </c>
      <c r="Q37" s="37">
        <f>COUNTIFS('Recipe Ingredients'!$A$2:$A$2000,A37,'Recipe Ingredients'!$G$2:$G$2000,"Basket")</f>
        <v/>
      </c>
      <c r="R37" s="37">
        <f>COUNTIFS('Recipe Ingredients'!$A$2:$A$2000,A37,'Recipe Ingredients'!$G$2:$G$2000,"Protein")+COUNTIFS('Recipe Ingredients'!$A$2:$A$2000,A37,'Recipe Ingredients'!$G$2:$G$2000,"Pantry")</f>
        <v/>
      </c>
      <c r="S37" s="46">
        <f>IFERROR(Q37/(Q37+R37),0)</f>
        <v/>
      </c>
      <c r="T37" s="37">
        <f>IF(S37&gt;='Start Here'!$C$6,"Yes","No")</f>
        <v/>
      </c>
      <c r="U37" s="39" t="inlineStr">
        <is>
          <t>Year-round</t>
        </is>
      </c>
      <c r="V37" s="39" t="inlineStr">
        <is>
          <t>1. Toss sliced chicken with curry powder, paprika, oil and salt. Pan-grill until charred.
2. Mix yoghurt, grated garlic, lemon and salt.
3. Shred cabbage and carrot, slice cucumber, tomatoes and onion.
4. Spread sauce on warm wraps, fill with vegetables and chicken, roll tight and toast seam-side down.</t>
        </is>
      </c>
      <c r="W37" s="39" t="inlineStr">
        <is>
          <t>The one people will order every week. Make it the hero of the launch menu.</t>
        </is>
      </c>
      <c r="X37" s="42" t="inlineStr">
        <is>
          <t>Draft</t>
        </is>
      </c>
    </row>
    <row r="38" ht="105" customHeight="1" s="26">
      <c r="A38" s="37" t="inlineStr">
        <is>
          <t>R051</t>
        </is>
      </c>
      <c r="B38" s="38" t="inlineStr">
        <is>
          <t>Fish Tacos with Pineapple Salsa</t>
        </is>
      </c>
      <c r="C38" s="37" t="inlineStr">
        <is>
          <t>Wrap</t>
        </is>
      </c>
      <c r="D38" s="37" t="inlineStr">
        <is>
          <t>Dinner</t>
        </is>
      </c>
      <c r="E38" s="39" t="inlineStr">
        <is>
          <t>Baja fish tacos (Mexico)</t>
        </is>
      </c>
      <c r="F38" s="39" t="inlineStr">
        <is>
          <t>Croaker or tilapia, pineapple and ata rodo salsa, cabbage slaw.</t>
        </is>
      </c>
      <c r="G38" s="39" t="inlineStr">
        <is>
          <t>Training, Weight management</t>
        </is>
      </c>
      <c r="H38" s="37" t="inlineStr">
        <is>
          <t>Pescatarian</t>
        </is>
      </c>
      <c r="I38" s="45" t="n">
        <v>20</v>
      </c>
      <c r="J38" s="45" t="n">
        <v>10</v>
      </c>
      <c r="K38" s="37">
        <f>I38+J38</f>
        <v/>
      </c>
      <c r="L38" s="37">
        <f>IF(J38=0,"No-cook",IF(K38&lt;=25,"Quick","Standard"))</f>
        <v/>
      </c>
      <c r="M38" s="45" t="n">
        <v>2</v>
      </c>
      <c r="N38" s="45" t="n">
        <v>480</v>
      </c>
      <c r="O38" s="45" t="n">
        <v>32</v>
      </c>
      <c r="P38" s="39" t="inlineStr">
        <is>
          <t>Pineapple, Onion, Scotch bonnet, Coriander</t>
        </is>
      </c>
      <c r="Q38" s="37">
        <f>COUNTIFS('Recipe Ingredients'!$A$2:$A$2000,A38,'Recipe Ingredients'!$G$2:$G$2000,"Basket")</f>
        <v/>
      </c>
      <c r="R38" s="37">
        <f>COUNTIFS('Recipe Ingredients'!$A$2:$A$2000,A38,'Recipe Ingredients'!$G$2:$G$2000,"Protein")+COUNTIFS('Recipe Ingredients'!$A$2:$A$2000,A38,'Recipe Ingredients'!$G$2:$G$2000,"Pantry")</f>
        <v/>
      </c>
      <c r="S38" s="46">
        <f>IFERROR(Q38/(Q38+R38),0)</f>
        <v/>
      </c>
      <c r="T38" s="37">
        <f>IF(S38&gt;='Start Here'!$C$6,"Yes","No")</f>
        <v/>
      </c>
      <c r="U38" s="39" t="inlineStr">
        <is>
          <t>Year-round</t>
        </is>
      </c>
      <c r="V38" s="39" t="inlineStr">
        <is>
          <t>1. Season fish with paprika, salt and lime. Pan-fry 3 minutes a side and flake.
2. Dice pineapple, onion and ata rodo. Mix with coriander and lime.
3. Shred cabbage and toss with lime and salt.
4. Warm tortillas and fill with slaw, fish, salsa and avocado.</t>
        </is>
      </c>
      <c r="W38" s="39" t="n"/>
      <c r="X38" s="42" t="inlineStr">
        <is>
          <t>Draft</t>
        </is>
      </c>
    </row>
    <row r="39" ht="105" customHeight="1" s="26">
      <c r="A39" s="37" t="inlineStr">
        <is>
          <t>R052</t>
        </is>
      </c>
      <c r="B39" s="38" t="inlineStr">
        <is>
          <t>Chicken Lettuce Cups</t>
        </is>
      </c>
      <c r="C39" s="37" t="inlineStr">
        <is>
          <t>Wrap</t>
        </is>
      </c>
      <c r="D39" s="37" t="inlineStr">
        <is>
          <t>Lunch / Dinner</t>
        </is>
      </c>
      <c r="E39" s="39" t="inlineStr">
        <is>
          <t>San choy bau (Cantonese)</t>
        </is>
      </c>
      <c r="F39" s="39" t="inlineStr">
        <is>
          <t>Local iceberg cups with groundnuts for crunch.</t>
        </is>
      </c>
      <c r="G39" s="39" t="inlineStr">
        <is>
          <t>Weight management, Training</t>
        </is>
      </c>
      <c r="H39" s="37" t="inlineStr">
        <is>
          <t>Contains meat</t>
        </is>
      </c>
      <c r="I39" s="45" t="n">
        <v>15</v>
      </c>
      <c r="J39" s="45" t="n">
        <v>10</v>
      </c>
      <c r="K39" s="37">
        <f>I39+J39</f>
        <v/>
      </c>
      <c r="L39" s="37">
        <f>IF(J39=0,"No-cook",IF(K39&lt;=25,"Quick","Standard"))</f>
        <v/>
      </c>
      <c r="M39" s="45" t="n">
        <v>2</v>
      </c>
      <c r="N39" s="45" t="n">
        <v>350</v>
      </c>
      <c r="O39" s="45" t="n">
        <v>32</v>
      </c>
      <c r="P39" s="39" t="inlineStr">
        <is>
          <t>Lettuce, Carrot, Red bell pepper, Spring onion</t>
        </is>
      </c>
      <c r="Q39" s="37">
        <f>COUNTIFS('Recipe Ingredients'!$A$2:$A$2000,A39,'Recipe Ingredients'!$G$2:$G$2000,"Basket")</f>
        <v/>
      </c>
      <c r="R39" s="37">
        <f>COUNTIFS('Recipe Ingredients'!$A$2:$A$2000,A39,'Recipe Ingredients'!$G$2:$G$2000,"Protein")+COUNTIFS('Recipe Ingredients'!$A$2:$A$2000,A39,'Recipe Ingredients'!$G$2:$G$2000,"Pantry")</f>
        <v/>
      </c>
      <c r="S39" s="46">
        <f>IFERROR(Q39/(Q39+R39),0)</f>
        <v/>
      </c>
      <c r="T39" s="37">
        <f>IF(S39&gt;='Start Here'!$C$6,"Yes","No")</f>
        <v/>
      </c>
      <c r="U39" s="39" t="inlineStr">
        <is>
          <t>Year-round</t>
        </is>
      </c>
      <c r="V39" s="39" t="inlineStr">
        <is>
          <t>1. Finely chop or mince the chicken.
2. Stir-fry garlic and ginger for 30 seconds, add chicken, cook until no longer pink.
3. Add diced carrot and tatashe, soy and lime. Cook 2 minutes.
4. Spoon into lettuce cups. Top with spring onion and crushed groundnuts.</t>
        </is>
      </c>
      <c r="W39" s="39" t="inlineStr">
        <is>
          <t>Low-carb and quick. A strong pick for the weight-management goal filter.</t>
        </is>
      </c>
      <c r="X39" s="42" t="inlineStr">
        <is>
          <t>Draft</t>
        </is>
      </c>
    </row>
    <row r="40" ht="105" customHeight="1" s="26">
      <c r="A40" s="37" t="inlineStr">
        <is>
          <t>R053</t>
        </is>
      </c>
      <c r="B40" s="38" t="inlineStr">
        <is>
          <t>Suya Beef Lettuce Wraps</t>
        </is>
      </c>
      <c r="C40" s="37" t="inlineStr">
        <is>
          <t>Wrap</t>
        </is>
      </c>
      <c r="D40" s="37" t="inlineStr">
        <is>
          <t>Dinner</t>
        </is>
      </c>
      <c r="E40" s="39" t="inlineStr">
        <is>
          <t>Korean ssam (lettuce wraps)</t>
        </is>
      </c>
      <c r="F40" s="39" t="inlineStr">
        <is>
          <t>Suya beef with the full suya garnish, wrapped in lettuce.</t>
        </is>
      </c>
      <c r="G40" s="39" t="inlineStr">
        <is>
          <t>Training, Weight management</t>
        </is>
      </c>
      <c r="H40" s="37" t="inlineStr">
        <is>
          <t>Contains meat</t>
        </is>
      </c>
      <c r="I40" s="45" t="n">
        <v>15</v>
      </c>
      <c r="J40" s="45" t="n">
        <v>10</v>
      </c>
      <c r="K40" s="37">
        <f>I40+J40</f>
        <v/>
      </c>
      <c r="L40" s="37">
        <f>IF(J40=0,"No-cook",IF(K40&lt;=25,"Quick","Standard"))</f>
        <v/>
      </c>
      <c r="M40" s="45" t="n">
        <v>2</v>
      </c>
      <c r="N40" s="45" t="n">
        <v>380</v>
      </c>
      <c r="O40" s="45" t="n">
        <v>34</v>
      </c>
      <c r="P40" s="39" t="inlineStr">
        <is>
          <t>Lettuce, Onion, Tomato, Cucumber</t>
        </is>
      </c>
      <c r="Q40" s="37">
        <f>COUNTIFS('Recipe Ingredients'!$A$2:$A$2000,A40,'Recipe Ingredients'!$G$2:$G$2000,"Basket")</f>
        <v/>
      </c>
      <c r="R40" s="37">
        <f>COUNTIFS('Recipe Ingredients'!$A$2:$A$2000,A40,'Recipe Ingredients'!$G$2:$G$2000,"Protein")+COUNTIFS('Recipe Ingredients'!$A$2:$A$2000,A40,'Recipe Ingredients'!$G$2:$G$2000,"Pantry")</f>
        <v/>
      </c>
      <c r="S40" s="46">
        <f>IFERROR(Q40/(Q40+R40),0)</f>
        <v/>
      </c>
      <c r="T40" s="37">
        <f>IF(S40&gt;='Start Here'!$C$6,"Yes","No")</f>
        <v/>
      </c>
      <c r="U40" s="39" t="inlineStr">
        <is>
          <t>Year-round</t>
        </is>
      </c>
      <c r="V40" s="39" t="inlineStr">
        <is>
          <t>1. Rub thin beef slices with yaji, oil and salt.
2. Sear in a very hot pan, 1 to 2 minutes a side.
3. Slice onion, tomatoes and cucumber.
4. Wrap beef and vegetables in lettuce leaves. Squeeze lime over.</t>
        </is>
      </c>
      <c r="W40" s="39" t="n"/>
      <c r="X40" s="42" t="inlineStr">
        <is>
          <t>Draft</t>
        </is>
      </c>
    </row>
    <row r="41" ht="105" customHeight="1" s="26">
      <c r="A41" s="37" t="inlineStr">
        <is>
          <t>R054</t>
        </is>
      </c>
      <c r="B41" s="38" t="inlineStr">
        <is>
          <t>Corn, Tatashe &amp; Efo Quesadilla</t>
        </is>
      </c>
      <c r="C41" s="37" t="inlineStr">
        <is>
          <t>Wrap</t>
        </is>
      </c>
      <c r="D41" s="37" t="inlineStr">
        <is>
          <t>Lunch</t>
        </is>
      </c>
      <c r="E41" s="39" t="inlineStr">
        <is>
          <t>Quesadilla (Mexico)</t>
        </is>
      </c>
      <c r="F41" s="39" t="inlineStr">
        <is>
          <t>Local sweet corn, tatashe and efo inside.</t>
        </is>
      </c>
      <c r="G41" s="39" t="inlineStr">
        <is>
          <t>Training</t>
        </is>
      </c>
      <c r="H41" s="37" t="inlineStr">
        <is>
          <t>Vegetarian</t>
        </is>
      </c>
      <c r="I41" s="45" t="n">
        <v>10</v>
      </c>
      <c r="J41" s="45" t="n">
        <v>10</v>
      </c>
      <c r="K41" s="37">
        <f>I41+J41</f>
        <v/>
      </c>
      <c r="L41" s="37">
        <f>IF(J41=0,"No-cook",IF(K41&lt;=25,"Quick","Standard"))</f>
        <v/>
      </c>
      <c r="M41" s="45" t="n">
        <v>2</v>
      </c>
      <c r="N41" s="45" t="n">
        <v>480</v>
      </c>
      <c r="O41" s="45" t="n">
        <v>20</v>
      </c>
      <c r="P41" s="39" t="inlineStr">
        <is>
          <t>Sweet corn, Red bell pepper, Onion, Amaranth greens</t>
        </is>
      </c>
      <c r="Q41" s="37">
        <f>COUNTIFS('Recipe Ingredients'!$A$2:$A$2000,A41,'Recipe Ingredients'!$G$2:$G$2000,"Basket")</f>
        <v/>
      </c>
      <c r="R41" s="37">
        <f>COUNTIFS('Recipe Ingredients'!$A$2:$A$2000,A41,'Recipe Ingredients'!$G$2:$G$2000,"Protein")+COUNTIFS('Recipe Ingredients'!$A$2:$A$2000,A41,'Recipe Ingredients'!$G$2:$G$2000,"Pantry")</f>
        <v/>
      </c>
      <c r="S41" s="46">
        <f>IFERROR(Q41/(Q41+R41),0)</f>
        <v/>
      </c>
      <c r="T41" s="37">
        <f>IF(S41&gt;='Start Here'!$C$6,"Yes","No")</f>
        <v/>
      </c>
      <c r="U41" s="39" t="inlineStr">
        <is>
          <t>Sweet corn (Apr-Aug)</t>
        </is>
      </c>
      <c r="V41" s="39" t="inlineStr">
        <is>
          <t>1. Slice corn off the cob. Saute with onion, tatashe, ata rodo and cumin for 4 minutes.
2. Stir in efo until wilted.
3. Layer half of each tortilla with cheese and filling, fold, then toast 2 minutes a side.
4. Cut into wedges. Serve with sliced avocado.</t>
        </is>
      </c>
      <c r="W41" s="39" t="n"/>
      <c r="X41" s="42" t="inlineStr">
        <is>
          <t>Draft</t>
        </is>
      </c>
    </row>
    <row r="42" ht="105" customHeight="1" s="26">
      <c r="A42" s="37" t="inlineStr">
        <is>
          <t>R055</t>
        </is>
      </c>
      <c r="B42" s="38" t="inlineStr">
        <is>
          <t>Egg &amp; Avocado Breakfast Wrap</t>
        </is>
      </c>
      <c r="C42" s="37" t="inlineStr">
        <is>
          <t>Wrap</t>
        </is>
      </c>
      <c r="D42" s="37" t="inlineStr">
        <is>
          <t>Breakfast</t>
        </is>
      </c>
      <c r="E42" s="39" t="inlineStr">
        <is>
          <t>Breakfast burrito (US Southwest)</t>
        </is>
      </c>
      <c r="F42" s="39" t="inlineStr">
        <is>
          <t>The filling is a Nigerian egg sauce: tomato, onion and pepper scrambled with eggs.</t>
        </is>
      </c>
      <c r="G42" s="39" t="inlineStr">
        <is>
          <t>Training</t>
        </is>
      </c>
      <c r="H42" s="37" t="inlineStr">
        <is>
          <t>Vegetarian</t>
        </is>
      </c>
      <c r="I42" s="45" t="n">
        <v>10</v>
      </c>
      <c r="J42" s="45" t="n">
        <v>10</v>
      </c>
      <c r="K42" s="37">
        <f>I42+J42</f>
        <v/>
      </c>
      <c r="L42" s="37">
        <f>IF(J42=0,"No-cook",IF(K42&lt;=25,"Quick","Standard"))</f>
        <v/>
      </c>
      <c r="M42" s="45" t="n">
        <v>2</v>
      </c>
      <c r="N42" s="45" t="n">
        <v>450</v>
      </c>
      <c r="O42" s="45" t="n">
        <v>20</v>
      </c>
      <c r="P42" s="39" t="inlineStr">
        <is>
          <t>Avocado, Tomato, Onion, Scotch bonnet</t>
        </is>
      </c>
      <c r="Q42" s="37">
        <f>COUNTIFS('Recipe Ingredients'!$A$2:$A$2000,A42,'Recipe Ingredients'!$G$2:$G$2000,"Basket")</f>
        <v/>
      </c>
      <c r="R42" s="37">
        <f>COUNTIFS('Recipe Ingredients'!$A$2:$A$2000,A42,'Recipe Ingredients'!$G$2:$G$2000,"Protein")+COUNTIFS('Recipe Ingredients'!$A$2:$A$2000,A42,'Recipe Ingredients'!$G$2:$G$2000,"Pantry")</f>
        <v/>
      </c>
      <c r="S42" s="46">
        <f>IFERROR(Q42/(Q42+R42),0)</f>
        <v/>
      </c>
      <c r="T42" s="37">
        <f>IF(S42&gt;='Start Here'!$C$6,"Yes","No")</f>
        <v/>
      </c>
      <c r="U42" s="39" t="inlineStr">
        <is>
          <t>Year-round</t>
        </is>
      </c>
      <c r="V42" s="39" t="inlineStr">
        <is>
          <t>1. Saute diced onion, tomatoes and ata rodo in oil for 3 minutes.
2. Add efo, then the beaten eggs. Scramble softly.
3. Warm the wraps and spread with mashed avocado.
4. Fill with eggs and roll.</t>
        </is>
      </c>
      <c r="W42" s="39" t="n"/>
      <c r="X42" s="42" t="inlineStr">
        <is>
          <t>Draft</t>
        </is>
      </c>
    </row>
    <row r="43" ht="105" customHeight="1" s="26">
      <c r="A43" s="37" t="inlineStr">
        <is>
          <t>R056</t>
        </is>
      </c>
      <c r="B43" s="38" t="inlineStr">
        <is>
          <t>Bean &amp; Plantain Burrito</t>
        </is>
      </c>
      <c r="C43" s="37" t="inlineStr">
        <is>
          <t>Wrap</t>
        </is>
      </c>
      <c r="D43" s="37" t="inlineStr">
        <is>
          <t>Lunch / Dinner</t>
        </is>
      </c>
      <c r="E43" s="39" t="inlineStr">
        <is>
          <t>Bean burrito (Mexico / US)</t>
        </is>
      </c>
      <c r="F43" s="39" t="inlineStr">
        <is>
          <t>Ewa and dodo, the Nigerian favourite, wrapped Mexican-style.</t>
        </is>
      </c>
      <c r="G43" s="39" t="inlineStr">
        <is>
          <t>Training, Plant-based</t>
        </is>
      </c>
      <c r="H43" s="37" t="inlineStr">
        <is>
          <t>Vegetarian</t>
        </is>
      </c>
      <c r="I43" s="45" t="n">
        <v>15</v>
      </c>
      <c r="J43" s="45" t="n">
        <v>20</v>
      </c>
      <c r="K43" s="37">
        <f>I43+J43</f>
        <v/>
      </c>
      <c r="L43" s="37">
        <f>IF(J43=0,"No-cook",IF(K43&lt;=25,"Quick","Standard"))</f>
        <v/>
      </c>
      <c r="M43" s="45" t="n">
        <v>2</v>
      </c>
      <c r="N43" s="45" t="n">
        <v>610</v>
      </c>
      <c r="O43" s="45" t="n">
        <v>20</v>
      </c>
      <c r="P43" s="39" t="inlineStr">
        <is>
          <t>Plantain, Tomato, Onion, Scotch bonnet</t>
        </is>
      </c>
      <c r="Q43" s="37">
        <f>COUNTIFS('Recipe Ingredients'!$A$2:$A$2000,A43,'Recipe Ingredients'!$G$2:$G$2000,"Basket")</f>
        <v/>
      </c>
      <c r="R43" s="37">
        <f>COUNTIFS('Recipe Ingredients'!$A$2:$A$2000,A43,'Recipe Ingredients'!$G$2:$G$2000,"Protein")+COUNTIFS('Recipe Ingredients'!$A$2:$A$2000,A43,'Recipe Ingredients'!$G$2:$G$2000,"Pantry")</f>
        <v/>
      </c>
      <c r="S43" s="46">
        <f>IFERROR(Q43/(Q43+R43),0)</f>
        <v/>
      </c>
      <c r="T43" s="37">
        <f>IF(S43&gt;='Start Here'!$C$6,"Yes","No")</f>
        <v/>
      </c>
      <c r="U43" s="39" t="inlineStr">
        <is>
          <t>Year-round</t>
        </is>
      </c>
      <c r="V43" s="39" t="inlineStr">
        <is>
          <t>1. Warm beans with cumin, lightly mashing half.
2. Slice and fry the plantain until golden.
3. Make a quick salsa with tomato, onion, ata rodo and lime.
4. Fill wraps with beans, plantain, cheese, salsa and lettuce. Roll and toast.</t>
        </is>
      </c>
      <c r="W43" s="39" t="n"/>
      <c r="X43" s="42" t="inlineStr">
        <is>
          <t>Draft</t>
        </is>
      </c>
    </row>
    <row r="44" ht="105" customHeight="1" s="26">
      <c r="A44" s="37" t="inlineStr">
        <is>
          <t>R057</t>
        </is>
      </c>
      <c r="B44" s="38" t="inlineStr">
        <is>
          <t>Sheet-Pan Lemon Herb Chicken</t>
        </is>
      </c>
      <c r="C44" s="37" t="inlineStr">
        <is>
          <t>Main</t>
        </is>
      </c>
      <c r="D44" s="37" t="inlineStr">
        <is>
          <t>Dinner</t>
        </is>
      </c>
      <c r="E44" s="39" t="inlineStr">
        <is>
          <t>Sheet-pan dinners (HelloFresh / US weeknight staple)</t>
        </is>
      </c>
      <c r="F44" s="39" t="inlineStr">
        <is>
          <t>Sweet potato and local green beans on one tray.</t>
        </is>
      </c>
      <c r="G44" s="39" t="inlineStr">
        <is>
          <t>Training</t>
        </is>
      </c>
      <c r="H44" s="37" t="inlineStr">
        <is>
          <t>Contains meat</t>
        </is>
      </c>
      <c r="I44" s="45" t="n">
        <v>15</v>
      </c>
      <c r="J44" s="45" t="n">
        <v>35</v>
      </c>
      <c r="K44" s="37">
        <f>I44+J44</f>
        <v/>
      </c>
      <c r="L44" s="37">
        <f>IF(J44=0,"No-cook",IF(K44&lt;=25,"Quick","Standard"))</f>
        <v/>
      </c>
      <c r="M44" s="45" t="n">
        <v>2</v>
      </c>
      <c r="N44" s="45" t="n">
        <v>560</v>
      </c>
      <c r="O44" s="45" t="n">
        <v>42</v>
      </c>
      <c r="P44" s="39" t="inlineStr">
        <is>
          <t>Sweet potato, Green beans, Onion, Lemon</t>
        </is>
      </c>
      <c r="Q44" s="37">
        <f>COUNTIFS('Recipe Ingredients'!$A$2:$A$2000,A44,'Recipe Ingredients'!$G$2:$G$2000,"Basket")</f>
        <v/>
      </c>
      <c r="R44" s="37">
        <f>COUNTIFS('Recipe Ingredients'!$A$2:$A$2000,A44,'Recipe Ingredients'!$G$2:$G$2000,"Protein")+COUNTIFS('Recipe Ingredients'!$A$2:$A$2000,A44,'Recipe Ingredients'!$G$2:$G$2000,"Pantry")</f>
        <v/>
      </c>
      <c r="S44" s="46">
        <f>IFERROR(Q44/(Q44+R44),0)</f>
        <v/>
      </c>
      <c r="T44" s="37">
        <f>IF(S44&gt;='Start Here'!$C$6,"Yes","No")</f>
        <v/>
      </c>
      <c r="U44" s="39" t="inlineStr">
        <is>
          <t>Year-round</t>
        </is>
      </c>
      <c r="V44" s="39" t="inlineStr">
        <is>
          <t>1. Heat oven to 200C. Cut sweet potatoes into wedges, quarter the onion.
2. Toss chicken and vegetables with oil, paprika, crushed garlic, lemon zest, rosemary and salt.
3. Roast 25 minutes, add green beans, roast 10 more.
4. Squeeze lemon over before serving.</t>
        </is>
      </c>
      <c r="W44" s="39" t="inlineStr">
        <is>
          <t>One tray, one wash-up. The format meal-kit customers love most.</t>
        </is>
      </c>
      <c r="X44" s="42" t="inlineStr">
        <is>
          <t>Draft</t>
        </is>
      </c>
    </row>
    <row r="45" ht="105" customHeight="1" s="26">
      <c r="A45" s="37" t="inlineStr">
        <is>
          <t>R058</t>
        </is>
      </c>
      <c r="B45" s="38" t="inlineStr">
        <is>
          <t>Ginger Chicken &amp; Veg Stir-Fry</t>
        </is>
      </c>
      <c r="C45" s="37" t="inlineStr">
        <is>
          <t>Main</t>
        </is>
      </c>
      <c r="D45" s="37" t="inlineStr">
        <is>
          <t>Dinner</t>
        </is>
      </c>
      <c r="E45" s="39" t="inlineStr">
        <is>
          <t>Chinese stir-fry</t>
        </is>
      </c>
      <c r="F45" s="39" t="inlineStr">
        <is>
          <t>The 'Chinese restaurant' order Lagos loves, made with half the oil.</t>
        </is>
      </c>
      <c r="G45" s="39" t="inlineStr">
        <is>
          <t>Training, Weight management</t>
        </is>
      </c>
      <c r="H45" s="37" t="inlineStr">
        <is>
          <t>Contains meat</t>
        </is>
      </c>
      <c r="I45" s="45" t="n">
        <v>15</v>
      </c>
      <c r="J45" s="45" t="n">
        <v>12</v>
      </c>
      <c r="K45" s="37">
        <f>I45+J45</f>
        <v/>
      </c>
      <c r="L45" s="37">
        <f>IF(J45=0,"No-cook",IF(K45&lt;=25,"Quick","Standard"))</f>
        <v/>
      </c>
      <c r="M45" s="45" t="n">
        <v>2</v>
      </c>
      <c r="N45" s="45" t="n">
        <v>480</v>
      </c>
      <c r="O45" s="45" t="n">
        <v>38</v>
      </c>
      <c r="P45" s="39" t="inlineStr">
        <is>
          <t>Broccoli, Carrot, Red bell pepper, Green / yellow bell pepper</t>
        </is>
      </c>
      <c r="Q45" s="37">
        <f>COUNTIFS('Recipe Ingredients'!$A$2:$A$2000,A45,'Recipe Ingredients'!$G$2:$G$2000,"Basket")</f>
        <v/>
      </c>
      <c r="R45" s="37">
        <f>COUNTIFS('Recipe Ingredients'!$A$2:$A$2000,A45,'Recipe Ingredients'!$G$2:$G$2000,"Protein")+COUNTIFS('Recipe Ingredients'!$A$2:$A$2000,A45,'Recipe Ingredients'!$G$2:$G$2000,"Pantry")</f>
        <v/>
      </c>
      <c r="S45" s="46">
        <f>IFERROR(Q45/(Q45+R45),0)</f>
        <v/>
      </c>
      <c r="T45" s="37">
        <f>IF(S45&gt;='Start Here'!$C$6,"Yes","No")</f>
        <v/>
      </c>
      <c r="U45" s="39" t="inlineStr">
        <is>
          <t>Year-round</t>
        </is>
      </c>
      <c r="V45" s="39" t="inlineStr">
        <is>
          <t>1. Slice chicken thin and toss with 1 tbsp soy and the cornflour.
2. Stir-fry chicken in a very hot pan until browned. Remove.
3. Stir-fry garlic, ginger, broccoli, carrots and peppers for 3 to 4 minutes.
4. Return chicken with the rest of the soy and a splash of water. Toss, top with spring onion. Serve with rice or noodles.</t>
        </is>
      </c>
      <c r="W45" s="39" t="n"/>
      <c r="X45" s="42" t="inlineStr">
        <is>
          <t>Draft</t>
        </is>
      </c>
    </row>
    <row r="46" ht="105" customHeight="1" s="26">
      <c r="A46" s="37" t="inlineStr">
        <is>
          <t>R059</t>
        </is>
      </c>
      <c r="B46" s="38" t="inlineStr">
        <is>
          <t>Thai Green Curry with Pumpkin &amp; Ugu</t>
        </is>
      </c>
      <c r="C46" s="37" t="inlineStr">
        <is>
          <t>Main</t>
        </is>
      </c>
      <c r="D46" s="37" t="inlineStr">
        <is>
          <t>Dinner</t>
        </is>
      </c>
      <c r="E46" s="39" t="inlineStr">
        <is>
          <t>Thai green curry</t>
        </is>
      </c>
      <c r="F46" s="39" t="inlineStr">
        <is>
          <t>Elegede pumpkin, ugu greens and scent leaf, which is a basil, just like Thai basil.</t>
        </is>
      </c>
      <c r="G46" s="39" t="inlineStr">
        <is>
          <t>Training, Wellness</t>
        </is>
      </c>
      <c r="H46" s="37" t="inlineStr">
        <is>
          <t>Contains meat</t>
        </is>
      </c>
      <c r="I46" s="45" t="n">
        <v>20</v>
      </c>
      <c r="J46" s="45" t="n">
        <v>25</v>
      </c>
      <c r="K46" s="37">
        <f>I46+J46</f>
        <v/>
      </c>
      <c r="L46" s="37">
        <f>IF(J46=0,"No-cook",IF(K46&lt;=25,"Quick","Standard"))</f>
        <v/>
      </c>
      <c r="M46" s="45" t="n">
        <v>3</v>
      </c>
      <c r="N46" s="45" t="n">
        <v>520</v>
      </c>
      <c r="O46" s="45" t="n">
        <v>30</v>
      </c>
      <c r="P46" s="39" t="inlineStr">
        <is>
          <t>Pumpkin, Green beans, Fluted pumpkin leaf, Lemongrass</t>
        </is>
      </c>
      <c r="Q46" s="37">
        <f>COUNTIFS('Recipe Ingredients'!$A$2:$A$2000,A46,'Recipe Ingredients'!$G$2:$G$2000,"Basket")</f>
        <v/>
      </c>
      <c r="R46" s="37">
        <f>COUNTIFS('Recipe Ingredients'!$A$2:$A$2000,A46,'Recipe Ingredients'!$G$2:$G$2000,"Protein")+COUNTIFS('Recipe Ingredients'!$A$2:$A$2000,A46,'Recipe Ingredients'!$G$2:$G$2000,"Pantry")</f>
        <v/>
      </c>
      <c r="S46" s="46">
        <f>IFERROR(Q46/(Q46+R46),0)</f>
        <v/>
      </c>
      <c r="T46" s="37">
        <f>IF(S46&gt;='Start Here'!$C$6,"Yes","No")</f>
        <v/>
      </c>
      <c r="U46" s="39" t="inlineStr">
        <is>
          <t>Year-round</t>
        </is>
      </c>
      <c r="V46" s="39" t="inlineStr">
        <is>
          <t>1. Fry curry paste with bruised lemongrass, ginger and garlic for 1 minute.
2. Add chicken and brown lightly, then pour in coconut milk.
3. Add pumpkin and simmer 12 minutes until tender. Add green beans for the last 4.
4. Stir in ugu and scent leaf, season with fish sauce and lime. Serve with rice.</t>
        </is>
      </c>
      <c r="W46" s="39" t="n"/>
      <c r="X46" s="42" t="inlineStr">
        <is>
          <t>Draft</t>
        </is>
      </c>
    </row>
    <row r="47" ht="105" customHeight="1" s="26">
      <c r="A47" s="37" t="inlineStr">
        <is>
          <t>R060</t>
        </is>
      </c>
      <c r="B47" s="38" t="inlineStr">
        <is>
          <t>Pepper Steak Stir-Fry</t>
        </is>
      </c>
      <c r="C47" s="37" t="inlineStr">
        <is>
          <t>Main</t>
        </is>
      </c>
      <c r="D47" s="37" t="inlineStr">
        <is>
          <t>Dinner</t>
        </is>
      </c>
      <c r="E47" s="39" t="inlineStr">
        <is>
          <t>Chinese-American pepper steak</t>
        </is>
      </c>
      <c r="F47" s="39" t="inlineStr">
        <is>
          <t>Tatashe and green pepper with local onions.</t>
        </is>
      </c>
      <c r="G47" s="39" t="inlineStr">
        <is>
          <t>Training</t>
        </is>
      </c>
      <c r="H47" s="37" t="inlineStr">
        <is>
          <t>Contains meat</t>
        </is>
      </c>
      <c r="I47" s="45" t="n">
        <v>15</v>
      </c>
      <c r="J47" s="45" t="n">
        <v>12</v>
      </c>
      <c r="K47" s="37">
        <f>I47+J47</f>
        <v/>
      </c>
      <c r="L47" s="37">
        <f>IF(J47=0,"No-cook",IF(K47&lt;=25,"Quick","Standard"))</f>
        <v/>
      </c>
      <c r="M47" s="45" t="n">
        <v>2</v>
      </c>
      <c r="N47" s="45" t="n">
        <v>500</v>
      </c>
      <c r="O47" s="45" t="n">
        <v>36</v>
      </c>
      <c r="P47" s="39" t="inlineStr">
        <is>
          <t>Red bell pepper, Green / yellow bell pepper, Onion, Garlic</t>
        </is>
      </c>
      <c r="Q47" s="37">
        <f>COUNTIFS('Recipe Ingredients'!$A$2:$A$2000,A47,'Recipe Ingredients'!$G$2:$G$2000,"Basket")</f>
        <v/>
      </c>
      <c r="R47" s="37">
        <f>COUNTIFS('Recipe Ingredients'!$A$2:$A$2000,A47,'Recipe Ingredients'!$G$2:$G$2000,"Protein")+COUNTIFS('Recipe Ingredients'!$A$2:$A$2000,A47,'Recipe Ingredients'!$G$2:$G$2000,"Pantry")</f>
        <v/>
      </c>
      <c r="S47" s="46">
        <f>IFERROR(Q47/(Q47+R47),0)</f>
        <v/>
      </c>
      <c r="T47" s="37">
        <f>IF(S47&gt;='Start Here'!$C$6,"Yes","No")</f>
        <v/>
      </c>
      <c r="U47" s="39" t="inlineStr">
        <is>
          <t>Year-round</t>
        </is>
      </c>
      <c r="V47" s="39" t="inlineStr">
        <is>
          <t>1. Slice beef very thin across the grain. Toss with 1 tbsp soy and cornflour.
2. Sear beef in batches in a very hot pan. Remove.
3. Stir-fry onion, peppers, garlic and ginger for 3 minutes.
4. Return beef with remaining soy and a splash of water. Finish with spring onion. Serve with rice.</t>
        </is>
      </c>
      <c r="W47" s="39" t="n"/>
      <c r="X47" s="42" t="inlineStr">
        <is>
          <t>Draft</t>
        </is>
      </c>
    </row>
    <row r="48" ht="105" customHeight="1" s="26">
      <c r="A48" s="37" t="inlineStr">
        <is>
          <t>R061</t>
        </is>
      </c>
      <c r="B48" s="38" t="inlineStr">
        <is>
          <t>Prawn Cauliflower Fried 'Rice'</t>
        </is>
      </c>
      <c r="C48" s="37" t="inlineStr">
        <is>
          <t>Main</t>
        </is>
      </c>
      <c r="D48" s="37" t="inlineStr">
        <is>
          <t>Dinner</t>
        </is>
      </c>
      <c r="E48" s="39" t="inlineStr">
        <is>
          <t>Cauliflower rice (low-carb trend) and Chinese fried rice</t>
        </is>
      </c>
      <c r="F48" s="39" t="inlineStr">
        <is>
          <t>Party fried rice vegetables, with cauliflower standing in for rice.</t>
        </is>
      </c>
      <c r="G48" s="39" t="inlineStr">
        <is>
          <t>Weight management, Training</t>
        </is>
      </c>
      <c r="H48" s="37" t="inlineStr">
        <is>
          <t>Pescatarian</t>
        </is>
      </c>
      <c r="I48" s="45" t="n">
        <v>15</v>
      </c>
      <c r="J48" s="45" t="n">
        <v>12</v>
      </c>
      <c r="K48" s="37">
        <f>I48+J48</f>
        <v/>
      </c>
      <c r="L48" s="37">
        <f>IF(J48=0,"No-cook",IF(K48&lt;=25,"Quick","Standard"))</f>
        <v/>
      </c>
      <c r="M48" s="45" t="n">
        <v>2</v>
      </c>
      <c r="N48" s="45" t="n">
        <v>360</v>
      </c>
      <c r="O48" s="45" t="n">
        <v>30</v>
      </c>
      <c r="P48" s="39" t="inlineStr">
        <is>
          <t>Cauliflower, Carrot, Green beans, Spring onion</t>
        </is>
      </c>
      <c r="Q48" s="37">
        <f>COUNTIFS('Recipe Ingredients'!$A$2:$A$2000,A48,'Recipe Ingredients'!$G$2:$G$2000,"Basket")</f>
        <v/>
      </c>
      <c r="R48" s="37">
        <f>COUNTIFS('Recipe Ingredients'!$A$2:$A$2000,A48,'Recipe Ingredients'!$G$2:$G$2000,"Protein")+COUNTIFS('Recipe Ingredients'!$A$2:$A$2000,A48,'Recipe Ingredients'!$G$2:$G$2000,"Pantry")</f>
        <v/>
      </c>
      <c r="S48" s="46">
        <f>IFERROR(Q48/(Q48+R48),0)</f>
        <v/>
      </c>
      <c r="T48" s="37">
        <f>IF(S48&gt;='Start Here'!$C$6,"Yes","No")</f>
        <v/>
      </c>
      <c r="U48" s="39" t="inlineStr">
        <is>
          <t>Year-round</t>
        </is>
      </c>
      <c r="V48" s="39" t="inlineStr">
        <is>
          <t>1. Pulse cauliflower in a blender until rice-sized.
2. Stir-fry prawns with garlic and ginger, 2 minutes. Remove.
3. Stir-fry diced carrots and green beans 3 minutes, push aside, scramble the eggs.
4. Add cauliflower and soy, fry 4 minutes. Return prawns, finish with spring onion.</t>
        </is>
      </c>
      <c r="W48" s="39" t="n"/>
      <c r="X48" s="42" t="inlineStr">
        <is>
          <t>Draft</t>
        </is>
      </c>
    </row>
    <row r="49" ht="105" customHeight="1" s="26">
      <c r="A49" s="37" t="inlineStr">
        <is>
          <t>R062</t>
        </is>
      </c>
      <c r="B49" s="38" t="inlineStr">
        <is>
          <t>Grilled Fish with Mango Salsa &amp; Roast Plantain</t>
        </is>
      </c>
      <c r="C49" s="37" t="inlineStr">
        <is>
          <t>Main</t>
        </is>
      </c>
      <c r="D49" s="37" t="inlineStr">
        <is>
          <t>Dinner</t>
        </is>
      </c>
      <c r="E49" s="39" t="inlineStr">
        <is>
          <t>Caribbean grilled fish with mango salsa</t>
        </is>
      </c>
      <c r="F49" s="39" t="inlineStr">
        <is>
          <t>Croaker or tilapia, and plantain roasted rather than fried.</t>
        </is>
      </c>
      <c r="G49" s="39" t="inlineStr">
        <is>
          <t>Training</t>
        </is>
      </c>
      <c r="H49" s="37" t="inlineStr">
        <is>
          <t>Pescatarian</t>
        </is>
      </c>
      <c r="I49" s="45" t="n">
        <v>15</v>
      </c>
      <c r="J49" s="45" t="n">
        <v>25</v>
      </c>
      <c r="K49" s="37">
        <f>I49+J49</f>
        <v/>
      </c>
      <c r="L49" s="37">
        <f>IF(J49=0,"No-cook",IF(K49&lt;=25,"Quick","Standard"))</f>
        <v/>
      </c>
      <c r="M49" s="45" t="n">
        <v>2</v>
      </c>
      <c r="N49" s="45" t="n">
        <v>520</v>
      </c>
      <c r="O49" s="45" t="n">
        <v>36</v>
      </c>
      <c r="P49" s="39" t="inlineStr">
        <is>
          <t>Plantain, Mango, Onion, Scotch bonnet</t>
        </is>
      </c>
      <c r="Q49" s="37">
        <f>COUNTIFS('Recipe Ingredients'!$A$2:$A$2000,A49,'Recipe Ingredients'!$G$2:$G$2000,"Basket")</f>
        <v/>
      </c>
      <c r="R49" s="37">
        <f>COUNTIFS('Recipe Ingredients'!$A$2:$A$2000,A49,'Recipe Ingredients'!$G$2:$G$2000,"Protein")+COUNTIFS('Recipe Ingredients'!$A$2:$A$2000,A49,'Recipe Ingredients'!$G$2:$G$2000,"Pantry")</f>
        <v/>
      </c>
      <c r="S49" s="46">
        <f>IFERROR(Q49/(Q49+R49),0)</f>
        <v/>
      </c>
      <c r="T49" s="37">
        <f>IF(S49&gt;='Start Here'!$C$6,"Yes","No")</f>
        <v/>
      </c>
      <c r="U49" s="39" t="inlineStr">
        <is>
          <t>Mango (Feb-May, Aug-Sep)</t>
        </is>
      </c>
      <c r="V49" s="39" t="inlineStr">
        <is>
          <t>1. Rub fish with grated garlic, ginger, paprika, lime and salt. Rest 10 minutes.
2. Roast plantain slices at 200C for 20 minutes, flipping once.
3. Grill or oven-bake the fish for 15 to 20 minutes.
4. Mix diced mango, onion, ata rodo, coriander and lime. Spoon over the fish.</t>
        </is>
      </c>
      <c r="W49" s="39" t="inlineStr">
        <is>
          <t>Mango Feb to May. Pineapple works the rest of the year.</t>
        </is>
      </c>
      <c r="X49" s="42" t="inlineStr">
        <is>
          <t>Draft</t>
        </is>
      </c>
    </row>
    <row r="50" ht="105" customHeight="1" s="26">
      <c r="A50" s="37" t="inlineStr">
        <is>
          <t>R063</t>
        </is>
      </c>
      <c r="B50" s="38" t="inlineStr">
        <is>
          <t>Chickpea &amp; Efo Curry</t>
        </is>
      </c>
      <c r="C50" s="37" t="inlineStr">
        <is>
          <t>Main</t>
        </is>
      </c>
      <c r="D50" s="37" t="inlineStr">
        <is>
          <t>Dinner</t>
        </is>
      </c>
      <c r="E50" s="39" t="inlineStr">
        <is>
          <t>Chana saag (India)</t>
        </is>
      </c>
      <c r="F50" s="39" t="inlineStr">
        <is>
          <t>Efo tete for spinach, fresh coconut milk for cream.</t>
        </is>
      </c>
      <c r="G50" s="39" t="inlineStr">
        <is>
          <t>Plant-based, Training</t>
        </is>
      </c>
      <c r="H50" s="37" t="inlineStr">
        <is>
          <t>Vegan</t>
        </is>
      </c>
      <c r="I50" s="45" t="n">
        <v>15</v>
      </c>
      <c r="J50" s="45" t="n">
        <v>25</v>
      </c>
      <c r="K50" s="37">
        <f>I50+J50</f>
        <v/>
      </c>
      <c r="L50" s="37">
        <f>IF(J50=0,"No-cook",IF(K50&lt;=25,"Quick","Standard"))</f>
        <v/>
      </c>
      <c r="M50" s="45" t="n">
        <v>3</v>
      </c>
      <c r="N50" s="45" t="n">
        <v>430</v>
      </c>
      <c r="O50" s="45" t="n">
        <v>16</v>
      </c>
      <c r="P50" s="39" t="inlineStr">
        <is>
          <t>Amaranth greens, Tomato, Onion, Garlic</t>
        </is>
      </c>
      <c r="Q50" s="37">
        <f>COUNTIFS('Recipe Ingredients'!$A$2:$A$2000,A50,'Recipe Ingredients'!$G$2:$G$2000,"Basket")</f>
        <v/>
      </c>
      <c r="R50" s="37">
        <f>COUNTIFS('Recipe Ingredients'!$A$2:$A$2000,A50,'Recipe Ingredients'!$G$2:$G$2000,"Protein")+COUNTIFS('Recipe Ingredients'!$A$2:$A$2000,A50,'Recipe Ingredients'!$G$2:$G$2000,"Pantry")</f>
        <v/>
      </c>
      <c r="S50" s="46">
        <f>IFERROR(Q50/(Q50+R50),0)</f>
        <v/>
      </c>
      <c r="T50" s="37">
        <f>IF(S50&gt;='Start Here'!$C$6,"Yes","No")</f>
        <v/>
      </c>
      <c r="U50" s="39" t="inlineStr">
        <is>
          <t>Year-round</t>
        </is>
      </c>
      <c r="V50" s="39" t="inlineStr">
        <is>
          <t>1. Soften onion, then add garlic, ginger, ata rodo, curry powder and cumin for 1 minute.
2. Add chopped tomatoes and cook down 8 minutes.
3. Stir in chickpeas and coconut milk. Simmer 10 minutes.
4. Fold in efo until wilted. Serve with rice or flatbread.</t>
        </is>
      </c>
      <c r="W50" s="39" t="n"/>
      <c r="X50" s="42" t="inlineStr">
        <is>
          <t>Draft</t>
        </is>
      </c>
    </row>
    <row r="51" ht="105" customHeight="1" s="26">
      <c r="A51" s="37" t="inlineStr">
        <is>
          <t>R064</t>
        </is>
      </c>
      <c r="B51" s="38" t="inlineStr">
        <is>
          <t>Caribbean Curry Chicken &amp; Sweet Potato</t>
        </is>
      </c>
      <c r="C51" s="37" t="inlineStr">
        <is>
          <t>Main</t>
        </is>
      </c>
      <c r="D51" s="37" t="inlineStr">
        <is>
          <t>Dinner</t>
        </is>
      </c>
      <c r="E51" s="39" t="inlineStr">
        <is>
          <t>Jamaican curry chicken</t>
        </is>
      </c>
      <c r="F51" s="39" t="inlineStr">
        <is>
          <t>Scotch bonnet is already ours. Sweet potato replaces potato.</t>
        </is>
      </c>
      <c r="G51" s="39" t="inlineStr">
        <is>
          <t>Training</t>
        </is>
      </c>
      <c r="H51" s="37" t="inlineStr">
        <is>
          <t>Contains meat</t>
        </is>
      </c>
      <c r="I51" s="45" t="n">
        <v>15</v>
      </c>
      <c r="J51" s="45" t="n">
        <v>40</v>
      </c>
      <c r="K51" s="37">
        <f>I51+J51</f>
        <v/>
      </c>
      <c r="L51" s="37">
        <f>IF(J51=0,"No-cook",IF(K51&lt;=25,"Quick","Standard"))</f>
        <v/>
      </c>
      <c r="M51" s="45" t="n">
        <v>4</v>
      </c>
      <c r="N51" s="45" t="n">
        <v>520</v>
      </c>
      <c r="O51" s="45" t="n">
        <v>35</v>
      </c>
      <c r="P51" s="39" t="inlineStr">
        <is>
          <t>Sweet potato, Onion, Garlic, Ginger</t>
        </is>
      </c>
      <c r="Q51" s="37">
        <f>COUNTIFS('Recipe Ingredients'!$A$2:$A$2000,A51,'Recipe Ingredients'!$G$2:$G$2000,"Basket")</f>
        <v/>
      </c>
      <c r="R51" s="37">
        <f>COUNTIFS('Recipe Ingredients'!$A$2:$A$2000,A51,'Recipe Ingredients'!$G$2:$G$2000,"Protein")+COUNTIFS('Recipe Ingredients'!$A$2:$A$2000,A51,'Recipe Ingredients'!$G$2:$G$2000,"Pantry")</f>
        <v/>
      </c>
      <c r="S51" s="46">
        <f>IFERROR(Q51/(Q51+R51),0)</f>
        <v/>
      </c>
      <c r="T51" s="37">
        <f>IF(S51&gt;='Start Here'!$C$6,"Yes","No")</f>
        <v/>
      </c>
      <c r="U51" s="39" t="inlineStr">
        <is>
          <t>Year-round</t>
        </is>
      </c>
      <c r="V51" s="39" t="inlineStr">
        <is>
          <t>1. Season chicken with curry powder, thyme, garlic, ginger and salt.
2. Brown chicken in oil, add onion, tomatoes and the whole ata rodo.
3. Add water to half-cover, simmer 20 minutes.
4. Add cubed sweet potato and simmer 15 more until tender. Finish with spring onion. Serve with rice.</t>
        </is>
      </c>
      <c r="W51" s="39" t="inlineStr">
        <is>
          <t>Leave the ata rodo whole for flavour without too much heat.</t>
        </is>
      </c>
      <c r="X51" s="42" t="inlineStr">
        <is>
          <t>Draft</t>
        </is>
      </c>
    </row>
    <row r="52" ht="105" customHeight="1" s="26">
      <c r="A52" s="37" t="inlineStr">
        <is>
          <t>R065</t>
        </is>
      </c>
      <c r="B52" s="38" t="inlineStr">
        <is>
          <t>Fresh Tomato &amp; Basil Garden Pasta</t>
        </is>
      </c>
      <c r="C52" s="37" t="inlineStr">
        <is>
          <t>Main</t>
        </is>
      </c>
      <c r="D52" s="37" t="inlineStr">
        <is>
          <t>Dinner</t>
        </is>
      </c>
      <c r="E52" s="39" t="inlineStr">
        <is>
          <t>Pasta al pomodoro (Italy)</t>
        </is>
      </c>
      <c r="F52" s="39" t="inlineStr">
        <is>
          <t>Plum tomatoes plus tatashe for a sweeter sauce. Scent leaf works if basil is scarce.</t>
        </is>
      </c>
      <c r="G52" s="39" t="inlineStr">
        <is>
          <t>Training</t>
        </is>
      </c>
      <c r="H52" s="37" t="inlineStr">
        <is>
          <t>Vegetarian</t>
        </is>
      </c>
      <c r="I52" s="45" t="n">
        <v>10</v>
      </c>
      <c r="J52" s="45" t="n">
        <v>20</v>
      </c>
      <c r="K52" s="37">
        <f>I52+J52</f>
        <v/>
      </c>
      <c r="L52" s="37">
        <f>IF(J52=0,"No-cook",IF(K52&lt;=25,"Quick","Standard"))</f>
        <v/>
      </c>
      <c r="M52" s="45" t="n">
        <v>2</v>
      </c>
      <c r="N52" s="45" t="n">
        <v>520</v>
      </c>
      <c r="O52" s="45" t="n">
        <v>18</v>
      </c>
      <c r="P52" s="39" t="inlineStr">
        <is>
          <t>Tomato, Red bell pepper, Onion, Garlic</t>
        </is>
      </c>
      <c r="Q52" s="37">
        <f>COUNTIFS('Recipe Ingredients'!$A$2:$A$2000,A52,'Recipe Ingredients'!$G$2:$G$2000,"Basket")</f>
        <v/>
      </c>
      <c r="R52" s="37">
        <f>COUNTIFS('Recipe Ingredients'!$A$2:$A$2000,A52,'Recipe Ingredients'!$G$2:$G$2000,"Protein")+COUNTIFS('Recipe Ingredients'!$A$2:$A$2000,A52,'Recipe Ingredients'!$G$2:$G$2000,"Pantry")</f>
        <v/>
      </c>
      <c r="S52" s="46">
        <f>IFERROR(Q52/(Q52+R52),0)</f>
        <v/>
      </c>
      <c r="T52" s="37">
        <f>IF(S52&gt;='Start Here'!$C$6,"Yes","No")</f>
        <v/>
      </c>
      <c r="U52" s="39" t="inlineStr">
        <is>
          <t>Year-round</t>
        </is>
      </c>
      <c r="V52" s="39" t="inlineStr">
        <is>
          <t>1. Cook pasta.
2. Soften onion and garlic in olive oil, add chopped tomatoes and tatashe. Simmer 12 minutes.
3. Add mushrooms and spinach, cook 2 minutes.
4. Toss with pasta, torn basil and parmesan.</t>
        </is>
      </c>
      <c r="W52" s="39" t="n"/>
      <c r="X52" s="42" t="inlineStr">
        <is>
          <t>Draft</t>
        </is>
      </c>
    </row>
    <row r="53" ht="105" customHeight="1" s="26">
      <c r="A53" s="37" t="inlineStr">
        <is>
          <t>R066</t>
        </is>
      </c>
      <c r="B53" s="38" t="inlineStr">
        <is>
          <t>Stuffed Tatashe with Beef &amp; Corn</t>
        </is>
      </c>
      <c r="C53" s="37" t="inlineStr">
        <is>
          <t>Main</t>
        </is>
      </c>
      <c r="D53" s="37" t="inlineStr">
        <is>
          <t>Dinner</t>
        </is>
      </c>
      <c r="E53" s="39" t="inlineStr">
        <is>
          <t>Stuffed peppers (US / Mediterranean)</t>
        </is>
      </c>
      <c r="F53" s="39" t="inlineStr">
        <is>
          <t>The filling is a jollof-spiced rice and beef mix.</t>
        </is>
      </c>
      <c r="G53" s="39" t="inlineStr">
        <is>
          <t>Training</t>
        </is>
      </c>
      <c r="H53" s="37" t="inlineStr">
        <is>
          <t>Contains meat</t>
        </is>
      </c>
      <c r="I53" s="45" t="n">
        <v>20</v>
      </c>
      <c r="J53" s="45" t="n">
        <v>35</v>
      </c>
      <c r="K53" s="37">
        <f>I53+J53</f>
        <v/>
      </c>
      <c r="L53" s="37">
        <f>IF(J53=0,"No-cook",IF(K53&lt;=25,"Quick","Standard"))</f>
        <v/>
      </c>
      <c r="M53" s="45" t="n">
        <v>2</v>
      </c>
      <c r="N53" s="45" t="n">
        <v>540</v>
      </c>
      <c r="O53" s="45" t="n">
        <v>30</v>
      </c>
      <c r="P53" s="39" t="inlineStr">
        <is>
          <t>Red bell pepper, Sweet corn, Tomato, Onion</t>
        </is>
      </c>
      <c r="Q53" s="37">
        <f>COUNTIFS('Recipe Ingredients'!$A$2:$A$2000,A53,'Recipe Ingredients'!$G$2:$G$2000,"Basket")</f>
        <v/>
      </c>
      <c r="R53" s="37">
        <f>COUNTIFS('Recipe Ingredients'!$A$2:$A$2000,A53,'Recipe Ingredients'!$G$2:$G$2000,"Protein")+COUNTIFS('Recipe Ingredients'!$A$2:$A$2000,A53,'Recipe Ingredients'!$G$2:$G$2000,"Pantry")</f>
        <v/>
      </c>
      <c r="S53" s="46">
        <f>IFERROR(Q53/(Q53+R53),0)</f>
        <v/>
      </c>
      <c r="T53" s="37">
        <f>IF(S53&gt;='Start Here'!$C$6,"Yes","No")</f>
        <v/>
      </c>
      <c r="U53" s="39" t="inlineStr">
        <is>
          <t>Sweet corn (Apr-Aug)</t>
        </is>
      </c>
      <c r="V53" s="39" t="inlineStr">
        <is>
          <t>1. Halve tatashe and remove seeds.
2. Brown beef with onion, garlic, ata rodo, curry and thyme. Add chopped tomatoes and corn, cook 5 minutes.
3. Stir in the cooked rice.
4. Fill the peppers, top with cheese and bake at 190C for 25 minutes.</t>
        </is>
      </c>
      <c r="W53" s="39" t="n"/>
      <c r="X53" s="42" t="inlineStr">
        <is>
          <t>Draft</t>
        </is>
      </c>
    </row>
    <row r="54" ht="105" customHeight="1" s="26">
      <c r="A54" s="37" t="inlineStr">
        <is>
          <t>R067</t>
        </is>
      </c>
      <c r="B54" s="38" t="inlineStr">
        <is>
          <t>Light Vegetable Egg Fried Rice</t>
        </is>
      </c>
      <c r="C54" s="37" t="inlineStr">
        <is>
          <t>Main</t>
        </is>
      </c>
      <c r="D54" s="37" t="inlineStr">
        <is>
          <t>Lunch / Dinner</t>
        </is>
      </c>
      <c r="E54" s="39" t="inlineStr">
        <is>
          <t>Yangzhou fried rice (China)</t>
        </is>
      </c>
      <c r="F54" s="39" t="inlineStr">
        <is>
          <t>Party fried rice vegetables, with a fraction of the oil.</t>
        </is>
      </c>
      <c r="G54" s="39" t="inlineStr">
        <is>
          <t>Training</t>
        </is>
      </c>
      <c r="H54" s="37" t="inlineStr">
        <is>
          <t>Vegetarian</t>
        </is>
      </c>
      <c r="I54" s="45" t="n">
        <v>15</v>
      </c>
      <c r="J54" s="45" t="n">
        <v>15</v>
      </c>
      <c r="K54" s="37">
        <f>I54+J54</f>
        <v/>
      </c>
      <c r="L54" s="37">
        <f>IF(J54=0,"No-cook",IF(K54&lt;=25,"Quick","Standard"))</f>
        <v/>
      </c>
      <c r="M54" s="45" t="n">
        <v>3</v>
      </c>
      <c r="N54" s="45" t="n">
        <v>450</v>
      </c>
      <c r="O54" s="45" t="n">
        <v>14</v>
      </c>
      <c r="P54" s="39" t="inlineStr">
        <is>
          <t>Carrot, Green beans, Sweet corn, Spring onion</t>
        </is>
      </c>
      <c r="Q54" s="37">
        <f>COUNTIFS('Recipe Ingredients'!$A$2:$A$2000,A54,'Recipe Ingredients'!$G$2:$G$2000,"Basket")</f>
        <v/>
      </c>
      <c r="R54" s="37">
        <f>COUNTIFS('Recipe Ingredients'!$A$2:$A$2000,A54,'Recipe Ingredients'!$G$2:$G$2000,"Protein")+COUNTIFS('Recipe Ingredients'!$A$2:$A$2000,A54,'Recipe Ingredients'!$G$2:$G$2000,"Pantry")</f>
        <v/>
      </c>
      <c r="S54" s="46">
        <f>IFERROR(Q54/(Q54+R54),0)</f>
        <v/>
      </c>
      <c r="T54" s="37">
        <f>IF(S54&gt;='Start Here'!$C$6,"Yes","No")</f>
        <v/>
      </c>
      <c r="U54" s="39" t="inlineStr">
        <is>
          <t>Sweet corn (Apr-Aug)</t>
        </is>
      </c>
      <c r="V54" s="39" t="inlineStr">
        <is>
          <t>1. Dice carrots and green beans. Slice corn off the cob.
2. Scramble the eggs in a hot pan, then remove.
3. Stir-fry garlic, ginger and vegetables 4 minutes.
4. Add rice, soy and curry powder. Fry until hot, fold in eggs and spring onion.</t>
        </is>
      </c>
      <c r="W54" s="39" t="inlineStr">
        <is>
          <t>Day-old rice fries best.</t>
        </is>
      </c>
      <c r="X54" s="42" t="inlineStr">
        <is>
          <t>Draft</t>
        </is>
      </c>
    </row>
    <row r="55" ht="105" customHeight="1" s="26">
      <c r="A55" s="37" t="inlineStr">
        <is>
          <t>R068</t>
        </is>
      </c>
      <c r="B55" s="38" t="inlineStr">
        <is>
          <t>Kerala-Style Okra &amp; Prawn Coconut Curry</t>
        </is>
      </c>
      <c r="C55" s="37" t="inlineStr">
        <is>
          <t>Main</t>
        </is>
      </c>
      <c r="D55" s="37" t="inlineStr">
        <is>
          <t>Dinner</t>
        </is>
      </c>
      <c r="E55" s="39" t="inlineStr">
        <is>
          <t>Kerala prawn curry / bhindi masala (India)</t>
        </is>
      </c>
      <c r="F55" s="39" t="inlineStr">
        <is>
          <t>Nigerian okra cooked whole so it stays crisp, not slimy.</t>
        </is>
      </c>
      <c r="G55" s="39" t="inlineStr">
        <is>
          <t>Training, Wellness</t>
        </is>
      </c>
      <c r="H55" s="37" t="inlineStr">
        <is>
          <t>Pescatarian</t>
        </is>
      </c>
      <c r="I55" s="45" t="n">
        <v>15</v>
      </c>
      <c r="J55" s="45" t="n">
        <v>20</v>
      </c>
      <c r="K55" s="37">
        <f>I55+J55</f>
        <v/>
      </c>
      <c r="L55" s="37">
        <f>IF(J55=0,"No-cook",IF(K55&lt;=25,"Quick","Standard"))</f>
        <v/>
      </c>
      <c r="M55" s="45" t="n">
        <v>3</v>
      </c>
      <c r="N55" s="45" t="n">
        <v>430</v>
      </c>
      <c r="O55" s="45" t="n">
        <v>26</v>
      </c>
      <c r="P55" s="39" t="inlineStr">
        <is>
          <t>Okra, Onion, Tomato, Garlic</t>
        </is>
      </c>
      <c r="Q55" s="37">
        <f>COUNTIFS('Recipe Ingredients'!$A$2:$A$2000,A55,'Recipe Ingredients'!$G$2:$G$2000,"Basket")</f>
        <v/>
      </c>
      <c r="R55" s="37">
        <f>COUNTIFS('Recipe Ingredients'!$A$2:$A$2000,A55,'Recipe Ingredients'!$G$2:$G$2000,"Protein")+COUNTIFS('Recipe Ingredients'!$A$2:$A$2000,A55,'Recipe Ingredients'!$G$2:$G$2000,"Pantry")</f>
        <v/>
      </c>
      <c r="S55" s="46">
        <f>IFERROR(Q55/(Q55+R55),0)</f>
        <v/>
      </c>
      <c r="T55" s="37">
        <f>IF(S55&gt;='Start Here'!$C$6,"Yes","No")</f>
        <v/>
      </c>
      <c r="U55" s="39" t="inlineStr">
        <is>
          <t>Turmeric (Sep-Jun)</t>
        </is>
      </c>
      <c r="V55" s="39" t="inlineStr">
        <is>
          <t>1. Trim okra and leave whole. Pan-fry in oil for 4 minutes, then set aside.
2. Soften onion, add garlic, ginger, grated turmeric, ata rodo and curry powder.
3. Add chopped tomatoes and cook 5 minutes, then the coconut milk.
4. Add prawns and okra, simmer 4 minutes. Finish with lime. Serve with rice.</t>
        </is>
      </c>
      <c r="W55" s="39" t="n"/>
      <c r="X55" s="42" t="inlineStr">
        <is>
          <t>Draft</t>
        </is>
      </c>
    </row>
    <row r="56" ht="105" customHeight="1" s="26">
      <c r="A56" s="37" t="inlineStr">
        <is>
          <t>R069</t>
        </is>
      </c>
      <c r="B56" s="38" t="inlineStr">
        <is>
          <t>Garden Egg Ratatouille</t>
        </is>
      </c>
      <c r="C56" s="37" t="inlineStr">
        <is>
          <t>Main</t>
        </is>
      </c>
      <c r="D56" s="37" t="inlineStr">
        <is>
          <t>Dinner / Side</t>
        </is>
      </c>
      <c r="E56" s="39" t="inlineStr">
        <is>
          <t>Ratatouille (Provence, France)</t>
        </is>
      </c>
      <c r="F56" s="39" t="inlineStr">
        <is>
          <t>Garden egg replaces aubergine. Zucchini optional.</t>
        </is>
      </c>
      <c r="G56" s="39" t="inlineStr">
        <is>
          <t>Plant-based, Weight management</t>
        </is>
      </c>
      <c r="H56" s="37" t="inlineStr">
        <is>
          <t>Vegan</t>
        </is>
      </c>
      <c r="I56" s="45" t="n">
        <v>20</v>
      </c>
      <c r="J56" s="45" t="n">
        <v>40</v>
      </c>
      <c r="K56" s="37">
        <f>I56+J56</f>
        <v/>
      </c>
      <c r="L56" s="37">
        <f>IF(J56=0,"No-cook",IF(K56&lt;=25,"Quick","Standard"))</f>
        <v/>
      </c>
      <c r="M56" s="45" t="n">
        <v>4</v>
      </c>
      <c r="N56" s="45" t="n">
        <v>180</v>
      </c>
      <c r="O56" s="45" t="n">
        <v>4</v>
      </c>
      <c r="P56" s="39" t="inlineStr">
        <is>
          <t>Garden egg, Zucchini, Red bell pepper, Green / yellow bell pepper</t>
        </is>
      </c>
      <c r="Q56" s="37">
        <f>COUNTIFS('Recipe Ingredients'!$A$2:$A$2000,A56,'Recipe Ingredients'!$G$2:$G$2000,"Basket")</f>
        <v/>
      </c>
      <c r="R56" s="37">
        <f>COUNTIFS('Recipe Ingredients'!$A$2:$A$2000,A56,'Recipe Ingredients'!$G$2:$G$2000,"Protein")+COUNTIFS('Recipe Ingredients'!$A$2:$A$2000,A56,'Recipe Ingredients'!$G$2:$G$2000,"Pantry")</f>
        <v/>
      </c>
      <c r="S56" s="46">
        <f>IFERROR(Q56/(Q56+R56),0)</f>
        <v/>
      </c>
      <c r="T56" s="37">
        <f>IF(S56&gt;='Start Here'!$C$6,"Yes","No")</f>
        <v/>
      </c>
      <c r="U56" s="39" t="inlineStr">
        <is>
          <t>Garden egg (Jan-Oct)</t>
        </is>
      </c>
      <c r="V56" s="39" t="inlineStr">
        <is>
          <t>1. Cut all vegetables into similar bite-sized chunks.
2. Soften onion and garlic in olive oil, add peppers for 5 minutes.
3. Add garden eggs and zucchini for 5 minutes, then tomatoes and thyme.
4. Simmer gently 25 minutes. Finish with torn scent leaf.</t>
        </is>
      </c>
      <c r="W56" s="39" t="inlineStr">
        <is>
          <t>Serve with rice, bread or grilled fish. Better the next day.</t>
        </is>
      </c>
      <c r="X56" s="42" t="inlineStr">
        <is>
          <t>Draft</t>
        </is>
      </c>
    </row>
    <row r="57" ht="105" customHeight="1" s="26">
      <c r="A57" s="37" t="inlineStr">
        <is>
          <t>R070</t>
        </is>
      </c>
      <c r="B57" s="38" t="inlineStr">
        <is>
          <t>Grilled Chicken with Scent Leaf Chimichurri</t>
        </is>
      </c>
      <c r="C57" s="37" t="inlineStr">
        <is>
          <t>Main</t>
        </is>
      </c>
      <c r="D57" s="37" t="inlineStr">
        <is>
          <t>Dinner</t>
        </is>
      </c>
      <c r="E57" s="39" t="inlineStr">
        <is>
          <t>Chimichurri (Argentina)</t>
        </is>
      </c>
      <c r="F57" s="39" t="inlineStr">
        <is>
          <t>Scent leaf (efirin) and parsley base, ata rodo for heat.</t>
        </is>
      </c>
      <c r="G57" s="39" t="inlineStr">
        <is>
          <t>Training</t>
        </is>
      </c>
      <c r="H57" s="37" t="inlineStr">
        <is>
          <t>Contains meat</t>
        </is>
      </c>
      <c r="I57" s="45" t="n">
        <v>15</v>
      </c>
      <c r="J57" s="45" t="n">
        <v>20</v>
      </c>
      <c r="K57" s="37">
        <f>I57+J57</f>
        <v/>
      </c>
      <c r="L57" s="37">
        <f>IF(J57=0,"No-cook",IF(K57&lt;=25,"Quick","Standard"))</f>
        <v/>
      </c>
      <c r="M57" s="45" t="n">
        <v>2</v>
      </c>
      <c r="N57" s="45" t="n">
        <v>560</v>
      </c>
      <c r="O57" s="45" t="n">
        <v>42</v>
      </c>
      <c r="P57" s="39" t="inlineStr">
        <is>
          <t>Scent leaf, Parsley, Garlic, Scotch bonnet</t>
        </is>
      </c>
      <c r="Q57" s="37">
        <f>COUNTIFS('Recipe Ingredients'!$A$2:$A$2000,A57,'Recipe Ingredients'!$G$2:$G$2000,"Basket")</f>
        <v/>
      </c>
      <c r="R57" s="37">
        <f>COUNTIFS('Recipe Ingredients'!$A$2:$A$2000,A57,'Recipe Ingredients'!$G$2:$G$2000,"Protein")+COUNTIFS('Recipe Ingredients'!$A$2:$A$2000,A57,'Recipe Ingredients'!$G$2:$G$2000,"Pantry")</f>
        <v/>
      </c>
      <c r="S57" s="46">
        <f>IFERROR(Q57/(Q57+R57),0)</f>
        <v/>
      </c>
      <c r="T57" s="37">
        <f>IF(S57&gt;='Start Here'!$C$6,"Yes","No")</f>
        <v/>
      </c>
      <c r="U57" s="39" t="inlineStr">
        <is>
          <t>Year-round</t>
        </is>
      </c>
      <c r="V57" s="39" t="inlineStr">
        <is>
          <t>1. Roast sweet potato wedges at 200C for 25 minutes.
2. Season and grill the chicken.
3. Finely chop scent leaf, parsley, garlic and ata rodo. Mix with vinegar, lime, olive oil and salt.
4. Slice chicken and spoon chimichurri over it. Serve with the wedges.</t>
        </is>
      </c>
      <c r="W57" s="39" t="inlineStr">
        <is>
          <t>Chimichurri keeps a week in the fridge. Great on fish and eggs too.</t>
        </is>
      </c>
      <c r="X57" s="42" t="inlineStr">
        <is>
          <t>Draft</t>
        </is>
      </c>
    </row>
    <row r="58" ht="105" customHeight="1" s="26">
      <c r="A58" s="37" t="inlineStr">
        <is>
          <t>R071</t>
        </is>
      </c>
      <c r="B58" s="38" t="inlineStr">
        <is>
          <t>Foil-Baked Fish with Lemon, Tomato &amp; Greens</t>
        </is>
      </c>
      <c r="C58" s="37" t="inlineStr">
        <is>
          <t>Main</t>
        </is>
      </c>
      <c r="D58" s="37" t="inlineStr">
        <is>
          <t>Dinner</t>
        </is>
      </c>
      <c r="E58" s="39" t="inlineStr">
        <is>
          <t>Fish en papillote (France)</t>
        </is>
      </c>
      <c r="F58" s="39" t="inlineStr">
        <is>
          <t>Local fish, ginger and efo, with potatoes on the side.</t>
        </is>
      </c>
      <c r="G58" s="39" t="inlineStr">
        <is>
          <t>Weight management, Training</t>
        </is>
      </c>
      <c r="H58" s="37" t="inlineStr">
        <is>
          <t>Pescatarian</t>
        </is>
      </c>
      <c r="I58" s="45" t="n">
        <v>10</v>
      </c>
      <c r="J58" s="45" t="n">
        <v>20</v>
      </c>
      <c r="K58" s="37">
        <f>I58+J58</f>
        <v/>
      </c>
      <c r="L58" s="37">
        <f>IF(J58=0,"No-cook",IF(K58&lt;=25,"Quick","Standard"))</f>
        <v/>
      </c>
      <c r="M58" s="45" t="n">
        <v>2</v>
      </c>
      <c r="N58" s="45" t="n">
        <v>340</v>
      </c>
      <c r="O58" s="45" t="n">
        <v>36</v>
      </c>
      <c r="P58" s="39" t="inlineStr">
        <is>
          <t>Tomato, Lemon, Amaranth greens, Onion</t>
        </is>
      </c>
      <c r="Q58" s="37">
        <f>COUNTIFS('Recipe Ingredients'!$A$2:$A$2000,A58,'Recipe Ingredients'!$G$2:$G$2000,"Basket")</f>
        <v/>
      </c>
      <c r="R58" s="37">
        <f>COUNTIFS('Recipe Ingredients'!$A$2:$A$2000,A58,'Recipe Ingredients'!$G$2:$G$2000,"Protein")+COUNTIFS('Recipe Ingredients'!$A$2:$A$2000,A58,'Recipe Ingredients'!$G$2:$G$2000,"Pantry")</f>
        <v/>
      </c>
      <c r="S58" s="46">
        <f>IFERROR(Q58/(Q58+R58),0)</f>
        <v/>
      </c>
      <c r="T58" s="37">
        <f>IF(S58&gt;='Start Here'!$C$6,"Yes","No")</f>
        <v/>
      </c>
      <c r="U58" s="39" t="inlineStr">
        <is>
          <t>Year-round</t>
        </is>
      </c>
      <c r="V58" s="39" t="inlineStr">
        <is>
          <t>1. Boil potatoes until tender.
2. Lay efo on foil, top with fish, sliced tomatoes, onion, garlic, ginger and lemon slices.
3. Drizzle with olive oil, season, scatter herbs and seal the parcels.
4. Bake at 200C for 15 to 18 minutes. Serve with potatoes.</t>
        </is>
      </c>
      <c r="W58" s="39" t="n"/>
      <c r="X58" s="42" t="inlineStr">
        <is>
          <t>Draft</t>
        </is>
      </c>
    </row>
    <row r="59" ht="105" customHeight="1" s="26">
      <c r="A59" s="37" t="inlineStr">
        <is>
          <t>R072</t>
        </is>
      </c>
      <c r="B59" s="38" t="inlineStr">
        <is>
          <t>Ugu &amp; Groundnut Pesto Pasta</t>
        </is>
      </c>
      <c r="C59" s="37" t="inlineStr">
        <is>
          <t>Main</t>
        </is>
      </c>
      <c r="D59" s="37" t="inlineStr">
        <is>
          <t>Lunch / Dinner</t>
        </is>
      </c>
      <c r="E59" s="39" t="inlineStr">
        <is>
          <t>Pesto alla genovese (Italy)</t>
        </is>
      </c>
      <c r="F59" s="39" t="inlineStr">
        <is>
          <t>Ugu and groundnuts replace basil and pine nuts, which cost a fortune here.</t>
        </is>
      </c>
      <c r="G59" s="39" t="inlineStr">
        <is>
          <t>Training, Plant-based</t>
        </is>
      </c>
      <c r="H59" s="37" t="inlineStr">
        <is>
          <t>Vegetarian</t>
        </is>
      </c>
      <c r="I59" s="45" t="n">
        <v>15</v>
      </c>
      <c r="J59" s="45" t="n">
        <v>12</v>
      </c>
      <c r="K59" s="37">
        <f>I59+J59</f>
        <v/>
      </c>
      <c r="L59" s="37">
        <f>IF(J59=0,"No-cook",IF(K59&lt;=25,"Quick","Standard"))</f>
        <v/>
      </c>
      <c r="M59" s="45" t="n">
        <v>2</v>
      </c>
      <c r="N59" s="45" t="n">
        <v>580</v>
      </c>
      <c r="O59" s="45" t="n">
        <v>20</v>
      </c>
      <c r="P59" s="39" t="inlineStr">
        <is>
          <t>Fluted pumpkin leaf, Scent leaf, Groundnut, Garlic</t>
        </is>
      </c>
      <c r="Q59" s="37">
        <f>COUNTIFS('Recipe Ingredients'!$A$2:$A$2000,A59,'Recipe Ingredients'!$G$2:$G$2000,"Basket")</f>
        <v/>
      </c>
      <c r="R59" s="37">
        <f>COUNTIFS('Recipe Ingredients'!$A$2:$A$2000,A59,'Recipe Ingredients'!$G$2:$G$2000,"Protein")+COUNTIFS('Recipe Ingredients'!$A$2:$A$2000,A59,'Recipe Ingredients'!$G$2:$G$2000,"Pantry")</f>
        <v/>
      </c>
      <c r="S59" s="46">
        <f>IFERROR(Q59/(Q59+R59),0)</f>
        <v/>
      </c>
      <c r="T59" s="37">
        <f>IF(S59&gt;='Start Here'!$C$6,"Yes","No")</f>
        <v/>
      </c>
      <c r="U59" s="39" t="inlineStr">
        <is>
          <t>Year-round</t>
        </is>
      </c>
      <c r="V59" s="39" t="inlineStr">
        <is>
          <t>1. Cook pasta.
2. Blanch ugu for 30 seconds, then cool in cold water and squeeze dry.
3. Blend ugu, scent leaf, groundnuts, garlic, lemon, parmesan and olive oil.
4. Toss pasta with pesto and a splash of pasta water. Top with halved tomatoes.</t>
        </is>
      </c>
      <c r="W59" s="39" t="inlineStr">
        <is>
          <t>Skip the parmesan and add extra groundnuts to make it vegan.</t>
        </is>
      </c>
      <c r="X59" s="42" t="inlineStr">
        <is>
          <t>Draft</t>
        </is>
      </c>
    </row>
    <row r="60" ht="105" customHeight="1" s="26">
      <c r="A60" s="37" t="inlineStr">
        <is>
          <t>R073</t>
        </is>
      </c>
      <c r="B60" s="38" t="inlineStr">
        <is>
          <t>Roasted Pumpkin &amp; Ginger Soup</t>
        </is>
      </c>
      <c r="C60" s="37" t="inlineStr">
        <is>
          <t>Soup</t>
        </is>
      </c>
      <c r="D60" s="37" t="inlineStr">
        <is>
          <t>Lunch / Dinner</t>
        </is>
      </c>
      <c r="E60" s="39" t="inlineStr">
        <is>
          <t>Butternut squash soup</t>
        </is>
      </c>
      <c r="F60" s="39" t="inlineStr">
        <is>
          <t>Elegede pumpkin, lots of ginger and fresh coconut milk.</t>
        </is>
      </c>
      <c r="G60" s="39" t="inlineStr">
        <is>
          <t>Wellness, Plant-based</t>
        </is>
      </c>
      <c r="H60" s="37" t="inlineStr">
        <is>
          <t>Vegan</t>
        </is>
      </c>
      <c r="I60" s="45" t="n">
        <v>15</v>
      </c>
      <c r="J60" s="45" t="n">
        <v>35</v>
      </c>
      <c r="K60" s="37">
        <f>I60+J60</f>
        <v/>
      </c>
      <c r="L60" s="37">
        <f>IF(J60=0,"No-cook",IF(K60&lt;=25,"Quick","Standard"))</f>
        <v/>
      </c>
      <c r="M60" s="45" t="n">
        <v>4</v>
      </c>
      <c r="N60" s="45" t="n">
        <v>210</v>
      </c>
      <c r="O60" s="45" t="n">
        <v>4</v>
      </c>
      <c r="P60" s="39" t="inlineStr">
        <is>
          <t>Pumpkin, Carrot, Onion, Garlic</t>
        </is>
      </c>
      <c r="Q60" s="37">
        <f>COUNTIFS('Recipe Ingredients'!$A$2:$A$2000,A60,'Recipe Ingredients'!$G$2:$G$2000,"Basket")</f>
        <v/>
      </c>
      <c r="R60" s="37">
        <f>COUNTIFS('Recipe Ingredients'!$A$2:$A$2000,A60,'Recipe Ingredients'!$G$2:$G$2000,"Protein")+COUNTIFS('Recipe Ingredients'!$A$2:$A$2000,A60,'Recipe Ingredients'!$G$2:$G$2000,"Pantry")</f>
        <v/>
      </c>
      <c r="S60" s="46">
        <f>IFERROR(Q60/(Q60+R60),0)</f>
        <v/>
      </c>
      <c r="T60" s="37">
        <f>IF(S60&gt;='Start Here'!$C$6,"Yes","No")</f>
        <v/>
      </c>
      <c r="U60" s="39" t="inlineStr">
        <is>
          <t>Year-round</t>
        </is>
      </c>
      <c r="V60" s="39" t="inlineStr">
        <is>
          <t>1. Roast pumpkin, carrots, onion and garlic with oil at 200C for 25 minutes.
2. Transfer to a pot with ginger, ata rodo and stock. Simmer 10 minutes.
3. Blend until smooth.
4. Stir in coconut milk and season.</t>
        </is>
      </c>
      <c r="W60" s="39" t="n"/>
      <c r="X60" s="42" t="inlineStr">
        <is>
          <t>Draft</t>
        </is>
      </c>
    </row>
    <row r="61" ht="105" customHeight="1" s="26">
      <c r="A61" s="37" t="inlineStr">
        <is>
          <t>R074</t>
        </is>
      </c>
      <c r="B61" s="38" t="inlineStr">
        <is>
          <t>Roasted Tomato &amp; Tatashe Soup</t>
        </is>
      </c>
      <c r="C61" s="37" t="inlineStr">
        <is>
          <t>Soup</t>
        </is>
      </c>
      <c r="D61" s="37" t="inlineStr">
        <is>
          <t>Lunch / Dinner</t>
        </is>
      </c>
      <c r="E61" s="39" t="inlineStr">
        <is>
          <t>Roasted red pepper and tomato soup</t>
        </is>
      </c>
      <c r="F61" s="39" t="inlineStr">
        <is>
          <t>Basically a smooth, lighter obe ata you eat with a spoon.</t>
        </is>
      </c>
      <c r="G61" s="39" t="inlineStr">
        <is>
          <t>Weight management, Wellness</t>
        </is>
      </c>
      <c r="H61" s="37" t="inlineStr">
        <is>
          <t>Vegetarian</t>
        </is>
      </c>
      <c r="I61" s="45" t="n">
        <v>10</v>
      </c>
      <c r="J61" s="45" t="n">
        <v>35</v>
      </c>
      <c r="K61" s="37">
        <f>I61+J61</f>
        <v/>
      </c>
      <c r="L61" s="37">
        <f>IF(J61=0,"No-cook",IF(K61&lt;=25,"Quick","Standard"))</f>
        <v/>
      </c>
      <c r="M61" s="45" t="n">
        <v>4</v>
      </c>
      <c r="N61" s="45" t="n">
        <v>160</v>
      </c>
      <c r="O61" s="45" t="n">
        <v>4</v>
      </c>
      <c r="P61" s="39" t="inlineStr">
        <is>
          <t>Tomato, Red bell pepper, Onion, Garlic</t>
        </is>
      </c>
      <c r="Q61" s="37">
        <f>COUNTIFS('Recipe Ingredients'!$A$2:$A$2000,A61,'Recipe Ingredients'!$G$2:$G$2000,"Basket")</f>
        <v/>
      </c>
      <c r="R61" s="37">
        <f>COUNTIFS('Recipe Ingredients'!$A$2:$A$2000,A61,'Recipe Ingredients'!$G$2:$G$2000,"Protein")+COUNTIFS('Recipe Ingredients'!$A$2:$A$2000,A61,'Recipe Ingredients'!$G$2:$G$2000,"Pantry")</f>
        <v/>
      </c>
      <c r="S61" s="46">
        <f>IFERROR(Q61/(Q61+R61),0)</f>
        <v/>
      </c>
      <c r="T61" s="37">
        <f>IF(S61&gt;='Start Here'!$C$6,"Yes","No")</f>
        <v/>
      </c>
      <c r="U61" s="39" t="inlineStr">
        <is>
          <t>Year-round</t>
        </is>
      </c>
      <c r="V61" s="39" t="inlineStr">
        <is>
          <t>1. Halve tomatoes and tatashe, roast with onion, garlic and ata rodo at 200C for 25 minutes.
2. Blend with stock until smooth.
3. Simmer 5 minutes and season.
4. Serve with torn basil and crusty bread.</t>
        </is>
      </c>
      <c r="W61" s="39" t="n"/>
      <c r="X61" s="42" t="inlineStr">
        <is>
          <t>Draft</t>
        </is>
      </c>
    </row>
    <row r="62" ht="105" customHeight="1" s="26">
      <c r="A62" s="37" t="inlineStr">
        <is>
          <t>R075</t>
        </is>
      </c>
      <c r="B62" s="38" t="inlineStr">
        <is>
          <t>Coconut Lemongrass Chicken Soup</t>
        </is>
      </c>
      <c r="C62" s="37" t="inlineStr">
        <is>
          <t>Soup</t>
        </is>
      </c>
      <c r="D62" s="37" t="inlineStr">
        <is>
          <t>Dinner</t>
        </is>
      </c>
      <c r="E62" s="39" t="inlineStr">
        <is>
          <t>Tom kha gai (Thailand)</t>
        </is>
      </c>
      <c r="F62" s="39" t="inlineStr">
        <is>
          <t>Fresh coconut milk, local lemongrass, and ginger in place of galangal.</t>
        </is>
      </c>
      <c r="G62" s="39" t="inlineStr">
        <is>
          <t>Wellness, Training</t>
        </is>
      </c>
      <c r="H62" s="37" t="inlineStr">
        <is>
          <t>Contains meat</t>
        </is>
      </c>
      <c r="I62" s="45" t="n">
        <v>15</v>
      </c>
      <c r="J62" s="45" t="n">
        <v>20</v>
      </c>
      <c r="K62" s="37">
        <f>I62+J62</f>
        <v/>
      </c>
      <c r="L62" s="37">
        <f>IF(J62=0,"No-cook",IF(K62&lt;=25,"Quick","Standard"))</f>
        <v/>
      </c>
      <c r="M62" s="45" t="n">
        <v>3</v>
      </c>
      <c r="N62" s="45" t="n">
        <v>380</v>
      </c>
      <c r="O62" s="45" t="n">
        <v>26</v>
      </c>
      <c r="P62" s="39" t="inlineStr">
        <is>
          <t>Coconut, Lemongrass, Ginger, Mushrooms</t>
        </is>
      </c>
      <c r="Q62" s="37">
        <f>COUNTIFS('Recipe Ingredients'!$A$2:$A$2000,A62,'Recipe Ingredients'!$G$2:$G$2000,"Basket")</f>
        <v/>
      </c>
      <c r="R62" s="37">
        <f>COUNTIFS('Recipe Ingredients'!$A$2:$A$2000,A62,'Recipe Ingredients'!$G$2:$G$2000,"Protein")+COUNTIFS('Recipe Ingredients'!$A$2:$A$2000,A62,'Recipe Ingredients'!$G$2:$G$2000,"Pantry")</f>
        <v/>
      </c>
      <c r="S62" s="46">
        <f>IFERROR(Q62/(Q62+R62),0)</f>
        <v/>
      </c>
      <c r="T62" s="37">
        <f>IF(S62&gt;='Start Here'!$C$6,"Yes","No")</f>
        <v/>
      </c>
      <c r="U62" s="39" t="inlineStr">
        <is>
          <t>Year-round</t>
        </is>
      </c>
      <c r="V62" s="39" t="inlineStr">
        <is>
          <t>1. Make fresh coconut milk from the coconut.
2. Simmer stock with bruised lemongrass, sliced ginger and ata rodo for 5 minutes.
3. Add sliced chicken and mushrooms, cook 8 minutes.
4. Stir in coconut milk, fish sauce and lime juice. Top with coriander and spring onion.</t>
        </is>
      </c>
      <c r="W62" s="39" t="n"/>
      <c r="X62" s="42" t="inlineStr">
        <is>
          <t>Draft</t>
        </is>
      </c>
    </row>
    <row r="63" ht="105" customHeight="1" s="26">
      <c r="A63" s="37" t="inlineStr">
        <is>
          <t>R076</t>
        </is>
      </c>
      <c r="B63" s="38" t="inlineStr">
        <is>
          <t>Garden Minestrone</t>
        </is>
      </c>
      <c r="C63" s="37" t="inlineStr">
        <is>
          <t>Soup</t>
        </is>
      </c>
      <c r="D63" s="37" t="inlineStr">
        <is>
          <t>Lunch / Dinner</t>
        </is>
      </c>
      <c r="E63" s="39" t="inlineStr">
        <is>
          <t>Minestrone (Italy)</t>
        </is>
      </c>
      <c r="F63" s="39" t="inlineStr">
        <is>
          <t>Cabbage, green beans and black-eyed beans make it local.</t>
        </is>
      </c>
      <c r="G63" s="39" t="inlineStr">
        <is>
          <t>Plant-based, Training</t>
        </is>
      </c>
      <c r="H63" s="37" t="inlineStr">
        <is>
          <t>Vegan</t>
        </is>
      </c>
      <c r="I63" s="45" t="n">
        <v>20</v>
      </c>
      <c r="J63" s="45" t="n">
        <v>35</v>
      </c>
      <c r="K63" s="37">
        <f>I63+J63</f>
        <v/>
      </c>
      <c r="L63" s="37">
        <f>IF(J63=0,"No-cook",IF(K63&lt;=25,"Quick","Standard"))</f>
        <v/>
      </c>
      <c r="M63" s="45" t="n">
        <v>4</v>
      </c>
      <c r="N63" s="45" t="n">
        <v>280</v>
      </c>
      <c r="O63" s="45" t="n">
        <v>12</v>
      </c>
      <c r="P63" s="39" t="inlineStr">
        <is>
          <t>Carrot, Onion, Garlic, Cabbage</t>
        </is>
      </c>
      <c r="Q63" s="37">
        <f>COUNTIFS('Recipe Ingredients'!$A$2:$A$2000,A63,'Recipe Ingredients'!$G$2:$G$2000,"Basket")</f>
        <v/>
      </c>
      <c r="R63" s="37">
        <f>COUNTIFS('Recipe Ingredients'!$A$2:$A$2000,A63,'Recipe Ingredients'!$G$2:$G$2000,"Protein")+COUNTIFS('Recipe Ingredients'!$A$2:$A$2000,A63,'Recipe Ingredients'!$G$2:$G$2000,"Pantry")</f>
        <v/>
      </c>
      <c r="S63" s="46">
        <f>IFERROR(Q63/(Q63+R63),0)</f>
        <v/>
      </c>
      <c r="T63" s="37">
        <f>IF(S63&gt;='Start Here'!$C$6,"Yes","No")</f>
        <v/>
      </c>
      <c r="U63" s="39" t="inlineStr">
        <is>
          <t>Year-round</t>
        </is>
      </c>
      <c r="V63" s="39" t="inlineStr">
        <is>
          <t>1. Soften diced onion, carrots and garlic in olive oil.
2. Add chopped tomatoes, diced potato and stock. Simmer 15 minutes.
3. Add shredded cabbage, green beans, beans and pasta. Simmer 10 more.
4. Season and finish with herbs.</t>
        </is>
      </c>
      <c r="W63" s="39" t="n"/>
      <c r="X63" s="42" t="inlineStr">
        <is>
          <t>Draft</t>
        </is>
      </c>
    </row>
    <row r="64" ht="105" customHeight="1" s="26">
      <c r="A64" s="37" t="inlineStr">
        <is>
          <t>R077</t>
        </is>
      </c>
      <c r="B64" s="38" t="inlineStr">
        <is>
          <t>Baked Plantain Chips with Lime &amp; Yaji</t>
        </is>
      </c>
      <c r="C64" s="37" t="inlineStr">
        <is>
          <t>Snack</t>
        </is>
      </c>
      <c r="D64" s="37" t="inlineStr">
        <is>
          <t>Snack</t>
        </is>
      </c>
      <c r="E64" s="39" t="inlineStr">
        <is>
          <t>Tostones / plantain chips (Caribbean, Latin America)</t>
        </is>
      </c>
      <c r="F64" s="39" t="inlineStr">
        <is>
          <t>Baked, not deep-fried.</t>
        </is>
      </c>
      <c r="G64" s="39" t="inlineStr">
        <is>
          <t>Training, Plant-based</t>
        </is>
      </c>
      <c r="H64" s="37" t="inlineStr">
        <is>
          <t>Vegan</t>
        </is>
      </c>
      <c r="I64" s="45" t="n">
        <v>10</v>
      </c>
      <c r="J64" s="45" t="n">
        <v>25</v>
      </c>
      <c r="K64" s="37">
        <f>I64+J64</f>
        <v/>
      </c>
      <c r="L64" s="37">
        <f>IF(J64=0,"No-cook",IF(K64&lt;=25,"Quick","Standard"))</f>
        <v/>
      </c>
      <c r="M64" s="45" t="n">
        <v>3</v>
      </c>
      <c r="N64" s="45" t="n">
        <v>220</v>
      </c>
      <c r="O64" s="45" t="n">
        <v>2</v>
      </c>
      <c r="P64" s="39" t="inlineStr">
        <is>
          <t>Plantain, Lime</t>
        </is>
      </c>
      <c r="Q64" s="37">
        <f>COUNTIFS('Recipe Ingredients'!$A$2:$A$2000,A64,'Recipe Ingredients'!$G$2:$G$2000,"Basket")</f>
        <v/>
      </c>
      <c r="R64" s="37">
        <f>COUNTIFS('Recipe Ingredients'!$A$2:$A$2000,A64,'Recipe Ingredients'!$G$2:$G$2000,"Protein")+COUNTIFS('Recipe Ingredients'!$A$2:$A$2000,A64,'Recipe Ingredients'!$G$2:$G$2000,"Pantry")</f>
        <v/>
      </c>
      <c r="S64" s="46">
        <f>IFERROR(Q64/(Q64+R64),0)</f>
        <v/>
      </c>
      <c r="T64" s="37">
        <f>IF(S64&gt;='Start Here'!$C$6,"Yes","No")</f>
        <v/>
      </c>
      <c r="U64" s="39" t="inlineStr">
        <is>
          <t>Year-round</t>
        </is>
      </c>
      <c r="V64" s="39" t="inlineStr">
        <is>
          <t>1. Peel green plantains and slice very thin.
2. Toss with oil and salt, spread on a tray in one layer.
3. Bake at 180C for 20 to 25 minutes, turning once.
4. Finish with lime zest and yaji.</t>
        </is>
      </c>
      <c r="W64" s="39" t="n"/>
      <c r="X64" s="42" t="inlineStr">
        <is>
          <t>Draft</t>
        </is>
      </c>
    </row>
    <row r="65" ht="105" customHeight="1" s="26">
      <c r="A65" s="37" t="inlineStr">
        <is>
          <t>R078</t>
        </is>
      </c>
      <c r="B65" s="38" t="inlineStr">
        <is>
          <t>Guacamole with Garden Egg Crudites</t>
        </is>
      </c>
      <c r="C65" s="37" t="inlineStr">
        <is>
          <t>Snack</t>
        </is>
      </c>
      <c r="D65" s="37" t="inlineStr">
        <is>
          <t>Snack / Starter</t>
        </is>
      </c>
      <c r="E65" s="39" t="inlineStr">
        <is>
          <t>Guacamole (Mexico)</t>
        </is>
      </c>
      <c r="F65" s="39" t="inlineStr">
        <is>
          <t>Garden egg, cucumber and carrot sticks to dip instead of tortilla chips.</t>
        </is>
      </c>
      <c r="G65" s="39" t="inlineStr">
        <is>
          <t>Wellness, Weight management</t>
        </is>
      </c>
      <c r="H65" s="37" t="inlineStr">
        <is>
          <t>Vegan</t>
        </is>
      </c>
      <c r="I65" s="45" t="n">
        <v>15</v>
      </c>
      <c r="J65" s="45" t="n">
        <v>0</v>
      </c>
      <c r="K65" s="37">
        <f>I65+J65</f>
        <v/>
      </c>
      <c r="L65" s="37">
        <f>IF(J65=0,"No-cook",IF(K65&lt;=25,"Quick","Standard"))</f>
        <v/>
      </c>
      <c r="M65" s="45" t="n">
        <v>3</v>
      </c>
      <c r="N65" s="45" t="n">
        <v>210</v>
      </c>
      <c r="O65" s="45" t="n">
        <v>4</v>
      </c>
      <c r="P65" s="39" t="inlineStr">
        <is>
          <t>Avocado, Tomato, Onion, Scotch bonnet</t>
        </is>
      </c>
      <c r="Q65" s="37">
        <f>COUNTIFS('Recipe Ingredients'!$A$2:$A$2000,A65,'Recipe Ingredients'!$G$2:$G$2000,"Basket")</f>
        <v/>
      </c>
      <c r="R65" s="37">
        <f>COUNTIFS('Recipe Ingredients'!$A$2:$A$2000,A65,'Recipe Ingredients'!$G$2:$G$2000,"Protein")+COUNTIFS('Recipe Ingredients'!$A$2:$A$2000,A65,'Recipe Ingredients'!$G$2:$G$2000,"Pantry")</f>
        <v/>
      </c>
      <c r="S65" s="46">
        <f>IFERROR(Q65/(Q65+R65),0)</f>
        <v/>
      </c>
      <c r="T65" s="37">
        <f>IF(S65&gt;='Start Here'!$C$6,"Yes","No")</f>
        <v/>
      </c>
      <c r="U65" s="39" t="inlineStr">
        <is>
          <t>Garden egg (Jan-Oct)</t>
        </is>
      </c>
      <c r="V65" s="39" t="inlineStr">
        <is>
          <t>1. Mash avocados with lime juice and salt.
2. Fold in diced tomato, onion, ata rodo and coriander.
3. Cut garden eggs, cucumber and carrots into sticks.
4. Serve together.</t>
        </is>
      </c>
      <c r="W65" s="39" t="n"/>
      <c r="X65" s="42" t="inlineStr">
        <is>
          <t>Draft</t>
        </is>
      </c>
    </row>
    <row r="66" ht="105" customHeight="1" s="26">
      <c r="A66" s="37" t="inlineStr">
        <is>
          <t>R079</t>
        </is>
      </c>
      <c r="B66" s="38" t="inlineStr">
        <is>
          <t>Garden Egg Baba Ganoush</t>
        </is>
      </c>
      <c r="C66" s="37" t="inlineStr">
        <is>
          <t>Snack</t>
        </is>
      </c>
      <c r="D66" s="37" t="inlineStr">
        <is>
          <t>Snack / Side</t>
        </is>
      </c>
      <c r="E66" s="39" t="inlineStr">
        <is>
          <t>Baba ganoush (Levant)</t>
        </is>
      </c>
      <c r="F66" s="39" t="inlineStr">
        <is>
          <t>Charred garden eggs, with groundnut paste in place of tahini.</t>
        </is>
      </c>
      <c r="G66" s="39" t="inlineStr">
        <is>
          <t>Plant-based, Weight management</t>
        </is>
      </c>
      <c r="H66" s="37" t="inlineStr">
        <is>
          <t>Vegan</t>
        </is>
      </c>
      <c r="I66" s="45" t="n">
        <v>10</v>
      </c>
      <c r="J66" s="45" t="n">
        <v>20</v>
      </c>
      <c r="K66" s="37">
        <f>I66+J66</f>
        <v/>
      </c>
      <c r="L66" s="37">
        <f>IF(J66=0,"No-cook",IF(K66&lt;=25,"Quick","Standard"))</f>
        <v/>
      </c>
      <c r="M66" s="45" t="n">
        <v>4</v>
      </c>
      <c r="N66" s="45" t="n">
        <v>140</v>
      </c>
      <c r="O66" s="45" t="n">
        <v>4</v>
      </c>
      <c r="P66" s="39" t="inlineStr">
        <is>
          <t>Garden egg, Garlic, Lemon, Parsley</t>
        </is>
      </c>
      <c r="Q66" s="37">
        <f>COUNTIFS('Recipe Ingredients'!$A$2:$A$2000,A66,'Recipe Ingredients'!$G$2:$G$2000,"Basket")</f>
        <v/>
      </c>
      <c r="R66" s="37">
        <f>COUNTIFS('Recipe Ingredients'!$A$2:$A$2000,A66,'Recipe Ingredients'!$G$2:$G$2000,"Protein")+COUNTIFS('Recipe Ingredients'!$A$2:$A$2000,A66,'Recipe Ingredients'!$G$2:$G$2000,"Pantry")</f>
        <v/>
      </c>
      <c r="S66" s="46">
        <f>IFERROR(Q66/(Q66+R66),0)</f>
        <v/>
      </c>
      <c r="T66" s="37">
        <f>IF(S66&gt;='Start Here'!$C$6,"Yes","No")</f>
        <v/>
      </c>
      <c r="U66" s="39" t="inlineStr">
        <is>
          <t>Garden egg (Jan-Oct)</t>
        </is>
      </c>
      <c r="V66" s="39" t="inlineStr">
        <is>
          <t>1. Char garden eggs over a flame or under the grill until soft and blackened.
2. Peel and roughly chop.
3. Mash with garlic, lemon, groundnut paste, cumin, olive oil and salt.
4. Top with parsley. Serve with carrot sticks or bread.</t>
        </is>
      </c>
      <c r="W66" s="39" t="n"/>
      <c r="X66" s="42" t="inlineStr">
        <is>
          <t>Draft</t>
        </is>
      </c>
    </row>
    <row r="67" ht="105" customHeight="1" s="26">
      <c r="A67" s="37" t="inlineStr">
        <is>
          <t>R080</t>
        </is>
      </c>
      <c r="B67" s="38" t="inlineStr">
        <is>
          <t>Sweet Potato Wedges with Yaji Yoghurt</t>
        </is>
      </c>
      <c r="C67" s="37" t="inlineStr">
        <is>
          <t>Side</t>
        </is>
      </c>
      <c r="D67" s="37" t="inlineStr">
        <is>
          <t>Side / Snack</t>
        </is>
      </c>
      <c r="E67" s="39" t="inlineStr">
        <is>
          <t>Sweet potato fries</t>
        </is>
      </c>
      <c r="F67" s="39" t="inlineStr">
        <is>
          <t>Yaji-spiced yoghurt dip instead of ketchup.</t>
        </is>
      </c>
      <c r="G67" s="39" t="inlineStr">
        <is>
          <t>Training</t>
        </is>
      </c>
      <c r="H67" s="37" t="inlineStr">
        <is>
          <t>Vegetarian</t>
        </is>
      </c>
      <c r="I67" s="45" t="n">
        <v>10</v>
      </c>
      <c r="J67" s="45" t="n">
        <v>30</v>
      </c>
      <c r="K67" s="37">
        <f>I67+J67</f>
        <v/>
      </c>
      <c r="L67" s="37">
        <f>IF(J67=0,"No-cook",IF(K67&lt;=25,"Quick","Standard"))</f>
        <v/>
      </c>
      <c r="M67" s="45" t="n">
        <v>3</v>
      </c>
      <c r="N67" s="45" t="n">
        <v>260</v>
      </c>
      <c r="O67" s="45" t="n">
        <v>6</v>
      </c>
      <c r="P67" s="39" t="inlineStr">
        <is>
          <t>Sweet potato, Lime, Garlic</t>
        </is>
      </c>
      <c r="Q67" s="37">
        <f>COUNTIFS('Recipe Ingredients'!$A$2:$A$2000,A67,'Recipe Ingredients'!$G$2:$G$2000,"Basket")</f>
        <v/>
      </c>
      <c r="R67" s="37">
        <f>COUNTIFS('Recipe Ingredients'!$A$2:$A$2000,A67,'Recipe Ingredients'!$G$2:$G$2000,"Protein")+COUNTIFS('Recipe Ingredients'!$A$2:$A$2000,A67,'Recipe Ingredients'!$G$2:$G$2000,"Pantry")</f>
        <v/>
      </c>
      <c r="S67" s="46">
        <f>IFERROR(Q67/(Q67+R67),0)</f>
        <v/>
      </c>
      <c r="T67" s="37">
        <f>IF(S67&gt;='Start Here'!$C$6,"Yes","No")</f>
        <v/>
      </c>
      <c r="U67" s="39" t="inlineStr">
        <is>
          <t>Year-round</t>
        </is>
      </c>
      <c r="V67" s="39" t="inlineStr">
        <is>
          <t>1. Cut sweet potatoes into wedges, toss with oil, paprika and salt.
2. Roast at 200C for 25 to 30 minutes.
3. Mix yoghurt with yaji, grated garlic and lime.
4. Serve wedges with the dip.</t>
        </is>
      </c>
      <c r="W67" s="39" t="n"/>
      <c r="X67" s="42" t="inlineStr">
        <is>
          <t>Draft</t>
        </is>
      </c>
    </row>
    <row r="68" ht="105" customHeight="1" s="26">
      <c r="A68" s="37" t="inlineStr">
        <is>
          <t>R081</t>
        </is>
      </c>
      <c r="B68" s="38" t="inlineStr">
        <is>
          <t>Black-Eyed Bean Hummus with Veggie Sticks</t>
        </is>
      </c>
      <c r="C68" s="37" t="inlineStr">
        <is>
          <t>Snack</t>
        </is>
      </c>
      <c r="D68" s="37" t="inlineStr">
        <is>
          <t>Snack</t>
        </is>
      </c>
      <c r="E68" s="39" t="inlineStr">
        <is>
          <t>Hummus (Levant)</t>
        </is>
      </c>
      <c r="F68" s="39" t="inlineStr">
        <is>
          <t>Black-eyed beans and groundnut paste replace chickpeas and tahini.</t>
        </is>
      </c>
      <c r="G68" s="39" t="inlineStr">
        <is>
          <t>Plant-based, Training</t>
        </is>
      </c>
      <c r="H68" s="37" t="inlineStr">
        <is>
          <t>Vegan</t>
        </is>
      </c>
      <c r="I68" s="45" t="n">
        <v>15</v>
      </c>
      <c r="J68" s="45" t="n">
        <v>0</v>
      </c>
      <c r="K68" s="37">
        <f>I68+J68</f>
        <v/>
      </c>
      <c r="L68" s="37">
        <f>IF(J68=0,"No-cook",IF(K68&lt;=25,"Quick","Standard"))</f>
        <v/>
      </c>
      <c r="M68" s="45" t="n">
        <v>4</v>
      </c>
      <c r="N68" s="45" t="n">
        <v>230</v>
      </c>
      <c r="O68" s="45" t="n">
        <v>10</v>
      </c>
      <c r="P68" s="39" t="inlineStr">
        <is>
          <t>Garlic, Lemon, Carrot, Cucumber</t>
        </is>
      </c>
      <c r="Q68" s="37">
        <f>COUNTIFS('Recipe Ingredients'!$A$2:$A$2000,A68,'Recipe Ingredients'!$G$2:$G$2000,"Basket")</f>
        <v/>
      </c>
      <c r="R68" s="37">
        <f>COUNTIFS('Recipe Ingredients'!$A$2:$A$2000,A68,'Recipe Ingredients'!$G$2:$G$2000,"Protein")+COUNTIFS('Recipe Ingredients'!$A$2:$A$2000,A68,'Recipe Ingredients'!$G$2:$G$2000,"Pantry")</f>
        <v/>
      </c>
      <c r="S68" s="46">
        <f>IFERROR(Q68/(Q68+R68),0)</f>
        <v/>
      </c>
      <c r="T68" s="37">
        <f>IF(S68&gt;='Start Here'!$C$6,"Yes","No")</f>
        <v/>
      </c>
      <c r="U68" s="39" t="inlineStr">
        <is>
          <t>Garden egg (Jan-Oct)</t>
        </is>
      </c>
      <c r="V68" s="39" t="inlineStr">
        <is>
          <t>1. Blend beans, groundnut paste, garlic, lemon juice, cumin and olive oil with a splash of cold water until very smooth.
2. Season with salt.
3. Cut carrots, cucumber, tatashe and garden eggs into sticks.
4. Serve together.</t>
        </is>
      </c>
      <c r="W68" s="39" t="n"/>
      <c r="X68" s="42" t="inlineStr">
        <is>
          <t>Draft</t>
        </is>
      </c>
    </row>
    <row r="69" ht="105" customHeight="1" s="26">
      <c r="A69" s="37" t="inlineStr">
        <is>
          <t>R082</t>
        </is>
      </c>
      <c r="B69" s="38" t="inlineStr">
        <is>
          <t>Roasted Corn with Lime &amp; Yaji Butter</t>
        </is>
      </c>
      <c r="C69" s="37" t="inlineStr">
        <is>
          <t>Snack</t>
        </is>
      </c>
      <c r="D69" s="37" t="inlineStr">
        <is>
          <t>Snack / Side</t>
        </is>
      </c>
      <c r="E69" s="39" t="inlineStr">
        <is>
          <t>Elote (Mexico)</t>
        </is>
      </c>
      <c r="F69" s="39" t="inlineStr">
        <is>
          <t>Roadside roasted corn meets yaji and lime. Pair with ube in season.</t>
        </is>
      </c>
      <c r="G69" s="39" t="inlineStr">
        <is>
          <t>Training</t>
        </is>
      </c>
      <c r="H69" s="37" t="inlineStr">
        <is>
          <t>Vegetarian</t>
        </is>
      </c>
      <c r="I69" s="45" t="n">
        <v>5</v>
      </c>
      <c r="J69" s="45" t="n">
        <v>15</v>
      </c>
      <c r="K69" s="37">
        <f>I69+J69</f>
        <v/>
      </c>
      <c r="L69" s="37">
        <f>IF(J69=0,"No-cook",IF(K69&lt;=25,"Quick","Standard"))</f>
        <v/>
      </c>
      <c r="M69" s="45" t="n">
        <v>4</v>
      </c>
      <c r="N69" s="45" t="n">
        <v>200</v>
      </c>
      <c r="O69" s="45" t="n">
        <v>5</v>
      </c>
      <c r="P69" s="39" t="inlineStr">
        <is>
          <t>Sweet corn, Lime, Coriander</t>
        </is>
      </c>
      <c r="Q69" s="37">
        <f>COUNTIFS('Recipe Ingredients'!$A$2:$A$2000,A69,'Recipe Ingredients'!$G$2:$G$2000,"Basket")</f>
        <v/>
      </c>
      <c r="R69" s="37">
        <f>COUNTIFS('Recipe Ingredients'!$A$2:$A$2000,A69,'Recipe Ingredients'!$G$2:$G$2000,"Protein")+COUNTIFS('Recipe Ingredients'!$A$2:$A$2000,A69,'Recipe Ingredients'!$G$2:$G$2000,"Pantry")</f>
        <v/>
      </c>
      <c r="S69" s="46">
        <f>IFERROR(Q69/(Q69+R69),0)</f>
        <v/>
      </c>
      <c r="T69" s="37">
        <f>IF(S69&gt;='Start Here'!$C$6,"Yes","No")</f>
        <v/>
      </c>
      <c r="U69" s="39" t="inlineStr">
        <is>
          <t>Sweet corn (Apr-Aug)</t>
        </is>
      </c>
      <c r="V69" s="39" t="inlineStr">
        <is>
          <t>1. Roast corn over a flame or under the grill until charred all over.
2. Mix soft butter with yaji.
3. Brush corn with yaji butter.
4. Squeeze lime over and scatter coriander and cheese.</t>
        </is>
      </c>
      <c r="W69" s="39" t="inlineStr">
        <is>
          <t>Fresh corn Apr to Aug. Bundle with ube as a rainy season drop.</t>
        </is>
      </c>
      <c r="X69" s="42" t="inlineStr">
        <is>
          <t>Draft</t>
        </is>
      </c>
    </row>
    <row r="70" ht="105" customHeight="1" s="26">
      <c r="A70" s="37" t="inlineStr">
        <is>
          <t>R083</t>
        </is>
      </c>
      <c r="B70" s="38" t="inlineStr">
        <is>
          <t>Okra &amp; Corn Succotash</t>
        </is>
      </c>
      <c r="C70" s="37" t="inlineStr">
        <is>
          <t>Side</t>
        </is>
      </c>
      <c r="D70" s="37" t="inlineStr">
        <is>
          <t>Side</t>
        </is>
      </c>
      <c r="E70" s="39" t="inlineStr">
        <is>
          <t>Succotash (US South)</t>
        </is>
      </c>
      <c r="F70" s="39" t="inlineStr">
        <is>
          <t>Nigerian okra and fresh corn, with ata rodo.</t>
        </is>
      </c>
      <c r="G70" s="39" t="inlineStr">
        <is>
          <t>Wellness, Training</t>
        </is>
      </c>
      <c r="H70" s="37" t="inlineStr">
        <is>
          <t>Vegetarian</t>
        </is>
      </c>
      <c r="I70" s="45" t="n">
        <v>10</v>
      </c>
      <c r="J70" s="45" t="n">
        <v>15</v>
      </c>
      <c r="K70" s="37">
        <f>I70+J70</f>
        <v/>
      </c>
      <c r="L70" s="37">
        <f>IF(J70=0,"No-cook",IF(K70&lt;=25,"Quick","Standard"))</f>
        <v/>
      </c>
      <c r="M70" s="45" t="n">
        <v>4</v>
      </c>
      <c r="N70" s="45" t="n">
        <v>150</v>
      </c>
      <c r="O70" s="45" t="n">
        <v>4</v>
      </c>
      <c r="P70" s="39" t="inlineStr">
        <is>
          <t>Okra, Sweet corn, Tomato, Onion</t>
        </is>
      </c>
      <c r="Q70" s="37">
        <f>COUNTIFS('Recipe Ingredients'!$A$2:$A$2000,A70,'Recipe Ingredients'!$G$2:$G$2000,"Basket")</f>
        <v/>
      </c>
      <c r="R70" s="37">
        <f>COUNTIFS('Recipe Ingredients'!$A$2:$A$2000,A70,'Recipe Ingredients'!$G$2:$G$2000,"Protein")+COUNTIFS('Recipe Ingredients'!$A$2:$A$2000,A70,'Recipe Ingredients'!$G$2:$G$2000,"Pantry")</f>
        <v/>
      </c>
      <c r="S70" s="46">
        <f>IFERROR(Q70/(Q70+R70),0)</f>
        <v/>
      </c>
      <c r="T70" s="37">
        <f>IF(S70&gt;='Start Here'!$C$6,"Yes","No")</f>
        <v/>
      </c>
      <c r="U70" s="39" t="inlineStr">
        <is>
          <t>Sweet corn (Apr-Aug)</t>
        </is>
      </c>
      <c r="V70" s="39" t="inlineStr">
        <is>
          <t>1. Slice okra into rounds and cut kernels off the corn.
2. Soften onion, garlic and tatashe in oil and butter.
3. Add okra and corn, cook 6 minutes on high so the okra stays crisp.
4. Add diced tomatoes and ata rodo, cook 3 minutes. Season.</t>
        </is>
      </c>
      <c r="W70" s="39" t="n"/>
      <c r="X70" s="42" t="inlineStr">
        <is>
          <t>Draft</t>
        </is>
      </c>
    </row>
    <row r="71" ht="105" customHeight="1" s="26">
      <c r="A71" s="37" t="inlineStr">
        <is>
          <t>R084</t>
        </is>
      </c>
      <c r="B71" s="38" t="inlineStr">
        <is>
          <t>Banana Groundnut Nice Cream</t>
        </is>
      </c>
      <c r="C71" s="37" t="inlineStr">
        <is>
          <t>Dessert</t>
        </is>
      </c>
      <c r="D71" s="37" t="inlineStr">
        <is>
          <t>Dessert</t>
        </is>
      </c>
      <c r="E71" s="39" t="inlineStr">
        <is>
          <t>'Nice cream' (vegan frozen banana dessert)</t>
        </is>
      </c>
      <c r="F71" s="39" t="inlineStr">
        <is>
          <t>Roasted groundnuts and dates make it taste like a Nigerian childhood treat.</t>
        </is>
      </c>
      <c r="G71" s="39" t="inlineStr">
        <is>
          <t>Plant-based, Training</t>
        </is>
      </c>
      <c r="H71" s="37" t="inlineStr">
        <is>
          <t>Vegan</t>
        </is>
      </c>
      <c r="I71" s="45" t="n">
        <v>10</v>
      </c>
      <c r="J71" s="45" t="n">
        <v>0</v>
      </c>
      <c r="K71" s="37">
        <f>I71+J71</f>
        <v/>
      </c>
      <c r="L71" s="37">
        <f>IF(J71=0,"No-cook",IF(K71&lt;=25,"Quick","Standard"))</f>
        <v/>
      </c>
      <c r="M71" s="45" t="n">
        <v>2</v>
      </c>
      <c r="N71" s="45" t="n">
        <v>280</v>
      </c>
      <c r="O71" s="45" t="n">
        <v>7</v>
      </c>
      <c r="P71" s="39" t="inlineStr">
        <is>
          <t>Banana, Groundnut, Dates</t>
        </is>
      </c>
      <c r="Q71" s="37">
        <f>COUNTIFS('Recipe Ingredients'!$A$2:$A$2000,A71,'Recipe Ingredients'!$G$2:$G$2000,"Basket")</f>
        <v/>
      </c>
      <c r="R71" s="37">
        <f>COUNTIFS('Recipe Ingredients'!$A$2:$A$2000,A71,'Recipe Ingredients'!$G$2:$G$2000,"Protein")+COUNTIFS('Recipe Ingredients'!$A$2:$A$2000,A71,'Recipe Ingredients'!$G$2:$G$2000,"Pantry")</f>
        <v/>
      </c>
      <c r="S71" s="46">
        <f>IFERROR(Q71/(Q71+R71),0)</f>
        <v/>
      </c>
      <c r="T71" s="37">
        <f>IF(S71&gt;='Start Here'!$C$6,"Yes","No")</f>
        <v/>
      </c>
      <c r="U71" s="39" t="inlineStr">
        <is>
          <t>Year-round</t>
        </is>
      </c>
      <c r="V71" s="39" t="inlineStr">
        <is>
          <t>1. Slice ripe bananas and freeze for at least 4 hours.
2. Blend frozen banana with dates and a splash of milk until creamy.
3. Pulse in half the groundnuts.
4. Serve straight away, topped with the rest of the groundnuts and cinnamon.</t>
        </is>
      </c>
      <c r="W71" s="39" t="inlineStr">
        <is>
          <t>The best use for overripe bananas. Pairs well with a discounted 'smoothie bananas' SKU.</t>
        </is>
      </c>
      <c r="X71" s="42" t="inlineStr">
        <is>
          <t>Draft</t>
        </is>
      </c>
    </row>
    <row r="72" ht="105" customHeight="1" s="26">
      <c r="A72" s="37" t="inlineStr">
        <is>
          <t>R085</t>
        </is>
      </c>
      <c r="B72" s="38" t="inlineStr">
        <is>
          <t>Grilled Pineapple with Coconut &amp; Lime</t>
        </is>
      </c>
      <c r="C72" s="37" t="inlineStr">
        <is>
          <t>Dessert</t>
        </is>
      </c>
      <c r="D72" s="37" t="inlineStr">
        <is>
          <t>Dessert</t>
        </is>
      </c>
      <c r="E72" s="39" t="inlineStr">
        <is>
          <t>Abacaxi assado (Brazilian churrasco dessert)</t>
        </is>
      </c>
      <c r="F72" s="39" t="inlineStr">
        <is>
          <t>Toasted fresh coconut and lime zest.</t>
        </is>
      </c>
      <c r="G72" s="39" t="inlineStr">
        <is>
          <t>Wellness, Plant-based</t>
        </is>
      </c>
      <c r="H72" s="37" t="inlineStr">
        <is>
          <t>Vegetarian</t>
        </is>
      </c>
      <c r="I72" s="45" t="n">
        <v>10</v>
      </c>
      <c r="J72" s="45" t="n">
        <v>10</v>
      </c>
      <c r="K72" s="37">
        <f>I72+J72</f>
        <v/>
      </c>
      <c r="L72" s="37">
        <f>IF(J72=0,"No-cook",IF(K72&lt;=25,"Quick","Standard"))</f>
        <v/>
      </c>
      <c r="M72" s="45" t="n">
        <v>4</v>
      </c>
      <c r="N72" s="45" t="n">
        <v>130</v>
      </c>
      <c r="O72" s="45" t="n">
        <v>1</v>
      </c>
      <c r="P72" s="39" t="inlineStr">
        <is>
          <t>Pineapple, Coconut, Lime</t>
        </is>
      </c>
      <c r="Q72" s="37">
        <f>COUNTIFS('Recipe Ingredients'!$A$2:$A$2000,A72,'Recipe Ingredients'!$G$2:$G$2000,"Basket")</f>
        <v/>
      </c>
      <c r="R72" s="37">
        <f>COUNTIFS('Recipe Ingredients'!$A$2:$A$2000,A72,'Recipe Ingredients'!$G$2:$G$2000,"Protein")+COUNTIFS('Recipe Ingredients'!$A$2:$A$2000,A72,'Recipe Ingredients'!$G$2:$G$2000,"Pantry")</f>
        <v/>
      </c>
      <c r="S72" s="46">
        <f>IFERROR(Q72/(Q72+R72),0)</f>
        <v/>
      </c>
      <c r="T72" s="37">
        <f>IF(S72&gt;='Start Here'!$C$6,"Yes","No")</f>
        <v/>
      </c>
      <c r="U72" s="39" t="inlineStr">
        <is>
          <t>Year-round</t>
        </is>
      </c>
      <c r="V72" s="39" t="inlineStr">
        <is>
          <t>1. Cut pineapple into thick wedges.
2. Brush with honey and dust with cinnamon.
3. Grill or pan-sear until caramelised, 3 minutes a side.
4. Toast grated coconut in a dry pan. Scatter over with lime zest.</t>
        </is>
      </c>
      <c r="W72" s="39" t="n"/>
      <c r="X72" s="42" t="inlineStr">
        <is>
          <t>Draft</t>
        </is>
      </c>
    </row>
    <row r="73" ht="105" customHeight="1" s="26">
      <c r="A73" s="37" t="inlineStr">
        <is>
          <t>R086</t>
        </is>
      </c>
      <c r="B73" s="38" t="inlineStr">
        <is>
          <t>Mango Coconut Rice Pudding</t>
        </is>
      </c>
      <c r="C73" s="37" t="inlineStr">
        <is>
          <t>Dessert</t>
        </is>
      </c>
      <c r="D73" s="37" t="inlineStr">
        <is>
          <t>Dessert</t>
        </is>
      </c>
      <c r="E73" s="39" t="inlineStr">
        <is>
          <t>Khao niao mamuang / mango sticky rice (Thailand)</t>
        </is>
      </c>
      <c r="F73" s="39" t="inlineStr">
        <is>
          <t>Local rice cooked in fresh coconut milk and sweetened with dates.</t>
        </is>
      </c>
      <c r="G73" s="39" t="inlineStr">
        <is>
          <t>Wellness</t>
        </is>
      </c>
      <c r="H73" s="37" t="inlineStr">
        <is>
          <t>Vegan</t>
        </is>
      </c>
      <c r="I73" s="45" t="n">
        <v>10</v>
      </c>
      <c r="J73" s="45" t="n">
        <v>30</v>
      </c>
      <c r="K73" s="37">
        <f>I73+J73</f>
        <v/>
      </c>
      <c r="L73" s="37">
        <f>IF(J73=0,"No-cook",IF(K73&lt;=25,"Quick","Standard"))</f>
        <v/>
      </c>
      <c r="M73" s="45" t="n">
        <v>4</v>
      </c>
      <c r="N73" s="45" t="n">
        <v>350</v>
      </c>
      <c r="O73" s="45" t="n">
        <v>5</v>
      </c>
      <c r="P73" s="39" t="inlineStr">
        <is>
          <t>Coconut, Mango, Dates, Lime</t>
        </is>
      </c>
      <c r="Q73" s="37">
        <f>COUNTIFS('Recipe Ingredients'!$A$2:$A$2000,A73,'Recipe Ingredients'!$G$2:$G$2000,"Basket")</f>
        <v/>
      </c>
      <c r="R73" s="37">
        <f>COUNTIFS('Recipe Ingredients'!$A$2:$A$2000,A73,'Recipe Ingredients'!$G$2:$G$2000,"Protein")+COUNTIFS('Recipe Ingredients'!$A$2:$A$2000,A73,'Recipe Ingredients'!$G$2:$G$2000,"Pantry")</f>
        <v/>
      </c>
      <c r="S73" s="46">
        <f>IFERROR(Q73/(Q73+R73),0)</f>
        <v/>
      </c>
      <c r="T73" s="37">
        <f>IF(S73&gt;='Start Here'!$C$6,"Yes","No")</f>
        <v/>
      </c>
      <c r="U73" s="39" t="inlineStr">
        <is>
          <t>Mango (Feb-May, Aug-Sep)</t>
        </is>
      </c>
      <c r="V73" s="39" t="inlineStr">
        <is>
          <t>1. Make coconut milk from the coconut, blending in the dates.
2. Simmer rice in the coconut milk with a pinch of salt, stirring often, for 25 to 30 minutes until creamy.
3. Cool slightly and stir in lime zest.
4. Serve topped with sliced mango.</t>
        </is>
      </c>
      <c r="W73" s="39" t="inlineStr">
        <is>
          <t>Best Feb to May.</t>
        </is>
      </c>
      <c r="X73" s="42" t="inlineStr">
        <is>
          <t>Draft</t>
        </is>
      </c>
    </row>
    <row r="74" ht="105" customHeight="1" s="26">
      <c r="A74" s="37" t="inlineStr">
        <is>
          <t>R087</t>
        </is>
      </c>
      <c r="B74" s="38" t="inlineStr">
        <is>
          <t>Watermelon Lime Ice Pops</t>
        </is>
      </c>
      <c r="C74" s="37" t="inlineStr">
        <is>
          <t>Dessert</t>
        </is>
      </c>
      <c r="D74" s="37" t="inlineStr">
        <is>
          <t>Snack</t>
        </is>
      </c>
      <c r="E74" s="39" t="inlineStr">
        <is>
          <t>Paletas (Mexico)</t>
        </is>
      </c>
      <c r="F74" s="39" t="inlineStr">
        <is>
          <t>Watermelon, lime and mint.</t>
        </is>
      </c>
      <c r="G74" s="39" t="inlineStr">
        <is>
          <t>Hydration, Weight management</t>
        </is>
      </c>
      <c r="H74" s="37" t="inlineStr">
        <is>
          <t>Vegetarian</t>
        </is>
      </c>
      <c r="I74" s="45" t="n">
        <v>10</v>
      </c>
      <c r="J74" s="45" t="n">
        <v>0</v>
      </c>
      <c r="K74" s="37">
        <f>I74+J74</f>
        <v/>
      </c>
      <c r="L74" s="37">
        <f>IF(J74=0,"No-cook",IF(K74&lt;=25,"Quick","Standard"))</f>
        <v/>
      </c>
      <c r="M74" s="45" t="n">
        <v>6</v>
      </c>
      <c r="N74" s="45" t="n">
        <v>40</v>
      </c>
      <c r="O74" s="45" t="n">
        <v>0</v>
      </c>
      <c r="P74" s="39" t="inlineStr">
        <is>
          <t>Watermelon, Lime, Mint</t>
        </is>
      </c>
      <c r="Q74" s="37">
        <f>COUNTIFS('Recipe Ingredients'!$A$2:$A$2000,A74,'Recipe Ingredients'!$G$2:$G$2000,"Basket")</f>
        <v/>
      </c>
      <c r="R74" s="37">
        <f>COUNTIFS('Recipe Ingredients'!$A$2:$A$2000,A74,'Recipe Ingredients'!$G$2:$G$2000,"Protein")+COUNTIFS('Recipe Ingredients'!$A$2:$A$2000,A74,'Recipe Ingredients'!$G$2:$G$2000,"Pantry")</f>
        <v/>
      </c>
      <c r="S74" s="46">
        <f>IFERROR(Q74/(Q74+R74),0)</f>
        <v/>
      </c>
      <c r="T74" s="37">
        <f>IF(S74&gt;='Start Here'!$C$6,"Yes","No")</f>
        <v/>
      </c>
      <c r="U74" s="39" t="inlineStr">
        <is>
          <t>Year-round</t>
        </is>
      </c>
      <c r="V74" s="39" t="inlineStr">
        <is>
          <t>1. Blend watermelon with lime juice and honey.
2. Finely chop mint and stir it in.
3. Pour into ice pop moulds or small cups with sticks.
4. Freeze at least 6 hours.</t>
        </is>
      </c>
      <c r="W74" s="39" t="n"/>
      <c r="X74" s="42" t="inlineStr">
        <is>
          <t>Draft</t>
        </is>
      </c>
    </row>
    <row r="75" ht="105" customHeight="1" s="26">
      <c r="A75" s="37" t="inlineStr">
        <is>
          <t>R088</t>
        </is>
      </c>
      <c r="B75" s="38" t="inlineStr">
        <is>
          <t>No-Churn Mango Passion Sorbet</t>
        </is>
      </c>
      <c r="C75" s="37" t="inlineStr">
        <is>
          <t>Dessert</t>
        </is>
      </c>
      <c r="D75" s="37" t="inlineStr">
        <is>
          <t>Dessert</t>
        </is>
      </c>
      <c r="E75" s="39" t="inlineStr">
        <is>
          <t>Sorbet (Italy / France)</t>
        </is>
      </c>
      <c r="F75" s="39" t="inlineStr">
        <is>
          <t>Ripe local mangoes need almost no sugar.</t>
        </is>
      </c>
      <c r="G75" s="39" t="inlineStr">
        <is>
          <t>Wellness</t>
        </is>
      </c>
      <c r="H75" s="37" t="inlineStr">
        <is>
          <t>Vegetarian</t>
        </is>
      </c>
      <c r="I75" s="45" t="n">
        <v>15</v>
      </c>
      <c r="J75" s="45" t="n">
        <v>0</v>
      </c>
      <c r="K75" s="37">
        <f>I75+J75</f>
        <v/>
      </c>
      <c r="L75" s="37">
        <f>IF(J75=0,"No-cook",IF(K75&lt;=25,"Quick","Standard"))</f>
        <v/>
      </c>
      <c r="M75" s="45" t="n">
        <v>4</v>
      </c>
      <c r="N75" s="45" t="n">
        <v>120</v>
      </c>
      <c r="O75" s="45" t="n">
        <v>1</v>
      </c>
      <c r="P75" s="39" t="inlineStr">
        <is>
          <t>Mango, Passion fruit, Lime</t>
        </is>
      </c>
      <c r="Q75" s="37">
        <f>COUNTIFS('Recipe Ingredients'!$A$2:$A$2000,A75,'Recipe Ingredients'!$G$2:$G$2000,"Basket")</f>
        <v/>
      </c>
      <c r="R75" s="37">
        <f>COUNTIFS('Recipe Ingredients'!$A$2:$A$2000,A75,'Recipe Ingredients'!$G$2:$G$2000,"Protein")+COUNTIFS('Recipe Ingredients'!$A$2:$A$2000,A75,'Recipe Ingredients'!$G$2:$G$2000,"Pantry")</f>
        <v/>
      </c>
      <c r="S75" s="46">
        <f>IFERROR(Q75/(Q75+R75),0)</f>
        <v/>
      </c>
      <c r="T75" s="37">
        <f>IF(S75&gt;='Start Here'!$C$6,"Yes","No")</f>
        <v/>
      </c>
      <c r="U75" s="39" t="inlineStr">
        <is>
          <t>Mango (Feb-May, Aug-Sep); Passion fruit (Jan-Mar, May-Jun, Aug-Nov)</t>
        </is>
      </c>
      <c r="V75" s="39" t="inlineStr">
        <is>
          <t>1. Peel and cube mangoes and freeze for 4 hours.
2. Blend frozen mango with passion fruit pulp, lime and honey until smooth.
3. Serve soft, or freeze 1 hour for scoops.</t>
        </is>
      </c>
      <c r="W75" s="39" t="inlineStr">
        <is>
          <t>Best Feb to May.</t>
        </is>
      </c>
      <c r="X75" s="42" t="inlineStr">
        <is>
          <t>Draft</t>
        </is>
      </c>
    </row>
    <row r="76" ht="105" customHeight="1" s="26">
      <c r="A76" s="37" t="inlineStr">
        <is>
          <t>R089</t>
        </is>
      </c>
      <c r="B76" s="38" t="inlineStr">
        <is>
          <t>Crunchy Apple, Pear &amp; Grape Salad</t>
        </is>
      </c>
      <c r="C76" s="37" t="inlineStr">
        <is>
          <t>Salad</t>
        </is>
      </c>
      <c r="D76" s="37" t="inlineStr">
        <is>
          <t>Lunch / Snack</t>
        </is>
      </c>
      <c r="E76" s="39" t="inlineStr">
        <is>
          <t>Waldorf salad (New York, US)</t>
        </is>
      </c>
      <c r="F76" s="39" t="inlineStr">
        <is>
          <t>Roasted groundnuts instead of walnuts, yoghurt instead of mayo.</t>
        </is>
      </c>
      <c r="G76" s="39" t="inlineStr">
        <is>
          <t>Weight management</t>
        </is>
      </c>
      <c r="H76" s="37" t="inlineStr">
        <is>
          <t>Vegetarian</t>
        </is>
      </c>
      <c r="I76" s="45" t="n">
        <v>15</v>
      </c>
      <c r="J76" s="45" t="n">
        <v>0</v>
      </c>
      <c r="K76" s="37">
        <f>I76+J76</f>
        <v/>
      </c>
      <c r="L76" s="37">
        <f>IF(J76=0,"No-cook",IF(K76&lt;=25,"Quick","Standard"))</f>
        <v/>
      </c>
      <c r="M76" s="45" t="n">
        <v>2</v>
      </c>
      <c r="N76" s="45" t="n">
        <v>280</v>
      </c>
      <c r="O76" s="45" t="n">
        <v>9</v>
      </c>
      <c r="P76" s="39" t="inlineStr">
        <is>
          <t>Apple, Pear, Grapes, Lettuce</t>
        </is>
      </c>
      <c r="Q76" s="37">
        <f>COUNTIFS('Recipe Ingredients'!$A$2:$A$2000,A76,'Recipe Ingredients'!$G$2:$G$2000,"Basket")</f>
        <v/>
      </c>
      <c r="R76" s="37">
        <f>COUNTIFS('Recipe Ingredients'!$A$2:$A$2000,A76,'Recipe Ingredients'!$G$2:$G$2000,"Protein")+COUNTIFS('Recipe Ingredients'!$A$2:$A$2000,A76,'Recipe Ingredients'!$G$2:$G$2000,"Pantry")</f>
        <v/>
      </c>
      <c r="S76" s="46">
        <f>IFERROR(Q76/(Q76+R76),0)</f>
        <v/>
      </c>
      <c r="T76" s="37">
        <f>IF(S76&gt;='Start Here'!$C$6,"Yes","No")</f>
        <v/>
      </c>
      <c r="U76" s="39" t="inlineStr">
        <is>
          <t>Year-round</t>
        </is>
      </c>
      <c r="V76" s="39" t="inlineStr">
        <is>
          <t>1. Core and dice apples and pear. Halve the grapes.
2. Mix yoghurt, lemon juice and honey.
3. Toss fruit with lettuce and dressing.
4. Top with roasted groundnuts.</t>
        </is>
      </c>
      <c r="W76" s="39" t="inlineStr">
        <is>
          <t>A natural recipe for the premium fruit box.</t>
        </is>
      </c>
      <c r="X76" s="42" t="inlineStr">
        <is>
          <t>Draft</t>
        </is>
      </c>
    </row>
    <row r="77" ht="105" customHeight="1" s="26">
      <c r="A77" s="37" t="n"/>
      <c r="B77" s="38" t="n"/>
      <c r="C77" s="37" t="n"/>
      <c r="D77" s="37" t="n"/>
      <c r="E77" s="39" t="n"/>
      <c r="F77" s="39" t="n"/>
      <c r="G77" s="39" t="n"/>
      <c r="H77" s="37" t="n"/>
      <c r="I77" s="45" t="n"/>
      <c r="J77" s="45" t="n"/>
      <c r="K77" s="37" t="n"/>
      <c r="L77" s="37" t="n"/>
      <c r="M77" s="45" t="n"/>
      <c r="N77" s="45" t="n"/>
      <c r="O77" s="45" t="n"/>
      <c r="P77" s="39" t="n"/>
      <c r="Q77" s="37" t="n"/>
      <c r="R77" s="37" t="n"/>
      <c r="S77" s="46" t="n"/>
      <c r="T77" s="37" t="n"/>
      <c r="U77" s="39" t="n"/>
      <c r="V77" s="39" t="n"/>
      <c r="W77" s="39" t="n"/>
      <c r="X77" s="42" t="n"/>
    </row>
    <row r="78" ht="105" customHeight="1" s="26">
      <c r="A78" s="37" t="n"/>
      <c r="B78" s="38" t="n"/>
      <c r="C78" s="37" t="n"/>
      <c r="D78" s="37" t="n"/>
      <c r="E78" s="39" t="n"/>
      <c r="F78" s="39" t="n"/>
      <c r="G78" s="39" t="n"/>
      <c r="H78" s="37" t="n"/>
      <c r="I78" s="45" t="n"/>
      <c r="J78" s="45" t="n"/>
      <c r="K78" s="37" t="n"/>
      <c r="L78" s="37" t="n"/>
      <c r="M78" s="45" t="n"/>
      <c r="N78" s="45" t="n"/>
      <c r="O78" s="45" t="n"/>
      <c r="P78" s="39" t="n"/>
      <c r="Q78" s="37" t="n"/>
      <c r="R78" s="37" t="n"/>
      <c r="S78" s="46" t="n"/>
      <c r="T78" s="37" t="n"/>
      <c r="U78" s="39" t="n"/>
      <c r="V78" s="39" t="n"/>
      <c r="W78" s="39" t="n"/>
      <c r="X78" s="42" t="n"/>
    </row>
    <row r="79" ht="105" customHeight="1" s="26">
      <c r="A79" s="37" t="n"/>
      <c r="B79" s="38" t="n"/>
      <c r="C79" s="37" t="n"/>
      <c r="D79" s="37" t="n"/>
      <c r="E79" s="39" t="n"/>
      <c r="F79" s="39" t="n"/>
      <c r="G79" s="39" t="n"/>
      <c r="H79" s="37" t="n"/>
      <c r="I79" s="45" t="n"/>
      <c r="J79" s="45" t="n"/>
      <c r="K79" s="37" t="n"/>
      <c r="L79" s="37" t="n"/>
      <c r="M79" s="45" t="n"/>
      <c r="N79" s="45" t="n"/>
      <c r="O79" s="45" t="n"/>
      <c r="P79" s="39" t="n"/>
      <c r="Q79" s="37" t="n"/>
      <c r="R79" s="37" t="n"/>
      <c r="S79" s="46" t="n"/>
      <c r="T79" s="37" t="n"/>
      <c r="U79" s="39" t="n"/>
      <c r="V79" s="39" t="n"/>
      <c r="W79" s="39" t="n"/>
      <c r="X79" s="42" t="n"/>
    </row>
    <row r="80" ht="105" customHeight="1" s="26">
      <c r="A80" s="37" t="n"/>
      <c r="B80" s="38" t="n"/>
      <c r="C80" s="37" t="n"/>
      <c r="D80" s="37" t="n"/>
      <c r="E80" s="39" t="n"/>
      <c r="F80" s="39" t="n"/>
      <c r="G80" s="39" t="n"/>
      <c r="H80" s="37" t="n"/>
      <c r="I80" s="45" t="n"/>
      <c r="J80" s="45" t="n"/>
      <c r="K80" s="37" t="n"/>
      <c r="L80" s="37" t="n"/>
      <c r="M80" s="45" t="n"/>
      <c r="N80" s="45" t="n"/>
      <c r="O80" s="45" t="n"/>
      <c r="P80" s="39" t="n"/>
      <c r="Q80" s="37" t="n"/>
      <c r="R80" s="37" t="n"/>
      <c r="S80" s="46" t="n"/>
      <c r="T80" s="37" t="n"/>
      <c r="U80" s="39" t="n"/>
      <c r="V80" s="39" t="n"/>
      <c r="W80" s="39" t="n"/>
      <c r="X80" s="42" t="n"/>
    </row>
    <row r="81" ht="105" customHeight="1" s="26">
      <c r="A81" s="37" t="n"/>
      <c r="B81" s="38" t="n"/>
      <c r="C81" s="37" t="n"/>
      <c r="D81" s="37" t="n"/>
      <c r="E81" s="39" t="n"/>
      <c r="F81" s="39" t="n"/>
      <c r="G81" s="39" t="n"/>
      <c r="H81" s="37" t="n"/>
      <c r="I81" s="45" t="n"/>
      <c r="J81" s="45" t="n"/>
      <c r="K81" s="37" t="n"/>
      <c r="L81" s="37" t="n"/>
      <c r="M81" s="45" t="n"/>
      <c r="N81" s="45" t="n"/>
      <c r="O81" s="45" t="n"/>
      <c r="P81" s="39" t="n"/>
      <c r="Q81" s="37" t="n"/>
      <c r="R81" s="37" t="n"/>
      <c r="S81" s="46" t="n"/>
      <c r="T81" s="37" t="n"/>
      <c r="U81" s="39" t="n"/>
      <c r="V81" s="39" t="n"/>
      <c r="W81" s="39" t="n"/>
      <c r="X81" s="42" t="n"/>
    </row>
    <row r="82" ht="105" customHeight="1" s="26">
      <c r="A82" s="37" t="n"/>
      <c r="B82" s="38" t="n"/>
      <c r="C82" s="37" t="n"/>
      <c r="D82" s="37" t="n"/>
      <c r="E82" s="39" t="n"/>
      <c r="F82" s="39" t="n"/>
      <c r="G82" s="39" t="n"/>
      <c r="H82" s="37" t="n"/>
      <c r="I82" s="45" t="n"/>
      <c r="J82" s="45" t="n"/>
      <c r="K82" s="37" t="n"/>
      <c r="L82" s="37" t="n"/>
      <c r="M82" s="45" t="n"/>
      <c r="N82" s="45" t="n"/>
      <c r="O82" s="45" t="n"/>
      <c r="P82" s="39" t="n"/>
      <c r="Q82" s="37" t="n"/>
      <c r="R82" s="37" t="n"/>
      <c r="S82" s="46" t="n"/>
      <c r="T82" s="37" t="n"/>
      <c r="U82" s="39" t="n"/>
      <c r="V82" s="39" t="n"/>
      <c r="W82" s="39" t="n"/>
      <c r="X82" s="42" t="n"/>
    </row>
    <row r="83" ht="105" customHeight="1" s="26">
      <c r="A83" s="37" t="n"/>
      <c r="B83" s="38" t="n"/>
      <c r="C83" s="37" t="n"/>
      <c r="D83" s="37" t="n"/>
      <c r="E83" s="39" t="n"/>
      <c r="F83" s="39" t="n"/>
      <c r="G83" s="39" t="n"/>
      <c r="H83" s="37" t="n"/>
      <c r="I83" s="45" t="n"/>
      <c r="J83" s="45" t="n"/>
      <c r="K83" s="37" t="n"/>
      <c r="L83" s="37" t="n"/>
      <c r="M83" s="45" t="n"/>
      <c r="N83" s="45" t="n"/>
      <c r="O83" s="45" t="n"/>
      <c r="P83" s="39" t="n"/>
      <c r="Q83" s="37" t="n"/>
      <c r="R83" s="37" t="n"/>
      <c r="S83" s="46" t="n"/>
      <c r="T83" s="37" t="n"/>
      <c r="U83" s="39" t="n"/>
      <c r="V83" s="39" t="n"/>
      <c r="W83" s="39" t="n"/>
      <c r="X83" s="42" t="n"/>
    </row>
    <row r="84" ht="105" customHeight="1" s="26">
      <c r="A84" s="37" t="n"/>
      <c r="B84" s="38" t="n"/>
      <c r="C84" s="37" t="n"/>
      <c r="D84" s="37" t="n"/>
      <c r="E84" s="39" t="n"/>
      <c r="F84" s="39" t="n"/>
      <c r="G84" s="39" t="n"/>
      <c r="H84" s="37" t="n"/>
      <c r="I84" s="45" t="n"/>
      <c r="J84" s="45" t="n"/>
      <c r="K84" s="37" t="n"/>
      <c r="L84" s="37" t="n"/>
      <c r="M84" s="45" t="n"/>
      <c r="N84" s="45" t="n"/>
      <c r="O84" s="45" t="n"/>
      <c r="P84" s="39" t="n"/>
      <c r="Q84" s="37" t="n"/>
      <c r="R84" s="37" t="n"/>
      <c r="S84" s="46" t="n"/>
      <c r="T84" s="37" t="n"/>
      <c r="U84" s="39" t="n"/>
      <c r="V84" s="39" t="n"/>
      <c r="W84" s="39" t="n"/>
      <c r="X84" s="42" t="n"/>
    </row>
    <row r="85" ht="105" customHeight="1" s="26">
      <c r="A85" s="37" t="n"/>
      <c r="B85" s="38" t="n"/>
      <c r="C85" s="37" t="n"/>
      <c r="D85" s="37" t="n"/>
      <c r="E85" s="39" t="n"/>
      <c r="F85" s="39" t="n"/>
      <c r="G85" s="39" t="n"/>
      <c r="H85" s="37" t="n"/>
      <c r="I85" s="45" t="n"/>
      <c r="J85" s="45" t="n"/>
      <c r="K85" s="37" t="n"/>
      <c r="L85" s="37" t="n"/>
      <c r="M85" s="45" t="n"/>
      <c r="N85" s="45" t="n"/>
      <c r="O85" s="45" t="n"/>
      <c r="P85" s="39" t="n"/>
      <c r="Q85" s="37" t="n"/>
      <c r="R85" s="37" t="n"/>
      <c r="S85" s="46" t="n"/>
      <c r="T85" s="37" t="n"/>
      <c r="U85" s="39" t="n"/>
      <c r="V85" s="39" t="n"/>
      <c r="W85" s="39" t="n"/>
      <c r="X85" s="42" t="n"/>
    </row>
    <row r="86" ht="105" customHeight="1" s="26">
      <c r="A86" s="37" t="n"/>
      <c r="B86" s="38" t="n"/>
      <c r="C86" s="37" t="n"/>
      <c r="D86" s="37" t="n"/>
      <c r="E86" s="39" t="n"/>
      <c r="F86" s="39" t="n"/>
      <c r="G86" s="39" t="n"/>
      <c r="H86" s="37" t="n"/>
      <c r="I86" s="45" t="n"/>
      <c r="J86" s="45" t="n"/>
      <c r="K86" s="37" t="n"/>
      <c r="L86" s="37" t="n"/>
      <c r="M86" s="45" t="n"/>
      <c r="N86" s="45" t="n"/>
      <c r="O86" s="45" t="n"/>
      <c r="P86" s="39" t="n"/>
      <c r="Q86" s="37" t="n"/>
      <c r="R86" s="37" t="n"/>
      <c r="S86" s="46" t="n"/>
      <c r="T86" s="37" t="n"/>
      <c r="U86" s="39" t="n"/>
      <c r="V86" s="39" t="n"/>
      <c r="W86" s="39" t="n"/>
      <c r="X86" s="42" t="n"/>
    </row>
    <row r="87" ht="105" customHeight="1" s="26">
      <c r="A87" s="37" t="n"/>
      <c r="B87" s="38" t="n"/>
      <c r="C87" s="37" t="n"/>
      <c r="D87" s="37" t="n"/>
      <c r="E87" s="39" t="n"/>
      <c r="F87" s="39" t="n"/>
      <c r="G87" s="39" t="n"/>
      <c r="H87" s="37" t="n"/>
      <c r="I87" s="45" t="n"/>
      <c r="J87" s="45" t="n"/>
      <c r="K87" s="37" t="n"/>
      <c r="L87" s="37" t="n"/>
      <c r="M87" s="45" t="n"/>
      <c r="N87" s="45" t="n"/>
      <c r="O87" s="45" t="n"/>
      <c r="P87" s="39" t="n"/>
      <c r="Q87" s="37" t="n"/>
      <c r="R87" s="37" t="n"/>
      <c r="S87" s="46" t="n"/>
      <c r="T87" s="37" t="n"/>
      <c r="U87" s="39" t="n"/>
      <c r="V87" s="39" t="n"/>
      <c r="W87" s="39" t="n"/>
      <c r="X87" s="42" t="n"/>
    </row>
    <row r="88" ht="105" customHeight="1" s="26">
      <c r="A88" s="37" t="n"/>
      <c r="B88" s="38" t="n"/>
      <c r="C88" s="37" t="n"/>
      <c r="D88" s="37" t="n"/>
      <c r="E88" s="39" t="n"/>
      <c r="F88" s="39" t="n"/>
      <c r="G88" s="39" t="n"/>
      <c r="H88" s="37" t="n"/>
      <c r="I88" s="45" t="n"/>
      <c r="J88" s="45" t="n"/>
      <c r="K88" s="37" t="n"/>
      <c r="L88" s="37" t="n"/>
      <c r="M88" s="45" t="n"/>
      <c r="N88" s="45" t="n"/>
      <c r="O88" s="45" t="n"/>
      <c r="P88" s="39" t="n"/>
      <c r="Q88" s="37" t="n"/>
      <c r="R88" s="37" t="n"/>
      <c r="S88" s="46" t="n"/>
      <c r="T88" s="37" t="n"/>
      <c r="U88" s="39" t="n"/>
      <c r="V88" s="39" t="n"/>
      <c r="W88" s="39" t="n"/>
      <c r="X88" s="42" t="n"/>
    </row>
    <row r="89" ht="105" customHeight="1" s="26">
      <c r="A89" s="37" t="n"/>
      <c r="B89" s="38" t="n"/>
      <c r="C89" s="37" t="n"/>
      <c r="D89" s="37" t="n"/>
      <c r="E89" s="39" t="n"/>
      <c r="F89" s="39" t="n"/>
      <c r="G89" s="39" t="n"/>
      <c r="H89" s="37" t="n"/>
      <c r="I89" s="45" t="n"/>
      <c r="J89" s="45" t="n"/>
      <c r="K89" s="37" t="n"/>
      <c r="L89" s="37" t="n"/>
      <c r="M89" s="45" t="n"/>
      <c r="N89" s="45" t="n"/>
      <c r="O89" s="45" t="n"/>
      <c r="P89" s="39" t="n"/>
      <c r="Q89" s="37" t="n"/>
      <c r="R89" s="37" t="n"/>
      <c r="S89" s="46" t="n"/>
      <c r="T89" s="37" t="n"/>
      <c r="U89" s="39" t="n"/>
      <c r="V89" s="39" t="n"/>
      <c r="W89" s="39" t="n"/>
      <c r="X89" s="42" t="n"/>
    </row>
    <row r="90" ht="105" customHeight="1" s="26">
      <c r="A90" s="37" t="n"/>
      <c r="B90" s="38" t="n"/>
      <c r="C90" s="37" t="n"/>
      <c r="D90" s="37" t="n"/>
      <c r="E90" s="39" t="n"/>
      <c r="F90" s="39" t="n"/>
      <c r="G90" s="39" t="n"/>
      <c r="H90" s="37" t="n"/>
      <c r="I90" s="45" t="n"/>
      <c r="J90" s="45" t="n"/>
      <c r="K90" s="37" t="n"/>
      <c r="L90" s="37" t="n"/>
      <c r="M90" s="45" t="n"/>
      <c r="N90" s="45" t="n"/>
      <c r="O90" s="45" t="n"/>
      <c r="P90" s="39" t="n"/>
      <c r="Q90" s="37" t="n"/>
      <c r="R90" s="37" t="n"/>
      <c r="S90" s="46" t="n"/>
      <c r="T90" s="37" t="n"/>
      <c r="U90" s="39" t="n"/>
      <c r="V90" s="39" t="n"/>
      <c r="W90" s="39" t="n"/>
      <c r="X90" s="42" t="n"/>
    </row>
    <row r="91" ht="105" customHeight="1" s="26">
      <c r="A91" s="37" t="n"/>
      <c r="B91" s="38" t="n"/>
      <c r="C91" s="37" t="n"/>
      <c r="D91" s="37" t="n"/>
      <c r="E91" s="39" t="n"/>
      <c r="F91" s="39" t="n"/>
      <c r="G91" s="39" t="n"/>
      <c r="H91" s="37" t="n"/>
      <c r="I91" s="45" t="n"/>
      <c r="J91" s="45" t="n"/>
      <c r="K91" s="37" t="n"/>
      <c r="L91" s="37" t="n"/>
      <c r="M91" s="45" t="n"/>
      <c r="N91" s="45" t="n"/>
      <c r="O91" s="45" t="n"/>
      <c r="P91" s="39" t="n"/>
      <c r="Q91" s="37" t="n"/>
      <c r="R91" s="37" t="n"/>
      <c r="S91" s="46" t="n"/>
      <c r="T91" s="37" t="n"/>
      <c r="U91" s="39" t="n"/>
      <c r="V91" s="39" t="n"/>
      <c r="W91" s="39" t="n"/>
      <c r="X91" s="42" t="n"/>
    </row>
    <row r="92"/>
    <row r="93" ht="15" customHeight="1" s="26">
      <c r="B93" s="44" t="n"/>
    </row>
  </sheetData>
  <autoFilter ref="A1:X91"/>
  <conditionalFormatting sqref="S2:S91">
    <cfRule type="colorScale" priority="2">
      <colorScale>
        <cfvo type="num" val="0.4"/>
        <cfvo type="num" val="0.7"/>
        <cfvo type="num" val="1"/>
        <color rgb="FFF8D7C8"/>
        <color rgb="FFFFF2B3"/>
        <color rgb="FFA9D18E"/>
      </colorScale>
    </cfRule>
  </conditionalFormatting>
  <conditionalFormatting sqref="T2:T91">
    <cfRule type="cellIs" rank="0" priority="3" equalAverage="0" operator="equal" aboveAverage="0" dxfId="37" text="" percent="0" bottom="0">
      <formula>"Yes"</formula>
    </cfRule>
  </conditionalFormatting>
  <dataValidations count="1">
    <dataValidation sqref="X2:X91" showDropDown="0" showInputMessage="0" showErrorMessage="0" allowBlank="1" type="list" errorStyle="stop" operator="between">
      <formula1>"Draft,Tested,Photographed,Live,Retired"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6FA35A"/>
    <outlinePr summaryBelow="1" summaryRight="1"/>
    <pageSetUpPr fitToPage="0"/>
  </sheetPr>
  <dimension ref="A1:H799"/>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0" customWidth="1" style="25" min="1" max="1"/>
    <col width="32" customWidth="1" style="25" min="2" max="2"/>
    <col width="34" customWidth="1" style="25" min="3" max="3"/>
    <col width="7" customWidth="1" style="25" min="4" max="4"/>
    <col width="12" customWidth="1" style="25" min="5" max="5"/>
    <col width="10" customWidth="1" style="25" min="6" max="7"/>
    <col width="34" customWidth="1" style="25" min="8" max="8"/>
  </cols>
  <sheetData>
    <row r="1" ht="31.5" customHeight="1" s="26">
      <c r="A1" s="36" t="inlineStr">
        <is>
          <t>Recipe ID</t>
        </is>
      </c>
      <c r="B1" s="36" t="inlineStr">
        <is>
          <t>Recipe</t>
        </is>
      </c>
      <c r="C1" s="36" t="inlineStr">
        <is>
          <t>Ingredient</t>
        </is>
      </c>
      <c r="D1" s="36" t="inlineStr">
        <is>
          <t>Qty</t>
        </is>
      </c>
      <c r="E1" s="36" t="inlineStr">
        <is>
          <t>Unit</t>
        </is>
      </c>
      <c r="F1" s="36" t="inlineStr">
        <is>
          <t>Produce ID</t>
        </is>
      </c>
      <c r="G1" s="36" t="inlineStr">
        <is>
          <t>Source</t>
        </is>
      </c>
      <c r="H1" s="36" t="inlineStr">
        <is>
          <t>Note</t>
        </is>
      </c>
    </row>
    <row r="2" ht="15" customHeight="1" s="26">
      <c r="A2" s="37" t="inlineStr">
        <is>
          <t>R015</t>
        </is>
      </c>
      <c r="B2" s="37">
        <f>IFERROR(INDEX(Recipes!$B$2:$B$500,MATCH(A2,Recipes!$A$2:$A$500,0)),"")</f>
        <v/>
      </c>
      <c r="C2" s="39" t="inlineStr">
        <is>
          <t>Rolled oats</t>
        </is>
      </c>
      <c r="D2" s="47" t="n">
        <v>1</v>
      </c>
      <c r="E2" s="37" t="inlineStr">
        <is>
          <t>cup</t>
        </is>
      </c>
      <c r="F2" s="37" t="n"/>
      <c r="G2" s="37" t="inlineStr">
        <is>
          <t>Pantry</t>
        </is>
      </c>
      <c r="H2" s="39" t="n"/>
    </row>
    <row r="3" ht="15" customHeight="1" s="26">
      <c r="A3" s="37" t="inlineStr">
        <is>
          <t>R015</t>
        </is>
      </c>
      <c r="B3" s="37">
        <f>IFERROR(INDEX(Recipes!$B$2:$B$500,MATCH(A3,Recipes!$A$2:$A$500,0)),"")</f>
        <v/>
      </c>
      <c r="C3" s="39" t="inlineStr">
        <is>
          <t>Milk or tiger nut milk</t>
        </is>
      </c>
      <c r="D3" s="47" t="n">
        <v>1</v>
      </c>
      <c r="E3" s="37" t="inlineStr">
        <is>
          <t>cup</t>
        </is>
      </c>
      <c r="F3" s="37" t="n"/>
      <c r="G3" s="37" t="inlineStr">
        <is>
          <t>Pantry</t>
        </is>
      </c>
      <c r="H3" s="39" t="n"/>
    </row>
    <row r="4" ht="15" customHeight="1" s="26">
      <c r="A4" s="37" t="inlineStr">
        <is>
          <t>R015</t>
        </is>
      </c>
      <c r="B4" s="37">
        <f>IFERROR(INDEX(Recipes!$B$2:$B$500,MATCH(A4,Recipes!$A$2:$A$500,0)),"")</f>
        <v/>
      </c>
      <c r="C4" s="39" t="inlineStr">
        <is>
          <t>Plain yoghurt</t>
        </is>
      </c>
      <c r="D4" s="47" t="n">
        <v>0.5</v>
      </c>
      <c r="E4" s="37" t="inlineStr">
        <is>
          <t>cup</t>
        </is>
      </c>
      <c r="F4" s="37" t="n"/>
      <c r="G4" s="37" t="inlineStr">
        <is>
          <t>Pantry</t>
        </is>
      </c>
      <c r="H4" s="39" t="n"/>
    </row>
    <row r="5" ht="15" customHeight="1" s="26">
      <c r="A5" s="37" t="inlineStr">
        <is>
          <t>R015</t>
        </is>
      </c>
      <c r="B5" s="37">
        <f>IFERROR(INDEX(Recipes!$B$2:$B$500,MATCH(A5,Recipes!$A$2:$A$500,0)),"")</f>
        <v/>
      </c>
      <c r="C5" s="39" t="inlineStr">
        <is>
          <t>Chia seeds</t>
        </is>
      </c>
      <c r="D5" s="47" t="n">
        <v>1</v>
      </c>
      <c r="E5" s="37" t="inlineStr">
        <is>
          <t>tbsp</t>
        </is>
      </c>
      <c r="F5" s="37" t="n"/>
      <c r="G5" s="37" t="inlineStr">
        <is>
          <t>Pantry</t>
        </is>
      </c>
      <c r="H5" s="39" t="n"/>
    </row>
    <row r="6" ht="15" customHeight="1" s="26">
      <c r="A6" s="37" t="inlineStr">
        <is>
          <t>R015</t>
        </is>
      </c>
      <c r="B6" s="37">
        <f>IFERROR(INDEX(Recipes!$B$2:$B$500,MATCH(A6,Recipes!$A$2:$A$500,0)),"")</f>
        <v/>
      </c>
      <c r="C6" s="39" t="inlineStr">
        <is>
          <t>Mango</t>
        </is>
      </c>
      <c r="D6" s="47" t="n">
        <v>1</v>
      </c>
      <c r="E6" s="37" t="inlineStr">
        <is>
          <t>pc</t>
        </is>
      </c>
      <c r="F6" s="37" t="inlineStr">
        <is>
          <t>P006</t>
        </is>
      </c>
      <c r="G6" s="37" t="inlineStr">
        <is>
          <t>Basket</t>
        </is>
      </c>
      <c r="H6" s="39" t="inlineStr">
        <is>
          <t>diced</t>
        </is>
      </c>
    </row>
    <row r="7" ht="15" customHeight="1" s="26">
      <c r="A7" s="37" t="inlineStr">
        <is>
          <t>R015</t>
        </is>
      </c>
      <c r="B7" s="37">
        <f>IFERROR(INDEX(Recipes!$B$2:$B$500,MATCH(A7,Recipes!$A$2:$A$500,0)),"")</f>
        <v/>
      </c>
      <c r="C7" s="39" t="inlineStr">
        <is>
          <t>Passion fruit</t>
        </is>
      </c>
      <c r="D7" s="47" t="n">
        <v>2</v>
      </c>
      <c r="E7" s="37" t="inlineStr">
        <is>
          <t>pc</t>
        </is>
      </c>
      <c r="F7" s="37" t="inlineStr">
        <is>
          <t>P015</t>
        </is>
      </c>
      <c r="G7" s="37" t="inlineStr">
        <is>
          <t>Basket</t>
        </is>
      </c>
      <c r="H7" s="39" t="inlineStr">
        <is>
          <t>pulp</t>
        </is>
      </c>
    </row>
    <row r="8" ht="15" customHeight="1" s="26">
      <c r="A8" s="37" t="inlineStr">
        <is>
          <t>R015</t>
        </is>
      </c>
      <c r="B8" s="37">
        <f>IFERROR(INDEX(Recipes!$B$2:$B$500,MATCH(A8,Recipes!$A$2:$A$500,0)),"")</f>
        <v/>
      </c>
      <c r="C8" s="39" t="inlineStr">
        <is>
          <t>Honey</t>
        </is>
      </c>
      <c r="D8" s="47" t="n">
        <v>1</v>
      </c>
      <c r="E8" s="37" t="inlineStr">
        <is>
          <t>tsp</t>
        </is>
      </c>
      <c r="F8" s="37" t="n"/>
      <c r="G8" s="37" t="inlineStr">
        <is>
          <t>Pantry</t>
        </is>
      </c>
      <c r="H8" s="39" t="inlineStr">
        <is>
          <t>optional</t>
        </is>
      </c>
    </row>
    <row r="9" ht="15" customHeight="1" s="26">
      <c r="A9" s="37" t="inlineStr">
        <is>
          <t>R016</t>
        </is>
      </c>
      <c r="B9" s="37">
        <f>IFERROR(INDEX(Recipes!$B$2:$B$500,MATCH(A9,Recipes!$A$2:$A$500,0)),"")</f>
        <v/>
      </c>
      <c r="C9" s="39" t="inlineStr">
        <is>
          <t>Pawpaw (papaya)</t>
        </is>
      </c>
      <c r="D9" s="47" t="n">
        <v>1</v>
      </c>
      <c r="E9" s="37" t="inlineStr">
        <is>
          <t>pc</t>
        </is>
      </c>
      <c r="F9" s="37" t="inlineStr">
        <is>
          <t>P005</t>
        </is>
      </c>
      <c r="G9" s="37" t="inlineStr">
        <is>
          <t>Basket</t>
        </is>
      </c>
      <c r="H9" s="39" t="inlineStr">
        <is>
          <t>small, ripe</t>
        </is>
      </c>
    </row>
    <row r="10" ht="15" customHeight="1" s="26">
      <c r="A10" s="37" t="inlineStr">
        <is>
          <t>R016</t>
        </is>
      </c>
      <c r="B10" s="37">
        <f>IFERROR(INDEX(Recipes!$B$2:$B$500,MATCH(A10,Recipes!$A$2:$A$500,0)),"")</f>
        <v/>
      </c>
      <c r="C10" s="39" t="inlineStr">
        <is>
          <t>Greek yoghurt</t>
        </is>
      </c>
      <c r="D10" s="47" t="n">
        <v>1</v>
      </c>
      <c r="E10" s="37" t="inlineStr">
        <is>
          <t>cup</t>
        </is>
      </c>
      <c r="F10" s="37" t="n"/>
      <c r="G10" s="37" t="inlineStr">
        <is>
          <t>Pantry</t>
        </is>
      </c>
      <c r="H10" s="39" t="n"/>
    </row>
    <row r="11" ht="15" customHeight="1" s="26">
      <c r="A11" s="37" t="inlineStr">
        <is>
          <t>R016</t>
        </is>
      </c>
      <c r="B11" s="37">
        <f>IFERROR(INDEX(Recipes!$B$2:$B$500,MATCH(A11,Recipes!$A$2:$A$500,0)),"")</f>
        <v/>
      </c>
      <c r="C11" s="39" t="inlineStr">
        <is>
          <t>Granola</t>
        </is>
      </c>
      <c r="D11" s="47" t="n">
        <v>0.5</v>
      </c>
      <c r="E11" s="37" t="inlineStr">
        <is>
          <t>cup</t>
        </is>
      </c>
      <c r="F11" s="37" t="n"/>
      <c r="G11" s="37" t="inlineStr">
        <is>
          <t>Pantry</t>
        </is>
      </c>
      <c r="H11" s="39" t="n"/>
    </row>
    <row r="12" ht="15" customHeight="1" s="26">
      <c r="A12" s="37" t="inlineStr">
        <is>
          <t>R016</t>
        </is>
      </c>
      <c r="B12" s="37">
        <f>IFERROR(INDEX(Recipes!$B$2:$B$500,MATCH(A12,Recipes!$A$2:$A$500,0)),"")</f>
        <v/>
      </c>
      <c r="C12" s="39" t="inlineStr">
        <is>
          <t>Pineapple</t>
        </is>
      </c>
      <c r="D12" s="47" t="n">
        <v>0.5</v>
      </c>
      <c r="E12" s="37" t="inlineStr">
        <is>
          <t>cup</t>
        </is>
      </c>
      <c r="F12" s="37" t="inlineStr">
        <is>
          <t>P003</t>
        </is>
      </c>
      <c r="G12" s="37" t="inlineStr">
        <is>
          <t>Basket</t>
        </is>
      </c>
      <c r="H12" s="39" t="inlineStr">
        <is>
          <t>diced</t>
        </is>
      </c>
    </row>
    <row r="13" ht="15" customHeight="1" s="26">
      <c r="A13" s="37" t="inlineStr">
        <is>
          <t>R016</t>
        </is>
      </c>
      <c r="B13" s="37">
        <f>IFERROR(INDEX(Recipes!$B$2:$B$500,MATCH(A13,Recipes!$A$2:$A$500,0)),"")</f>
        <v/>
      </c>
      <c r="C13" s="39" t="inlineStr">
        <is>
          <t>Lime</t>
        </is>
      </c>
      <c r="D13" s="47" t="n">
        <v>1</v>
      </c>
      <c r="E13" s="37" t="inlineStr">
        <is>
          <t>pc</t>
        </is>
      </c>
      <c r="F13" s="37" t="inlineStr">
        <is>
          <t>P010</t>
        </is>
      </c>
      <c r="G13" s="37" t="inlineStr">
        <is>
          <t>Basket</t>
        </is>
      </c>
      <c r="H13" s="39" t="inlineStr">
        <is>
          <t>zest and juice</t>
        </is>
      </c>
    </row>
    <row r="14" ht="15" customHeight="1" s="26">
      <c r="A14" s="37" t="inlineStr">
        <is>
          <t>R016</t>
        </is>
      </c>
      <c r="B14" s="37">
        <f>IFERROR(INDEX(Recipes!$B$2:$B$500,MATCH(A14,Recipes!$A$2:$A$500,0)),"")</f>
        <v/>
      </c>
      <c r="C14" s="39" t="inlineStr">
        <is>
          <t>Groundnut (fresh or roasted)</t>
        </is>
      </c>
      <c r="D14" s="47" t="n">
        <v>1</v>
      </c>
      <c r="E14" s="37" t="inlineStr">
        <is>
          <t>tbsp</t>
        </is>
      </c>
      <c r="F14" s="37" t="inlineStr">
        <is>
          <t>P040</t>
        </is>
      </c>
      <c r="G14" s="37" t="inlineStr">
        <is>
          <t>Basket</t>
        </is>
      </c>
      <c r="H14" s="39" t="inlineStr">
        <is>
          <t>roasted, crushed</t>
        </is>
      </c>
    </row>
    <row r="15" ht="15" customHeight="1" s="26">
      <c r="A15" s="37" t="inlineStr">
        <is>
          <t>R016</t>
        </is>
      </c>
      <c r="B15" s="37">
        <f>IFERROR(INDEX(Recipes!$B$2:$B$500,MATCH(A15,Recipes!$A$2:$A$500,0)),"")</f>
        <v/>
      </c>
      <c r="C15" s="39" t="inlineStr">
        <is>
          <t>Honey</t>
        </is>
      </c>
      <c r="D15" s="47" t="n">
        <v>1</v>
      </c>
      <c r="E15" s="37" t="inlineStr">
        <is>
          <t>tbsp</t>
        </is>
      </c>
      <c r="F15" s="37" t="n"/>
      <c r="G15" s="37" t="inlineStr">
        <is>
          <t>Pantry</t>
        </is>
      </c>
      <c r="H15" s="39" t="n"/>
    </row>
    <row r="16" ht="15" customHeight="1" s="26">
      <c r="A16" s="37" t="inlineStr">
        <is>
          <t>R017</t>
        </is>
      </c>
      <c r="B16" s="37">
        <f>IFERROR(INDEX(Recipes!$B$2:$B$500,MATCH(A16,Recipes!$A$2:$A$500,0)),"")</f>
        <v/>
      </c>
      <c r="C16" s="39" t="inlineStr">
        <is>
          <t>Banana</t>
        </is>
      </c>
      <c r="D16" s="47" t="n">
        <v>2</v>
      </c>
      <c r="E16" s="37" t="inlineStr">
        <is>
          <t>pc</t>
        </is>
      </c>
      <c r="F16" s="37" t="inlineStr">
        <is>
          <t>P001</t>
        </is>
      </c>
      <c r="G16" s="37" t="inlineStr">
        <is>
          <t>Basket</t>
        </is>
      </c>
      <c r="H16" s="39" t="inlineStr">
        <is>
          <t>very ripe</t>
        </is>
      </c>
    </row>
    <row r="17" ht="15" customHeight="1" s="26">
      <c r="A17" s="37" t="inlineStr">
        <is>
          <t>R017</t>
        </is>
      </c>
      <c r="B17" s="37">
        <f>IFERROR(INDEX(Recipes!$B$2:$B$500,MATCH(A17,Recipes!$A$2:$A$500,0)),"")</f>
        <v/>
      </c>
      <c r="C17" s="39" t="inlineStr">
        <is>
          <t>Eggs</t>
        </is>
      </c>
      <c r="D17" s="47" t="n">
        <v>2</v>
      </c>
      <c r="E17" s="37" t="inlineStr">
        <is>
          <t>pc</t>
        </is>
      </c>
      <c r="F17" s="37" t="n"/>
      <c r="G17" s="37" t="inlineStr">
        <is>
          <t>Protein</t>
        </is>
      </c>
      <c r="H17" s="39" t="n"/>
    </row>
    <row r="18" ht="15" customHeight="1" s="26">
      <c r="A18" s="37" t="inlineStr">
        <is>
          <t>R017</t>
        </is>
      </c>
      <c r="B18" s="37">
        <f>IFERROR(INDEX(Recipes!$B$2:$B$500,MATCH(A18,Recipes!$A$2:$A$500,0)),"")</f>
        <v/>
      </c>
      <c r="C18" s="39" t="inlineStr">
        <is>
          <t>Rolled oats</t>
        </is>
      </c>
      <c r="D18" s="47" t="n">
        <v>1</v>
      </c>
      <c r="E18" s="37" t="inlineStr">
        <is>
          <t>cup</t>
        </is>
      </c>
      <c r="F18" s="37" t="n"/>
      <c r="G18" s="37" t="inlineStr">
        <is>
          <t>Pantry</t>
        </is>
      </c>
      <c r="H18" s="39" t="inlineStr">
        <is>
          <t>blended to flour</t>
        </is>
      </c>
    </row>
    <row r="19" ht="15" customHeight="1" s="26">
      <c r="A19" s="37" t="inlineStr">
        <is>
          <t>R017</t>
        </is>
      </c>
      <c r="B19" s="37">
        <f>IFERROR(INDEX(Recipes!$B$2:$B$500,MATCH(A19,Recipes!$A$2:$A$500,0)),"")</f>
        <v/>
      </c>
      <c r="C19" s="39" t="inlineStr">
        <is>
          <t>Ground cinnamon</t>
        </is>
      </c>
      <c r="D19" s="47" t="n">
        <v>0.5</v>
      </c>
      <c r="E19" s="37" t="inlineStr">
        <is>
          <t>tsp</t>
        </is>
      </c>
      <c r="F19" s="37" t="n"/>
      <c r="G19" s="37" t="inlineStr">
        <is>
          <t>Pantry</t>
        </is>
      </c>
      <c r="H19" s="39" t="n"/>
    </row>
    <row r="20" ht="15" customHeight="1" s="26">
      <c r="A20" s="37" t="inlineStr">
        <is>
          <t>R017</t>
        </is>
      </c>
      <c r="B20" s="37">
        <f>IFERROR(INDEX(Recipes!$B$2:$B$500,MATCH(A20,Recipes!$A$2:$A$500,0)),"")</f>
        <v/>
      </c>
      <c r="C20" s="39" t="inlineStr">
        <is>
          <t>Pineapple</t>
        </is>
      </c>
      <c r="D20" s="47" t="n">
        <v>1</v>
      </c>
      <c r="E20" s="37" t="inlineStr">
        <is>
          <t>cup</t>
        </is>
      </c>
      <c r="F20" s="37" t="inlineStr">
        <is>
          <t>P003</t>
        </is>
      </c>
      <c r="G20" s="37" t="inlineStr">
        <is>
          <t>Basket</t>
        </is>
      </c>
      <c r="H20" s="39" t="inlineStr">
        <is>
          <t>finely diced</t>
        </is>
      </c>
    </row>
    <row r="21" ht="15" customHeight="1" s="26">
      <c r="A21" s="37" t="inlineStr">
        <is>
          <t>R017</t>
        </is>
      </c>
      <c r="B21" s="37">
        <f>IFERROR(INDEX(Recipes!$B$2:$B$500,MATCH(A21,Recipes!$A$2:$A$500,0)),"")</f>
        <v/>
      </c>
      <c r="C21" s="39" t="inlineStr">
        <is>
          <t>Lime</t>
        </is>
      </c>
      <c r="D21" s="47" t="n">
        <v>0.5</v>
      </c>
      <c r="E21" s="37" t="inlineStr">
        <is>
          <t>pc</t>
        </is>
      </c>
      <c r="F21" s="37" t="inlineStr">
        <is>
          <t>P010</t>
        </is>
      </c>
      <c r="G21" s="37" t="inlineStr">
        <is>
          <t>Basket</t>
        </is>
      </c>
      <c r="H21" s="39" t="n"/>
    </row>
    <row r="22" ht="15" customHeight="1" s="26">
      <c r="A22" s="37" t="inlineStr">
        <is>
          <t>R017</t>
        </is>
      </c>
      <c r="B22" s="37">
        <f>IFERROR(INDEX(Recipes!$B$2:$B$500,MATCH(A22,Recipes!$A$2:$A$500,0)),"")</f>
        <v/>
      </c>
      <c r="C22" s="39" t="inlineStr">
        <is>
          <t>Oil</t>
        </is>
      </c>
      <c r="D22" s="47" t="n">
        <v>1</v>
      </c>
      <c r="E22" s="37" t="inlineStr">
        <is>
          <t>tsp</t>
        </is>
      </c>
      <c r="F22" s="37" t="n"/>
      <c r="G22" s="37" t="inlineStr">
        <is>
          <t>Staple</t>
        </is>
      </c>
      <c r="H22" s="39" t="n"/>
    </row>
    <row r="23" ht="15" customHeight="1" s="26">
      <c r="A23" s="37" t="inlineStr">
        <is>
          <t>R018</t>
        </is>
      </c>
      <c r="B23" s="37">
        <f>IFERROR(INDEX(Recipes!$B$2:$B$500,MATCH(A23,Recipes!$A$2:$A$500,0)),"")</f>
        <v/>
      </c>
      <c r="C23" s="39" t="inlineStr">
        <is>
          <t>Tomato (plum)</t>
        </is>
      </c>
      <c r="D23" s="47" t="n">
        <v>4</v>
      </c>
      <c r="E23" s="37" t="inlineStr">
        <is>
          <t>pc</t>
        </is>
      </c>
      <c r="F23" s="37" t="inlineStr">
        <is>
          <t>P042</t>
        </is>
      </c>
      <c r="G23" s="37" t="inlineStr">
        <is>
          <t>Basket</t>
        </is>
      </c>
      <c r="H23" s="39" t="inlineStr">
        <is>
          <t>plum, chopped</t>
        </is>
      </c>
    </row>
    <row r="24" ht="15" customHeight="1" s="26">
      <c r="A24" s="37" t="inlineStr">
        <is>
          <t>R018</t>
        </is>
      </c>
      <c r="B24" s="37">
        <f>IFERROR(INDEX(Recipes!$B$2:$B$500,MATCH(A24,Recipes!$A$2:$A$500,0)),"")</f>
        <v/>
      </c>
      <c r="C24" s="39" t="inlineStr">
        <is>
          <t>Red bell pepper</t>
        </is>
      </c>
      <c r="D24" s="47" t="n">
        <v>2</v>
      </c>
      <c r="E24" s="37" t="inlineStr">
        <is>
          <t>pc</t>
        </is>
      </c>
      <c r="F24" s="37" t="inlineStr">
        <is>
          <t>P044</t>
        </is>
      </c>
      <c r="G24" s="37" t="inlineStr">
        <is>
          <t>Basket</t>
        </is>
      </c>
      <c r="H24" s="39" t="inlineStr">
        <is>
          <t>chopped</t>
        </is>
      </c>
    </row>
    <row r="25" ht="15" customHeight="1" s="26">
      <c r="A25" s="37" t="inlineStr">
        <is>
          <t>R018</t>
        </is>
      </c>
      <c r="B25" s="37">
        <f>IFERROR(INDEX(Recipes!$B$2:$B$500,MATCH(A25,Recipes!$A$2:$A$500,0)),"")</f>
        <v/>
      </c>
      <c r="C25" s="39" t="inlineStr">
        <is>
          <t>Scotch bonnet</t>
        </is>
      </c>
      <c r="D25" s="47" t="n">
        <v>0.5</v>
      </c>
      <c r="E25" s="37" t="inlineStr">
        <is>
          <t>pc</t>
        </is>
      </c>
      <c r="F25" s="37" t="inlineStr">
        <is>
          <t>P046</t>
        </is>
      </c>
      <c r="G25" s="37" t="inlineStr">
        <is>
          <t>Basket</t>
        </is>
      </c>
      <c r="H25" s="39" t="n"/>
    </row>
    <row r="26" ht="15" customHeight="1" s="26">
      <c r="A26" s="37" t="inlineStr">
        <is>
          <t>R018</t>
        </is>
      </c>
      <c r="B26" s="37">
        <f>IFERROR(INDEX(Recipes!$B$2:$B$500,MATCH(A26,Recipes!$A$2:$A$500,0)),"")</f>
        <v/>
      </c>
      <c r="C26" s="39" t="inlineStr">
        <is>
          <t>Onion (red &amp; white)</t>
        </is>
      </c>
      <c r="D26" s="47" t="n">
        <v>1</v>
      </c>
      <c r="E26" s="37" t="inlineStr">
        <is>
          <t>pc</t>
        </is>
      </c>
      <c r="F26" s="37" t="inlineStr">
        <is>
          <t>P048</t>
        </is>
      </c>
      <c r="G26" s="37" t="inlineStr">
        <is>
          <t>Basket</t>
        </is>
      </c>
      <c r="H26" s="39" t="n"/>
    </row>
    <row r="27" ht="15" customHeight="1" s="26">
      <c r="A27" s="37" t="inlineStr">
        <is>
          <t>R018</t>
        </is>
      </c>
      <c r="B27" s="37">
        <f>IFERROR(INDEX(Recipes!$B$2:$B$500,MATCH(A27,Recipes!$A$2:$A$500,0)),"")</f>
        <v/>
      </c>
      <c r="C27" s="39" t="inlineStr">
        <is>
          <t>Garlic</t>
        </is>
      </c>
      <c r="D27" s="47" t="n">
        <v>2</v>
      </c>
      <c r="E27" s="37" t="inlineStr">
        <is>
          <t>cloves</t>
        </is>
      </c>
      <c r="F27" s="37" t="inlineStr">
        <is>
          <t>P051</t>
        </is>
      </c>
      <c r="G27" s="37" t="inlineStr">
        <is>
          <t>Basket</t>
        </is>
      </c>
      <c r="H27" s="39" t="n"/>
    </row>
    <row r="28" ht="15" customHeight="1" s="26">
      <c r="A28" s="37" t="inlineStr">
        <is>
          <t>R018</t>
        </is>
      </c>
      <c r="B28" s="37">
        <f>IFERROR(INDEX(Recipes!$B$2:$B$500,MATCH(A28,Recipes!$A$2:$A$500,0)),"")</f>
        <v/>
      </c>
      <c r="C28" s="39" t="inlineStr">
        <is>
          <t>Amaranth greens (Nigerian spinach)</t>
        </is>
      </c>
      <c r="D28" s="47" t="n">
        <v>1</v>
      </c>
      <c r="E28" s="37" t="inlineStr">
        <is>
          <t>cup</t>
        </is>
      </c>
      <c r="F28" s="37" t="inlineStr">
        <is>
          <t>P073</t>
        </is>
      </c>
      <c r="G28" s="37" t="inlineStr">
        <is>
          <t>Basket</t>
        </is>
      </c>
      <c r="H28" s="39" t="inlineStr">
        <is>
          <t>chopped</t>
        </is>
      </c>
    </row>
    <row r="29" ht="15" customHeight="1" s="26">
      <c r="A29" s="37" t="inlineStr">
        <is>
          <t>R018</t>
        </is>
      </c>
      <c r="B29" s="37">
        <f>IFERROR(INDEX(Recipes!$B$2:$B$500,MATCH(A29,Recipes!$A$2:$A$500,0)),"")</f>
        <v/>
      </c>
      <c r="C29" s="39" t="inlineStr">
        <is>
          <t>Eggs</t>
        </is>
      </c>
      <c r="D29" s="47" t="n">
        <v>4</v>
      </c>
      <c r="E29" s="37" t="inlineStr">
        <is>
          <t>pc</t>
        </is>
      </c>
      <c r="F29" s="37" t="n"/>
      <c r="G29" s="37" t="inlineStr">
        <is>
          <t>Protein</t>
        </is>
      </c>
      <c r="H29" s="39" t="n"/>
    </row>
    <row r="30" ht="15" customHeight="1" s="26">
      <c r="A30" s="37" t="inlineStr">
        <is>
          <t>R018</t>
        </is>
      </c>
      <c r="B30" s="37">
        <f>IFERROR(INDEX(Recipes!$B$2:$B$500,MATCH(A30,Recipes!$A$2:$A$500,0)),"")</f>
        <v/>
      </c>
      <c r="C30" s="39" t="inlineStr">
        <is>
          <t>Cumin or curry powder</t>
        </is>
      </c>
      <c r="D30" s="47" t="n">
        <v>1</v>
      </c>
      <c r="E30" s="37" t="inlineStr">
        <is>
          <t>tsp</t>
        </is>
      </c>
      <c r="F30" s="37" t="n"/>
      <c r="G30" s="37" t="inlineStr">
        <is>
          <t>Pantry</t>
        </is>
      </c>
      <c r="H30" s="39" t="n"/>
    </row>
    <row r="31" ht="15" customHeight="1" s="26">
      <c r="A31" s="37" t="inlineStr">
        <is>
          <t>R018</t>
        </is>
      </c>
      <c r="B31" s="37">
        <f>IFERROR(INDEX(Recipes!$B$2:$B$500,MATCH(A31,Recipes!$A$2:$A$500,0)),"")</f>
        <v/>
      </c>
      <c r="C31" s="39" t="inlineStr">
        <is>
          <t>Bread</t>
        </is>
      </c>
      <c r="D31" s="47" t="n">
        <v>4</v>
      </c>
      <c r="E31" s="37" t="inlineStr">
        <is>
          <t>slices</t>
        </is>
      </c>
      <c r="F31" s="37" t="n"/>
      <c r="G31" s="37" t="inlineStr">
        <is>
          <t>Pantry</t>
        </is>
      </c>
      <c r="H31" s="39" t="inlineStr">
        <is>
          <t>to serve</t>
        </is>
      </c>
    </row>
    <row r="32" ht="15" customHeight="1" s="26">
      <c r="A32" s="37" t="inlineStr">
        <is>
          <t>R018</t>
        </is>
      </c>
      <c r="B32" s="37">
        <f>IFERROR(INDEX(Recipes!$B$2:$B$500,MATCH(A32,Recipes!$A$2:$A$500,0)),"")</f>
        <v/>
      </c>
      <c r="C32" s="39" t="inlineStr">
        <is>
          <t>Oil</t>
        </is>
      </c>
      <c r="D32" s="47" t="n">
        <v>1</v>
      </c>
      <c r="E32" s="37" t="inlineStr">
        <is>
          <t>tbsp</t>
        </is>
      </c>
      <c r="F32" s="37" t="n"/>
      <c r="G32" s="37" t="inlineStr">
        <is>
          <t>Staple</t>
        </is>
      </c>
      <c r="H32" s="39" t="n"/>
    </row>
    <row r="33" ht="15" customHeight="1" s="26">
      <c r="A33" s="37" t="inlineStr">
        <is>
          <t>R018</t>
        </is>
      </c>
      <c r="B33" s="37">
        <f>IFERROR(INDEX(Recipes!$B$2:$B$500,MATCH(A33,Recipes!$A$2:$A$500,0)),"")</f>
        <v/>
      </c>
      <c r="C33" s="39" t="inlineStr">
        <is>
          <t>Salt</t>
        </is>
      </c>
      <c r="D33" s="47" t="n">
        <v>1</v>
      </c>
      <c r="E33" s="37" t="inlineStr">
        <is>
          <t>pinch</t>
        </is>
      </c>
      <c r="F33" s="37" t="n"/>
      <c r="G33" s="37" t="inlineStr">
        <is>
          <t>Staple</t>
        </is>
      </c>
      <c r="H33" s="39" t="n"/>
    </row>
    <row r="34" ht="15" customHeight="1" s="26">
      <c r="A34" s="37" t="inlineStr">
        <is>
          <t>R019</t>
        </is>
      </c>
      <c r="B34" s="37">
        <f>IFERROR(INDEX(Recipes!$B$2:$B$500,MATCH(A34,Recipes!$A$2:$A$500,0)),"")</f>
        <v/>
      </c>
      <c r="C34" s="39" t="inlineStr">
        <is>
          <t>Avocado</t>
        </is>
      </c>
      <c r="D34" s="47" t="n">
        <v>1</v>
      </c>
      <c r="E34" s="37" t="inlineStr">
        <is>
          <t>pc</t>
        </is>
      </c>
      <c r="F34" s="37" t="inlineStr">
        <is>
          <t>P012</t>
        </is>
      </c>
      <c r="G34" s="37" t="inlineStr">
        <is>
          <t>Basket</t>
        </is>
      </c>
      <c r="H34" s="39" t="inlineStr">
        <is>
          <t>ripe</t>
        </is>
      </c>
    </row>
    <row r="35" ht="15" customHeight="1" s="26">
      <c r="A35" s="37" t="inlineStr">
        <is>
          <t>R019</t>
        </is>
      </c>
      <c r="B35" s="37">
        <f>IFERROR(INDEX(Recipes!$B$2:$B$500,MATCH(A35,Recipes!$A$2:$A$500,0)),"")</f>
        <v/>
      </c>
      <c r="C35" s="39" t="inlineStr">
        <is>
          <t>Tomato (plum)</t>
        </is>
      </c>
      <c r="D35" s="47" t="n">
        <v>2</v>
      </c>
      <c r="E35" s="37" t="inlineStr">
        <is>
          <t>pc</t>
        </is>
      </c>
      <c r="F35" s="37" t="inlineStr">
        <is>
          <t>P042</t>
        </is>
      </c>
      <c r="G35" s="37" t="inlineStr">
        <is>
          <t>Basket</t>
        </is>
      </c>
      <c r="H35" s="39" t="n"/>
    </row>
    <row r="36" ht="15" customHeight="1" s="26">
      <c r="A36" s="37" t="inlineStr">
        <is>
          <t>R019</t>
        </is>
      </c>
      <c r="B36" s="37">
        <f>IFERROR(INDEX(Recipes!$B$2:$B$500,MATCH(A36,Recipes!$A$2:$A$500,0)),"")</f>
        <v/>
      </c>
      <c r="C36" s="39" t="inlineStr">
        <is>
          <t>Onion (red &amp; white)</t>
        </is>
      </c>
      <c r="D36" s="47" t="n">
        <v>0.25</v>
      </c>
      <c r="E36" s="37" t="inlineStr">
        <is>
          <t>pc</t>
        </is>
      </c>
      <c r="F36" s="37" t="inlineStr">
        <is>
          <t>P048</t>
        </is>
      </c>
      <c r="G36" s="37" t="inlineStr">
        <is>
          <t>Basket</t>
        </is>
      </c>
      <c r="H36" s="39" t="inlineStr">
        <is>
          <t>red</t>
        </is>
      </c>
    </row>
    <row r="37" ht="15" customHeight="1" s="26">
      <c r="A37" s="37" t="inlineStr">
        <is>
          <t>R019</t>
        </is>
      </c>
      <c r="B37" s="37">
        <f>IFERROR(INDEX(Recipes!$B$2:$B$500,MATCH(A37,Recipes!$A$2:$A$500,0)),"")</f>
        <v/>
      </c>
      <c r="C37" s="39" t="inlineStr">
        <is>
          <t>Scotch bonnet</t>
        </is>
      </c>
      <c r="D37" s="47" t="n">
        <v>0.25</v>
      </c>
      <c r="E37" s="37" t="inlineStr">
        <is>
          <t>pc</t>
        </is>
      </c>
      <c r="F37" s="37" t="inlineStr">
        <is>
          <t>P046</t>
        </is>
      </c>
      <c r="G37" s="37" t="inlineStr">
        <is>
          <t>Basket</t>
        </is>
      </c>
      <c r="H37" s="39" t="n"/>
    </row>
    <row r="38" ht="15" customHeight="1" s="26">
      <c r="A38" s="37" t="inlineStr">
        <is>
          <t>R019</t>
        </is>
      </c>
      <c r="B38" s="37">
        <f>IFERROR(INDEX(Recipes!$B$2:$B$500,MATCH(A38,Recipes!$A$2:$A$500,0)),"")</f>
        <v/>
      </c>
      <c r="C38" s="39" t="inlineStr">
        <is>
          <t>Lime</t>
        </is>
      </c>
      <c r="D38" s="47" t="n">
        <v>1</v>
      </c>
      <c r="E38" s="37" t="inlineStr">
        <is>
          <t>pc</t>
        </is>
      </c>
      <c r="F38" s="37" t="inlineStr">
        <is>
          <t>P010</t>
        </is>
      </c>
      <c r="G38" s="37" t="inlineStr">
        <is>
          <t>Basket</t>
        </is>
      </c>
      <c r="H38" s="39" t="n"/>
    </row>
    <row r="39" ht="15" customHeight="1" s="26">
      <c r="A39" s="37" t="inlineStr">
        <is>
          <t>R019</t>
        </is>
      </c>
      <c r="B39" s="37">
        <f>IFERROR(INDEX(Recipes!$B$2:$B$500,MATCH(A39,Recipes!$A$2:$A$500,0)),"")</f>
        <v/>
      </c>
      <c r="C39" s="39" t="inlineStr">
        <is>
          <t>Wholewheat bread</t>
        </is>
      </c>
      <c r="D39" s="47" t="n">
        <v>4</v>
      </c>
      <c r="E39" s="37" t="inlineStr">
        <is>
          <t>slices</t>
        </is>
      </c>
      <c r="F39" s="37" t="n"/>
      <c r="G39" s="37" t="inlineStr">
        <is>
          <t>Pantry</t>
        </is>
      </c>
      <c r="H39" s="39" t="n"/>
    </row>
    <row r="40" ht="15" customHeight="1" s="26">
      <c r="A40" s="37" t="inlineStr">
        <is>
          <t>R019</t>
        </is>
      </c>
      <c r="B40" s="37">
        <f>IFERROR(INDEX(Recipes!$B$2:$B$500,MATCH(A40,Recipes!$A$2:$A$500,0)),"")</f>
        <v/>
      </c>
      <c r="C40" s="39" t="inlineStr">
        <is>
          <t>Eggs</t>
        </is>
      </c>
      <c r="D40" s="47" t="n">
        <v>2</v>
      </c>
      <c r="E40" s="37" t="inlineStr">
        <is>
          <t>pc</t>
        </is>
      </c>
      <c r="F40" s="37" t="n"/>
      <c r="G40" s="37" t="inlineStr">
        <is>
          <t>Protein</t>
        </is>
      </c>
      <c r="H40" s="39" t="inlineStr">
        <is>
          <t>boiled, optional</t>
        </is>
      </c>
    </row>
    <row r="41" ht="15" customHeight="1" s="26">
      <c r="A41" s="37" t="inlineStr">
        <is>
          <t>R019</t>
        </is>
      </c>
      <c r="B41" s="37">
        <f>IFERROR(INDEX(Recipes!$B$2:$B$500,MATCH(A41,Recipes!$A$2:$A$500,0)),"")</f>
        <v/>
      </c>
      <c r="C41" s="39" t="inlineStr">
        <is>
          <t>Salt</t>
        </is>
      </c>
      <c r="D41" s="47" t="n">
        <v>1</v>
      </c>
      <c r="E41" s="37" t="inlineStr">
        <is>
          <t>pinch</t>
        </is>
      </c>
      <c r="F41" s="37" t="n"/>
      <c r="G41" s="37" t="inlineStr">
        <is>
          <t>Staple</t>
        </is>
      </c>
      <c r="H41" s="39" t="n"/>
    </row>
    <row r="42" ht="15" customHeight="1" s="26">
      <c r="A42" s="37" t="inlineStr">
        <is>
          <t>R020</t>
        </is>
      </c>
      <c r="B42" s="37">
        <f>IFERROR(INDEX(Recipes!$B$2:$B$500,MATCH(A42,Recipes!$A$2:$A$500,0)),"")</f>
        <v/>
      </c>
      <c r="C42" s="39" t="inlineStr">
        <is>
          <t>Sweet potato</t>
        </is>
      </c>
      <c r="D42" s="47" t="n">
        <v>2</v>
      </c>
      <c r="E42" s="37" t="inlineStr">
        <is>
          <t>pc</t>
        </is>
      </c>
      <c r="F42" s="37" t="inlineStr">
        <is>
          <t>P069</t>
        </is>
      </c>
      <c r="G42" s="37" t="inlineStr">
        <is>
          <t>Basket</t>
        </is>
      </c>
      <c r="H42" s="39" t="inlineStr">
        <is>
          <t>medium</t>
        </is>
      </c>
    </row>
    <row r="43" ht="15" customHeight="1" s="26">
      <c r="A43" s="37" t="inlineStr">
        <is>
          <t>R020</t>
        </is>
      </c>
      <c r="B43" s="37">
        <f>IFERROR(INDEX(Recipes!$B$2:$B$500,MATCH(A43,Recipes!$A$2:$A$500,0)),"")</f>
        <v/>
      </c>
      <c r="C43" s="39" t="inlineStr">
        <is>
          <t>Onion (red &amp; white)</t>
        </is>
      </c>
      <c r="D43" s="47" t="n">
        <v>1</v>
      </c>
      <c r="E43" s="37" t="inlineStr">
        <is>
          <t>pc</t>
        </is>
      </c>
      <c r="F43" s="37" t="inlineStr">
        <is>
          <t>P048</t>
        </is>
      </c>
      <c r="G43" s="37" t="inlineStr">
        <is>
          <t>Basket</t>
        </is>
      </c>
      <c r="H43" s="39" t="n"/>
    </row>
    <row r="44" ht="15" customHeight="1" s="26">
      <c r="A44" s="37" t="inlineStr">
        <is>
          <t>R020</t>
        </is>
      </c>
      <c r="B44" s="37">
        <f>IFERROR(INDEX(Recipes!$B$2:$B$500,MATCH(A44,Recipes!$A$2:$A$500,0)),"")</f>
        <v/>
      </c>
      <c r="C44" s="39" t="inlineStr">
        <is>
          <t>Red bell pepper</t>
        </is>
      </c>
      <c r="D44" s="47" t="n">
        <v>1</v>
      </c>
      <c r="E44" s="37" t="inlineStr">
        <is>
          <t>pc</t>
        </is>
      </c>
      <c r="F44" s="37" t="inlineStr">
        <is>
          <t>P044</t>
        </is>
      </c>
      <c r="G44" s="37" t="inlineStr">
        <is>
          <t>Basket</t>
        </is>
      </c>
      <c r="H44" s="39" t="n"/>
    </row>
    <row r="45" ht="15" customHeight="1" s="26">
      <c r="A45" s="37" t="inlineStr">
        <is>
          <t>R020</t>
        </is>
      </c>
      <c r="B45" s="37">
        <f>IFERROR(INDEX(Recipes!$B$2:$B$500,MATCH(A45,Recipes!$A$2:$A$500,0)),"")</f>
        <v/>
      </c>
      <c r="C45" s="39" t="inlineStr">
        <is>
          <t>Amaranth greens (Nigerian spinach)</t>
        </is>
      </c>
      <c r="D45" s="47" t="n">
        <v>1</v>
      </c>
      <c r="E45" s="37" t="inlineStr">
        <is>
          <t>cup</t>
        </is>
      </c>
      <c r="F45" s="37" t="inlineStr">
        <is>
          <t>P073</t>
        </is>
      </c>
      <c r="G45" s="37" t="inlineStr">
        <is>
          <t>Basket</t>
        </is>
      </c>
      <c r="H45" s="39" t="n"/>
    </row>
    <row r="46" ht="15" customHeight="1" s="26">
      <c r="A46" s="37" t="inlineStr">
        <is>
          <t>R020</t>
        </is>
      </c>
      <c r="B46" s="37">
        <f>IFERROR(INDEX(Recipes!$B$2:$B$500,MATCH(A46,Recipes!$A$2:$A$500,0)),"")</f>
        <v/>
      </c>
      <c r="C46" s="39" t="inlineStr">
        <is>
          <t>Spring onion</t>
        </is>
      </c>
      <c r="D46" s="47" t="n">
        <v>1</v>
      </c>
      <c r="E46" s="37" t="inlineStr">
        <is>
          <t>stalk</t>
        </is>
      </c>
      <c r="F46" s="37" t="inlineStr">
        <is>
          <t>P049</t>
        </is>
      </c>
      <c r="G46" s="37" t="inlineStr">
        <is>
          <t>Basket</t>
        </is>
      </c>
      <c r="H46" s="39" t="n"/>
    </row>
    <row r="47" ht="15" customHeight="1" s="26">
      <c r="A47" s="37" t="inlineStr">
        <is>
          <t>R020</t>
        </is>
      </c>
      <c r="B47" s="37">
        <f>IFERROR(INDEX(Recipes!$B$2:$B$500,MATCH(A47,Recipes!$A$2:$A$500,0)),"")</f>
        <v/>
      </c>
      <c r="C47" s="39" t="inlineStr">
        <is>
          <t>Eggs</t>
        </is>
      </c>
      <c r="D47" s="47" t="n">
        <v>4</v>
      </c>
      <c r="E47" s="37" t="inlineStr">
        <is>
          <t>pc</t>
        </is>
      </c>
      <c r="F47" s="37" t="n"/>
      <c r="G47" s="37" t="inlineStr">
        <is>
          <t>Protein</t>
        </is>
      </c>
      <c r="H47" s="39" t="n"/>
    </row>
    <row r="48" ht="15" customHeight="1" s="26">
      <c r="A48" s="37" t="inlineStr">
        <is>
          <t>R020</t>
        </is>
      </c>
      <c r="B48" s="37">
        <f>IFERROR(INDEX(Recipes!$B$2:$B$500,MATCH(A48,Recipes!$A$2:$A$500,0)),"")</f>
        <v/>
      </c>
      <c r="C48" s="39" t="inlineStr">
        <is>
          <t>Paprika</t>
        </is>
      </c>
      <c r="D48" s="47" t="n">
        <v>0.5</v>
      </c>
      <c r="E48" s="37" t="inlineStr">
        <is>
          <t>tsp</t>
        </is>
      </c>
      <c r="F48" s="37" t="n"/>
      <c r="G48" s="37" t="inlineStr">
        <is>
          <t>Pantry</t>
        </is>
      </c>
      <c r="H48" s="39" t="n"/>
    </row>
    <row r="49" ht="15" customHeight="1" s="26">
      <c r="A49" s="37" t="inlineStr">
        <is>
          <t>R020</t>
        </is>
      </c>
      <c r="B49" s="37">
        <f>IFERROR(INDEX(Recipes!$B$2:$B$500,MATCH(A49,Recipes!$A$2:$A$500,0)),"")</f>
        <v/>
      </c>
      <c r="C49" s="39" t="inlineStr">
        <is>
          <t>Oil</t>
        </is>
      </c>
      <c r="D49" s="47" t="n">
        <v>1</v>
      </c>
      <c r="E49" s="37" t="inlineStr">
        <is>
          <t>tbsp</t>
        </is>
      </c>
      <c r="F49" s="37" t="n"/>
      <c r="G49" s="37" t="inlineStr">
        <is>
          <t>Staple</t>
        </is>
      </c>
      <c r="H49" s="39" t="n"/>
    </row>
    <row r="50" ht="15" customHeight="1" s="26">
      <c r="A50" s="37" t="inlineStr">
        <is>
          <t>R020</t>
        </is>
      </c>
      <c r="B50" s="37">
        <f>IFERROR(INDEX(Recipes!$B$2:$B$500,MATCH(A50,Recipes!$A$2:$A$500,0)),"")</f>
        <v/>
      </c>
      <c r="C50" s="39" t="inlineStr">
        <is>
          <t>Salt</t>
        </is>
      </c>
      <c r="D50" s="47" t="n">
        <v>1</v>
      </c>
      <c r="E50" s="37" t="inlineStr">
        <is>
          <t>pinch</t>
        </is>
      </c>
      <c r="F50" s="37" t="n"/>
      <c r="G50" s="37" t="inlineStr">
        <is>
          <t>Staple</t>
        </is>
      </c>
      <c r="H50" s="39" t="n"/>
    </row>
    <row r="51" ht="15" customHeight="1" s="26">
      <c r="A51" s="37" t="inlineStr">
        <is>
          <t>R021</t>
        </is>
      </c>
      <c r="B51" s="37">
        <f>IFERROR(INDEX(Recipes!$B$2:$B$500,MATCH(A51,Recipes!$A$2:$A$500,0)),"")</f>
        <v/>
      </c>
      <c r="C51" s="39" t="inlineStr">
        <is>
          <t>Plantain (ripe &amp; unripe)</t>
        </is>
      </c>
      <c r="D51" s="47" t="n">
        <v>1</v>
      </c>
      <c r="E51" s="37" t="inlineStr">
        <is>
          <t>pc</t>
        </is>
      </c>
      <c r="F51" s="37" t="inlineStr">
        <is>
          <t>P002</t>
        </is>
      </c>
      <c r="G51" s="37" t="inlineStr">
        <is>
          <t>Basket</t>
        </is>
      </c>
      <c r="H51" s="39" t="inlineStr">
        <is>
          <t>ripe</t>
        </is>
      </c>
    </row>
    <row r="52" ht="15" customHeight="1" s="26">
      <c r="A52" s="37" t="inlineStr">
        <is>
          <t>R021</t>
        </is>
      </c>
      <c r="B52" s="37">
        <f>IFERROR(INDEX(Recipes!$B$2:$B$500,MATCH(A52,Recipes!$A$2:$A$500,0)),"")</f>
        <v/>
      </c>
      <c r="C52" s="39" t="inlineStr">
        <is>
          <t>Eggs</t>
        </is>
      </c>
      <c r="D52" s="47" t="n">
        <v>6</v>
      </c>
      <c r="E52" s="37" t="inlineStr">
        <is>
          <t>pc</t>
        </is>
      </c>
      <c r="F52" s="37" t="n"/>
      <c r="G52" s="37" t="inlineStr">
        <is>
          <t>Protein</t>
        </is>
      </c>
      <c r="H52" s="39" t="n"/>
    </row>
    <row r="53" ht="15" customHeight="1" s="26">
      <c r="A53" s="37" t="inlineStr">
        <is>
          <t>R021</t>
        </is>
      </c>
      <c r="B53" s="37">
        <f>IFERROR(INDEX(Recipes!$B$2:$B$500,MATCH(A53,Recipes!$A$2:$A$500,0)),"")</f>
        <v/>
      </c>
      <c r="C53" s="39" t="inlineStr">
        <is>
          <t>Amaranth greens (Nigerian spinach)</t>
        </is>
      </c>
      <c r="D53" s="47" t="n">
        <v>1</v>
      </c>
      <c r="E53" s="37" t="inlineStr">
        <is>
          <t>cup</t>
        </is>
      </c>
      <c r="F53" s="37" t="inlineStr">
        <is>
          <t>P073</t>
        </is>
      </c>
      <c r="G53" s="37" t="inlineStr">
        <is>
          <t>Basket</t>
        </is>
      </c>
      <c r="H53" s="39" t="n"/>
    </row>
    <row r="54" ht="15" customHeight="1" s="26">
      <c r="A54" s="37" t="inlineStr">
        <is>
          <t>R021</t>
        </is>
      </c>
      <c r="B54" s="37">
        <f>IFERROR(INDEX(Recipes!$B$2:$B$500,MATCH(A54,Recipes!$A$2:$A$500,0)),"")</f>
        <v/>
      </c>
      <c r="C54" s="39" t="inlineStr">
        <is>
          <t>Onion (red &amp; white)</t>
        </is>
      </c>
      <c r="D54" s="47" t="n">
        <v>1</v>
      </c>
      <c r="E54" s="37" t="inlineStr">
        <is>
          <t>pc</t>
        </is>
      </c>
      <c r="F54" s="37" t="inlineStr">
        <is>
          <t>P048</t>
        </is>
      </c>
      <c r="G54" s="37" t="inlineStr">
        <is>
          <t>Basket</t>
        </is>
      </c>
      <c r="H54" s="39" t="n"/>
    </row>
    <row r="55" ht="15" customHeight="1" s="26">
      <c r="A55" s="37" t="inlineStr">
        <is>
          <t>R021</t>
        </is>
      </c>
      <c r="B55" s="37">
        <f>IFERROR(INDEX(Recipes!$B$2:$B$500,MATCH(A55,Recipes!$A$2:$A$500,0)),"")</f>
        <v/>
      </c>
      <c r="C55" s="39" t="inlineStr">
        <is>
          <t>Red bell pepper</t>
        </is>
      </c>
      <c r="D55" s="47" t="n">
        <v>1</v>
      </c>
      <c r="E55" s="37" t="inlineStr">
        <is>
          <t>pc</t>
        </is>
      </c>
      <c r="F55" s="37" t="inlineStr">
        <is>
          <t>P044</t>
        </is>
      </c>
      <c r="G55" s="37" t="inlineStr">
        <is>
          <t>Basket</t>
        </is>
      </c>
      <c r="H55" s="39" t="n"/>
    </row>
    <row r="56" ht="15" customHeight="1" s="26">
      <c r="A56" s="37" t="inlineStr">
        <is>
          <t>R021</t>
        </is>
      </c>
      <c r="B56" s="37">
        <f>IFERROR(INDEX(Recipes!$B$2:$B$500,MATCH(A56,Recipes!$A$2:$A$500,0)),"")</f>
        <v/>
      </c>
      <c r="C56" s="39" t="inlineStr">
        <is>
          <t>Scotch bonnet</t>
        </is>
      </c>
      <c r="D56" s="47" t="n">
        <v>0.25</v>
      </c>
      <c r="E56" s="37" t="inlineStr">
        <is>
          <t>pc</t>
        </is>
      </c>
      <c r="F56" s="37" t="inlineStr">
        <is>
          <t>P046</t>
        </is>
      </c>
      <c r="G56" s="37" t="inlineStr">
        <is>
          <t>Basket</t>
        </is>
      </c>
      <c r="H56" s="39" t="n"/>
    </row>
    <row r="57" ht="15" customHeight="1" s="26">
      <c r="A57" s="37" t="inlineStr">
        <is>
          <t>R021</t>
        </is>
      </c>
      <c r="B57" s="37">
        <f>IFERROR(INDEX(Recipes!$B$2:$B$500,MATCH(A57,Recipes!$A$2:$A$500,0)),"")</f>
        <v/>
      </c>
      <c r="C57" s="39" t="inlineStr">
        <is>
          <t>Oil</t>
        </is>
      </c>
      <c r="D57" s="47" t="n">
        <v>1</v>
      </c>
      <c r="E57" s="37" t="inlineStr">
        <is>
          <t>tbsp</t>
        </is>
      </c>
      <c r="F57" s="37" t="n"/>
      <c r="G57" s="37" t="inlineStr">
        <is>
          <t>Staple</t>
        </is>
      </c>
      <c r="H57" s="39" t="n"/>
    </row>
    <row r="58" ht="15" customHeight="1" s="26">
      <c r="A58" s="37" t="inlineStr">
        <is>
          <t>R021</t>
        </is>
      </c>
      <c r="B58" s="37">
        <f>IFERROR(INDEX(Recipes!$B$2:$B$500,MATCH(A58,Recipes!$A$2:$A$500,0)),"")</f>
        <v/>
      </c>
      <c r="C58" s="39" t="inlineStr">
        <is>
          <t>Salt</t>
        </is>
      </c>
      <c r="D58" s="47" t="n">
        <v>1</v>
      </c>
      <c r="E58" s="37" t="inlineStr">
        <is>
          <t>pinch</t>
        </is>
      </c>
      <c r="F58" s="37" t="n"/>
      <c r="G58" s="37" t="inlineStr">
        <is>
          <t>Staple</t>
        </is>
      </c>
      <c r="H58" s="39" t="n"/>
    </row>
    <row r="59" ht="15" customHeight="1" s="26">
      <c r="A59" s="37" t="inlineStr">
        <is>
          <t>R022</t>
        </is>
      </c>
      <c r="B59" s="37">
        <f>IFERROR(INDEX(Recipes!$B$2:$B$500,MATCH(A59,Recipes!$A$2:$A$500,0)),"")</f>
        <v/>
      </c>
      <c r="C59" s="39" t="inlineStr">
        <is>
          <t>Greek yoghurt</t>
        </is>
      </c>
      <c r="D59" s="47" t="n">
        <v>1.5</v>
      </c>
      <c r="E59" s="37" t="inlineStr">
        <is>
          <t>cups</t>
        </is>
      </c>
      <c r="F59" s="37" t="n"/>
      <c r="G59" s="37" t="inlineStr">
        <is>
          <t>Pantry</t>
        </is>
      </c>
      <c r="H59" s="39" t="n"/>
    </row>
    <row r="60" ht="15" customHeight="1" s="26">
      <c r="A60" s="37" t="inlineStr">
        <is>
          <t>R022</t>
        </is>
      </c>
      <c r="B60" s="37">
        <f>IFERROR(INDEX(Recipes!$B$2:$B$500,MATCH(A60,Recipes!$A$2:$A$500,0)),"")</f>
        <v/>
      </c>
      <c r="C60" s="39" t="inlineStr">
        <is>
          <t>Pineapple</t>
        </is>
      </c>
      <c r="D60" s="47" t="n">
        <v>1</v>
      </c>
      <c r="E60" s="37" t="inlineStr">
        <is>
          <t>cup</t>
        </is>
      </c>
      <c r="F60" s="37" t="inlineStr">
        <is>
          <t>P003</t>
        </is>
      </c>
      <c r="G60" s="37" t="inlineStr">
        <is>
          <t>Basket</t>
        </is>
      </c>
      <c r="H60" s="39" t="inlineStr">
        <is>
          <t>diced</t>
        </is>
      </c>
    </row>
    <row r="61" ht="15" customHeight="1" s="26">
      <c r="A61" s="37" t="inlineStr">
        <is>
          <t>R022</t>
        </is>
      </c>
      <c r="B61" s="37">
        <f>IFERROR(INDEX(Recipes!$B$2:$B$500,MATCH(A61,Recipes!$A$2:$A$500,0)),"")</f>
        <v/>
      </c>
      <c r="C61" s="39" t="inlineStr">
        <is>
          <t>Banana</t>
        </is>
      </c>
      <c r="D61" s="47" t="n">
        <v>1</v>
      </c>
      <c r="E61" s="37" t="inlineStr">
        <is>
          <t>pc</t>
        </is>
      </c>
      <c r="F61" s="37" t="inlineStr">
        <is>
          <t>P001</t>
        </is>
      </c>
      <c r="G61" s="37" t="inlineStr">
        <is>
          <t>Basket</t>
        </is>
      </c>
      <c r="H61" s="39" t="n"/>
    </row>
    <row r="62" ht="15" customHeight="1" s="26">
      <c r="A62" s="37" t="inlineStr">
        <is>
          <t>R022</t>
        </is>
      </c>
      <c r="B62" s="37">
        <f>IFERROR(INDEX(Recipes!$B$2:$B$500,MATCH(A62,Recipes!$A$2:$A$500,0)),"")</f>
        <v/>
      </c>
      <c r="C62" s="39" t="inlineStr">
        <is>
          <t>Mango</t>
        </is>
      </c>
      <c r="D62" s="47" t="n">
        <v>0.5</v>
      </c>
      <c r="E62" s="37" t="inlineStr">
        <is>
          <t>pc</t>
        </is>
      </c>
      <c r="F62" s="37" t="inlineStr">
        <is>
          <t>P006</t>
        </is>
      </c>
      <c r="G62" s="37" t="inlineStr">
        <is>
          <t>Basket</t>
        </is>
      </c>
      <c r="H62" s="39" t="n"/>
    </row>
    <row r="63" ht="15" customHeight="1" s="26">
      <c r="A63" s="37" t="inlineStr">
        <is>
          <t>R022</t>
        </is>
      </c>
      <c r="B63" s="37">
        <f>IFERROR(INDEX(Recipes!$B$2:$B$500,MATCH(A63,Recipes!$A$2:$A$500,0)),"")</f>
        <v/>
      </c>
      <c r="C63" s="39" t="inlineStr">
        <is>
          <t>Tiger nut</t>
        </is>
      </c>
      <c r="D63" s="47" t="n">
        <v>3</v>
      </c>
      <c r="E63" s="37" t="inlineStr">
        <is>
          <t>tbsp</t>
        </is>
      </c>
      <c r="F63" s="37" t="inlineStr">
        <is>
          <t>P024</t>
        </is>
      </c>
      <c r="G63" s="37" t="inlineStr">
        <is>
          <t>Basket</t>
        </is>
      </c>
      <c r="H63" s="39" t="inlineStr">
        <is>
          <t>chopped</t>
        </is>
      </c>
    </row>
    <row r="64" ht="15" customHeight="1" s="26">
      <c r="A64" s="37" t="inlineStr">
        <is>
          <t>R022</t>
        </is>
      </c>
      <c r="B64" s="37">
        <f>IFERROR(INDEX(Recipes!$B$2:$B$500,MATCH(A64,Recipes!$A$2:$A$500,0)),"")</f>
        <v/>
      </c>
      <c r="C64" s="39" t="inlineStr">
        <is>
          <t>Coconut</t>
        </is>
      </c>
      <c r="D64" s="47" t="n">
        <v>2</v>
      </c>
      <c r="E64" s="37" t="inlineStr">
        <is>
          <t>tbsp</t>
        </is>
      </c>
      <c r="F64" s="37" t="inlineStr">
        <is>
          <t>P016</t>
        </is>
      </c>
      <c r="G64" s="37" t="inlineStr">
        <is>
          <t>Basket</t>
        </is>
      </c>
      <c r="H64" s="39" t="inlineStr">
        <is>
          <t>grated</t>
        </is>
      </c>
    </row>
    <row r="65" ht="15" customHeight="1" s="26">
      <c r="A65" s="37" t="inlineStr">
        <is>
          <t>R022</t>
        </is>
      </c>
      <c r="B65" s="37">
        <f>IFERROR(INDEX(Recipes!$B$2:$B$500,MATCH(A65,Recipes!$A$2:$A$500,0)),"")</f>
        <v/>
      </c>
      <c r="C65" s="39" t="inlineStr">
        <is>
          <t>Honey</t>
        </is>
      </c>
      <c r="D65" s="47" t="n">
        <v>1</v>
      </c>
      <c r="E65" s="37" t="inlineStr">
        <is>
          <t>tbsp</t>
        </is>
      </c>
      <c r="F65" s="37" t="n"/>
      <c r="G65" s="37" t="inlineStr">
        <is>
          <t>Pantry</t>
        </is>
      </c>
      <c r="H65" s="39" t="n"/>
    </row>
    <row r="66" ht="15" customHeight="1" s="26">
      <c r="A66" s="37" t="inlineStr">
        <is>
          <t>R023</t>
        </is>
      </c>
      <c r="B66" s="37">
        <f>IFERROR(INDEX(Recipes!$B$2:$B$500,MATCH(A66,Recipes!$A$2:$A$500,0)),"")</f>
        <v/>
      </c>
      <c r="C66" s="39" t="inlineStr">
        <is>
          <t>Chia seeds</t>
        </is>
      </c>
      <c r="D66" s="47" t="n">
        <v>4</v>
      </c>
      <c r="E66" s="37" t="inlineStr">
        <is>
          <t>tbsp</t>
        </is>
      </c>
      <c r="F66" s="37" t="n"/>
      <c r="G66" s="37" t="inlineStr">
        <is>
          <t>Pantry</t>
        </is>
      </c>
      <c r="H66" s="39" t="n"/>
    </row>
    <row r="67" ht="15" customHeight="1" s="26">
      <c r="A67" s="37" t="inlineStr">
        <is>
          <t>R023</t>
        </is>
      </c>
      <c r="B67" s="37">
        <f>IFERROR(INDEX(Recipes!$B$2:$B$500,MATCH(A67,Recipes!$A$2:$A$500,0)),"")</f>
        <v/>
      </c>
      <c r="C67" s="39" t="inlineStr">
        <is>
          <t>Coconut</t>
        </is>
      </c>
      <c r="D67" s="47" t="n">
        <v>0.5</v>
      </c>
      <c r="E67" s="37" t="inlineStr">
        <is>
          <t>pc</t>
        </is>
      </c>
      <c r="F67" s="37" t="inlineStr">
        <is>
          <t>P016</t>
        </is>
      </c>
      <c r="G67" s="37" t="inlineStr">
        <is>
          <t>Basket</t>
        </is>
      </c>
      <c r="H67" s="39" t="inlineStr">
        <is>
          <t>for 1 cup fresh milk</t>
        </is>
      </c>
    </row>
    <row r="68" ht="15" customHeight="1" s="26">
      <c r="A68" s="37" t="inlineStr">
        <is>
          <t>R023</t>
        </is>
      </c>
      <c r="B68" s="37">
        <f>IFERROR(INDEX(Recipes!$B$2:$B$500,MATCH(A68,Recipes!$A$2:$A$500,0)),"")</f>
        <v/>
      </c>
      <c r="C68" s="39" t="inlineStr">
        <is>
          <t>Dates</t>
        </is>
      </c>
      <c r="D68" s="47" t="n">
        <v>2</v>
      </c>
      <c r="E68" s="37" t="inlineStr">
        <is>
          <t>pc</t>
        </is>
      </c>
      <c r="F68" s="37" t="inlineStr">
        <is>
          <t>P030</t>
        </is>
      </c>
      <c r="G68" s="37" t="inlineStr">
        <is>
          <t>Basket</t>
        </is>
      </c>
      <c r="H68" s="39" t="inlineStr">
        <is>
          <t>pitted</t>
        </is>
      </c>
    </row>
    <row r="69" ht="15" customHeight="1" s="26">
      <c r="A69" s="37" t="inlineStr">
        <is>
          <t>R023</t>
        </is>
      </c>
      <c r="B69" s="37">
        <f>IFERROR(INDEX(Recipes!$B$2:$B$500,MATCH(A69,Recipes!$A$2:$A$500,0)),"")</f>
        <v/>
      </c>
      <c r="C69" s="39" t="inlineStr">
        <is>
          <t>Mango</t>
        </is>
      </c>
      <c r="D69" s="47" t="n">
        <v>1</v>
      </c>
      <c r="E69" s="37" t="inlineStr">
        <is>
          <t>pc</t>
        </is>
      </c>
      <c r="F69" s="37" t="inlineStr">
        <is>
          <t>P006</t>
        </is>
      </c>
      <c r="G69" s="37" t="inlineStr">
        <is>
          <t>Basket</t>
        </is>
      </c>
      <c r="H69" s="39" t="inlineStr">
        <is>
          <t>diced</t>
        </is>
      </c>
    </row>
    <row r="70" ht="15" customHeight="1" s="26">
      <c r="A70" s="37" t="inlineStr">
        <is>
          <t>R023</t>
        </is>
      </c>
      <c r="B70" s="37">
        <f>IFERROR(INDEX(Recipes!$B$2:$B$500,MATCH(A70,Recipes!$A$2:$A$500,0)),"")</f>
        <v/>
      </c>
      <c r="C70" s="39" t="inlineStr">
        <is>
          <t>Lime</t>
        </is>
      </c>
      <c r="D70" s="47" t="n">
        <v>1</v>
      </c>
      <c r="E70" s="37" t="inlineStr">
        <is>
          <t>pc</t>
        </is>
      </c>
      <c r="F70" s="37" t="inlineStr">
        <is>
          <t>P010</t>
        </is>
      </c>
      <c r="G70" s="37" t="inlineStr">
        <is>
          <t>Basket</t>
        </is>
      </c>
      <c r="H70" s="39" t="inlineStr">
        <is>
          <t>zest</t>
        </is>
      </c>
    </row>
    <row r="71" ht="15" customHeight="1" s="26">
      <c r="A71" s="37" t="inlineStr">
        <is>
          <t>R024</t>
        </is>
      </c>
      <c r="B71" s="37">
        <f>IFERROR(INDEX(Recipes!$B$2:$B$500,MATCH(A71,Recipes!$A$2:$A$500,0)),"")</f>
        <v/>
      </c>
      <c r="C71" s="39" t="inlineStr">
        <is>
          <t>Watermelon</t>
        </is>
      </c>
      <c r="D71" s="47" t="n">
        <v>2</v>
      </c>
      <c r="E71" s="37" t="inlineStr">
        <is>
          <t>cups</t>
        </is>
      </c>
      <c r="F71" s="37" t="inlineStr">
        <is>
          <t>P004</t>
        </is>
      </c>
      <c r="G71" s="37" t="inlineStr">
        <is>
          <t>Basket</t>
        </is>
      </c>
      <c r="H71" s="39" t="inlineStr">
        <is>
          <t>spears</t>
        </is>
      </c>
    </row>
    <row r="72" ht="15" customHeight="1" s="26">
      <c r="A72" s="37" t="inlineStr">
        <is>
          <t>R024</t>
        </is>
      </c>
      <c r="B72" s="37">
        <f>IFERROR(INDEX(Recipes!$B$2:$B$500,MATCH(A72,Recipes!$A$2:$A$500,0)),"")</f>
        <v/>
      </c>
      <c r="C72" s="39" t="inlineStr">
        <is>
          <t>Pineapple</t>
        </is>
      </c>
      <c r="D72" s="47" t="n">
        <v>1</v>
      </c>
      <c r="E72" s="37" t="inlineStr">
        <is>
          <t>cup</t>
        </is>
      </c>
      <c r="F72" s="37" t="inlineStr">
        <is>
          <t>P003</t>
        </is>
      </c>
      <c r="G72" s="37" t="inlineStr">
        <is>
          <t>Basket</t>
        </is>
      </c>
      <c r="H72" s="39" t="n"/>
    </row>
    <row r="73" ht="15" customHeight="1" s="26">
      <c r="A73" s="37" t="inlineStr">
        <is>
          <t>R024</t>
        </is>
      </c>
      <c r="B73" s="37">
        <f>IFERROR(INDEX(Recipes!$B$2:$B$500,MATCH(A73,Recipes!$A$2:$A$500,0)),"")</f>
        <v/>
      </c>
      <c r="C73" s="39" t="inlineStr">
        <is>
          <t>Pawpaw (papaya)</t>
        </is>
      </c>
      <c r="D73" s="47" t="n">
        <v>1</v>
      </c>
      <c r="E73" s="37" t="inlineStr">
        <is>
          <t>cup</t>
        </is>
      </c>
      <c r="F73" s="37" t="inlineStr">
        <is>
          <t>P005</t>
        </is>
      </c>
      <c r="G73" s="37" t="inlineStr">
        <is>
          <t>Basket</t>
        </is>
      </c>
      <c r="H73" s="39" t="n"/>
    </row>
    <row r="74" ht="15" customHeight="1" s="26">
      <c r="A74" s="37" t="inlineStr">
        <is>
          <t>R024</t>
        </is>
      </c>
      <c r="B74" s="37">
        <f>IFERROR(INDEX(Recipes!$B$2:$B$500,MATCH(A74,Recipes!$A$2:$A$500,0)),"")</f>
        <v/>
      </c>
      <c r="C74" s="39" t="inlineStr">
        <is>
          <t>Cucumber</t>
        </is>
      </c>
      <c r="D74" s="47" t="n">
        <v>1</v>
      </c>
      <c r="E74" s="37" t="inlineStr">
        <is>
          <t>pc</t>
        </is>
      </c>
      <c r="F74" s="37" t="inlineStr">
        <is>
          <t>P054</t>
        </is>
      </c>
      <c r="G74" s="37" t="inlineStr">
        <is>
          <t>Basket</t>
        </is>
      </c>
      <c r="H74" s="39" t="inlineStr">
        <is>
          <t>spears</t>
        </is>
      </c>
    </row>
    <row r="75" ht="15" customHeight="1" s="26">
      <c r="A75" s="37" t="inlineStr">
        <is>
          <t>R024</t>
        </is>
      </c>
      <c r="B75" s="37">
        <f>IFERROR(INDEX(Recipes!$B$2:$B$500,MATCH(A75,Recipes!$A$2:$A$500,0)),"")</f>
        <v/>
      </c>
      <c r="C75" s="39" t="inlineStr">
        <is>
          <t>Mango</t>
        </is>
      </c>
      <c r="D75" s="47" t="n">
        <v>0.5</v>
      </c>
      <c r="E75" s="37" t="inlineStr">
        <is>
          <t>pc</t>
        </is>
      </c>
      <c r="F75" s="37" t="inlineStr">
        <is>
          <t>P006</t>
        </is>
      </c>
      <c r="G75" s="37" t="inlineStr">
        <is>
          <t>Basket</t>
        </is>
      </c>
      <c r="H75" s="39" t="inlineStr">
        <is>
          <t>in season</t>
        </is>
      </c>
    </row>
    <row r="76" ht="15" customHeight="1" s="26">
      <c r="A76" s="37" t="inlineStr">
        <is>
          <t>R024</t>
        </is>
      </c>
      <c r="B76" s="37">
        <f>IFERROR(INDEX(Recipes!$B$2:$B$500,MATCH(A76,Recipes!$A$2:$A$500,0)),"")</f>
        <v/>
      </c>
      <c r="C76" s="39" t="inlineStr">
        <is>
          <t>Lime</t>
        </is>
      </c>
      <c r="D76" s="47" t="n">
        <v>2</v>
      </c>
      <c r="E76" s="37" t="inlineStr">
        <is>
          <t>pc</t>
        </is>
      </c>
      <c r="F76" s="37" t="inlineStr">
        <is>
          <t>P010</t>
        </is>
      </c>
      <c r="G76" s="37" t="inlineStr">
        <is>
          <t>Basket</t>
        </is>
      </c>
      <c r="H76" s="39" t="n"/>
    </row>
    <row r="77" ht="15" customHeight="1" s="26">
      <c r="A77" s="37" t="inlineStr">
        <is>
          <t>R024</t>
        </is>
      </c>
      <c r="B77" s="37">
        <f>IFERROR(INDEX(Recipes!$B$2:$B$500,MATCH(A77,Recipes!$A$2:$A$500,0)),"")</f>
        <v/>
      </c>
      <c r="C77" s="39" t="inlineStr">
        <is>
          <t>Yaji (suya spice)</t>
        </is>
      </c>
      <c r="D77" s="47" t="n">
        <v>1</v>
      </c>
      <c r="E77" s="37" t="inlineStr">
        <is>
          <t>tsp</t>
        </is>
      </c>
      <c r="F77" s="37" t="n"/>
      <c r="G77" s="37" t="inlineStr">
        <is>
          <t>Pantry</t>
        </is>
      </c>
      <c r="H77" s="39" t="n"/>
    </row>
    <row r="78" ht="15" customHeight="1" s="26">
      <c r="A78" s="37" t="inlineStr">
        <is>
          <t>R024</t>
        </is>
      </c>
      <c r="B78" s="37">
        <f>IFERROR(INDEX(Recipes!$B$2:$B$500,MATCH(A78,Recipes!$A$2:$A$500,0)),"")</f>
        <v/>
      </c>
      <c r="C78" s="39" t="inlineStr">
        <is>
          <t>Salt</t>
        </is>
      </c>
      <c r="D78" s="47" t="n">
        <v>1</v>
      </c>
      <c r="E78" s="37" t="inlineStr">
        <is>
          <t>pinch</t>
        </is>
      </c>
      <c r="F78" s="37" t="n"/>
      <c r="G78" s="37" t="inlineStr">
        <is>
          <t>Staple</t>
        </is>
      </c>
      <c r="H78" s="39" t="n"/>
    </row>
    <row r="79" ht="15" customHeight="1" s="26">
      <c r="A79" s="37" t="inlineStr">
        <is>
          <t>R025</t>
        </is>
      </c>
      <c r="B79" s="37">
        <f>IFERROR(INDEX(Recipes!$B$2:$B$500,MATCH(A79,Recipes!$A$2:$A$500,0)),"")</f>
        <v/>
      </c>
      <c r="C79" s="39" t="inlineStr">
        <is>
          <t>Garden egg</t>
        </is>
      </c>
      <c r="D79" s="47" t="n">
        <v>4</v>
      </c>
      <c r="E79" s="37" t="inlineStr">
        <is>
          <t>pc</t>
        </is>
      </c>
      <c r="F79" s="37" t="inlineStr">
        <is>
          <t>P061</t>
        </is>
      </c>
      <c r="G79" s="37" t="inlineStr">
        <is>
          <t>Basket</t>
        </is>
      </c>
      <c r="H79" s="39" t="n"/>
    </row>
    <row r="80" ht="15" customHeight="1" s="26">
      <c r="A80" s="37" t="inlineStr">
        <is>
          <t>R025</t>
        </is>
      </c>
      <c r="B80" s="37">
        <f>IFERROR(INDEX(Recipes!$B$2:$B$500,MATCH(A80,Recipes!$A$2:$A$500,0)),"")</f>
        <v/>
      </c>
      <c r="C80" s="39" t="inlineStr">
        <is>
          <t>Tomato (plum)</t>
        </is>
      </c>
      <c r="D80" s="47" t="n">
        <v>3</v>
      </c>
      <c r="E80" s="37" t="inlineStr">
        <is>
          <t>pc</t>
        </is>
      </c>
      <c r="F80" s="37" t="inlineStr">
        <is>
          <t>P042</t>
        </is>
      </c>
      <c r="G80" s="37" t="inlineStr">
        <is>
          <t>Basket</t>
        </is>
      </c>
      <c r="H80" s="39" t="n"/>
    </row>
    <row r="81" ht="15" customHeight="1" s="26">
      <c r="A81" s="37" t="inlineStr">
        <is>
          <t>R025</t>
        </is>
      </c>
      <c r="B81" s="37">
        <f>IFERROR(INDEX(Recipes!$B$2:$B$500,MATCH(A81,Recipes!$A$2:$A$500,0)),"")</f>
        <v/>
      </c>
      <c r="C81" s="39" t="inlineStr">
        <is>
          <t>Cucumber</t>
        </is>
      </c>
      <c r="D81" s="47" t="n">
        <v>1</v>
      </c>
      <c r="E81" s="37" t="inlineStr">
        <is>
          <t>pc</t>
        </is>
      </c>
      <c r="F81" s="37" t="inlineStr">
        <is>
          <t>P054</t>
        </is>
      </c>
      <c r="G81" s="37" t="inlineStr">
        <is>
          <t>Basket</t>
        </is>
      </c>
      <c r="H81" s="39" t="n"/>
    </row>
    <row r="82" ht="15" customHeight="1" s="26">
      <c r="A82" s="37" t="inlineStr">
        <is>
          <t>R025</t>
        </is>
      </c>
      <c r="B82" s="37">
        <f>IFERROR(INDEX(Recipes!$B$2:$B$500,MATCH(A82,Recipes!$A$2:$A$500,0)),"")</f>
        <v/>
      </c>
      <c r="C82" s="39" t="inlineStr">
        <is>
          <t>Onion (red &amp; white)</t>
        </is>
      </c>
      <c r="D82" s="47" t="n">
        <v>0.5</v>
      </c>
      <c r="E82" s="37" t="inlineStr">
        <is>
          <t>pc</t>
        </is>
      </c>
      <c r="F82" s="37" t="inlineStr">
        <is>
          <t>P048</t>
        </is>
      </c>
      <c r="G82" s="37" t="inlineStr">
        <is>
          <t>Basket</t>
        </is>
      </c>
      <c r="H82" s="39" t="inlineStr">
        <is>
          <t>red</t>
        </is>
      </c>
    </row>
    <row r="83" ht="15" customHeight="1" s="26">
      <c r="A83" s="37" t="inlineStr">
        <is>
          <t>R025</t>
        </is>
      </c>
      <c r="B83" s="37">
        <f>IFERROR(INDEX(Recipes!$B$2:$B$500,MATCH(A83,Recipes!$A$2:$A$500,0)),"")</f>
        <v/>
      </c>
      <c r="C83" s="39" t="inlineStr">
        <is>
          <t>Parsley</t>
        </is>
      </c>
      <c r="D83" s="47" t="n">
        <v>0.5</v>
      </c>
      <c r="E83" s="37" t="inlineStr">
        <is>
          <t>bunch</t>
        </is>
      </c>
      <c r="F83" s="37" t="inlineStr">
        <is>
          <t>P081</t>
        </is>
      </c>
      <c r="G83" s="37" t="inlineStr">
        <is>
          <t>Basket</t>
        </is>
      </c>
      <c r="H83" s="39" t="inlineStr">
        <is>
          <t>or scent leaf</t>
        </is>
      </c>
    </row>
    <row r="84" ht="15" customHeight="1" s="26">
      <c r="A84" s="37" t="inlineStr">
        <is>
          <t>R025</t>
        </is>
      </c>
      <c r="B84" s="37">
        <f>IFERROR(INDEX(Recipes!$B$2:$B$500,MATCH(A84,Recipes!$A$2:$A$500,0)),"")</f>
        <v/>
      </c>
      <c r="C84" s="39" t="inlineStr">
        <is>
          <t>Lemon</t>
        </is>
      </c>
      <c r="D84" s="47" t="n">
        <v>1</v>
      </c>
      <c r="E84" s="37" t="inlineStr">
        <is>
          <t>pc</t>
        </is>
      </c>
      <c r="F84" s="37" t="inlineStr">
        <is>
          <t>P009</t>
        </is>
      </c>
      <c r="G84" s="37" t="inlineStr">
        <is>
          <t>Basket</t>
        </is>
      </c>
      <c r="H84" s="39" t="inlineStr">
        <is>
          <t>juiced</t>
        </is>
      </c>
    </row>
    <row r="85" ht="15" customHeight="1" s="26">
      <c r="A85" s="37" t="inlineStr">
        <is>
          <t>R025</t>
        </is>
      </c>
      <c r="B85" s="37">
        <f>IFERROR(INDEX(Recipes!$B$2:$B$500,MATCH(A85,Recipes!$A$2:$A$500,0)),"")</f>
        <v/>
      </c>
      <c r="C85" s="39" t="inlineStr">
        <is>
          <t>Olive oil</t>
        </is>
      </c>
      <c r="D85" s="47" t="n">
        <v>2</v>
      </c>
      <c r="E85" s="37" t="inlineStr">
        <is>
          <t>tbsp</t>
        </is>
      </c>
      <c r="F85" s="37" t="n"/>
      <c r="G85" s="37" t="inlineStr">
        <is>
          <t>Staple</t>
        </is>
      </c>
      <c r="H85" s="39" t="n"/>
    </row>
    <row r="86" ht="15" customHeight="1" s="26">
      <c r="A86" s="37" t="inlineStr">
        <is>
          <t>R025</t>
        </is>
      </c>
      <c r="B86" s="37">
        <f>IFERROR(INDEX(Recipes!$B$2:$B$500,MATCH(A86,Recipes!$A$2:$A$500,0)),"")</f>
        <v/>
      </c>
      <c r="C86" s="39" t="inlineStr">
        <is>
          <t>Salt</t>
        </is>
      </c>
      <c r="D86" s="47" t="n">
        <v>1</v>
      </c>
      <c r="E86" s="37" t="inlineStr">
        <is>
          <t>pinch</t>
        </is>
      </c>
      <c r="F86" s="37" t="n"/>
      <c r="G86" s="37" t="inlineStr">
        <is>
          <t>Staple</t>
        </is>
      </c>
      <c r="H86" s="39" t="n"/>
    </row>
    <row r="87" ht="15" customHeight="1" s="26">
      <c r="A87" s="37" t="inlineStr">
        <is>
          <t>R026</t>
        </is>
      </c>
      <c r="B87" s="37">
        <f>IFERROR(INDEX(Recipes!$B$2:$B$500,MATCH(A87,Recipes!$A$2:$A$500,0)),"")</f>
        <v/>
      </c>
      <c r="C87" s="39" t="inlineStr">
        <is>
          <t>Chicken breast</t>
        </is>
      </c>
      <c r="D87" s="47" t="n">
        <v>2</v>
      </c>
      <c r="E87" s="37" t="inlineStr">
        <is>
          <t>pc</t>
        </is>
      </c>
      <c r="F87" s="37" t="n"/>
      <c r="G87" s="37" t="inlineStr">
        <is>
          <t>Protein</t>
        </is>
      </c>
      <c r="H87" s="39" t="n"/>
    </row>
    <row r="88" ht="15" customHeight="1" s="26">
      <c r="A88" s="37" t="inlineStr">
        <is>
          <t>R026</t>
        </is>
      </c>
      <c r="B88" s="37">
        <f>IFERROR(INDEX(Recipes!$B$2:$B$500,MATCH(A88,Recipes!$A$2:$A$500,0)),"")</f>
        <v/>
      </c>
      <c r="C88" s="39" t="inlineStr">
        <is>
          <t>Pineapple</t>
        </is>
      </c>
      <c r="D88" s="47" t="n">
        <v>0.25</v>
      </c>
      <c r="E88" s="37" t="inlineStr">
        <is>
          <t>pc</t>
        </is>
      </c>
      <c r="F88" s="37" t="inlineStr">
        <is>
          <t>P003</t>
        </is>
      </c>
      <c r="G88" s="37" t="inlineStr">
        <is>
          <t>Basket</t>
        </is>
      </c>
      <c r="H88" s="39" t="inlineStr">
        <is>
          <t>in rings</t>
        </is>
      </c>
    </row>
    <row r="89" ht="15" customHeight="1" s="26">
      <c r="A89" s="37" t="inlineStr">
        <is>
          <t>R026</t>
        </is>
      </c>
      <c r="B89" s="37">
        <f>IFERROR(INDEX(Recipes!$B$2:$B$500,MATCH(A89,Recipes!$A$2:$A$500,0)),"")</f>
        <v/>
      </c>
      <c r="C89" s="39" t="inlineStr">
        <is>
          <t>Lettuce (iceberg / romaine / local)</t>
        </is>
      </c>
      <c r="D89" s="47" t="n">
        <v>1</v>
      </c>
      <c r="E89" s="37" t="inlineStr">
        <is>
          <t>head</t>
        </is>
      </c>
      <c r="F89" s="37" t="inlineStr">
        <is>
          <t>P058</t>
        </is>
      </c>
      <c r="G89" s="37" t="inlineStr">
        <is>
          <t>Basket</t>
        </is>
      </c>
      <c r="H89" s="39" t="n"/>
    </row>
    <row r="90" ht="15" customHeight="1" s="26">
      <c r="A90" s="37" t="inlineStr">
        <is>
          <t>R026</t>
        </is>
      </c>
      <c r="B90" s="37">
        <f>IFERROR(INDEX(Recipes!$B$2:$B$500,MATCH(A90,Recipes!$A$2:$A$500,0)),"")</f>
        <v/>
      </c>
      <c r="C90" s="39" t="inlineStr">
        <is>
          <t>Cucumber</t>
        </is>
      </c>
      <c r="D90" s="47" t="n">
        <v>1</v>
      </c>
      <c r="E90" s="37" t="inlineStr">
        <is>
          <t>pc</t>
        </is>
      </c>
      <c r="F90" s="37" t="inlineStr">
        <is>
          <t>P054</t>
        </is>
      </c>
      <c r="G90" s="37" t="inlineStr">
        <is>
          <t>Basket</t>
        </is>
      </c>
      <c r="H90" s="39" t="n"/>
    </row>
    <row r="91" ht="15" customHeight="1" s="26">
      <c r="A91" s="37" t="inlineStr">
        <is>
          <t>R026</t>
        </is>
      </c>
      <c r="B91" s="37">
        <f>IFERROR(INDEX(Recipes!$B$2:$B$500,MATCH(A91,Recipes!$A$2:$A$500,0)),"")</f>
        <v/>
      </c>
      <c r="C91" s="39" t="inlineStr">
        <is>
          <t>Red bell pepper</t>
        </is>
      </c>
      <c r="D91" s="47" t="n">
        <v>1</v>
      </c>
      <c r="E91" s="37" t="inlineStr">
        <is>
          <t>pc</t>
        </is>
      </c>
      <c r="F91" s="37" t="inlineStr">
        <is>
          <t>P044</t>
        </is>
      </c>
      <c r="G91" s="37" t="inlineStr">
        <is>
          <t>Basket</t>
        </is>
      </c>
      <c r="H91" s="39" t="n"/>
    </row>
    <row r="92" ht="15" customHeight="1" s="26">
      <c r="A92" s="37" t="inlineStr">
        <is>
          <t>R026</t>
        </is>
      </c>
      <c r="B92" s="37">
        <f>IFERROR(INDEX(Recipes!$B$2:$B$500,MATCH(A92,Recipes!$A$2:$A$500,0)),"")</f>
        <v/>
      </c>
      <c r="C92" s="39" t="inlineStr">
        <is>
          <t>Spring onion</t>
        </is>
      </c>
      <c r="D92" s="47" t="n">
        <v>1</v>
      </c>
      <c r="E92" s="37" t="inlineStr">
        <is>
          <t>stalk</t>
        </is>
      </c>
      <c r="F92" s="37" t="inlineStr">
        <is>
          <t>P049</t>
        </is>
      </c>
      <c r="G92" s="37" t="inlineStr">
        <is>
          <t>Basket</t>
        </is>
      </c>
      <c r="H92" s="39" t="n"/>
    </row>
    <row r="93" ht="15" customHeight="1" s="26">
      <c r="A93" s="37" t="inlineStr">
        <is>
          <t>R026</t>
        </is>
      </c>
      <c r="B93" s="37">
        <f>IFERROR(INDEX(Recipes!$B$2:$B$500,MATCH(A93,Recipes!$A$2:$A$500,0)),"")</f>
        <v/>
      </c>
      <c r="C93" s="39" t="inlineStr">
        <is>
          <t>Lime</t>
        </is>
      </c>
      <c r="D93" s="47" t="n">
        <v>1</v>
      </c>
      <c r="E93" s="37" t="inlineStr">
        <is>
          <t>pc</t>
        </is>
      </c>
      <c r="F93" s="37" t="inlineStr">
        <is>
          <t>P010</t>
        </is>
      </c>
      <c r="G93" s="37" t="inlineStr">
        <is>
          <t>Basket</t>
        </is>
      </c>
      <c r="H93" s="39" t="n"/>
    </row>
    <row r="94" ht="15" customHeight="1" s="26">
      <c r="A94" s="37" t="inlineStr">
        <is>
          <t>R026</t>
        </is>
      </c>
      <c r="B94" s="37">
        <f>IFERROR(INDEX(Recipes!$B$2:$B$500,MATCH(A94,Recipes!$A$2:$A$500,0)),"")</f>
        <v/>
      </c>
      <c r="C94" s="39" t="inlineStr">
        <is>
          <t>Yaji (suya spice)</t>
        </is>
      </c>
      <c r="D94" s="47" t="n">
        <v>1</v>
      </c>
      <c r="E94" s="37" t="inlineStr">
        <is>
          <t>tsp</t>
        </is>
      </c>
      <c r="F94" s="37" t="n"/>
      <c r="G94" s="37" t="inlineStr">
        <is>
          <t>Pantry</t>
        </is>
      </c>
      <c r="H94" s="39" t="n"/>
    </row>
    <row r="95" ht="15" customHeight="1" s="26">
      <c r="A95" s="37" t="inlineStr">
        <is>
          <t>R026</t>
        </is>
      </c>
      <c r="B95" s="37">
        <f>IFERROR(INDEX(Recipes!$B$2:$B$500,MATCH(A95,Recipes!$A$2:$A$500,0)),"")</f>
        <v/>
      </c>
      <c r="C95" s="39" t="inlineStr">
        <is>
          <t>Honey</t>
        </is>
      </c>
      <c r="D95" s="47" t="n">
        <v>1</v>
      </c>
      <c r="E95" s="37" t="inlineStr">
        <is>
          <t>tsp</t>
        </is>
      </c>
      <c r="F95" s="37" t="n"/>
      <c r="G95" s="37" t="inlineStr">
        <is>
          <t>Pantry</t>
        </is>
      </c>
      <c r="H95" s="39" t="n"/>
    </row>
    <row r="96" ht="15" customHeight="1" s="26">
      <c r="A96" s="37" t="inlineStr">
        <is>
          <t>R026</t>
        </is>
      </c>
      <c r="B96" s="37">
        <f>IFERROR(INDEX(Recipes!$B$2:$B$500,MATCH(A96,Recipes!$A$2:$A$500,0)),"")</f>
        <v/>
      </c>
      <c r="C96" s="39" t="inlineStr">
        <is>
          <t>Olive oil</t>
        </is>
      </c>
      <c r="D96" s="47" t="n">
        <v>2</v>
      </c>
      <c r="E96" s="37" t="inlineStr">
        <is>
          <t>tbsp</t>
        </is>
      </c>
      <c r="F96" s="37" t="n"/>
      <c r="G96" s="37" t="inlineStr">
        <is>
          <t>Staple</t>
        </is>
      </c>
      <c r="H96" s="39" t="n"/>
    </row>
    <row r="97" ht="15" customHeight="1" s="26">
      <c r="A97" s="37" t="inlineStr">
        <is>
          <t>R027</t>
        </is>
      </c>
      <c r="B97" s="37">
        <f>IFERROR(INDEX(Recipes!$B$2:$B$500,MATCH(A97,Recipes!$A$2:$A$500,0)),"")</f>
        <v/>
      </c>
      <c r="C97" s="39" t="inlineStr">
        <is>
          <t>Avocado</t>
        </is>
      </c>
      <c r="D97" s="47" t="n">
        <v>1</v>
      </c>
      <c r="E97" s="37" t="inlineStr">
        <is>
          <t>pc</t>
        </is>
      </c>
      <c r="F97" s="37" t="inlineStr">
        <is>
          <t>P012</t>
        </is>
      </c>
      <c r="G97" s="37" t="inlineStr">
        <is>
          <t>Basket</t>
        </is>
      </c>
      <c r="H97" s="39" t="n"/>
    </row>
    <row r="98" ht="15" customHeight="1" s="26">
      <c r="A98" s="37" t="inlineStr">
        <is>
          <t>R027</t>
        </is>
      </c>
      <c r="B98" s="37">
        <f>IFERROR(INDEX(Recipes!$B$2:$B$500,MATCH(A98,Recipes!$A$2:$A$500,0)),"")</f>
        <v/>
      </c>
      <c r="C98" s="39" t="inlineStr">
        <is>
          <t>Mango</t>
        </is>
      </c>
      <c r="D98" s="47" t="n">
        <v>1</v>
      </c>
      <c r="E98" s="37" t="inlineStr">
        <is>
          <t>pc</t>
        </is>
      </c>
      <c r="F98" s="37" t="inlineStr">
        <is>
          <t>P006</t>
        </is>
      </c>
      <c r="G98" s="37" t="inlineStr">
        <is>
          <t>Basket</t>
        </is>
      </c>
      <c r="H98" s="39" t="n"/>
    </row>
    <row r="99" ht="15" customHeight="1" s="26">
      <c r="A99" s="37" t="inlineStr">
        <is>
          <t>R027</t>
        </is>
      </c>
      <c r="B99" s="37">
        <f>IFERROR(INDEX(Recipes!$B$2:$B$500,MATCH(A99,Recipes!$A$2:$A$500,0)),"")</f>
        <v/>
      </c>
      <c r="C99" s="39" t="inlineStr">
        <is>
          <t>Cucumber</t>
        </is>
      </c>
      <c r="D99" s="47" t="n">
        <v>1</v>
      </c>
      <c r="E99" s="37" t="inlineStr">
        <is>
          <t>pc</t>
        </is>
      </c>
      <c r="F99" s="37" t="inlineStr">
        <is>
          <t>P054</t>
        </is>
      </c>
      <c r="G99" s="37" t="inlineStr">
        <is>
          <t>Basket</t>
        </is>
      </c>
      <c r="H99" s="39" t="n"/>
    </row>
    <row r="100" ht="15" customHeight="1" s="26">
      <c r="A100" s="37" t="inlineStr">
        <is>
          <t>R027</t>
        </is>
      </c>
      <c r="B100" s="37">
        <f>IFERROR(INDEX(Recipes!$B$2:$B$500,MATCH(A100,Recipes!$A$2:$A$500,0)),"")</f>
        <v/>
      </c>
      <c r="C100" s="39" t="inlineStr">
        <is>
          <t>Onion (red &amp; white)</t>
        </is>
      </c>
      <c r="D100" s="47" t="n">
        <v>0.25</v>
      </c>
      <c r="E100" s="37" t="inlineStr">
        <is>
          <t>pc</t>
        </is>
      </c>
      <c r="F100" s="37" t="inlineStr">
        <is>
          <t>P048</t>
        </is>
      </c>
      <c r="G100" s="37" t="inlineStr">
        <is>
          <t>Basket</t>
        </is>
      </c>
      <c r="H100" s="39" t="inlineStr">
        <is>
          <t>red</t>
        </is>
      </c>
    </row>
    <row r="101" ht="15" customHeight="1" s="26">
      <c r="A101" s="37" t="inlineStr">
        <is>
          <t>R027</t>
        </is>
      </c>
      <c r="B101" s="37">
        <f>IFERROR(INDEX(Recipes!$B$2:$B$500,MATCH(A101,Recipes!$A$2:$A$500,0)),"")</f>
        <v/>
      </c>
      <c r="C101" s="39" t="inlineStr">
        <is>
          <t>Scotch bonnet</t>
        </is>
      </c>
      <c r="D101" s="47" t="n">
        <v>0.25</v>
      </c>
      <c r="E101" s="37" t="inlineStr">
        <is>
          <t>pc</t>
        </is>
      </c>
      <c r="F101" s="37" t="inlineStr">
        <is>
          <t>P046</t>
        </is>
      </c>
      <c r="G101" s="37" t="inlineStr">
        <is>
          <t>Basket</t>
        </is>
      </c>
      <c r="H101" s="39" t="n"/>
    </row>
    <row r="102" ht="15" customHeight="1" s="26">
      <c r="A102" s="37" t="inlineStr">
        <is>
          <t>R027</t>
        </is>
      </c>
      <c r="B102" s="37">
        <f>IFERROR(INDEX(Recipes!$B$2:$B$500,MATCH(A102,Recipes!$A$2:$A$500,0)),"")</f>
        <v/>
      </c>
      <c r="C102" s="39" t="inlineStr">
        <is>
          <t>Coriander (cilantro)</t>
        </is>
      </c>
      <c r="D102" s="47" t="n">
        <v>1</v>
      </c>
      <c r="E102" s="37" t="inlineStr">
        <is>
          <t>handful</t>
        </is>
      </c>
      <c r="F102" s="37" t="inlineStr">
        <is>
          <t>P080</t>
        </is>
      </c>
      <c r="G102" s="37" t="inlineStr">
        <is>
          <t>Basket</t>
        </is>
      </c>
      <c r="H102" s="39" t="n"/>
    </row>
    <row r="103" ht="15" customHeight="1" s="26">
      <c r="A103" s="37" t="inlineStr">
        <is>
          <t>R027</t>
        </is>
      </c>
      <c r="B103" s="37">
        <f>IFERROR(INDEX(Recipes!$B$2:$B$500,MATCH(A103,Recipes!$A$2:$A$500,0)),"")</f>
        <v/>
      </c>
      <c r="C103" s="39" t="inlineStr">
        <is>
          <t>Lime</t>
        </is>
      </c>
      <c r="D103" s="47" t="n">
        <v>1</v>
      </c>
      <c r="E103" s="37" t="inlineStr">
        <is>
          <t>pc</t>
        </is>
      </c>
      <c r="F103" s="37" t="inlineStr">
        <is>
          <t>P010</t>
        </is>
      </c>
      <c r="G103" s="37" t="inlineStr">
        <is>
          <t>Basket</t>
        </is>
      </c>
      <c r="H103" s="39" t="n"/>
    </row>
    <row r="104" ht="15" customHeight="1" s="26">
      <c r="A104" s="37" t="inlineStr">
        <is>
          <t>R027</t>
        </is>
      </c>
      <c r="B104" s="37">
        <f>IFERROR(INDEX(Recipes!$B$2:$B$500,MATCH(A104,Recipes!$A$2:$A$500,0)),"")</f>
        <v/>
      </c>
      <c r="C104" s="39" t="inlineStr">
        <is>
          <t>Olive oil</t>
        </is>
      </c>
      <c r="D104" s="47" t="n">
        <v>1</v>
      </c>
      <c r="E104" s="37" t="inlineStr">
        <is>
          <t>tbsp</t>
        </is>
      </c>
      <c r="F104" s="37" t="n"/>
      <c r="G104" s="37" t="inlineStr">
        <is>
          <t>Staple</t>
        </is>
      </c>
      <c r="H104" s="39" t="n"/>
    </row>
    <row r="105" ht="15" customHeight="1" s="26">
      <c r="A105" s="37" t="inlineStr">
        <is>
          <t>R027</t>
        </is>
      </c>
      <c r="B105" s="37">
        <f>IFERROR(INDEX(Recipes!$B$2:$B$500,MATCH(A105,Recipes!$A$2:$A$500,0)),"")</f>
        <v/>
      </c>
      <c r="C105" s="39" t="inlineStr">
        <is>
          <t>Salt</t>
        </is>
      </c>
      <c r="D105" s="47" t="n">
        <v>1</v>
      </c>
      <c r="E105" s="37" t="inlineStr">
        <is>
          <t>pinch</t>
        </is>
      </c>
      <c r="F105" s="37" t="n"/>
      <c r="G105" s="37" t="inlineStr">
        <is>
          <t>Staple</t>
        </is>
      </c>
      <c r="H105" s="39" t="n"/>
    </row>
    <row r="106" ht="15" customHeight="1" s="26">
      <c r="A106" s="37" t="inlineStr">
        <is>
          <t>R028</t>
        </is>
      </c>
      <c r="B106" s="37">
        <f>IFERROR(INDEX(Recipes!$B$2:$B$500,MATCH(A106,Recipes!$A$2:$A$500,0)),"")</f>
        <v/>
      </c>
      <c r="C106" s="39" t="inlineStr">
        <is>
          <t>Watermelon</t>
        </is>
      </c>
      <c r="D106" s="47" t="n">
        <v>3</v>
      </c>
      <c r="E106" s="37" t="inlineStr">
        <is>
          <t>cups</t>
        </is>
      </c>
      <c r="F106" s="37" t="inlineStr">
        <is>
          <t>P004</t>
        </is>
      </c>
      <c r="G106" s="37" t="inlineStr">
        <is>
          <t>Basket</t>
        </is>
      </c>
      <c r="H106" s="39" t="inlineStr">
        <is>
          <t>cubed</t>
        </is>
      </c>
    </row>
    <row r="107" ht="15" customHeight="1" s="26">
      <c r="A107" s="37" t="inlineStr">
        <is>
          <t>R028</t>
        </is>
      </c>
      <c r="B107" s="37">
        <f>IFERROR(INDEX(Recipes!$B$2:$B$500,MATCH(A107,Recipes!$A$2:$A$500,0)),"")</f>
        <v/>
      </c>
      <c r="C107" s="39" t="inlineStr">
        <is>
          <t>Cucumber</t>
        </is>
      </c>
      <c r="D107" s="47" t="n">
        <v>1</v>
      </c>
      <c r="E107" s="37" t="inlineStr">
        <is>
          <t>pc</t>
        </is>
      </c>
      <c r="F107" s="37" t="inlineStr">
        <is>
          <t>P054</t>
        </is>
      </c>
      <c r="G107" s="37" t="inlineStr">
        <is>
          <t>Basket</t>
        </is>
      </c>
      <c r="H107" s="39" t="n"/>
    </row>
    <row r="108" ht="15" customHeight="1" s="26">
      <c r="A108" s="37" t="inlineStr">
        <is>
          <t>R028</t>
        </is>
      </c>
      <c r="B108" s="37">
        <f>IFERROR(INDEX(Recipes!$B$2:$B$500,MATCH(A108,Recipes!$A$2:$A$500,0)),"")</f>
        <v/>
      </c>
      <c r="C108" s="39" t="inlineStr">
        <is>
          <t>Onion (red &amp; white)</t>
        </is>
      </c>
      <c r="D108" s="47" t="n">
        <v>0.25</v>
      </c>
      <c r="E108" s="37" t="inlineStr">
        <is>
          <t>pc</t>
        </is>
      </c>
      <c r="F108" s="37" t="inlineStr">
        <is>
          <t>P048</t>
        </is>
      </c>
      <c r="G108" s="37" t="inlineStr">
        <is>
          <t>Basket</t>
        </is>
      </c>
      <c r="H108" s="39" t="inlineStr">
        <is>
          <t>red</t>
        </is>
      </c>
    </row>
    <row r="109" ht="15" customHeight="1" s="26">
      <c r="A109" s="37" t="inlineStr">
        <is>
          <t>R028</t>
        </is>
      </c>
      <c r="B109" s="37">
        <f>IFERROR(INDEX(Recipes!$B$2:$B$500,MATCH(A109,Recipes!$A$2:$A$500,0)),"")</f>
        <v/>
      </c>
      <c r="C109" s="39" t="inlineStr">
        <is>
          <t>Mint</t>
        </is>
      </c>
      <c r="D109" s="47" t="n">
        <v>1</v>
      </c>
      <c r="E109" s="37" t="inlineStr">
        <is>
          <t>small bunch</t>
        </is>
      </c>
      <c r="F109" s="37" t="inlineStr">
        <is>
          <t>P079</t>
        </is>
      </c>
      <c r="G109" s="37" t="inlineStr">
        <is>
          <t>Basket</t>
        </is>
      </c>
      <c r="H109" s="39" t="n"/>
    </row>
    <row r="110" ht="15" customHeight="1" s="26">
      <c r="A110" s="37" t="inlineStr">
        <is>
          <t>R028</t>
        </is>
      </c>
      <c r="B110" s="37">
        <f>IFERROR(INDEX(Recipes!$B$2:$B$500,MATCH(A110,Recipes!$A$2:$A$500,0)),"")</f>
        <v/>
      </c>
      <c r="C110" s="39" t="inlineStr">
        <is>
          <t>Lime</t>
        </is>
      </c>
      <c r="D110" s="47" t="n">
        <v>1</v>
      </c>
      <c r="E110" s="37" t="inlineStr">
        <is>
          <t>pc</t>
        </is>
      </c>
      <c r="F110" s="37" t="inlineStr">
        <is>
          <t>P010</t>
        </is>
      </c>
      <c r="G110" s="37" t="inlineStr">
        <is>
          <t>Basket</t>
        </is>
      </c>
      <c r="H110" s="39" t="n"/>
    </row>
    <row r="111" ht="15" customHeight="1" s="26">
      <c r="A111" s="37" t="inlineStr">
        <is>
          <t>R028</t>
        </is>
      </c>
      <c r="B111" s="37">
        <f>IFERROR(INDEX(Recipes!$B$2:$B$500,MATCH(A111,Recipes!$A$2:$A$500,0)),"")</f>
        <v/>
      </c>
      <c r="C111" s="39" t="inlineStr">
        <is>
          <t>Wara (cow milk cheese)</t>
        </is>
      </c>
      <c r="D111" s="47" t="n">
        <v>150</v>
      </c>
      <c r="E111" s="37" t="inlineStr">
        <is>
          <t>g</t>
        </is>
      </c>
      <c r="F111" s="37" t="n"/>
      <c r="G111" s="37" t="inlineStr">
        <is>
          <t>Protein</t>
        </is>
      </c>
      <c r="H111" s="39" t="n"/>
    </row>
    <row r="112" ht="15" customHeight="1" s="26">
      <c r="A112" s="37" t="inlineStr">
        <is>
          <t>R028</t>
        </is>
      </c>
      <c r="B112" s="37">
        <f>IFERROR(INDEX(Recipes!$B$2:$B$500,MATCH(A112,Recipes!$A$2:$A$500,0)),"")</f>
        <v/>
      </c>
      <c r="C112" s="39" t="inlineStr">
        <is>
          <t>Olive oil</t>
        </is>
      </c>
      <c r="D112" s="47" t="n">
        <v>1</v>
      </c>
      <c r="E112" s="37" t="inlineStr">
        <is>
          <t>tbsp</t>
        </is>
      </c>
      <c r="F112" s="37" t="n"/>
      <c r="G112" s="37" t="inlineStr">
        <is>
          <t>Staple</t>
        </is>
      </c>
      <c r="H112" s="39" t="n"/>
    </row>
    <row r="113" ht="15" customHeight="1" s="26">
      <c r="A113" s="37" t="inlineStr">
        <is>
          <t>R028</t>
        </is>
      </c>
      <c r="B113" s="37">
        <f>IFERROR(INDEX(Recipes!$B$2:$B$500,MATCH(A113,Recipes!$A$2:$A$500,0)),"")</f>
        <v/>
      </c>
      <c r="C113" s="39" t="inlineStr">
        <is>
          <t>Black pepper</t>
        </is>
      </c>
      <c r="D113" s="47" t="n">
        <v>1</v>
      </c>
      <c r="E113" s="37" t="inlineStr">
        <is>
          <t>pinch</t>
        </is>
      </c>
      <c r="F113" s="37" t="n"/>
      <c r="G113" s="37" t="inlineStr">
        <is>
          <t>Staple</t>
        </is>
      </c>
      <c r="H113" s="39" t="n"/>
    </row>
    <row r="114" ht="15" customHeight="1" s="26">
      <c r="A114" s="37" t="inlineStr">
        <is>
          <t>R029</t>
        </is>
      </c>
      <c r="B114" s="37">
        <f>IFERROR(INDEX(Recipes!$B$2:$B$500,MATCH(A114,Recipes!$A$2:$A$500,0)),"")</f>
        <v/>
      </c>
      <c r="C114" s="39" t="inlineStr">
        <is>
          <t>Chicken breast</t>
        </is>
      </c>
      <c r="D114" s="47" t="n">
        <v>2</v>
      </c>
      <c r="E114" s="37" t="inlineStr">
        <is>
          <t>pc</t>
        </is>
      </c>
      <c r="F114" s="37" t="n"/>
      <c r="G114" s="37" t="inlineStr">
        <is>
          <t>Protein</t>
        </is>
      </c>
      <c r="H114" s="39" t="n"/>
    </row>
    <row r="115" ht="15" customHeight="1" s="26">
      <c r="A115" s="37" t="inlineStr">
        <is>
          <t>R029</t>
        </is>
      </c>
      <c r="B115" s="37">
        <f>IFERROR(INDEX(Recipes!$B$2:$B$500,MATCH(A115,Recipes!$A$2:$A$500,0)),"")</f>
        <v/>
      </c>
      <c r="C115" s="39" t="inlineStr">
        <is>
          <t>Lettuce (iceberg / romaine / local)</t>
        </is>
      </c>
      <c r="D115" s="47" t="n">
        <v>1</v>
      </c>
      <c r="E115" s="37" t="inlineStr">
        <is>
          <t>head</t>
        </is>
      </c>
      <c r="F115" s="37" t="inlineStr">
        <is>
          <t>P058</t>
        </is>
      </c>
      <c r="G115" s="37" t="inlineStr">
        <is>
          <t>Basket</t>
        </is>
      </c>
      <c r="H115" s="39" t="inlineStr">
        <is>
          <t>romaine or local</t>
        </is>
      </c>
    </row>
    <row r="116" ht="15" customHeight="1" s="26">
      <c r="A116" s="37" t="inlineStr">
        <is>
          <t>R029</t>
        </is>
      </c>
      <c r="B116" s="37">
        <f>IFERROR(INDEX(Recipes!$B$2:$B$500,MATCH(A116,Recipes!$A$2:$A$500,0)),"")</f>
        <v/>
      </c>
      <c r="C116" s="39" t="inlineStr">
        <is>
          <t>Tomato (plum)</t>
        </is>
      </c>
      <c r="D116" s="47" t="n">
        <v>2</v>
      </c>
      <c r="E116" s="37" t="inlineStr">
        <is>
          <t>pc</t>
        </is>
      </c>
      <c r="F116" s="37" t="inlineStr">
        <is>
          <t>P042</t>
        </is>
      </c>
      <c r="G116" s="37" t="inlineStr">
        <is>
          <t>Basket</t>
        </is>
      </c>
      <c r="H116" s="39" t="n"/>
    </row>
    <row r="117" ht="15" customHeight="1" s="26">
      <c r="A117" s="37" t="inlineStr">
        <is>
          <t>R029</t>
        </is>
      </c>
      <c r="B117" s="37">
        <f>IFERROR(INDEX(Recipes!$B$2:$B$500,MATCH(A117,Recipes!$A$2:$A$500,0)),"")</f>
        <v/>
      </c>
      <c r="C117" s="39" t="inlineStr">
        <is>
          <t>Greek yoghurt</t>
        </is>
      </c>
      <c r="D117" s="47" t="n">
        <v>0.5</v>
      </c>
      <c r="E117" s="37" t="inlineStr">
        <is>
          <t>cup</t>
        </is>
      </c>
      <c r="F117" s="37" t="n"/>
      <c r="G117" s="37" t="inlineStr">
        <is>
          <t>Pantry</t>
        </is>
      </c>
      <c r="H117" s="39" t="n"/>
    </row>
    <row r="118" ht="15" customHeight="1" s="26">
      <c r="A118" s="37" t="inlineStr">
        <is>
          <t>R029</t>
        </is>
      </c>
      <c r="B118" s="37">
        <f>IFERROR(INDEX(Recipes!$B$2:$B$500,MATCH(A118,Recipes!$A$2:$A$500,0)),"")</f>
        <v/>
      </c>
      <c r="C118" s="39" t="inlineStr">
        <is>
          <t>Lemon</t>
        </is>
      </c>
      <c r="D118" s="47" t="n">
        <v>1</v>
      </c>
      <c r="E118" s="37" t="inlineStr">
        <is>
          <t>pc</t>
        </is>
      </c>
      <c r="F118" s="37" t="inlineStr">
        <is>
          <t>P009</t>
        </is>
      </c>
      <c r="G118" s="37" t="inlineStr">
        <is>
          <t>Basket</t>
        </is>
      </c>
      <c r="H118" s="39" t="n"/>
    </row>
    <row r="119" ht="15" customHeight="1" s="26">
      <c r="A119" s="37" t="inlineStr">
        <is>
          <t>R029</t>
        </is>
      </c>
      <c r="B119" s="37">
        <f>IFERROR(INDEX(Recipes!$B$2:$B$500,MATCH(A119,Recipes!$A$2:$A$500,0)),"")</f>
        <v/>
      </c>
      <c r="C119" s="39" t="inlineStr">
        <is>
          <t>Garlic</t>
        </is>
      </c>
      <c r="D119" s="47" t="n">
        <v>1</v>
      </c>
      <c r="E119" s="37" t="inlineStr">
        <is>
          <t>clove</t>
        </is>
      </c>
      <c r="F119" s="37" t="inlineStr">
        <is>
          <t>P051</t>
        </is>
      </c>
      <c r="G119" s="37" t="inlineStr">
        <is>
          <t>Basket</t>
        </is>
      </c>
      <c r="H119" s="39" t="n"/>
    </row>
    <row r="120" ht="15" customHeight="1" s="26">
      <c r="A120" s="37" t="inlineStr">
        <is>
          <t>R029</t>
        </is>
      </c>
      <c r="B120" s="37">
        <f>IFERROR(INDEX(Recipes!$B$2:$B$500,MATCH(A120,Recipes!$A$2:$A$500,0)),"")</f>
        <v/>
      </c>
      <c r="C120" s="39" t="inlineStr">
        <is>
          <t>Parmesan</t>
        </is>
      </c>
      <c r="D120" s="47" t="n">
        <v>2</v>
      </c>
      <c r="E120" s="37" t="inlineStr">
        <is>
          <t>tbsp</t>
        </is>
      </c>
      <c r="F120" s="37" t="n"/>
      <c r="G120" s="37" t="inlineStr">
        <is>
          <t>Pantry</t>
        </is>
      </c>
      <c r="H120" s="39" t="inlineStr">
        <is>
          <t>grated</t>
        </is>
      </c>
    </row>
    <row r="121" ht="15" customHeight="1" s="26">
      <c r="A121" s="37" t="inlineStr">
        <is>
          <t>R029</t>
        </is>
      </c>
      <c r="B121" s="37">
        <f>IFERROR(INDEX(Recipes!$B$2:$B$500,MATCH(A121,Recipes!$A$2:$A$500,0)),"")</f>
        <v/>
      </c>
      <c r="C121" s="39" t="inlineStr">
        <is>
          <t>Mustard</t>
        </is>
      </c>
      <c r="D121" s="47" t="n">
        <v>1</v>
      </c>
      <c r="E121" s="37" t="inlineStr">
        <is>
          <t>tsp</t>
        </is>
      </c>
      <c r="F121" s="37" t="n"/>
      <c r="G121" s="37" t="inlineStr">
        <is>
          <t>Pantry</t>
        </is>
      </c>
      <c r="H121" s="39" t="n"/>
    </row>
    <row r="122" ht="15" customHeight="1" s="26">
      <c r="A122" s="37" t="inlineStr">
        <is>
          <t>R029</t>
        </is>
      </c>
      <c r="B122" s="37">
        <f>IFERROR(INDEX(Recipes!$B$2:$B$500,MATCH(A122,Recipes!$A$2:$A$500,0)),"")</f>
        <v/>
      </c>
      <c r="C122" s="39" t="inlineStr">
        <is>
          <t>Croutons</t>
        </is>
      </c>
      <c r="D122" s="47" t="n">
        <v>1</v>
      </c>
      <c r="E122" s="37" t="inlineStr">
        <is>
          <t>cup</t>
        </is>
      </c>
      <c r="F122" s="37" t="n"/>
      <c r="G122" s="37" t="inlineStr">
        <is>
          <t>Pantry</t>
        </is>
      </c>
      <c r="H122" s="39" t="n"/>
    </row>
    <row r="123" ht="15" customHeight="1" s="26">
      <c r="A123" s="37" t="inlineStr">
        <is>
          <t>R029</t>
        </is>
      </c>
      <c r="B123" s="37">
        <f>IFERROR(INDEX(Recipes!$B$2:$B$500,MATCH(A123,Recipes!$A$2:$A$500,0)),"")</f>
        <v/>
      </c>
      <c r="C123" s="39" t="inlineStr">
        <is>
          <t>Olive oil</t>
        </is>
      </c>
      <c r="D123" s="47" t="n">
        <v>1</v>
      </c>
      <c r="E123" s="37" t="inlineStr">
        <is>
          <t>tbsp</t>
        </is>
      </c>
      <c r="F123" s="37" t="n"/>
      <c r="G123" s="37" t="inlineStr">
        <is>
          <t>Staple</t>
        </is>
      </c>
      <c r="H123" s="39" t="n"/>
    </row>
    <row r="124" ht="15" customHeight="1" s="26">
      <c r="A124" s="37" t="inlineStr">
        <is>
          <t>R030</t>
        </is>
      </c>
      <c r="B124" s="37">
        <f>IFERROR(INDEX(Recipes!$B$2:$B$500,MATCH(A124,Recipes!$A$2:$A$500,0)),"")</f>
        <v/>
      </c>
      <c r="C124" s="39" t="inlineStr">
        <is>
          <t>Cabbage (white)</t>
        </is>
      </c>
      <c r="D124" s="47" t="n">
        <v>0.25</v>
      </c>
      <c r="E124" s="37" t="inlineStr">
        <is>
          <t>head</t>
        </is>
      </c>
      <c r="F124" s="37" t="inlineStr">
        <is>
          <t>P056</t>
        </is>
      </c>
      <c r="G124" s="37" t="inlineStr">
        <is>
          <t>Basket</t>
        </is>
      </c>
      <c r="H124" s="39" t="n"/>
    </row>
    <row r="125" ht="15" customHeight="1" s="26">
      <c r="A125" s="37" t="inlineStr">
        <is>
          <t>R030</t>
        </is>
      </c>
      <c r="B125" s="37">
        <f>IFERROR(INDEX(Recipes!$B$2:$B$500,MATCH(A125,Recipes!$A$2:$A$500,0)),"")</f>
        <v/>
      </c>
      <c r="C125" s="39" t="inlineStr">
        <is>
          <t>Purple cabbage</t>
        </is>
      </c>
      <c r="D125" s="47" t="n">
        <v>0.25</v>
      </c>
      <c r="E125" s="37" t="inlineStr">
        <is>
          <t>head</t>
        </is>
      </c>
      <c r="F125" s="37" t="inlineStr">
        <is>
          <t>P057</t>
        </is>
      </c>
      <c r="G125" s="37" t="inlineStr">
        <is>
          <t>Basket</t>
        </is>
      </c>
      <c r="H125" s="39" t="n"/>
    </row>
    <row r="126" ht="15" customHeight="1" s="26">
      <c r="A126" s="37" t="inlineStr">
        <is>
          <t>R030</t>
        </is>
      </c>
      <c r="B126" s="37">
        <f>IFERROR(INDEX(Recipes!$B$2:$B$500,MATCH(A126,Recipes!$A$2:$A$500,0)),"")</f>
        <v/>
      </c>
      <c r="C126" s="39" t="inlineStr">
        <is>
          <t>Carrot</t>
        </is>
      </c>
      <c r="D126" s="47" t="n">
        <v>2</v>
      </c>
      <c r="E126" s="37" t="inlineStr">
        <is>
          <t>pc</t>
        </is>
      </c>
      <c r="F126" s="37" t="inlineStr">
        <is>
          <t>P055</t>
        </is>
      </c>
      <c r="G126" s="37" t="inlineStr">
        <is>
          <t>Basket</t>
        </is>
      </c>
      <c r="H126" s="39" t="n"/>
    </row>
    <row r="127" ht="15" customHeight="1" s="26">
      <c r="A127" s="37" t="inlineStr">
        <is>
          <t>R030</t>
        </is>
      </c>
      <c r="B127" s="37">
        <f>IFERROR(INDEX(Recipes!$B$2:$B$500,MATCH(A127,Recipes!$A$2:$A$500,0)),"")</f>
        <v/>
      </c>
      <c r="C127" s="39" t="inlineStr">
        <is>
          <t>Spring onion</t>
        </is>
      </c>
      <c r="D127" s="47" t="n">
        <v>2</v>
      </c>
      <c r="E127" s="37" t="inlineStr">
        <is>
          <t>stalks</t>
        </is>
      </c>
      <c r="F127" s="37" t="inlineStr">
        <is>
          <t>P049</t>
        </is>
      </c>
      <c r="G127" s="37" t="inlineStr">
        <is>
          <t>Basket</t>
        </is>
      </c>
      <c r="H127" s="39" t="n"/>
    </row>
    <row r="128" ht="15" customHeight="1" s="26">
      <c r="A128" s="37" t="inlineStr">
        <is>
          <t>R030</t>
        </is>
      </c>
      <c r="B128" s="37">
        <f>IFERROR(INDEX(Recipes!$B$2:$B$500,MATCH(A128,Recipes!$A$2:$A$500,0)),"")</f>
        <v/>
      </c>
      <c r="C128" s="39" t="inlineStr">
        <is>
          <t>Coriander (cilantro)</t>
        </is>
      </c>
      <c r="D128" s="47" t="n">
        <v>1</v>
      </c>
      <c r="E128" s="37" t="inlineStr">
        <is>
          <t>handful</t>
        </is>
      </c>
      <c r="F128" s="37" t="inlineStr">
        <is>
          <t>P080</t>
        </is>
      </c>
      <c r="G128" s="37" t="inlineStr">
        <is>
          <t>Basket</t>
        </is>
      </c>
      <c r="H128" s="39" t="n"/>
    </row>
    <row r="129" ht="15" customHeight="1" s="26">
      <c r="A129" s="37" t="inlineStr">
        <is>
          <t>R030</t>
        </is>
      </c>
      <c r="B129" s="37">
        <f>IFERROR(INDEX(Recipes!$B$2:$B$500,MATCH(A129,Recipes!$A$2:$A$500,0)),"")</f>
        <v/>
      </c>
      <c r="C129" s="39" t="inlineStr">
        <is>
          <t>Groundnut (fresh or roasted)</t>
        </is>
      </c>
      <c r="D129" s="47" t="n">
        <v>0.5</v>
      </c>
      <c r="E129" s="37" t="inlineStr">
        <is>
          <t>cup</t>
        </is>
      </c>
      <c r="F129" s="37" t="inlineStr">
        <is>
          <t>P040</t>
        </is>
      </c>
      <c r="G129" s="37" t="inlineStr">
        <is>
          <t>Basket</t>
        </is>
      </c>
      <c r="H129" s="39" t="inlineStr">
        <is>
          <t>roasted</t>
        </is>
      </c>
    </row>
    <row r="130" ht="15" customHeight="1" s="26">
      <c r="A130" s="37" t="inlineStr">
        <is>
          <t>R030</t>
        </is>
      </c>
      <c r="B130" s="37">
        <f>IFERROR(INDEX(Recipes!$B$2:$B$500,MATCH(A130,Recipes!$A$2:$A$500,0)),"")</f>
        <v/>
      </c>
      <c r="C130" s="39" t="inlineStr">
        <is>
          <t>Lime</t>
        </is>
      </c>
      <c r="D130" s="47" t="n">
        <v>2</v>
      </c>
      <c r="E130" s="37" t="inlineStr">
        <is>
          <t>pc</t>
        </is>
      </c>
      <c r="F130" s="37" t="inlineStr">
        <is>
          <t>P010</t>
        </is>
      </c>
      <c r="G130" s="37" t="inlineStr">
        <is>
          <t>Basket</t>
        </is>
      </c>
      <c r="H130" s="39" t="n"/>
    </row>
    <row r="131" ht="15" customHeight="1" s="26">
      <c r="A131" s="37" t="inlineStr">
        <is>
          <t>R030</t>
        </is>
      </c>
      <c r="B131" s="37">
        <f>IFERROR(INDEX(Recipes!$B$2:$B$500,MATCH(A131,Recipes!$A$2:$A$500,0)),"")</f>
        <v/>
      </c>
      <c r="C131" s="39" t="inlineStr">
        <is>
          <t>Ginger</t>
        </is>
      </c>
      <c r="D131" s="47" t="n">
        <v>1</v>
      </c>
      <c r="E131" s="37" t="inlineStr">
        <is>
          <t>thumb</t>
        </is>
      </c>
      <c r="F131" s="37" t="inlineStr">
        <is>
          <t>P052</t>
        </is>
      </c>
      <c r="G131" s="37" t="inlineStr">
        <is>
          <t>Basket</t>
        </is>
      </c>
      <c r="H131" s="39" t="n"/>
    </row>
    <row r="132" ht="15" customHeight="1" s="26">
      <c r="A132" s="37" t="inlineStr">
        <is>
          <t>R030</t>
        </is>
      </c>
      <c r="B132" s="37">
        <f>IFERROR(INDEX(Recipes!$B$2:$B$500,MATCH(A132,Recipes!$A$2:$A$500,0)),"")</f>
        <v/>
      </c>
      <c r="C132" s="39" t="inlineStr">
        <is>
          <t>Groundnut paste (peanut butter)</t>
        </is>
      </c>
      <c r="D132" s="47" t="n">
        <v>2</v>
      </c>
      <c r="E132" s="37" t="inlineStr">
        <is>
          <t>tbsp</t>
        </is>
      </c>
      <c r="F132" s="37" t="n"/>
      <c r="G132" s="37" t="inlineStr">
        <is>
          <t>Pantry</t>
        </is>
      </c>
      <c r="H132" s="39" t="n"/>
    </row>
    <row r="133" ht="15" customHeight="1" s="26">
      <c r="A133" s="37" t="inlineStr">
        <is>
          <t>R030</t>
        </is>
      </c>
      <c r="B133" s="37">
        <f>IFERROR(INDEX(Recipes!$B$2:$B$500,MATCH(A133,Recipes!$A$2:$A$500,0)),"")</f>
        <v/>
      </c>
      <c r="C133" s="39" t="inlineStr">
        <is>
          <t>Soy sauce</t>
        </is>
      </c>
      <c r="D133" s="47" t="n">
        <v>1</v>
      </c>
      <c r="E133" s="37" t="inlineStr">
        <is>
          <t>tbsp</t>
        </is>
      </c>
      <c r="F133" s="37" t="n"/>
      <c r="G133" s="37" t="inlineStr">
        <is>
          <t>Pantry</t>
        </is>
      </c>
      <c r="H133" s="39" t="n"/>
    </row>
    <row r="134" ht="15" customHeight="1" s="26">
      <c r="A134" s="37" t="inlineStr">
        <is>
          <t>R030</t>
        </is>
      </c>
      <c r="B134" s="37">
        <f>IFERROR(INDEX(Recipes!$B$2:$B$500,MATCH(A134,Recipes!$A$2:$A$500,0)),"")</f>
        <v/>
      </c>
      <c r="C134" s="39" t="inlineStr">
        <is>
          <t>Honey</t>
        </is>
      </c>
      <c r="D134" s="47" t="n">
        <v>1</v>
      </c>
      <c r="E134" s="37" t="inlineStr">
        <is>
          <t>tsp</t>
        </is>
      </c>
      <c r="F134" s="37" t="n"/>
      <c r="G134" s="37" t="inlineStr">
        <is>
          <t>Pantry</t>
        </is>
      </c>
      <c r="H134" s="39" t="inlineStr">
        <is>
          <t>or 1 date</t>
        </is>
      </c>
    </row>
    <row r="135" ht="15" customHeight="1" s="26">
      <c r="A135" s="37" t="inlineStr">
        <is>
          <t>R031</t>
        </is>
      </c>
      <c r="B135" s="37">
        <f>IFERROR(INDEX(Recipes!$B$2:$B$500,MATCH(A135,Recipes!$A$2:$A$500,0)),"")</f>
        <v/>
      </c>
      <c r="C135" s="39" t="inlineStr">
        <is>
          <t>Tomato (plum)</t>
        </is>
      </c>
      <c r="D135" s="47" t="n">
        <v>3</v>
      </c>
      <c r="E135" s="37" t="inlineStr">
        <is>
          <t>pc</t>
        </is>
      </c>
      <c r="F135" s="37" t="inlineStr">
        <is>
          <t>P042</t>
        </is>
      </c>
      <c r="G135" s="37" t="inlineStr">
        <is>
          <t>Basket</t>
        </is>
      </c>
      <c r="H135" s="39" t="n"/>
    </row>
    <row r="136" ht="15" customHeight="1" s="26">
      <c r="A136" s="37" t="inlineStr">
        <is>
          <t>R031</t>
        </is>
      </c>
      <c r="B136" s="37">
        <f>IFERROR(INDEX(Recipes!$B$2:$B$500,MATCH(A136,Recipes!$A$2:$A$500,0)),"")</f>
        <v/>
      </c>
      <c r="C136" s="39" t="inlineStr">
        <is>
          <t>Cucumber</t>
        </is>
      </c>
      <c r="D136" s="47" t="n">
        <v>1</v>
      </c>
      <c r="E136" s="37" t="inlineStr">
        <is>
          <t>pc</t>
        </is>
      </c>
      <c r="F136" s="37" t="inlineStr">
        <is>
          <t>P054</t>
        </is>
      </c>
      <c r="G136" s="37" t="inlineStr">
        <is>
          <t>Basket</t>
        </is>
      </c>
      <c r="H136" s="39" t="n"/>
    </row>
    <row r="137" ht="15" customHeight="1" s="26">
      <c r="A137" s="37" t="inlineStr">
        <is>
          <t>R031</t>
        </is>
      </c>
      <c r="B137" s="37">
        <f>IFERROR(INDEX(Recipes!$B$2:$B$500,MATCH(A137,Recipes!$A$2:$A$500,0)),"")</f>
        <v/>
      </c>
      <c r="C137" s="39" t="inlineStr">
        <is>
          <t>Green / yellow bell pepper</t>
        </is>
      </c>
      <c r="D137" s="47" t="n">
        <v>1</v>
      </c>
      <c r="E137" s="37" t="inlineStr">
        <is>
          <t>pc</t>
        </is>
      </c>
      <c r="F137" s="37" t="inlineStr">
        <is>
          <t>P045</t>
        </is>
      </c>
      <c r="G137" s="37" t="inlineStr">
        <is>
          <t>Basket</t>
        </is>
      </c>
      <c r="H137" s="39" t="inlineStr">
        <is>
          <t>green</t>
        </is>
      </c>
    </row>
    <row r="138" ht="15" customHeight="1" s="26">
      <c r="A138" s="37" t="inlineStr">
        <is>
          <t>R031</t>
        </is>
      </c>
      <c r="B138" s="37">
        <f>IFERROR(INDEX(Recipes!$B$2:$B$500,MATCH(A138,Recipes!$A$2:$A$500,0)),"")</f>
        <v/>
      </c>
      <c r="C138" s="39" t="inlineStr">
        <is>
          <t>Onion (red &amp; white)</t>
        </is>
      </c>
      <c r="D138" s="47" t="n">
        <v>0.5</v>
      </c>
      <c r="E138" s="37" t="inlineStr">
        <is>
          <t>pc</t>
        </is>
      </c>
      <c r="F138" s="37" t="inlineStr">
        <is>
          <t>P048</t>
        </is>
      </c>
      <c r="G138" s="37" t="inlineStr">
        <is>
          <t>Basket</t>
        </is>
      </c>
      <c r="H138" s="39" t="inlineStr">
        <is>
          <t>red</t>
        </is>
      </c>
    </row>
    <row r="139" ht="15" customHeight="1" s="26">
      <c r="A139" s="37" t="inlineStr">
        <is>
          <t>R031</t>
        </is>
      </c>
      <c r="B139" s="37">
        <f>IFERROR(INDEX(Recipes!$B$2:$B$500,MATCH(A139,Recipes!$A$2:$A$500,0)),"")</f>
        <v/>
      </c>
      <c r="C139" s="39" t="inlineStr">
        <is>
          <t>Lemon</t>
        </is>
      </c>
      <c r="D139" s="47" t="n">
        <v>0.5</v>
      </c>
      <c r="E139" s="37" t="inlineStr">
        <is>
          <t>pc</t>
        </is>
      </c>
      <c r="F139" s="37" t="inlineStr">
        <is>
          <t>P009</t>
        </is>
      </c>
      <c r="G139" s="37" t="inlineStr">
        <is>
          <t>Basket</t>
        </is>
      </c>
      <c r="H139" s="39" t="n"/>
    </row>
    <row r="140" ht="15" customHeight="1" s="26">
      <c r="A140" s="37" t="inlineStr">
        <is>
          <t>R031</t>
        </is>
      </c>
      <c r="B140" s="37">
        <f>IFERROR(INDEX(Recipes!$B$2:$B$500,MATCH(A140,Recipes!$A$2:$A$500,0)),"")</f>
        <v/>
      </c>
      <c r="C140" s="39" t="inlineStr">
        <is>
          <t>Wara (cow milk cheese)</t>
        </is>
      </c>
      <c r="D140" s="47" t="n">
        <v>150</v>
      </c>
      <c r="E140" s="37" t="inlineStr">
        <is>
          <t>g</t>
        </is>
      </c>
      <c r="F140" s="37" t="n"/>
      <c r="G140" s="37" t="inlineStr">
        <is>
          <t>Protein</t>
        </is>
      </c>
      <c r="H140" s="39" t="n"/>
    </row>
    <row r="141" ht="15" customHeight="1" s="26">
      <c r="A141" s="37" t="inlineStr">
        <is>
          <t>R031</t>
        </is>
      </c>
      <c r="B141" s="37">
        <f>IFERROR(INDEX(Recipes!$B$2:$B$500,MATCH(A141,Recipes!$A$2:$A$500,0)),"")</f>
        <v/>
      </c>
      <c r="C141" s="39" t="inlineStr">
        <is>
          <t>Olives</t>
        </is>
      </c>
      <c r="D141" s="47" t="n">
        <v>10</v>
      </c>
      <c r="E141" s="37" t="inlineStr">
        <is>
          <t>pc</t>
        </is>
      </c>
      <c r="F141" s="37" t="n"/>
      <c r="G141" s="37" t="inlineStr">
        <is>
          <t>Pantry</t>
        </is>
      </c>
      <c r="H141" s="39" t="n"/>
    </row>
    <row r="142" ht="15" customHeight="1" s="26">
      <c r="A142" s="37" t="inlineStr">
        <is>
          <t>R031</t>
        </is>
      </c>
      <c r="B142" s="37">
        <f>IFERROR(INDEX(Recipes!$B$2:$B$500,MATCH(A142,Recipes!$A$2:$A$500,0)),"")</f>
        <v/>
      </c>
      <c r="C142" s="39" t="inlineStr">
        <is>
          <t>Dried oregano</t>
        </is>
      </c>
      <c r="D142" s="47" t="n">
        <v>1</v>
      </c>
      <c r="E142" s="37" t="inlineStr">
        <is>
          <t>tsp</t>
        </is>
      </c>
      <c r="F142" s="37" t="n"/>
      <c r="G142" s="37" t="inlineStr">
        <is>
          <t>Pantry</t>
        </is>
      </c>
      <c r="H142" s="39" t="n"/>
    </row>
    <row r="143" ht="15" customHeight="1" s="26">
      <c r="A143" s="37" t="inlineStr">
        <is>
          <t>R031</t>
        </is>
      </c>
      <c r="B143" s="37">
        <f>IFERROR(INDEX(Recipes!$B$2:$B$500,MATCH(A143,Recipes!$A$2:$A$500,0)),"")</f>
        <v/>
      </c>
      <c r="C143" s="39" t="inlineStr">
        <is>
          <t>Olive oil</t>
        </is>
      </c>
      <c r="D143" s="47" t="n">
        <v>2</v>
      </c>
      <c r="E143" s="37" t="inlineStr">
        <is>
          <t>tbsp</t>
        </is>
      </c>
      <c r="F143" s="37" t="n"/>
      <c r="G143" s="37" t="inlineStr">
        <is>
          <t>Staple</t>
        </is>
      </c>
      <c r="H143" s="39" t="n"/>
    </row>
    <row r="144" ht="15" customHeight="1" s="26">
      <c r="A144" s="37" t="inlineStr">
        <is>
          <t>R032</t>
        </is>
      </c>
      <c r="B144" s="37">
        <f>IFERROR(INDEX(Recipes!$B$2:$B$500,MATCH(A144,Recipes!$A$2:$A$500,0)),"")</f>
        <v/>
      </c>
      <c r="C144" s="39" t="inlineStr">
        <is>
          <t>Baby spinach</t>
        </is>
      </c>
      <c r="D144" s="47" t="n">
        <v>2</v>
      </c>
      <c r="E144" s="37" t="inlineStr">
        <is>
          <t>cups</t>
        </is>
      </c>
      <c r="F144" s="37" t="inlineStr">
        <is>
          <t>P075</t>
        </is>
      </c>
      <c r="G144" s="37" t="inlineStr">
        <is>
          <t>Basket</t>
        </is>
      </c>
      <c r="H144" s="39" t="inlineStr">
        <is>
          <t>or young efo tete</t>
        </is>
      </c>
    </row>
    <row r="145" ht="15" customHeight="1" s="26">
      <c r="A145" s="37" t="inlineStr">
        <is>
          <t>R032</t>
        </is>
      </c>
      <c r="B145" s="37">
        <f>IFERROR(INDEX(Recipes!$B$2:$B$500,MATCH(A145,Recipes!$A$2:$A$500,0)),"")</f>
        <v/>
      </c>
      <c r="C145" s="39" t="inlineStr">
        <is>
          <t>Orange</t>
        </is>
      </c>
      <c r="D145" s="47" t="n">
        <v>3</v>
      </c>
      <c r="E145" s="37" t="inlineStr">
        <is>
          <t>pc</t>
        </is>
      </c>
      <c r="F145" s="37" t="inlineStr">
        <is>
          <t>P007</t>
        </is>
      </c>
      <c r="G145" s="37" t="inlineStr">
        <is>
          <t>Basket</t>
        </is>
      </c>
      <c r="H145" s="39" t="inlineStr">
        <is>
          <t>or 4 tangerines</t>
        </is>
      </c>
    </row>
    <row r="146" ht="15" customHeight="1" s="26">
      <c r="A146" s="37" t="inlineStr">
        <is>
          <t>R032</t>
        </is>
      </c>
      <c r="B146" s="37">
        <f>IFERROR(INDEX(Recipes!$B$2:$B$500,MATCH(A146,Recipes!$A$2:$A$500,0)),"")</f>
        <v/>
      </c>
      <c r="C146" s="39" t="inlineStr">
        <is>
          <t>Onion (red &amp; white)</t>
        </is>
      </c>
      <c r="D146" s="47" t="n">
        <v>0.25</v>
      </c>
      <c r="E146" s="37" t="inlineStr">
        <is>
          <t>pc</t>
        </is>
      </c>
      <c r="F146" s="37" t="inlineStr">
        <is>
          <t>P048</t>
        </is>
      </c>
      <c r="G146" s="37" t="inlineStr">
        <is>
          <t>Basket</t>
        </is>
      </c>
      <c r="H146" s="39" t="inlineStr">
        <is>
          <t>red</t>
        </is>
      </c>
    </row>
    <row r="147" ht="15" customHeight="1" s="26">
      <c r="A147" s="37" t="inlineStr">
        <is>
          <t>R032</t>
        </is>
      </c>
      <c r="B147" s="37">
        <f>IFERROR(INDEX(Recipes!$B$2:$B$500,MATCH(A147,Recipes!$A$2:$A$500,0)),"")</f>
        <v/>
      </c>
      <c r="C147" s="39" t="inlineStr">
        <is>
          <t>Tiger nut</t>
        </is>
      </c>
      <c r="D147" s="47" t="n">
        <v>3</v>
      </c>
      <c r="E147" s="37" t="inlineStr">
        <is>
          <t>tbsp</t>
        </is>
      </c>
      <c r="F147" s="37" t="inlineStr">
        <is>
          <t>P024</t>
        </is>
      </c>
      <c r="G147" s="37" t="inlineStr">
        <is>
          <t>Basket</t>
        </is>
      </c>
      <c r="H147" s="39" t="inlineStr">
        <is>
          <t>sliced</t>
        </is>
      </c>
    </row>
    <row r="148" ht="15" customHeight="1" s="26">
      <c r="A148" s="37" t="inlineStr">
        <is>
          <t>R032</t>
        </is>
      </c>
      <c r="B148" s="37">
        <f>IFERROR(INDEX(Recipes!$B$2:$B$500,MATCH(A148,Recipes!$A$2:$A$500,0)),"")</f>
        <v/>
      </c>
      <c r="C148" s="39" t="inlineStr">
        <is>
          <t>Avocado</t>
        </is>
      </c>
      <c r="D148" s="47" t="n">
        <v>0.5</v>
      </c>
      <c r="E148" s="37" t="inlineStr">
        <is>
          <t>pc</t>
        </is>
      </c>
      <c r="F148" s="37" t="inlineStr">
        <is>
          <t>P012</t>
        </is>
      </c>
      <c r="G148" s="37" t="inlineStr">
        <is>
          <t>Basket</t>
        </is>
      </c>
      <c r="H148" s="39" t="n"/>
    </row>
    <row r="149" ht="15" customHeight="1" s="26">
      <c r="A149" s="37" t="inlineStr">
        <is>
          <t>R032</t>
        </is>
      </c>
      <c r="B149" s="37">
        <f>IFERROR(INDEX(Recipes!$B$2:$B$500,MATCH(A149,Recipes!$A$2:$A$500,0)),"")</f>
        <v/>
      </c>
      <c r="C149" s="39" t="inlineStr">
        <is>
          <t>Lemon</t>
        </is>
      </c>
      <c r="D149" s="47" t="n">
        <v>0.5</v>
      </c>
      <c r="E149" s="37" t="inlineStr">
        <is>
          <t>pc</t>
        </is>
      </c>
      <c r="F149" s="37" t="inlineStr">
        <is>
          <t>P009</t>
        </is>
      </c>
      <c r="G149" s="37" t="inlineStr">
        <is>
          <t>Basket</t>
        </is>
      </c>
      <c r="H149" s="39" t="n"/>
    </row>
    <row r="150" ht="15" customHeight="1" s="26">
      <c r="A150" s="37" t="inlineStr">
        <is>
          <t>R032</t>
        </is>
      </c>
      <c r="B150" s="37">
        <f>IFERROR(INDEX(Recipes!$B$2:$B$500,MATCH(A150,Recipes!$A$2:$A$500,0)),"")</f>
        <v/>
      </c>
      <c r="C150" s="39" t="inlineStr">
        <is>
          <t>Honey</t>
        </is>
      </c>
      <c r="D150" s="47" t="n">
        <v>1</v>
      </c>
      <c r="E150" s="37" t="inlineStr">
        <is>
          <t>tbsp</t>
        </is>
      </c>
      <c r="F150" s="37" t="n"/>
      <c r="G150" s="37" t="inlineStr">
        <is>
          <t>Pantry</t>
        </is>
      </c>
      <c r="H150" s="39" t="n"/>
    </row>
    <row r="151" ht="15" customHeight="1" s="26">
      <c r="A151" s="37" t="inlineStr">
        <is>
          <t>R032</t>
        </is>
      </c>
      <c r="B151" s="37">
        <f>IFERROR(INDEX(Recipes!$B$2:$B$500,MATCH(A151,Recipes!$A$2:$A$500,0)),"")</f>
        <v/>
      </c>
      <c r="C151" s="39" t="inlineStr">
        <is>
          <t>Olive oil</t>
        </is>
      </c>
      <c r="D151" s="47" t="n">
        <v>1</v>
      </c>
      <c r="E151" s="37" t="inlineStr">
        <is>
          <t>tbsp</t>
        </is>
      </c>
      <c r="F151" s="37" t="n"/>
      <c r="G151" s="37" t="inlineStr">
        <is>
          <t>Staple</t>
        </is>
      </c>
      <c r="H151" s="39" t="n"/>
    </row>
    <row r="152" ht="15" customHeight="1" s="26">
      <c r="A152" s="37" t="inlineStr">
        <is>
          <t>R033</t>
        </is>
      </c>
      <c r="B152" s="37">
        <f>IFERROR(INDEX(Recipes!$B$2:$B$500,MATCH(A152,Recipes!$A$2:$A$500,0)),"")</f>
        <v/>
      </c>
      <c r="C152" s="39" t="inlineStr">
        <is>
          <t>Sweet potato</t>
        </is>
      </c>
      <c r="D152" s="47" t="n">
        <v>2</v>
      </c>
      <c r="E152" s="37" t="inlineStr">
        <is>
          <t>pc</t>
        </is>
      </c>
      <c r="F152" s="37" t="inlineStr">
        <is>
          <t>P069</t>
        </is>
      </c>
      <c r="G152" s="37" t="inlineStr">
        <is>
          <t>Basket</t>
        </is>
      </c>
      <c r="H152" s="39" t="n"/>
    </row>
    <row r="153" ht="15" customHeight="1" s="26">
      <c r="A153" s="37" t="inlineStr">
        <is>
          <t>R033</t>
        </is>
      </c>
      <c r="B153" s="37">
        <f>IFERROR(INDEX(Recipes!$B$2:$B$500,MATCH(A153,Recipes!$A$2:$A$500,0)),"")</f>
        <v/>
      </c>
      <c r="C153" s="39" t="inlineStr">
        <is>
          <t>Amaranth greens (Nigerian spinach)</t>
        </is>
      </c>
      <c r="D153" s="47" t="n">
        <v>2</v>
      </c>
      <c r="E153" s="37" t="inlineStr">
        <is>
          <t>cups</t>
        </is>
      </c>
      <c r="F153" s="37" t="inlineStr">
        <is>
          <t>P073</t>
        </is>
      </c>
      <c r="G153" s="37" t="inlineStr">
        <is>
          <t>Basket</t>
        </is>
      </c>
      <c r="H153" s="39" t="inlineStr">
        <is>
          <t>young leaves</t>
        </is>
      </c>
    </row>
    <row r="154" ht="15" customHeight="1" s="26">
      <c r="A154" s="37" t="inlineStr">
        <is>
          <t>R033</t>
        </is>
      </c>
      <c r="B154" s="37">
        <f>IFERROR(INDEX(Recipes!$B$2:$B$500,MATCH(A154,Recipes!$A$2:$A$500,0)),"")</f>
        <v/>
      </c>
      <c r="C154" s="39" t="inlineStr">
        <is>
          <t>Onion (red &amp; white)</t>
        </is>
      </c>
      <c r="D154" s="47" t="n">
        <v>0.5</v>
      </c>
      <c r="E154" s="37" t="inlineStr">
        <is>
          <t>pc</t>
        </is>
      </c>
      <c r="F154" s="37" t="inlineStr">
        <is>
          <t>P048</t>
        </is>
      </c>
      <c r="G154" s="37" t="inlineStr">
        <is>
          <t>Basket</t>
        </is>
      </c>
      <c r="H154" s="39" t="inlineStr">
        <is>
          <t>red</t>
        </is>
      </c>
    </row>
    <row r="155" ht="15" customHeight="1" s="26">
      <c r="A155" s="37" t="inlineStr">
        <is>
          <t>R033</t>
        </is>
      </c>
      <c r="B155" s="37">
        <f>IFERROR(INDEX(Recipes!$B$2:$B$500,MATCH(A155,Recipes!$A$2:$A$500,0)),"")</f>
        <v/>
      </c>
      <c r="C155" s="39" t="inlineStr">
        <is>
          <t>Groundnut (fresh or roasted)</t>
        </is>
      </c>
      <c r="D155" s="47" t="n">
        <v>0.5</v>
      </c>
      <c r="E155" s="37" t="inlineStr">
        <is>
          <t>cup</t>
        </is>
      </c>
      <c r="F155" s="37" t="inlineStr">
        <is>
          <t>P040</t>
        </is>
      </c>
      <c r="G155" s="37" t="inlineStr">
        <is>
          <t>Basket</t>
        </is>
      </c>
      <c r="H155" s="39" t="inlineStr">
        <is>
          <t>roasted</t>
        </is>
      </c>
    </row>
    <row r="156" ht="15" customHeight="1" s="26">
      <c r="A156" s="37" t="inlineStr">
        <is>
          <t>R033</t>
        </is>
      </c>
      <c r="B156" s="37">
        <f>IFERROR(INDEX(Recipes!$B$2:$B$500,MATCH(A156,Recipes!$A$2:$A$500,0)),"")</f>
        <v/>
      </c>
      <c r="C156" s="39" t="inlineStr">
        <is>
          <t>Lime</t>
        </is>
      </c>
      <c r="D156" s="47" t="n">
        <v>1</v>
      </c>
      <c r="E156" s="37" t="inlineStr">
        <is>
          <t>pc</t>
        </is>
      </c>
      <c r="F156" s="37" t="inlineStr">
        <is>
          <t>P010</t>
        </is>
      </c>
      <c r="G156" s="37" t="inlineStr">
        <is>
          <t>Basket</t>
        </is>
      </c>
      <c r="H156" s="39" t="n"/>
    </row>
    <row r="157" ht="15" customHeight="1" s="26">
      <c r="A157" s="37" t="inlineStr">
        <is>
          <t>R033</t>
        </is>
      </c>
      <c r="B157" s="37">
        <f>IFERROR(INDEX(Recipes!$B$2:$B$500,MATCH(A157,Recipes!$A$2:$A$500,0)),"")</f>
        <v/>
      </c>
      <c r="C157" s="39" t="inlineStr">
        <is>
          <t>Honey</t>
        </is>
      </c>
      <c r="D157" s="47" t="n">
        <v>1</v>
      </c>
      <c r="E157" s="37" t="inlineStr">
        <is>
          <t>tbsp</t>
        </is>
      </c>
      <c r="F157" s="37" t="n"/>
      <c r="G157" s="37" t="inlineStr">
        <is>
          <t>Pantry</t>
        </is>
      </c>
      <c r="H157" s="39" t="n"/>
    </row>
    <row r="158" ht="15" customHeight="1" s="26">
      <c r="A158" s="37" t="inlineStr">
        <is>
          <t>R033</t>
        </is>
      </c>
      <c r="B158" s="37">
        <f>IFERROR(INDEX(Recipes!$B$2:$B$500,MATCH(A158,Recipes!$A$2:$A$500,0)),"")</f>
        <v/>
      </c>
      <c r="C158" s="39" t="inlineStr">
        <is>
          <t>Paprika</t>
        </is>
      </c>
      <c r="D158" s="47" t="n">
        <v>1</v>
      </c>
      <c r="E158" s="37" t="inlineStr">
        <is>
          <t>tsp</t>
        </is>
      </c>
      <c r="F158" s="37" t="n"/>
      <c r="G158" s="37" t="inlineStr">
        <is>
          <t>Pantry</t>
        </is>
      </c>
      <c r="H158" s="39" t="n"/>
    </row>
    <row r="159" ht="15" customHeight="1" s="26">
      <c r="A159" s="37" t="inlineStr">
        <is>
          <t>R033</t>
        </is>
      </c>
      <c r="B159" s="37">
        <f>IFERROR(INDEX(Recipes!$B$2:$B$500,MATCH(A159,Recipes!$A$2:$A$500,0)),"")</f>
        <v/>
      </c>
      <c r="C159" s="39" t="inlineStr">
        <is>
          <t>Oil</t>
        </is>
      </c>
      <c r="D159" s="47" t="n">
        <v>2</v>
      </c>
      <c r="E159" s="37" t="inlineStr">
        <is>
          <t>tbsp</t>
        </is>
      </c>
      <c r="F159" s="37" t="n"/>
      <c r="G159" s="37" t="inlineStr">
        <is>
          <t>Staple</t>
        </is>
      </c>
      <c r="H159" s="39" t="n"/>
    </row>
    <row r="160" ht="15" customHeight="1" s="26">
      <c r="A160" s="37" t="inlineStr">
        <is>
          <t>R033</t>
        </is>
      </c>
      <c r="B160" s="37">
        <f>IFERROR(INDEX(Recipes!$B$2:$B$500,MATCH(A160,Recipes!$A$2:$A$500,0)),"")</f>
        <v/>
      </c>
      <c r="C160" s="39" t="inlineStr">
        <is>
          <t>Salt</t>
        </is>
      </c>
      <c r="D160" s="47" t="n">
        <v>1</v>
      </c>
      <c r="E160" s="37" t="inlineStr">
        <is>
          <t>pinch</t>
        </is>
      </c>
      <c r="F160" s="37" t="n"/>
      <c r="G160" s="37" t="inlineStr">
        <is>
          <t>Staple</t>
        </is>
      </c>
      <c r="H160" s="39" t="n"/>
    </row>
    <row r="161" ht="15" customHeight="1" s="26">
      <c r="A161" s="37" t="inlineStr">
        <is>
          <t>R034</t>
        </is>
      </c>
      <c r="B161" s="37">
        <f>IFERROR(INDEX(Recipes!$B$2:$B$500,MATCH(A161,Recipes!$A$2:$A$500,0)),"")</f>
        <v/>
      </c>
      <c r="C161" s="39" t="inlineStr">
        <is>
          <t>Black-eyed beans</t>
        </is>
      </c>
      <c r="D161" s="47" t="n">
        <v>2</v>
      </c>
      <c r="E161" s="37" t="inlineStr">
        <is>
          <t>cups</t>
        </is>
      </c>
      <c r="F161" s="37" t="n"/>
      <c r="G161" s="37" t="inlineStr">
        <is>
          <t>Pantry</t>
        </is>
      </c>
      <c r="H161" s="39" t="inlineStr">
        <is>
          <t>cooked</t>
        </is>
      </c>
    </row>
    <row r="162" ht="15" customHeight="1" s="26">
      <c r="A162" s="37" t="inlineStr">
        <is>
          <t>R034</t>
        </is>
      </c>
      <c r="B162" s="37">
        <f>IFERROR(INDEX(Recipes!$B$2:$B$500,MATCH(A162,Recipes!$A$2:$A$500,0)),"")</f>
        <v/>
      </c>
      <c r="C162" s="39" t="inlineStr">
        <is>
          <t>Sweet corn</t>
        </is>
      </c>
      <c r="D162" s="47" t="n">
        <v>1</v>
      </c>
      <c r="E162" s="37" t="inlineStr">
        <is>
          <t>cob</t>
        </is>
      </c>
      <c r="F162" s="37" t="inlineStr">
        <is>
          <t>P060</t>
        </is>
      </c>
      <c r="G162" s="37" t="inlineStr">
        <is>
          <t>Basket</t>
        </is>
      </c>
      <c r="H162" s="39" t="n"/>
    </row>
    <row r="163" ht="15" customHeight="1" s="26">
      <c r="A163" s="37" t="inlineStr">
        <is>
          <t>R034</t>
        </is>
      </c>
      <c r="B163" s="37">
        <f>IFERROR(INDEX(Recipes!$B$2:$B$500,MATCH(A163,Recipes!$A$2:$A$500,0)),"")</f>
        <v/>
      </c>
      <c r="C163" s="39" t="inlineStr">
        <is>
          <t>Red bell pepper</t>
        </is>
      </c>
      <c r="D163" s="47" t="n">
        <v>1</v>
      </c>
      <c r="E163" s="37" t="inlineStr">
        <is>
          <t>pc</t>
        </is>
      </c>
      <c r="F163" s="37" t="inlineStr">
        <is>
          <t>P044</t>
        </is>
      </c>
      <c r="G163" s="37" t="inlineStr">
        <is>
          <t>Basket</t>
        </is>
      </c>
      <c r="H163" s="39" t="n"/>
    </row>
    <row r="164" ht="15" customHeight="1" s="26">
      <c r="A164" s="37" t="inlineStr">
        <is>
          <t>R034</t>
        </is>
      </c>
      <c r="B164" s="37">
        <f>IFERROR(INDEX(Recipes!$B$2:$B$500,MATCH(A164,Recipes!$A$2:$A$500,0)),"")</f>
        <v/>
      </c>
      <c r="C164" s="39" t="inlineStr">
        <is>
          <t>Tomato (plum)</t>
        </is>
      </c>
      <c r="D164" s="47" t="n">
        <v>2</v>
      </c>
      <c r="E164" s="37" t="inlineStr">
        <is>
          <t>pc</t>
        </is>
      </c>
      <c r="F164" s="37" t="inlineStr">
        <is>
          <t>P042</t>
        </is>
      </c>
      <c r="G164" s="37" t="inlineStr">
        <is>
          <t>Basket</t>
        </is>
      </c>
      <c r="H164" s="39" t="n"/>
    </row>
    <row r="165" ht="15" customHeight="1" s="26">
      <c r="A165" s="37" t="inlineStr">
        <is>
          <t>R034</t>
        </is>
      </c>
      <c r="B165" s="37">
        <f>IFERROR(INDEX(Recipes!$B$2:$B$500,MATCH(A165,Recipes!$A$2:$A$500,0)),"")</f>
        <v/>
      </c>
      <c r="C165" s="39" t="inlineStr">
        <is>
          <t>Onion (red &amp; white)</t>
        </is>
      </c>
      <c r="D165" s="47" t="n">
        <v>0.5</v>
      </c>
      <c r="E165" s="37" t="inlineStr">
        <is>
          <t>pc</t>
        </is>
      </c>
      <c r="F165" s="37" t="inlineStr">
        <is>
          <t>P048</t>
        </is>
      </c>
      <c r="G165" s="37" t="inlineStr">
        <is>
          <t>Basket</t>
        </is>
      </c>
      <c r="H165" s="39" t="inlineStr">
        <is>
          <t>red</t>
        </is>
      </c>
    </row>
    <row r="166" ht="15" customHeight="1" s="26">
      <c r="A166" s="37" t="inlineStr">
        <is>
          <t>R034</t>
        </is>
      </c>
      <c r="B166" s="37">
        <f>IFERROR(INDEX(Recipes!$B$2:$B$500,MATCH(A166,Recipes!$A$2:$A$500,0)),"")</f>
        <v/>
      </c>
      <c r="C166" s="39" t="inlineStr">
        <is>
          <t>Scotch bonnet</t>
        </is>
      </c>
      <c r="D166" s="47" t="n">
        <v>0.25</v>
      </c>
      <c r="E166" s="37" t="inlineStr">
        <is>
          <t>pc</t>
        </is>
      </c>
      <c r="F166" s="37" t="inlineStr">
        <is>
          <t>P046</t>
        </is>
      </c>
      <c r="G166" s="37" t="inlineStr">
        <is>
          <t>Basket</t>
        </is>
      </c>
      <c r="H166" s="39" t="n"/>
    </row>
    <row r="167" ht="15" customHeight="1" s="26">
      <c r="A167" s="37" t="inlineStr">
        <is>
          <t>R034</t>
        </is>
      </c>
      <c r="B167" s="37">
        <f>IFERROR(INDEX(Recipes!$B$2:$B$500,MATCH(A167,Recipes!$A$2:$A$500,0)),"")</f>
        <v/>
      </c>
      <c r="C167" s="39" t="inlineStr">
        <is>
          <t>Coriander (cilantro)</t>
        </is>
      </c>
      <c r="D167" s="47" t="n">
        <v>1</v>
      </c>
      <c r="E167" s="37" t="inlineStr">
        <is>
          <t>handful</t>
        </is>
      </c>
      <c r="F167" s="37" t="inlineStr">
        <is>
          <t>P080</t>
        </is>
      </c>
      <c r="G167" s="37" t="inlineStr">
        <is>
          <t>Basket</t>
        </is>
      </c>
      <c r="H167" s="39" t="n"/>
    </row>
    <row r="168" ht="15" customHeight="1" s="26">
      <c r="A168" s="37" t="inlineStr">
        <is>
          <t>R034</t>
        </is>
      </c>
      <c r="B168" s="37">
        <f>IFERROR(INDEX(Recipes!$B$2:$B$500,MATCH(A168,Recipes!$A$2:$A$500,0)),"")</f>
        <v/>
      </c>
      <c r="C168" s="39" t="inlineStr">
        <is>
          <t>Lime</t>
        </is>
      </c>
      <c r="D168" s="47" t="n">
        <v>2</v>
      </c>
      <c r="E168" s="37" t="inlineStr">
        <is>
          <t>pc</t>
        </is>
      </c>
      <c r="F168" s="37" t="inlineStr">
        <is>
          <t>P010</t>
        </is>
      </c>
      <c r="G168" s="37" t="inlineStr">
        <is>
          <t>Basket</t>
        </is>
      </c>
      <c r="H168" s="39" t="n"/>
    </row>
    <row r="169" ht="15" customHeight="1" s="26">
      <c r="A169" s="37" t="inlineStr">
        <is>
          <t>R034</t>
        </is>
      </c>
      <c r="B169" s="37">
        <f>IFERROR(INDEX(Recipes!$B$2:$B$500,MATCH(A169,Recipes!$A$2:$A$500,0)),"")</f>
        <v/>
      </c>
      <c r="C169" s="39" t="inlineStr">
        <is>
          <t>Olive oil</t>
        </is>
      </c>
      <c r="D169" s="47" t="n">
        <v>2</v>
      </c>
      <c r="E169" s="37" t="inlineStr">
        <is>
          <t>tbsp</t>
        </is>
      </c>
      <c r="F169" s="37" t="n"/>
      <c r="G169" s="37" t="inlineStr">
        <is>
          <t>Staple</t>
        </is>
      </c>
      <c r="H169" s="39" t="n"/>
    </row>
    <row r="170" ht="15" customHeight="1" s="26">
      <c r="A170" s="37" t="inlineStr">
        <is>
          <t>R035</t>
        </is>
      </c>
      <c r="B170" s="37">
        <f>IFERROR(INDEX(Recipes!$B$2:$B$500,MATCH(A170,Recipes!$A$2:$A$500,0)),"")</f>
        <v/>
      </c>
      <c r="C170" s="39" t="inlineStr">
        <is>
          <t>Irish potato</t>
        </is>
      </c>
      <c r="D170" s="47" t="n">
        <v>300</v>
      </c>
      <c r="E170" s="37" t="inlineStr">
        <is>
          <t>g</t>
        </is>
      </c>
      <c r="F170" s="37" t="inlineStr">
        <is>
          <t>P070</t>
        </is>
      </c>
      <c r="G170" s="37" t="inlineStr">
        <is>
          <t>Basket</t>
        </is>
      </c>
      <c r="H170" s="39" t="n"/>
    </row>
    <row r="171" ht="15" customHeight="1" s="26">
      <c r="A171" s="37" t="inlineStr">
        <is>
          <t>R035</t>
        </is>
      </c>
      <c r="B171" s="37">
        <f>IFERROR(INDEX(Recipes!$B$2:$B$500,MATCH(A171,Recipes!$A$2:$A$500,0)),"")</f>
        <v/>
      </c>
      <c r="C171" s="39" t="inlineStr">
        <is>
          <t>Green beans</t>
        </is>
      </c>
      <c r="D171" s="47" t="n">
        <v>150</v>
      </c>
      <c r="E171" s="37" t="inlineStr">
        <is>
          <t>g</t>
        </is>
      </c>
      <c r="F171" s="37" t="inlineStr">
        <is>
          <t>P059</t>
        </is>
      </c>
      <c r="G171" s="37" t="inlineStr">
        <is>
          <t>Basket</t>
        </is>
      </c>
      <c r="H171" s="39" t="n"/>
    </row>
    <row r="172" ht="15" customHeight="1" s="26">
      <c r="A172" s="37" t="inlineStr">
        <is>
          <t>R035</t>
        </is>
      </c>
      <c r="B172" s="37">
        <f>IFERROR(INDEX(Recipes!$B$2:$B$500,MATCH(A172,Recipes!$A$2:$A$500,0)),"")</f>
        <v/>
      </c>
      <c r="C172" s="39" t="inlineStr">
        <is>
          <t>Tomato (plum)</t>
        </is>
      </c>
      <c r="D172" s="47" t="n">
        <v>2</v>
      </c>
      <c r="E172" s="37" t="inlineStr">
        <is>
          <t>pc</t>
        </is>
      </c>
      <c r="F172" s="37" t="inlineStr">
        <is>
          <t>P042</t>
        </is>
      </c>
      <c r="G172" s="37" t="inlineStr">
        <is>
          <t>Basket</t>
        </is>
      </c>
      <c r="H172" s="39" t="n"/>
    </row>
    <row r="173" ht="15" customHeight="1" s="26">
      <c r="A173" s="37" t="inlineStr">
        <is>
          <t>R035</t>
        </is>
      </c>
      <c r="B173" s="37">
        <f>IFERROR(INDEX(Recipes!$B$2:$B$500,MATCH(A173,Recipes!$A$2:$A$500,0)),"")</f>
        <v/>
      </c>
      <c r="C173" s="39" t="inlineStr">
        <is>
          <t>Lettuce (iceberg / romaine / local)</t>
        </is>
      </c>
      <c r="D173" s="47" t="n">
        <v>1</v>
      </c>
      <c r="E173" s="37" t="inlineStr">
        <is>
          <t>head</t>
        </is>
      </c>
      <c r="F173" s="37" t="inlineStr">
        <is>
          <t>P058</t>
        </is>
      </c>
      <c r="G173" s="37" t="inlineStr">
        <is>
          <t>Basket</t>
        </is>
      </c>
      <c r="H173" s="39" t="n"/>
    </row>
    <row r="174" ht="15" customHeight="1" s="26">
      <c r="A174" s="37" t="inlineStr">
        <is>
          <t>R035</t>
        </is>
      </c>
      <c r="B174" s="37">
        <f>IFERROR(INDEX(Recipes!$B$2:$B$500,MATCH(A174,Recipes!$A$2:$A$500,0)),"")</f>
        <v/>
      </c>
      <c r="C174" s="39" t="inlineStr">
        <is>
          <t>Onion (red &amp; white)</t>
        </is>
      </c>
      <c r="D174" s="47" t="n">
        <v>0.25</v>
      </c>
      <c r="E174" s="37" t="inlineStr">
        <is>
          <t>pc</t>
        </is>
      </c>
      <c r="F174" s="37" t="inlineStr">
        <is>
          <t>P048</t>
        </is>
      </c>
      <c r="G174" s="37" t="inlineStr">
        <is>
          <t>Basket</t>
        </is>
      </c>
      <c r="H174" s="39" t="inlineStr">
        <is>
          <t>red</t>
        </is>
      </c>
    </row>
    <row r="175" ht="15" customHeight="1" s="26">
      <c r="A175" s="37" t="inlineStr">
        <is>
          <t>R035</t>
        </is>
      </c>
      <c r="B175" s="37">
        <f>IFERROR(INDEX(Recipes!$B$2:$B$500,MATCH(A175,Recipes!$A$2:$A$500,0)),"")</f>
        <v/>
      </c>
      <c r="C175" s="39" t="inlineStr">
        <is>
          <t>Lemon</t>
        </is>
      </c>
      <c r="D175" s="47" t="n">
        <v>1</v>
      </c>
      <c r="E175" s="37" t="inlineStr">
        <is>
          <t>pc</t>
        </is>
      </c>
      <c r="F175" s="37" t="inlineStr">
        <is>
          <t>P009</t>
        </is>
      </c>
      <c r="G175" s="37" t="inlineStr">
        <is>
          <t>Basket</t>
        </is>
      </c>
      <c r="H175" s="39" t="n"/>
    </row>
    <row r="176" ht="15" customHeight="1" s="26">
      <c r="A176" s="37" t="inlineStr">
        <is>
          <t>R035</t>
        </is>
      </c>
      <c r="B176" s="37">
        <f>IFERROR(INDEX(Recipes!$B$2:$B$500,MATCH(A176,Recipes!$A$2:$A$500,0)),"")</f>
        <v/>
      </c>
      <c r="C176" s="39" t="inlineStr">
        <is>
          <t>Eggs</t>
        </is>
      </c>
      <c r="D176" s="47" t="n">
        <v>2</v>
      </c>
      <c r="E176" s="37" t="inlineStr">
        <is>
          <t>pc</t>
        </is>
      </c>
      <c r="F176" s="37" t="n"/>
      <c r="G176" s="37" t="inlineStr">
        <is>
          <t>Protein</t>
        </is>
      </c>
      <c r="H176" s="39" t="n"/>
    </row>
    <row r="177" ht="15" customHeight="1" s="26">
      <c r="A177" s="37" t="inlineStr">
        <is>
          <t>R035</t>
        </is>
      </c>
      <c r="B177" s="37">
        <f>IFERROR(INDEX(Recipes!$B$2:$B$500,MATCH(A177,Recipes!$A$2:$A$500,0)),"")</f>
        <v/>
      </c>
      <c r="C177" s="39" t="inlineStr">
        <is>
          <t>Tuna</t>
        </is>
      </c>
      <c r="D177" s="47" t="n">
        <v>1</v>
      </c>
      <c r="E177" s="37" t="inlineStr">
        <is>
          <t>can</t>
        </is>
      </c>
      <c r="F177" s="37" t="n"/>
      <c r="G177" s="37" t="inlineStr">
        <is>
          <t>Protein</t>
        </is>
      </c>
      <c r="H177" s="39" t="n"/>
    </row>
    <row r="178" ht="15" customHeight="1" s="26">
      <c r="A178" s="37" t="inlineStr">
        <is>
          <t>R035</t>
        </is>
      </c>
      <c r="B178" s="37">
        <f>IFERROR(INDEX(Recipes!$B$2:$B$500,MATCH(A178,Recipes!$A$2:$A$500,0)),"")</f>
        <v/>
      </c>
      <c r="C178" s="39" t="inlineStr">
        <is>
          <t>Olives</t>
        </is>
      </c>
      <c r="D178" s="47" t="n">
        <v>8</v>
      </c>
      <c r="E178" s="37" t="inlineStr">
        <is>
          <t>pc</t>
        </is>
      </c>
      <c r="F178" s="37" t="n"/>
      <c r="G178" s="37" t="inlineStr">
        <is>
          <t>Pantry</t>
        </is>
      </c>
      <c r="H178" s="39" t="n"/>
    </row>
    <row r="179" ht="15" customHeight="1" s="26">
      <c r="A179" s="37" t="inlineStr">
        <is>
          <t>R035</t>
        </is>
      </c>
      <c r="B179" s="37">
        <f>IFERROR(INDEX(Recipes!$B$2:$B$500,MATCH(A179,Recipes!$A$2:$A$500,0)),"")</f>
        <v/>
      </c>
      <c r="C179" s="39" t="inlineStr">
        <is>
          <t>Mustard</t>
        </is>
      </c>
      <c r="D179" s="47" t="n">
        <v>1</v>
      </c>
      <c r="E179" s="37" t="inlineStr">
        <is>
          <t>tsp</t>
        </is>
      </c>
      <c r="F179" s="37" t="n"/>
      <c r="G179" s="37" t="inlineStr">
        <is>
          <t>Pantry</t>
        </is>
      </c>
      <c r="H179" s="39" t="n"/>
    </row>
    <row r="180" ht="15" customHeight="1" s="26">
      <c r="A180" s="37" t="inlineStr">
        <is>
          <t>R035</t>
        </is>
      </c>
      <c r="B180" s="37">
        <f>IFERROR(INDEX(Recipes!$B$2:$B$500,MATCH(A180,Recipes!$A$2:$A$500,0)),"")</f>
        <v/>
      </c>
      <c r="C180" s="39" t="inlineStr">
        <is>
          <t>Olive oil</t>
        </is>
      </c>
      <c r="D180" s="47" t="n">
        <v>2</v>
      </c>
      <c r="E180" s="37" t="inlineStr">
        <is>
          <t>tbsp</t>
        </is>
      </c>
      <c r="F180" s="37" t="n"/>
      <c r="G180" s="37" t="inlineStr">
        <is>
          <t>Staple</t>
        </is>
      </c>
      <c r="H180" s="39" t="n"/>
    </row>
    <row r="181" ht="15" customHeight="1" s="26">
      <c r="A181" s="37" t="inlineStr">
        <is>
          <t>R036</t>
        </is>
      </c>
      <c r="B181" s="37">
        <f>IFERROR(INDEX(Recipes!$B$2:$B$500,MATCH(A181,Recipes!$A$2:$A$500,0)),"")</f>
        <v/>
      </c>
      <c r="C181" s="39" t="inlineStr">
        <is>
          <t>Pawpaw (papaya)</t>
        </is>
      </c>
      <c r="D181" s="47" t="n">
        <v>1</v>
      </c>
      <c r="E181" s="37" t="inlineStr">
        <is>
          <t>pc</t>
        </is>
      </c>
      <c r="F181" s="37" t="inlineStr">
        <is>
          <t>P005</t>
        </is>
      </c>
      <c r="G181" s="37" t="inlineStr">
        <is>
          <t>Basket</t>
        </is>
      </c>
      <c r="H181" s="39" t="inlineStr">
        <is>
          <t>small, unripe, about 500g</t>
        </is>
      </c>
    </row>
    <row r="182" ht="15" customHeight="1" s="26">
      <c r="A182" s="37" t="inlineStr">
        <is>
          <t>R036</t>
        </is>
      </c>
      <c r="B182" s="37">
        <f>IFERROR(INDEX(Recipes!$B$2:$B$500,MATCH(A182,Recipes!$A$2:$A$500,0)),"")</f>
        <v/>
      </c>
      <c r="C182" s="39" t="inlineStr">
        <is>
          <t>Carrot</t>
        </is>
      </c>
      <c r="D182" s="47" t="n">
        <v>1</v>
      </c>
      <c r="E182" s="37" t="inlineStr">
        <is>
          <t>pc</t>
        </is>
      </c>
      <c r="F182" s="37" t="inlineStr">
        <is>
          <t>P055</t>
        </is>
      </c>
      <c r="G182" s="37" t="inlineStr">
        <is>
          <t>Basket</t>
        </is>
      </c>
      <c r="H182" s="39" t="n"/>
    </row>
    <row r="183" ht="15" customHeight="1" s="26">
      <c r="A183" s="37" t="inlineStr">
        <is>
          <t>R036</t>
        </is>
      </c>
      <c r="B183" s="37">
        <f>IFERROR(INDEX(Recipes!$B$2:$B$500,MATCH(A183,Recipes!$A$2:$A$500,0)),"")</f>
        <v/>
      </c>
      <c r="C183" s="39" t="inlineStr">
        <is>
          <t>Tomato (plum)</t>
        </is>
      </c>
      <c r="D183" s="47" t="n">
        <v>2</v>
      </c>
      <c r="E183" s="37" t="inlineStr">
        <is>
          <t>pc</t>
        </is>
      </c>
      <c r="F183" s="37" t="inlineStr">
        <is>
          <t>P042</t>
        </is>
      </c>
      <c r="G183" s="37" t="inlineStr">
        <is>
          <t>Basket</t>
        </is>
      </c>
      <c r="H183" s="39" t="n"/>
    </row>
    <row r="184" ht="15" customHeight="1" s="26">
      <c r="A184" s="37" t="inlineStr">
        <is>
          <t>R036</t>
        </is>
      </c>
      <c r="B184" s="37">
        <f>IFERROR(INDEX(Recipes!$B$2:$B$500,MATCH(A184,Recipes!$A$2:$A$500,0)),"")</f>
        <v/>
      </c>
      <c r="C184" s="39" t="inlineStr">
        <is>
          <t>Garlic</t>
        </is>
      </c>
      <c r="D184" s="47" t="n">
        <v>2</v>
      </c>
      <c r="E184" s="37" t="inlineStr">
        <is>
          <t>cloves</t>
        </is>
      </c>
      <c r="F184" s="37" t="inlineStr">
        <is>
          <t>P051</t>
        </is>
      </c>
      <c r="G184" s="37" t="inlineStr">
        <is>
          <t>Basket</t>
        </is>
      </c>
      <c r="H184" s="39" t="n"/>
    </row>
    <row r="185" ht="15" customHeight="1" s="26">
      <c r="A185" s="37" t="inlineStr">
        <is>
          <t>R036</t>
        </is>
      </c>
      <c r="B185" s="37">
        <f>IFERROR(INDEX(Recipes!$B$2:$B$500,MATCH(A185,Recipes!$A$2:$A$500,0)),"")</f>
        <v/>
      </c>
      <c r="C185" s="39" t="inlineStr">
        <is>
          <t>Scotch bonnet</t>
        </is>
      </c>
      <c r="D185" s="47" t="n">
        <v>0.5</v>
      </c>
      <c r="E185" s="37" t="inlineStr">
        <is>
          <t>pc</t>
        </is>
      </c>
      <c r="F185" s="37" t="inlineStr">
        <is>
          <t>P046</t>
        </is>
      </c>
      <c r="G185" s="37" t="inlineStr">
        <is>
          <t>Basket</t>
        </is>
      </c>
      <c r="H185" s="39" t="n"/>
    </row>
    <row r="186" ht="15" customHeight="1" s="26">
      <c r="A186" s="37" t="inlineStr">
        <is>
          <t>R036</t>
        </is>
      </c>
      <c r="B186" s="37">
        <f>IFERROR(INDEX(Recipes!$B$2:$B$500,MATCH(A186,Recipes!$A$2:$A$500,0)),"")</f>
        <v/>
      </c>
      <c r="C186" s="39" t="inlineStr">
        <is>
          <t>Lime</t>
        </is>
      </c>
      <c r="D186" s="47" t="n">
        <v>2</v>
      </c>
      <c r="E186" s="37" t="inlineStr">
        <is>
          <t>pc</t>
        </is>
      </c>
      <c r="F186" s="37" t="inlineStr">
        <is>
          <t>P010</t>
        </is>
      </c>
      <c r="G186" s="37" t="inlineStr">
        <is>
          <t>Basket</t>
        </is>
      </c>
      <c r="H186" s="39" t="n"/>
    </row>
    <row r="187" ht="15" customHeight="1" s="26">
      <c r="A187" s="37" t="inlineStr">
        <is>
          <t>R036</t>
        </is>
      </c>
      <c r="B187" s="37">
        <f>IFERROR(INDEX(Recipes!$B$2:$B$500,MATCH(A187,Recipes!$A$2:$A$500,0)),"")</f>
        <v/>
      </c>
      <c r="C187" s="39" t="inlineStr">
        <is>
          <t>Groundnut (fresh or roasted)</t>
        </is>
      </c>
      <c r="D187" s="47" t="n">
        <v>2</v>
      </c>
      <c r="E187" s="37" t="inlineStr">
        <is>
          <t>tbsp</t>
        </is>
      </c>
      <c r="F187" s="37" t="inlineStr">
        <is>
          <t>P040</t>
        </is>
      </c>
      <c r="G187" s="37" t="inlineStr">
        <is>
          <t>Basket</t>
        </is>
      </c>
      <c r="H187" s="39" t="inlineStr">
        <is>
          <t>roasted</t>
        </is>
      </c>
    </row>
    <row r="188" ht="15" customHeight="1" s="26">
      <c r="A188" s="37" t="inlineStr">
        <is>
          <t>R036</t>
        </is>
      </c>
      <c r="B188" s="37">
        <f>IFERROR(INDEX(Recipes!$B$2:$B$500,MATCH(A188,Recipes!$A$2:$A$500,0)),"")</f>
        <v/>
      </c>
      <c r="C188" s="39" t="inlineStr">
        <is>
          <t>Green beans</t>
        </is>
      </c>
      <c r="D188" s="47" t="n">
        <v>1</v>
      </c>
      <c r="E188" s="37" t="inlineStr">
        <is>
          <t>handful</t>
        </is>
      </c>
      <c r="F188" s="37" t="inlineStr">
        <is>
          <t>P059</t>
        </is>
      </c>
      <c r="G188" s="37" t="inlineStr">
        <is>
          <t>Basket</t>
        </is>
      </c>
      <c r="H188" s="39" t="inlineStr">
        <is>
          <t>optional</t>
        </is>
      </c>
    </row>
    <row r="189" ht="15" customHeight="1" s="26">
      <c r="A189" s="37" t="inlineStr">
        <is>
          <t>R036</t>
        </is>
      </c>
      <c r="B189" s="37">
        <f>IFERROR(INDEX(Recipes!$B$2:$B$500,MATCH(A189,Recipes!$A$2:$A$500,0)),"")</f>
        <v/>
      </c>
      <c r="C189" s="39" t="inlineStr">
        <is>
          <t>Fish sauce or soy sauce</t>
        </is>
      </c>
      <c r="D189" s="47" t="n">
        <v>1</v>
      </c>
      <c r="E189" s="37" t="inlineStr">
        <is>
          <t>tbsp</t>
        </is>
      </c>
      <c r="F189" s="37" t="n"/>
      <c r="G189" s="37" t="inlineStr">
        <is>
          <t>Pantry</t>
        </is>
      </c>
      <c r="H189" s="39" t="n"/>
    </row>
    <row r="190" ht="15" customHeight="1" s="26">
      <c r="A190" s="37" t="inlineStr">
        <is>
          <t>R036</t>
        </is>
      </c>
      <c r="B190" s="37">
        <f>IFERROR(INDEX(Recipes!$B$2:$B$500,MATCH(A190,Recipes!$A$2:$A$500,0)),"")</f>
        <v/>
      </c>
      <c r="C190" s="39" t="inlineStr">
        <is>
          <t>Honey</t>
        </is>
      </c>
      <c r="D190" s="47" t="n">
        <v>1</v>
      </c>
      <c r="E190" s="37" t="inlineStr">
        <is>
          <t>tsp</t>
        </is>
      </c>
      <c r="F190" s="37" t="n"/>
      <c r="G190" s="37" t="inlineStr">
        <is>
          <t>Pantry</t>
        </is>
      </c>
      <c r="H190" s="39" t="n"/>
    </row>
    <row r="191" ht="15" customHeight="1" s="26">
      <c r="A191" s="37" t="inlineStr">
        <is>
          <t>R037</t>
        </is>
      </c>
      <c r="B191" s="37">
        <f>IFERROR(INDEX(Recipes!$B$2:$B$500,MATCH(A191,Recipes!$A$2:$A$500,0)),"")</f>
        <v/>
      </c>
      <c r="C191" s="39" t="inlineStr">
        <is>
          <t>Carrot</t>
        </is>
      </c>
      <c r="D191" s="47" t="n">
        <v>4</v>
      </c>
      <c r="E191" s="37" t="inlineStr">
        <is>
          <t>pc</t>
        </is>
      </c>
      <c r="F191" s="37" t="inlineStr">
        <is>
          <t>P055</t>
        </is>
      </c>
      <c r="G191" s="37" t="inlineStr">
        <is>
          <t>Basket</t>
        </is>
      </c>
      <c r="H191" s="39" t="n"/>
    </row>
    <row r="192" ht="15" customHeight="1" s="26">
      <c r="A192" s="37" t="inlineStr">
        <is>
          <t>R037</t>
        </is>
      </c>
      <c r="B192" s="37">
        <f>IFERROR(INDEX(Recipes!$B$2:$B$500,MATCH(A192,Recipes!$A$2:$A$500,0)),"")</f>
        <v/>
      </c>
      <c r="C192" s="39" t="inlineStr">
        <is>
          <t>Orange</t>
        </is>
      </c>
      <c r="D192" s="47" t="n">
        <v>1</v>
      </c>
      <c r="E192" s="37" t="inlineStr">
        <is>
          <t>pc</t>
        </is>
      </c>
      <c r="F192" s="37" t="inlineStr">
        <is>
          <t>P007</t>
        </is>
      </c>
      <c r="G192" s="37" t="inlineStr">
        <is>
          <t>Basket</t>
        </is>
      </c>
      <c r="H192" s="39" t="n"/>
    </row>
    <row r="193" ht="15" customHeight="1" s="26">
      <c r="A193" s="37" t="inlineStr">
        <is>
          <t>R037</t>
        </is>
      </c>
      <c r="B193" s="37">
        <f>IFERROR(INDEX(Recipes!$B$2:$B$500,MATCH(A193,Recipes!$A$2:$A$500,0)),"")</f>
        <v/>
      </c>
      <c r="C193" s="39" t="inlineStr">
        <is>
          <t>Mint</t>
        </is>
      </c>
      <c r="D193" s="47" t="n">
        <v>1</v>
      </c>
      <c r="E193" s="37" t="inlineStr">
        <is>
          <t>small bunch</t>
        </is>
      </c>
      <c r="F193" s="37" t="inlineStr">
        <is>
          <t>P079</t>
        </is>
      </c>
      <c r="G193" s="37" t="inlineStr">
        <is>
          <t>Basket</t>
        </is>
      </c>
      <c r="H193" s="39" t="n"/>
    </row>
    <row r="194" ht="15" customHeight="1" s="26">
      <c r="A194" s="37" t="inlineStr">
        <is>
          <t>R037</t>
        </is>
      </c>
      <c r="B194" s="37">
        <f>IFERROR(INDEX(Recipes!$B$2:$B$500,MATCH(A194,Recipes!$A$2:$A$500,0)),"")</f>
        <v/>
      </c>
      <c r="C194" s="39" t="inlineStr">
        <is>
          <t>Lemon</t>
        </is>
      </c>
      <c r="D194" s="47" t="n">
        <v>0.5</v>
      </c>
      <c r="E194" s="37" t="inlineStr">
        <is>
          <t>pc</t>
        </is>
      </c>
      <c r="F194" s="37" t="inlineStr">
        <is>
          <t>P009</t>
        </is>
      </c>
      <c r="G194" s="37" t="inlineStr">
        <is>
          <t>Basket</t>
        </is>
      </c>
      <c r="H194" s="39" t="n"/>
    </row>
    <row r="195" ht="15" customHeight="1" s="26">
      <c r="A195" s="37" t="inlineStr">
        <is>
          <t>R037</t>
        </is>
      </c>
      <c r="B195" s="37">
        <f>IFERROR(INDEX(Recipes!$B$2:$B$500,MATCH(A195,Recipes!$A$2:$A$500,0)),"")</f>
        <v/>
      </c>
      <c r="C195" s="39" t="inlineStr">
        <is>
          <t>Ground cumin</t>
        </is>
      </c>
      <c r="D195" s="47" t="n">
        <v>1</v>
      </c>
      <c r="E195" s="37" t="inlineStr">
        <is>
          <t>tsp</t>
        </is>
      </c>
      <c r="F195" s="37" t="n"/>
      <c r="G195" s="37" t="inlineStr">
        <is>
          <t>Pantry</t>
        </is>
      </c>
      <c r="H195" s="39" t="n"/>
    </row>
    <row r="196" ht="15" customHeight="1" s="26">
      <c r="A196" s="37" t="inlineStr">
        <is>
          <t>R037</t>
        </is>
      </c>
      <c r="B196" s="37">
        <f>IFERROR(INDEX(Recipes!$B$2:$B$500,MATCH(A196,Recipes!$A$2:$A$500,0)),"")</f>
        <v/>
      </c>
      <c r="C196" s="39" t="inlineStr">
        <is>
          <t>Ground cinnamon</t>
        </is>
      </c>
      <c r="D196" s="47" t="n">
        <v>0.5</v>
      </c>
      <c r="E196" s="37" t="inlineStr">
        <is>
          <t>tsp</t>
        </is>
      </c>
      <c r="F196" s="37" t="n"/>
      <c r="G196" s="37" t="inlineStr">
        <is>
          <t>Pantry</t>
        </is>
      </c>
      <c r="H196" s="39" t="n"/>
    </row>
    <row r="197" ht="15" customHeight="1" s="26">
      <c r="A197" s="37" t="inlineStr">
        <is>
          <t>R037</t>
        </is>
      </c>
      <c r="B197" s="37">
        <f>IFERROR(INDEX(Recipes!$B$2:$B$500,MATCH(A197,Recipes!$A$2:$A$500,0)),"")</f>
        <v/>
      </c>
      <c r="C197" s="39" t="inlineStr">
        <is>
          <t>Olive oil</t>
        </is>
      </c>
      <c r="D197" s="47" t="n">
        <v>1</v>
      </c>
      <c r="E197" s="37" t="inlineStr">
        <is>
          <t>tbsp</t>
        </is>
      </c>
      <c r="F197" s="37" t="n"/>
      <c r="G197" s="37" t="inlineStr">
        <is>
          <t>Staple</t>
        </is>
      </c>
      <c r="H197" s="39" t="n"/>
    </row>
    <row r="198" ht="15" customHeight="1" s="26">
      <c r="A198" s="37" t="inlineStr">
        <is>
          <t>R037</t>
        </is>
      </c>
      <c r="B198" s="37">
        <f>IFERROR(INDEX(Recipes!$B$2:$B$500,MATCH(A198,Recipes!$A$2:$A$500,0)),"")</f>
        <v/>
      </c>
      <c r="C198" s="39" t="inlineStr">
        <is>
          <t>Salt</t>
        </is>
      </c>
      <c r="D198" s="47" t="n">
        <v>1</v>
      </c>
      <c r="E198" s="37" t="inlineStr">
        <is>
          <t>pinch</t>
        </is>
      </c>
      <c r="F198" s="37" t="n"/>
      <c r="G198" s="37" t="inlineStr">
        <is>
          <t>Staple</t>
        </is>
      </c>
      <c r="H198" s="39" t="n"/>
    </row>
    <row r="199" ht="15" customHeight="1" s="26">
      <c r="A199" s="37" t="inlineStr">
        <is>
          <t>R038</t>
        </is>
      </c>
      <c r="B199" s="37">
        <f>IFERROR(INDEX(Recipes!$B$2:$B$500,MATCH(A199,Recipes!$A$2:$A$500,0)),"")</f>
        <v/>
      </c>
      <c r="C199" s="39" t="inlineStr">
        <is>
          <t>Beetroot</t>
        </is>
      </c>
      <c r="D199" s="47" t="n">
        <v>2</v>
      </c>
      <c r="E199" s="37" t="inlineStr">
        <is>
          <t>pc</t>
        </is>
      </c>
      <c r="F199" s="37" t="inlineStr">
        <is>
          <t>P065</t>
        </is>
      </c>
      <c r="G199" s="37" t="inlineStr">
        <is>
          <t>Basket</t>
        </is>
      </c>
      <c r="H199" s="39" t="n"/>
    </row>
    <row r="200" ht="15" customHeight="1" s="26">
      <c r="A200" s="37" t="inlineStr">
        <is>
          <t>R038</t>
        </is>
      </c>
      <c r="B200" s="37">
        <f>IFERROR(INDEX(Recipes!$B$2:$B$500,MATCH(A200,Recipes!$A$2:$A$500,0)),"")</f>
        <v/>
      </c>
      <c r="C200" s="39" t="inlineStr">
        <is>
          <t>Orange</t>
        </is>
      </c>
      <c r="D200" s="47" t="n">
        <v>1</v>
      </c>
      <c r="E200" s="37" t="inlineStr">
        <is>
          <t>pc</t>
        </is>
      </c>
      <c r="F200" s="37" t="inlineStr">
        <is>
          <t>P007</t>
        </is>
      </c>
      <c r="G200" s="37" t="inlineStr">
        <is>
          <t>Basket</t>
        </is>
      </c>
      <c r="H200" s="39" t="n"/>
    </row>
    <row r="201" ht="15" customHeight="1" s="26">
      <c r="A201" s="37" t="inlineStr">
        <is>
          <t>R038</t>
        </is>
      </c>
      <c r="B201" s="37">
        <f>IFERROR(INDEX(Recipes!$B$2:$B$500,MATCH(A201,Recipes!$A$2:$A$500,0)),"")</f>
        <v/>
      </c>
      <c r="C201" s="39" t="inlineStr">
        <is>
          <t>Avocado</t>
        </is>
      </c>
      <c r="D201" s="47" t="n">
        <v>1</v>
      </c>
      <c r="E201" s="37" t="inlineStr">
        <is>
          <t>pc</t>
        </is>
      </c>
      <c r="F201" s="37" t="inlineStr">
        <is>
          <t>P012</t>
        </is>
      </c>
      <c r="G201" s="37" t="inlineStr">
        <is>
          <t>Basket</t>
        </is>
      </c>
      <c r="H201" s="39" t="n"/>
    </row>
    <row r="202" ht="15" customHeight="1" s="26">
      <c r="A202" s="37" t="inlineStr">
        <is>
          <t>R038</t>
        </is>
      </c>
      <c r="B202" s="37">
        <f>IFERROR(INDEX(Recipes!$B$2:$B$500,MATCH(A202,Recipes!$A$2:$A$500,0)),"")</f>
        <v/>
      </c>
      <c r="C202" s="39" t="inlineStr">
        <is>
          <t>Lettuce (iceberg / romaine / local)</t>
        </is>
      </c>
      <c r="D202" s="47" t="n">
        <v>1</v>
      </c>
      <c r="E202" s="37" t="inlineStr">
        <is>
          <t>cup</t>
        </is>
      </c>
      <c r="F202" s="37" t="inlineStr">
        <is>
          <t>P058</t>
        </is>
      </c>
      <c r="G202" s="37" t="inlineStr">
        <is>
          <t>Basket</t>
        </is>
      </c>
      <c r="H202" s="39" t="inlineStr">
        <is>
          <t>leaves</t>
        </is>
      </c>
    </row>
    <row r="203" ht="15" customHeight="1" s="26">
      <c r="A203" s="37" t="inlineStr">
        <is>
          <t>R038</t>
        </is>
      </c>
      <c r="B203" s="37">
        <f>IFERROR(INDEX(Recipes!$B$2:$B$500,MATCH(A203,Recipes!$A$2:$A$500,0)),"")</f>
        <v/>
      </c>
      <c r="C203" s="39" t="inlineStr">
        <is>
          <t>Onion (red &amp; white)</t>
        </is>
      </c>
      <c r="D203" s="47" t="n">
        <v>0.25</v>
      </c>
      <c r="E203" s="37" t="inlineStr">
        <is>
          <t>pc</t>
        </is>
      </c>
      <c r="F203" s="37" t="inlineStr">
        <is>
          <t>P048</t>
        </is>
      </c>
      <c r="G203" s="37" t="inlineStr">
        <is>
          <t>Basket</t>
        </is>
      </c>
      <c r="H203" s="39" t="inlineStr">
        <is>
          <t>red</t>
        </is>
      </c>
    </row>
    <row r="204" ht="15" customHeight="1" s="26">
      <c r="A204" s="37" t="inlineStr">
        <is>
          <t>R038</t>
        </is>
      </c>
      <c r="B204" s="37">
        <f>IFERROR(INDEX(Recipes!$B$2:$B$500,MATCH(A204,Recipes!$A$2:$A$500,0)),"")</f>
        <v/>
      </c>
      <c r="C204" s="39" t="inlineStr">
        <is>
          <t>Groundnut (fresh or roasted)</t>
        </is>
      </c>
      <c r="D204" s="47" t="n">
        <v>2</v>
      </c>
      <c r="E204" s="37" t="inlineStr">
        <is>
          <t>tbsp</t>
        </is>
      </c>
      <c r="F204" s="37" t="inlineStr">
        <is>
          <t>P040</t>
        </is>
      </c>
      <c r="G204" s="37" t="inlineStr">
        <is>
          <t>Basket</t>
        </is>
      </c>
      <c r="H204" s="39" t="inlineStr">
        <is>
          <t>roasted</t>
        </is>
      </c>
    </row>
    <row r="205" ht="15" customHeight="1" s="26">
      <c r="A205" s="37" t="inlineStr">
        <is>
          <t>R038</t>
        </is>
      </c>
      <c r="B205" s="37">
        <f>IFERROR(INDEX(Recipes!$B$2:$B$500,MATCH(A205,Recipes!$A$2:$A$500,0)),"")</f>
        <v/>
      </c>
      <c r="C205" s="39" t="inlineStr">
        <is>
          <t>Lemon</t>
        </is>
      </c>
      <c r="D205" s="47" t="n">
        <v>0.5</v>
      </c>
      <c r="E205" s="37" t="inlineStr">
        <is>
          <t>pc</t>
        </is>
      </c>
      <c r="F205" s="37" t="inlineStr">
        <is>
          <t>P009</t>
        </is>
      </c>
      <c r="G205" s="37" t="inlineStr">
        <is>
          <t>Basket</t>
        </is>
      </c>
      <c r="H205" s="39" t="n"/>
    </row>
    <row r="206" ht="15" customHeight="1" s="26">
      <c r="A206" s="37" t="inlineStr">
        <is>
          <t>R038</t>
        </is>
      </c>
      <c r="B206" s="37">
        <f>IFERROR(INDEX(Recipes!$B$2:$B$500,MATCH(A206,Recipes!$A$2:$A$500,0)),"")</f>
        <v/>
      </c>
      <c r="C206" s="39" t="inlineStr">
        <is>
          <t>Honey</t>
        </is>
      </c>
      <c r="D206" s="47" t="n">
        <v>1</v>
      </c>
      <c r="E206" s="37" t="inlineStr">
        <is>
          <t>tbsp</t>
        </is>
      </c>
      <c r="F206" s="37" t="n"/>
      <c r="G206" s="37" t="inlineStr">
        <is>
          <t>Pantry</t>
        </is>
      </c>
      <c r="H206" s="39" t="n"/>
    </row>
    <row r="207" ht="15" customHeight="1" s="26">
      <c r="A207" s="37" t="inlineStr">
        <is>
          <t>R038</t>
        </is>
      </c>
      <c r="B207" s="37">
        <f>IFERROR(INDEX(Recipes!$B$2:$B$500,MATCH(A207,Recipes!$A$2:$A$500,0)),"")</f>
        <v/>
      </c>
      <c r="C207" s="39" t="inlineStr">
        <is>
          <t>Olive oil</t>
        </is>
      </c>
      <c r="D207" s="47" t="n">
        <v>1</v>
      </c>
      <c r="E207" s="37" t="inlineStr">
        <is>
          <t>tbsp</t>
        </is>
      </c>
      <c r="F207" s="37" t="n"/>
      <c r="G207" s="37" t="inlineStr">
        <is>
          <t>Staple</t>
        </is>
      </c>
      <c r="H207" s="39" t="n"/>
    </row>
    <row r="208" ht="15" customHeight="1" s="26">
      <c r="A208" s="37" t="inlineStr">
        <is>
          <t>R039</t>
        </is>
      </c>
      <c r="B208" s="37">
        <f>IFERROR(INDEX(Recipes!$B$2:$B$500,MATCH(A208,Recipes!$A$2:$A$500,0)),"")</f>
        <v/>
      </c>
      <c r="C208" s="39" t="inlineStr">
        <is>
          <t>Tomato (plum)</t>
        </is>
      </c>
      <c r="D208" s="47" t="n">
        <v>4</v>
      </c>
      <c r="E208" s="37" t="inlineStr">
        <is>
          <t>pc</t>
        </is>
      </c>
      <c r="F208" s="37" t="inlineStr">
        <is>
          <t>P042</t>
        </is>
      </c>
      <c r="G208" s="37" t="inlineStr">
        <is>
          <t>Basket</t>
        </is>
      </c>
      <c r="H208" s="39" t="n"/>
    </row>
    <row r="209" ht="15" customHeight="1" s="26">
      <c r="A209" s="37" t="inlineStr">
        <is>
          <t>R039</t>
        </is>
      </c>
      <c r="B209" s="37">
        <f>IFERROR(INDEX(Recipes!$B$2:$B$500,MATCH(A209,Recipes!$A$2:$A$500,0)),"")</f>
        <v/>
      </c>
      <c r="C209" s="39" t="inlineStr">
        <is>
          <t>Onion (red &amp; white)</t>
        </is>
      </c>
      <c r="D209" s="47" t="n">
        <v>1</v>
      </c>
      <c r="E209" s="37" t="inlineStr">
        <is>
          <t>pc</t>
        </is>
      </c>
      <c r="F209" s="37" t="inlineStr">
        <is>
          <t>P048</t>
        </is>
      </c>
      <c r="G209" s="37" t="inlineStr">
        <is>
          <t>Basket</t>
        </is>
      </c>
      <c r="H209" s="39" t="inlineStr">
        <is>
          <t>red</t>
        </is>
      </c>
    </row>
    <row r="210" ht="15" customHeight="1" s="26">
      <c r="A210" s="37" t="inlineStr">
        <is>
          <t>R039</t>
        </is>
      </c>
      <c r="B210" s="37">
        <f>IFERROR(INDEX(Recipes!$B$2:$B$500,MATCH(A210,Recipes!$A$2:$A$500,0)),"")</f>
        <v/>
      </c>
      <c r="C210" s="39" t="inlineStr">
        <is>
          <t>Cucumber</t>
        </is>
      </c>
      <c r="D210" s="47" t="n">
        <v>1</v>
      </c>
      <c r="E210" s="37" t="inlineStr">
        <is>
          <t>pc</t>
        </is>
      </c>
      <c r="F210" s="37" t="inlineStr">
        <is>
          <t>P054</t>
        </is>
      </c>
      <c r="G210" s="37" t="inlineStr">
        <is>
          <t>Basket</t>
        </is>
      </c>
      <c r="H210" s="39" t="n"/>
    </row>
    <row r="211" ht="15" customHeight="1" s="26">
      <c r="A211" s="37" t="inlineStr">
        <is>
          <t>R039</t>
        </is>
      </c>
      <c r="B211" s="37">
        <f>IFERROR(INDEX(Recipes!$B$2:$B$500,MATCH(A211,Recipes!$A$2:$A$500,0)),"")</f>
        <v/>
      </c>
      <c r="C211" s="39" t="inlineStr">
        <is>
          <t>Scotch bonnet</t>
        </is>
      </c>
      <c r="D211" s="47" t="n">
        <v>0.25</v>
      </c>
      <c r="E211" s="37" t="inlineStr">
        <is>
          <t>pc</t>
        </is>
      </c>
      <c r="F211" s="37" t="inlineStr">
        <is>
          <t>P046</t>
        </is>
      </c>
      <c r="G211" s="37" t="inlineStr">
        <is>
          <t>Basket</t>
        </is>
      </c>
      <c r="H211" s="39" t="n"/>
    </row>
    <row r="212" ht="15" customHeight="1" s="26">
      <c r="A212" s="37" t="inlineStr">
        <is>
          <t>R039</t>
        </is>
      </c>
      <c r="B212" s="37">
        <f>IFERROR(INDEX(Recipes!$B$2:$B$500,MATCH(A212,Recipes!$A$2:$A$500,0)),"")</f>
        <v/>
      </c>
      <c r="C212" s="39" t="inlineStr">
        <is>
          <t>Coriander (cilantro)</t>
        </is>
      </c>
      <c r="D212" s="47" t="n">
        <v>1</v>
      </c>
      <c r="E212" s="37" t="inlineStr">
        <is>
          <t>handful</t>
        </is>
      </c>
      <c r="F212" s="37" t="inlineStr">
        <is>
          <t>P080</t>
        </is>
      </c>
      <c r="G212" s="37" t="inlineStr">
        <is>
          <t>Basket</t>
        </is>
      </c>
      <c r="H212" s="39" t="n"/>
    </row>
    <row r="213" ht="15" customHeight="1" s="26">
      <c r="A213" s="37" t="inlineStr">
        <is>
          <t>R039</t>
        </is>
      </c>
      <c r="B213" s="37">
        <f>IFERROR(INDEX(Recipes!$B$2:$B$500,MATCH(A213,Recipes!$A$2:$A$500,0)),"")</f>
        <v/>
      </c>
      <c r="C213" s="39" t="inlineStr">
        <is>
          <t>Lime</t>
        </is>
      </c>
      <c r="D213" s="47" t="n">
        <v>2</v>
      </c>
      <c r="E213" s="37" t="inlineStr">
        <is>
          <t>pc</t>
        </is>
      </c>
      <c r="F213" s="37" t="inlineStr">
        <is>
          <t>P010</t>
        </is>
      </c>
      <c r="G213" s="37" t="inlineStr">
        <is>
          <t>Basket</t>
        </is>
      </c>
      <c r="H213" s="39" t="n"/>
    </row>
    <row r="214" ht="15" customHeight="1" s="26">
      <c r="A214" s="37" t="inlineStr">
        <is>
          <t>R039</t>
        </is>
      </c>
      <c r="B214" s="37">
        <f>IFERROR(INDEX(Recipes!$B$2:$B$500,MATCH(A214,Recipes!$A$2:$A$500,0)),"")</f>
        <v/>
      </c>
      <c r="C214" s="39" t="inlineStr">
        <is>
          <t>Salt</t>
        </is>
      </c>
      <c r="D214" s="47" t="n">
        <v>1</v>
      </c>
      <c r="E214" s="37" t="inlineStr">
        <is>
          <t>pinch</t>
        </is>
      </c>
      <c r="F214" s="37" t="n"/>
      <c r="G214" s="37" t="inlineStr">
        <is>
          <t>Staple</t>
        </is>
      </c>
      <c r="H214" s="39" t="n"/>
    </row>
    <row r="215" ht="15" customHeight="1" s="26">
      <c r="A215" s="37" t="inlineStr">
        <is>
          <t>R040</t>
        </is>
      </c>
      <c r="B215" s="37">
        <f>IFERROR(INDEX(Recipes!$B$2:$B$500,MATCH(A215,Recipes!$A$2:$A$500,0)),"")</f>
        <v/>
      </c>
      <c r="C215" s="39" t="inlineStr">
        <is>
          <t>Chicken breast</t>
        </is>
      </c>
      <c r="D215" s="47" t="n">
        <v>2</v>
      </c>
      <c r="E215" s="37" t="inlineStr">
        <is>
          <t>pc</t>
        </is>
      </c>
      <c r="F215" s="37" t="n"/>
      <c r="G215" s="37" t="inlineStr">
        <is>
          <t>Protein</t>
        </is>
      </c>
      <c r="H215" s="39" t="n"/>
    </row>
    <row r="216" ht="15" customHeight="1" s="26">
      <c r="A216" s="37" t="inlineStr">
        <is>
          <t>R040</t>
        </is>
      </c>
      <c r="B216" s="37">
        <f>IFERROR(INDEX(Recipes!$B$2:$B$500,MATCH(A216,Recipes!$A$2:$A$500,0)),"")</f>
        <v/>
      </c>
      <c r="C216" s="39" t="inlineStr">
        <is>
          <t>Rice or quinoa</t>
        </is>
      </c>
      <c r="D216" s="47" t="n">
        <v>1</v>
      </c>
      <c r="E216" s="37" t="inlineStr">
        <is>
          <t>cup</t>
        </is>
      </c>
      <c r="F216" s="37" t="n"/>
      <c r="G216" s="37" t="inlineStr">
        <is>
          <t>Pantry</t>
        </is>
      </c>
      <c r="H216" s="39" t="inlineStr">
        <is>
          <t>uncooked</t>
        </is>
      </c>
    </row>
    <row r="217" ht="15" customHeight="1" s="26">
      <c r="A217" s="37" t="inlineStr">
        <is>
          <t>R040</t>
        </is>
      </c>
      <c r="B217" s="37">
        <f>IFERROR(INDEX(Recipes!$B$2:$B$500,MATCH(A217,Recipes!$A$2:$A$500,0)),"")</f>
        <v/>
      </c>
      <c r="C217" s="39" t="inlineStr">
        <is>
          <t>Cabbage (white)</t>
        </is>
      </c>
      <c r="D217" s="47" t="n">
        <v>0.25</v>
      </c>
      <c r="E217" s="37" t="inlineStr">
        <is>
          <t>head</t>
        </is>
      </c>
      <c r="F217" s="37" t="inlineStr">
        <is>
          <t>P056</t>
        </is>
      </c>
      <c r="G217" s="37" t="inlineStr">
        <is>
          <t>Basket</t>
        </is>
      </c>
      <c r="H217" s="39" t="n"/>
    </row>
    <row r="218" ht="15" customHeight="1" s="26">
      <c r="A218" s="37" t="inlineStr">
        <is>
          <t>R040</t>
        </is>
      </c>
      <c r="B218" s="37">
        <f>IFERROR(INDEX(Recipes!$B$2:$B$500,MATCH(A218,Recipes!$A$2:$A$500,0)),"")</f>
        <v/>
      </c>
      <c r="C218" s="39" t="inlineStr">
        <is>
          <t>Tomato (plum)</t>
        </is>
      </c>
      <c r="D218" s="47" t="n">
        <v>2</v>
      </c>
      <c r="E218" s="37" t="inlineStr">
        <is>
          <t>pc</t>
        </is>
      </c>
      <c r="F218" s="37" t="inlineStr">
        <is>
          <t>P042</t>
        </is>
      </c>
      <c r="G218" s="37" t="inlineStr">
        <is>
          <t>Basket</t>
        </is>
      </c>
      <c r="H218" s="39" t="n"/>
    </row>
    <row r="219" ht="15" customHeight="1" s="26">
      <c r="A219" s="37" t="inlineStr">
        <is>
          <t>R040</t>
        </is>
      </c>
      <c r="B219" s="37">
        <f>IFERROR(INDEX(Recipes!$B$2:$B$500,MATCH(A219,Recipes!$A$2:$A$500,0)),"")</f>
        <v/>
      </c>
      <c r="C219" s="39" t="inlineStr">
        <is>
          <t>Onion (red &amp; white)</t>
        </is>
      </c>
      <c r="D219" s="47" t="n">
        <v>1</v>
      </c>
      <c r="E219" s="37" t="inlineStr">
        <is>
          <t>pc</t>
        </is>
      </c>
      <c r="F219" s="37" t="inlineStr">
        <is>
          <t>P048</t>
        </is>
      </c>
      <c r="G219" s="37" t="inlineStr">
        <is>
          <t>Basket</t>
        </is>
      </c>
      <c r="H219" s="39" t="inlineStr">
        <is>
          <t>red</t>
        </is>
      </c>
    </row>
    <row r="220" ht="15" customHeight="1" s="26">
      <c r="A220" s="37" t="inlineStr">
        <is>
          <t>R040</t>
        </is>
      </c>
      <c r="B220" s="37">
        <f>IFERROR(INDEX(Recipes!$B$2:$B$500,MATCH(A220,Recipes!$A$2:$A$500,0)),"")</f>
        <v/>
      </c>
      <c r="C220" s="39" t="inlineStr">
        <is>
          <t>Cucumber</t>
        </is>
      </c>
      <c r="D220" s="47" t="n">
        <v>1</v>
      </c>
      <c r="E220" s="37" t="inlineStr">
        <is>
          <t>pc</t>
        </is>
      </c>
      <c r="F220" s="37" t="inlineStr">
        <is>
          <t>P054</t>
        </is>
      </c>
      <c r="G220" s="37" t="inlineStr">
        <is>
          <t>Basket</t>
        </is>
      </c>
      <c r="H220" s="39" t="n"/>
    </row>
    <row r="221" ht="15" customHeight="1" s="26">
      <c r="A221" s="37" t="inlineStr">
        <is>
          <t>R040</t>
        </is>
      </c>
      <c r="B221" s="37">
        <f>IFERROR(INDEX(Recipes!$B$2:$B$500,MATCH(A221,Recipes!$A$2:$A$500,0)),"")</f>
        <v/>
      </c>
      <c r="C221" s="39" t="inlineStr">
        <is>
          <t>Avocado</t>
        </is>
      </c>
      <c r="D221" s="47" t="n">
        <v>0.5</v>
      </c>
      <c r="E221" s="37" t="inlineStr">
        <is>
          <t>pc</t>
        </is>
      </c>
      <c r="F221" s="37" t="inlineStr">
        <is>
          <t>P012</t>
        </is>
      </c>
      <c r="G221" s="37" t="inlineStr">
        <is>
          <t>Basket</t>
        </is>
      </c>
      <c r="H221" s="39" t="n"/>
    </row>
    <row r="222" ht="15" customHeight="1" s="26">
      <c r="A222" s="37" t="inlineStr">
        <is>
          <t>R040</t>
        </is>
      </c>
      <c r="B222" s="37">
        <f>IFERROR(INDEX(Recipes!$B$2:$B$500,MATCH(A222,Recipes!$A$2:$A$500,0)),"")</f>
        <v/>
      </c>
      <c r="C222" s="39" t="inlineStr">
        <is>
          <t>Lime</t>
        </is>
      </c>
      <c r="D222" s="47" t="n">
        <v>1</v>
      </c>
      <c r="E222" s="37" t="inlineStr">
        <is>
          <t>pc</t>
        </is>
      </c>
      <c r="F222" s="37" t="inlineStr">
        <is>
          <t>P010</t>
        </is>
      </c>
      <c r="G222" s="37" t="inlineStr">
        <is>
          <t>Basket</t>
        </is>
      </c>
      <c r="H222" s="39" t="n"/>
    </row>
    <row r="223" ht="15" customHeight="1" s="26">
      <c r="A223" s="37" t="inlineStr">
        <is>
          <t>R040</t>
        </is>
      </c>
      <c r="B223" s="37">
        <f>IFERROR(INDEX(Recipes!$B$2:$B$500,MATCH(A223,Recipes!$A$2:$A$500,0)),"")</f>
        <v/>
      </c>
      <c r="C223" s="39" t="inlineStr">
        <is>
          <t>Yaji (suya spice)</t>
        </is>
      </c>
      <c r="D223" s="47" t="n">
        <v>2</v>
      </c>
      <c r="E223" s="37" t="inlineStr">
        <is>
          <t>tbsp</t>
        </is>
      </c>
      <c r="F223" s="37" t="n"/>
      <c r="G223" s="37" t="inlineStr">
        <is>
          <t>Pantry</t>
        </is>
      </c>
      <c r="H223" s="39" t="n"/>
    </row>
    <row r="224" ht="15" customHeight="1" s="26">
      <c r="A224" s="37" t="inlineStr">
        <is>
          <t>R040</t>
        </is>
      </c>
      <c r="B224" s="37">
        <f>IFERROR(INDEX(Recipes!$B$2:$B$500,MATCH(A224,Recipes!$A$2:$A$500,0)),"")</f>
        <v/>
      </c>
      <c r="C224" s="39" t="inlineStr">
        <is>
          <t>Oil</t>
        </is>
      </c>
      <c r="D224" s="47" t="n">
        <v>1</v>
      </c>
      <c r="E224" s="37" t="inlineStr">
        <is>
          <t>tbsp</t>
        </is>
      </c>
      <c r="F224" s="37" t="n"/>
      <c r="G224" s="37" t="inlineStr">
        <is>
          <t>Staple</t>
        </is>
      </c>
      <c r="H224" s="39" t="n"/>
    </row>
    <row r="225" ht="15" customHeight="1" s="26">
      <c r="A225" s="37" t="inlineStr">
        <is>
          <t>R041</t>
        </is>
      </c>
      <c r="B225" s="37">
        <f>IFERROR(INDEX(Recipes!$B$2:$B$500,MATCH(A225,Recipes!$A$2:$A$500,0)),"")</f>
        <v/>
      </c>
      <c r="C225" s="39" t="inlineStr">
        <is>
          <t>Rice</t>
        </is>
      </c>
      <c r="D225" s="47" t="n">
        <v>1</v>
      </c>
      <c r="E225" s="37" t="inlineStr">
        <is>
          <t>cup</t>
        </is>
      </c>
      <c r="F225" s="37" t="n"/>
      <c r="G225" s="37" t="inlineStr">
        <is>
          <t>Pantry</t>
        </is>
      </c>
      <c r="H225" s="39" t="inlineStr">
        <is>
          <t>uncooked</t>
        </is>
      </c>
    </row>
    <row r="226" ht="15" customHeight="1" s="26">
      <c r="A226" s="37" t="inlineStr">
        <is>
          <t>R041</t>
        </is>
      </c>
      <c r="B226" s="37">
        <f>IFERROR(INDEX(Recipes!$B$2:$B$500,MATCH(A226,Recipes!$A$2:$A$500,0)),"")</f>
        <v/>
      </c>
      <c r="C226" s="39" t="inlineStr">
        <is>
          <t>Black-eyed beans</t>
        </is>
      </c>
      <c r="D226" s="47" t="n">
        <v>1</v>
      </c>
      <c r="E226" s="37" t="inlineStr">
        <is>
          <t>cup</t>
        </is>
      </c>
      <c r="F226" s="37" t="n"/>
      <c r="G226" s="37" t="inlineStr">
        <is>
          <t>Pantry</t>
        </is>
      </c>
      <c r="H226" s="39" t="inlineStr">
        <is>
          <t>cooked</t>
        </is>
      </c>
    </row>
    <row r="227" ht="15" customHeight="1" s="26">
      <c r="A227" s="37" t="inlineStr">
        <is>
          <t>R041</t>
        </is>
      </c>
      <c r="B227" s="37">
        <f>IFERROR(INDEX(Recipes!$B$2:$B$500,MATCH(A227,Recipes!$A$2:$A$500,0)),"")</f>
        <v/>
      </c>
      <c r="C227" s="39" t="inlineStr">
        <is>
          <t>Plantain (ripe &amp; unripe)</t>
        </is>
      </c>
      <c r="D227" s="47" t="n">
        <v>1</v>
      </c>
      <c r="E227" s="37" t="inlineStr">
        <is>
          <t>pc</t>
        </is>
      </c>
      <c r="F227" s="37" t="inlineStr">
        <is>
          <t>P002</t>
        </is>
      </c>
      <c r="G227" s="37" t="inlineStr">
        <is>
          <t>Basket</t>
        </is>
      </c>
      <c r="H227" s="39" t="inlineStr">
        <is>
          <t>ripe</t>
        </is>
      </c>
    </row>
    <row r="228" ht="15" customHeight="1" s="26">
      <c r="A228" s="37" t="inlineStr">
        <is>
          <t>R041</t>
        </is>
      </c>
      <c r="B228" s="37">
        <f>IFERROR(INDEX(Recipes!$B$2:$B$500,MATCH(A228,Recipes!$A$2:$A$500,0)),"")</f>
        <v/>
      </c>
      <c r="C228" s="39" t="inlineStr">
        <is>
          <t>Sweet corn</t>
        </is>
      </c>
      <c r="D228" s="47" t="n">
        <v>1</v>
      </c>
      <c r="E228" s="37" t="inlineStr">
        <is>
          <t>cob</t>
        </is>
      </c>
      <c r="F228" s="37" t="inlineStr">
        <is>
          <t>P060</t>
        </is>
      </c>
      <c r="G228" s="37" t="inlineStr">
        <is>
          <t>Basket</t>
        </is>
      </c>
      <c r="H228" s="39" t="n"/>
    </row>
    <row r="229" ht="15" customHeight="1" s="26">
      <c r="A229" s="37" t="inlineStr">
        <is>
          <t>R041</t>
        </is>
      </c>
      <c r="B229" s="37">
        <f>IFERROR(INDEX(Recipes!$B$2:$B$500,MATCH(A229,Recipes!$A$2:$A$500,0)),"")</f>
        <v/>
      </c>
      <c r="C229" s="39" t="inlineStr">
        <is>
          <t>Tomato (plum)</t>
        </is>
      </c>
      <c r="D229" s="47" t="n">
        <v>2</v>
      </c>
      <c r="E229" s="37" t="inlineStr">
        <is>
          <t>pc</t>
        </is>
      </c>
      <c r="F229" s="37" t="inlineStr">
        <is>
          <t>P042</t>
        </is>
      </c>
      <c r="G229" s="37" t="inlineStr">
        <is>
          <t>Basket</t>
        </is>
      </c>
      <c r="H229" s="39" t="n"/>
    </row>
    <row r="230" ht="15" customHeight="1" s="26">
      <c r="A230" s="37" t="inlineStr">
        <is>
          <t>R041</t>
        </is>
      </c>
      <c r="B230" s="37">
        <f>IFERROR(INDEX(Recipes!$B$2:$B$500,MATCH(A230,Recipes!$A$2:$A$500,0)),"")</f>
        <v/>
      </c>
      <c r="C230" s="39" t="inlineStr">
        <is>
          <t>Onion (red &amp; white)</t>
        </is>
      </c>
      <c r="D230" s="47" t="n">
        <v>0.5</v>
      </c>
      <c r="E230" s="37" t="inlineStr">
        <is>
          <t>pc</t>
        </is>
      </c>
      <c r="F230" s="37" t="inlineStr">
        <is>
          <t>P048</t>
        </is>
      </c>
      <c r="G230" s="37" t="inlineStr">
        <is>
          <t>Basket</t>
        </is>
      </c>
      <c r="H230" s="39" t="inlineStr">
        <is>
          <t>red</t>
        </is>
      </c>
    </row>
    <row r="231" ht="15" customHeight="1" s="26">
      <c r="A231" s="37" t="inlineStr">
        <is>
          <t>R041</t>
        </is>
      </c>
      <c r="B231" s="37">
        <f>IFERROR(INDEX(Recipes!$B$2:$B$500,MATCH(A231,Recipes!$A$2:$A$500,0)),"")</f>
        <v/>
      </c>
      <c r="C231" s="39" t="inlineStr">
        <is>
          <t>Scotch bonnet</t>
        </is>
      </c>
      <c r="D231" s="47" t="n">
        <v>0.25</v>
      </c>
      <c r="E231" s="37" t="inlineStr">
        <is>
          <t>pc</t>
        </is>
      </c>
      <c r="F231" s="37" t="inlineStr">
        <is>
          <t>P046</t>
        </is>
      </c>
      <c r="G231" s="37" t="inlineStr">
        <is>
          <t>Basket</t>
        </is>
      </c>
      <c r="H231" s="39" t="n"/>
    </row>
    <row r="232" ht="15" customHeight="1" s="26">
      <c r="A232" s="37" t="inlineStr">
        <is>
          <t>R041</t>
        </is>
      </c>
      <c r="B232" s="37">
        <f>IFERROR(INDEX(Recipes!$B$2:$B$500,MATCH(A232,Recipes!$A$2:$A$500,0)),"")</f>
        <v/>
      </c>
      <c r="C232" s="39" t="inlineStr">
        <is>
          <t>Avocado</t>
        </is>
      </c>
      <c r="D232" s="47" t="n">
        <v>1</v>
      </c>
      <c r="E232" s="37" t="inlineStr">
        <is>
          <t>pc</t>
        </is>
      </c>
      <c r="F232" s="37" t="inlineStr">
        <is>
          <t>P012</t>
        </is>
      </c>
      <c r="G232" s="37" t="inlineStr">
        <is>
          <t>Basket</t>
        </is>
      </c>
      <c r="H232" s="39" t="n"/>
    </row>
    <row r="233" ht="15" customHeight="1" s="26">
      <c r="A233" s="37" t="inlineStr">
        <is>
          <t>R041</t>
        </is>
      </c>
      <c r="B233" s="37">
        <f>IFERROR(INDEX(Recipes!$B$2:$B$500,MATCH(A233,Recipes!$A$2:$A$500,0)),"")</f>
        <v/>
      </c>
      <c r="C233" s="39" t="inlineStr">
        <is>
          <t>Lettuce (iceberg / romaine / local)</t>
        </is>
      </c>
      <c r="D233" s="47" t="n">
        <v>0.5</v>
      </c>
      <c r="E233" s="37" t="inlineStr">
        <is>
          <t>head</t>
        </is>
      </c>
      <c r="F233" s="37" t="inlineStr">
        <is>
          <t>P058</t>
        </is>
      </c>
      <c r="G233" s="37" t="inlineStr">
        <is>
          <t>Basket</t>
        </is>
      </c>
      <c r="H233" s="39" t="n"/>
    </row>
    <row r="234" ht="15" customHeight="1" s="26">
      <c r="A234" s="37" t="inlineStr">
        <is>
          <t>R041</t>
        </is>
      </c>
      <c r="B234" s="37">
        <f>IFERROR(INDEX(Recipes!$B$2:$B$500,MATCH(A234,Recipes!$A$2:$A$500,0)),"")</f>
        <v/>
      </c>
      <c r="C234" s="39" t="inlineStr">
        <is>
          <t>Lime</t>
        </is>
      </c>
      <c r="D234" s="47" t="n">
        <v>2</v>
      </c>
      <c r="E234" s="37" t="inlineStr">
        <is>
          <t>pc</t>
        </is>
      </c>
      <c r="F234" s="37" t="inlineStr">
        <is>
          <t>P010</t>
        </is>
      </c>
      <c r="G234" s="37" t="inlineStr">
        <is>
          <t>Basket</t>
        </is>
      </c>
      <c r="H234" s="39" t="n"/>
    </row>
    <row r="235" ht="15" customHeight="1" s="26">
      <c r="A235" s="37" t="inlineStr">
        <is>
          <t>R041</t>
        </is>
      </c>
      <c r="B235" s="37">
        <f>IFERROR(INDEX(Recipes!$B$2:$B$500,MATCH(A235,Recipes!$A$2:$A$500,0)),"")</f>
        <v/>
      </c>
      <c r="C235" s="39" t="inlineStr">
        <is>
          <t>Coriander (cilantro)</t>
        </is>
      </c>
      <c r="D235" s="47" t="n">
        <v>1</v>
      </c>
      <c r="E235" s="37" t="inlineStr">
        <is>
          <t>handful</t>
        </is>
      </c>
      <c r="F235" s="37" t="inlineStr">
        <is>
          <t>P080</t>
        </is>
      </c>
      <c r="G235" s="37" t="inlineStr">
        <is>
          <t>Basket</t>
        </is>
      </c>
      <c r="H235" s="39" t="n"/>
    </row>
    <row r="236" ht="15" customHeight="1" s="26">
      <c r="A236" s="37" t="inlineStr">
        <is>
          <t>R041</t>
        </is>
      </c>
      <c r="B236" s="37">
        <f>IFERROR(INDEX(Recipes!$B$2:$B$500,MATCH(A236,Recipes!$A$2:$A$500,0)),"")</f>
        <v/>
      </c>
      <c r="C236" s="39" t="inlineStr">
        <is>
          <t>Ground cumin</t>
        </is>
      </c>
      <c r="D236" s="47" t="n">
        <v>1</v>
      </c>
      <c r="E236" s="37" t="inlineStr">
        <is>
          <t>tsp</t>
        </is>
      </c>
      <c r="F236" s="37" t="n"/>
      <c r="G236" s="37" t="inlineStr">
        <is>
          <t>Pantry</t>
        </is>
      </c>
      <c r="H236" s="39" t="n"/>
    </row>
    <row r="237" ht="15" customHeight="1" s="26">
      <c r="A237" s="37" t="inlineStr">
        <is>
          <t>R041</t>
        </is>
      </c>
      <c r="B237" s="37">
        <f>IFERROR(INDEX(Recipes!$B$2:$B$500,MATCH(A237,Recipes!$A$2:$A$500,0)),"")</f>
        <v/>
      </c>
      <c r="C237" s="39" t="inlineStr">
        <is>
          <t>Oil</t>
        </is>
      </c>
      <c r="D237" s="47" t="n">
        <v>1</v>
      </c>
      <c r="E237" s="37" t="inlineStr">
        <is>
          <t>tbsp</t>
        </is>
      </c>
      <c r="F237" s="37" t="n"/>
      <c r="G237" s="37" t="inlineStr">
        <is>
          <t>Staple</t>
        </is>
      </c>
      <c r="H237" s="39" t="n"/>
    </row>
    <row r="238" ht="15" customHeight="1" s="26">
      <c r="A238" s="37" t="inlineStr">
        <is>
          <t>R042</t>
        </is>
      </c>
      <c r="B238" s="37">
        <f>IFERROR(INDEX(Recipes!$B$2:$B$500,MATCH(A238,Recipes!$A$2:$A$500,0)),"")</f>
        <v/>
      </c>
      <c r="C238" s="39" t="inlineStr">
        <is>
          <t>Prawns</t>
        </is>
      </c>
      <c r="D238" s="47" t="n">
        <v>250</v>
      </c>
      <c r="E238" s="37" t="inlineStr">
        <is>
          <t>g</t>
        </is>
      </c>
      <c r="F238" s="37" t="n"/>
      <c r="G238" s="37" t="inlineStr">
        <is>
          <t>Protein</t>
        </is>
      </c>
      <c r="H238" s="39" t="inlineStr">
        <is>
          <t>peeled</t>
        </is>
      </c>
    </row>
    <row r="239" ht="15" customHeight="1" s="26">
      <c r="A239" s="37" t="inlineStr">
        <is>
          <t>R042</t>
        </is>
      </c>
      <c r="B239" s="37">
        <f>IFERROR(INDEX(Recipes!$B$2:$B$500,MATCH(A239,Recipes!$A$2:$A$500,0)),"")</f>
        <v/>
      </c>
      <c r="C239" s="39" t="inlineStr">
        <is>
          <t>Rice</t>
        </is>
      </c>
      <c r="D239" s="47" t="n">
        <v>1</v>
      </c>
      <c r="E239" s="37" t="inlineStr">
        <is>
          <t>cup</t>
        </is>
      </c>
      <c r="F239" s="37" t="n"/>
      <c r="G239" s="37" t="inlineStr">
        <is>
          <t>Pantry</t>
        </is>
      </c>
      <c r="H239" s="39" t="inlineStr">
        <is>
          <t>uncooked</t>
        </is>
      </c>
    </row>
    <row r="240" ht="15" customHeight="1" s="26">
      <c r="A240" s="37" t="inlineStr">
        <is>
          <t>R042</t>
        </is>
      </c>
      <c r="B240" s="37">
        <f>IFERROR(INDEX(Recipes!$B$2:$B$500,MATCH(A240,Recipes!$A$2:$A$500,0)),"")</f>
        <v/>
      </c>
      <c r="C240" s="39" t="inlineStr">
        <is>
          <t>Mango</t>
        </is>
      </c>
      <c r="D240" s="47" t="n">
        <v>1</v>
      </c>
      <c r="E240" s="37" t="inlineStr">
        <is>
          <t>pc</t>
        </is>
      </c>
      <c r="F240" s="37" t="inlineStr">
        <is>
          <t>P006</t>
        </is>
      </c>
      <c r="G240" s="37" t="inlineStr">
        <is>
          <t>Basket</t>
        </is>
      </c>
      <c r="H240" s="39" t="n"/>
    </row>
    <row r="241" ht="15" customHeight="1" s="26">
      <c r="A241" s="37" t="inlineStr">
        <is>
          <t>R042</t>
        </is>
      </c>
      <c r="B241" s="37">
        <f>IFERROR(INDEX(Recipes!$B$2:$B$500,MATCH(A241,Recipes!$A$2:$A$500,0)),"")</f>
        <v/>
      </c>
      <c r="C241" s="39" t="inlineStr">
        <is>
          <t>Cucumber</t>
        </is>
      </c>
      <c r="D241" s="47" t="n">
        <v>1</v>
      </c>
      <c r="E241" s="37" t="inlineStr">
        <is>
          <t>pc</t>
        </is>
      </c>
      <c r="F241" s="37" t="inlineStr">
        <is>
          <t>P054</t>
        </is>
      </c>
      <c r="G241" s="37" t="inlineStr">
        <is>
          <t>Basket</t>
        </is>
      </c>
      <c r="H241" s="39" t="n"/>
    </row>
    <row r="242" ht="15" customHeight="1" s="26">
      <c r="A242" s="37" t="inlineStr">
        <is>
          <t>R042</t>
        </is>
      </c>
      <c r="B242" s="37">
        <f>IFERROR(INDEX(Recipes!$B$2:$B$500,MATCH(A242,Recipes!$A$2:$A$500,0)),"")</f>
        <v/>
      </c>
      <c r="C242" s="39" t="inlineStr">
        <is>
          <t>Carrot</t>
        </is>
      </c>
      <c r="D242" s="47" t="n">
        <v>1</v>
      </c>
      <c r="E242" s="37" t="inlineStr">
        <is>
          <t>pc</t>
        </is>
      </c>
      <c r="F242" s="37" t="inlineStr">
        <is>
          <t>P055</t>
        </is>
      </c>
      <c r="G242" s="37" t="inlineStr">
        <is>
          <t>Basket</t>
        </is>
      </c>
      <c r="H242" s="39" t="n"/>
    </row>
    <row r="243" ht="15" customHeight="1" s="26">
      <c r="A243" s="37" t="inlineStr">
        <is>
          <t>R042</t>
        </is>
      </c>
      <c r="B243" s="37">
        <f>IFERROR(INDEX(Recipes!$B$2:$B$500,MATCH(A243,Recipes!$A$2:$A$500,0)),"")</f>
        <v/>
      </c>
      <c r="C243" s="39" t="inlineStr">
        <is>
          <t>Avocado</t>
        </is>
      </c>
      <c r="D243" s="47" t="n">
        <v>0.5</v>
      </c>
      <c r="E243" s="37" t="inlineStr">
        <is>
          <t>pc</t>
        </is>
      </c>
      <c r="F243" s="37" t="inlineStr">
        <is>
          <t>P012</t>
        </is>
      </c>
      <c r="G243" s="37" t="inlineStr">
        <is>
          <t>Basket</t>
        </is>
      </c>
      <c r="H243" s="39" t="n"/>
    </row>
    <row r="244" ht="15" customHeight="1" s="26">
      <c r="A244" s="37" t="inlineStr">
        <is>
          <t>R042</t>
        </is>
      </c>
      <c r="B244" s="37">
        <f>IFERROR(INDEX(Recipes!$B$2:$B$500,MATCH(A244,Recipes!$A$2:$A$500,0)),"")</f>
        <v/>
      </c>
      <c r="C244" s="39" t="inlineStr">
        <is>
          <t>Spring onion</t>
        </is>
      </c>
      <c r="D244" s="47" t="n">
        <v>2</v>
      </c>
      <c r="E244" s="37" t="inlineStr">
        <is>
          <t>stalks</t>
        </is>
      </c>
      <c r="F244" s="37" t="inlineStr">
        <is>
          <t>P049</t>
        </is>
      </c>
      <c r="G244" s="37" t="inlineStr">
        <is>
          <t>Basket</t>
        </is>
      </c>
      <c r="H244" s="39" t="n"/>
    </row>
    <row r="245" ht="15" customHeight="1" s="26">
      <c r="A245" s="37" t="inlineStr">
        <is>
          <t>R042</t>
        </is>
      </c>
      <c r="B245" s="37">
        <f>IFERROR(INDEX(Recipes!$B$2:$B$500,MATCH(A245,Recipes!$A$2:$A$500,0)),"")</f>
        <v/>
      </c>
      <c r="C245" s="39" t="inlineStr">
        <is>
          <t>Lime</t>
        </is>
      </c>
      <c r="D245" s="47" t="n">
        <v>1</v>
      </c>
      <c r="E245" s="37" t="inlineStr">
        <is>
          <t>pc</t>
        </is>
      </c>
      <c r="F245" s="37" t="inlineStr">
        <is>
          <t>P010</t>
        </is>
      </c>
      <c r="G245" s="37" t="inlineStr">
        <is>
          <t>Basket</t>
        </is>
      </c>
      <c r="H245" s="39" t="n"/>
    </row>
    <row r="246" ht="15" customHeight="1" s="26">
      <c r="A246" s="37" t="inlineStr">
        <is>
          <t>R042</t>
        </is>
      </c>
      <c r="B246" s="37">
        <f>IFERROR(INDEX(Recipes!$B$2:$B$500,MATCH(A246,Recipes!$A$2:$A$500,0)),"")</f>
        <v/>
      </c>
      <c r="C246" s="39" t="inlineStr">
        <is>
          <t>Soy sauce</t>
        </is>
      </c>
      <c r="D246" s="47" t="n">
        <v>2</v>
      </c>
      <c r="E246" s="37" t="inlineStr">
        <is>
          <t>tbsp</t>
        </is>
      </c>
      <c r="F246" s="37" t="n"/>
      <c r="G246" s="37" t="inlineStr">
        <is>
          <t>Pantry</t>
        </is>
      </c>
      <c r="H246" s="39" t="n"/>
    </row>
    <row r="247" ht="15" customHeight="1" s="26">
      <c r="A247" s="37" t="inlineStr">
        <is>
          <t>R042</t>
        </is>
      </c>
      <c r="B247" s="37">
        <f>IFERROR(INDEX(Recipes!$B$2:$B$500,MATCH(A247,Recipes!$A$2:$A$500,0)),"")</f>
        <v/>
      </c>
      <c r="C247" s="39" t="inlineStr">
        <is>
          <t>Sesame oil</t>
        </is>
      </c>
      <c r="D247" s="47" t="n">
        <v>1</v>
      </c>
      <c r="E247" s="37" t="inlineStr">
        <is>
          <t>tsp</t>
        </is>
      </c>
      <c r="F247" s="37" t="n"/>
      <c r="G247" s="37" t="inlineStr">
        <is>
          <t>Pantry</t>
        </is>
      </c>
      <c r="H247" s="39" t="n"/>
    </row>
    <row r="248" ht="15" customHeight="1" s="26">
      <c r="A248" s="37" t="inlineStr">
        <is>
          <t>R042</t>
        </is>
      </c>
      <c r="B248" s="37">
        <f>IFERROR(INDEX(Recipes!$B$2:$B$500,MATCH(A248,Recipes!$A$2:$A$500,0)),"")</f>
        <v/>
      </c>
      <c r="C248" s="39" t="inlineStr">
        <is>
          <t>Honey</t>
        </is>
      </c>
      <c r="D248" s="47" t="n">
        <v>1</v>
      </c>
      <c r="E248" s="37" t="inlineStr">
        <is>
          <t>tsp</t>
        </is>
      </c>
      <c r="F248" s="37" t="n"/>
      <c r="G248" s="37" t="inlineStr">
        <is>
          <t>Pantry</t>
        </is>
      </c>
      <c r="H248" s="39" t="n"/>
    </row>
    <row r="249" ht="15" customHeight="1" s="26">
      <c r="A249" s="37" t="inlineStr">
        <is>
          <t>R043</t>
        </is>
      </c>
      <c r="B249" s="37">
        <f>IFERROR(INDEX(Recipes!$B$2:$B$500,MATCH(A249,Recipes!$A$2:$A$500,0)),"")</f>
        <v/>
      </c>
      <c r="C249" s="39" t="inlineStr">
        <is>
          <t>Chicken breast or thighs</t>
        </is>
      </c>
      <c r="D249" s="47" t="n">
        <v>2</v>
      </c>
      <c r="E249" s="37" t="inlineStr">
        <is>
          <t>pc</t>
        </is>
      </c>
      <c r="F249" s="37" t="n"/>
      <c r="G249" s="37" t="inlineStr">
        <is>
          <t>Protein</t>
        </is>
      </c>
      <c r="H249" s="39" t="n"/>
    </row>
    <row r="250" ht="15" customHeight="1" s="26">
      <c r="A250" s="37" t="inlineStr">
        <is>
          <t>R043</t>
        </is>
      </c>
      <c r="B250" s="37">
        <f>IFERROR(INDEX(Recipes!$B$2:$B$500,MATCH(A250,Recipes!$A$2:$A$500,0)),"")</f>
        <v/>
      </c>
      <c r="C250" s="39" t="inlineStr">
        <is>
          <t>Rice</t>
        </is>
      </c>
      <c r="D250" s="47" t="n">
        <v>1</v>
      </c>
      <c r="E250" s="37" t="inlineStr">
        <is>
          <t>cup</t>
        </is>
      </c>
      <c r="F250" s="37" t="n"/>
      <c r="G250" s="37" t="inlineStr">
        <is>
          <t>Pantry</t>
        </is>
      </c>
      <c r="H250" s="39" t="inlineStr">
        <is>
          <t>uncooked</t>
        </is>
      </c>
    </row>
    <row r="251" ht="15" customHeight="1" s="26">
      <c r="A251" s="37" t="inlineStr">
        <is>
          <t>R043</t>
        </is>
      </c>
      <c r="B251" s="37">
        <f>IFERROR(INDEX(Recipes!$B$2:$B$500,MATCH(A251,Recipes!$A$2:$A$500,0)),"")</f>
        <v/>
      </c>
      <c r="C251" s="39" t="inlineStr">
        <is>
          <t>Broccoli</t>
        </is>
      </c>
      <c r="D251" s="47" t="n">
        <v>1</v>
      </c>
      <c r="E251" s="37" t="inlineStr">
        <is>
          <t>head</t>
        </is>
      </c>
      <c r="F251" s="37" t="inlineStr">
        <is>
          <t>P063</t>
        </is>
      </c>
      <c r="G251" s="37" t="inlineStr">
        <is>
          <t>Basket</t>
        </is>
      </c>
      <c r="H251" s="39" t="inlineStr">
        <is>
          <t>or 200g green beans</t>
        </is>
      </c>
    </row>
    <row r="252" ht="15" customHeight="1" s="26">
      <c r="A252" s="37" t="inlineStr">
        <is>
          <t>R043</t>
        </is>
      </c>
      <c r="B252" s="37">
        <f>IFERROR(INDEX(Recipes!$B$2:$B$500,MATCH(A252,Recipes!$A$2:$A$500,0)),"")</f>
        <v/>
      </c>
      <c r="C252" s="39" t="inlineStr">
        <is>
          <t>Carrot</t>
        </is>
      </c>
      <c r="D252" s="47" t="n">
        <v>2</v>
      </c>
      <c r="E252" s="37" t="inlineStr">
        <is>
          <t>pc</t>
        </is>
      </c>
      <c r="F252" s="37" t="inlineStr">
        <is>
          <t>P055</t>
        </is>
      </c>
      <c r="G252" s="37" t="inlineStr">
        <is>
          <t>Basket</t>
        </is>
      </c>
      <c r="H252" s="39" t="n"/>
    </row>
    <row r="253" ht="15" customHeight="1" s="26">
      <c r="A253" s="37" t="inlineStr">
        <is>
          <t>R043</t>
        </is>
      </c>
      <c r="B253" s="37">
        <f>IFERROR(INDEX(Recipes!$B$2:$B$500,MATCH(A253,Recipes!$A$2:$A$500,0)),"")</f>
        <v/>
      </c>
      <c r="C253" s="39" t="inlineStr">
        <is>
          <t>Spring onion</t>
        </is>
      </c>
      <c r="D253" s="47" t="n">
        <v>2</v>
      </c>
      <c r="E253" s="37" t="inlineStr">
        <is>
          <t>stalks</t>
        </is>
      </c>
      <c r="F253" s="37" t="inlineStr">
        <is>
          <t>P049</t>
        </is>
      </c>
      <c r="G253" s="37" t="inlineStr">
        <is>
          <t>Basket</t>
        </is>
      </c>
      <c r="H253" s="39" t="n"/>
    </row>
    <row r="254" ht="15" customHeight="1" s="26">
      <c r="A254" s="37" t="inlineStr">
        <is>
          <t>R043</t>
        </is>
      </c>
      <c r="B254" s="37">
        <f>IFERROR(INDEX(Recipes!$B$2:$B$500,MATCH(A254,Recipes!$A$2:$A$500,0)),"")</f>
        <v/>
      </c>
      <c r="C254" s="39" t="inlineStr">
        <is>
          <t>Ginger</t>
        </is>
      </c>
      <c r="D254" s="47" t="n">
        <v>1</v>
      </c>
      <c r="E254" s="37" t="inlineStr">
        <is>
          <t>thumb</t>
        </is>
      </c>
      <c r="F254" s="37" t="inlineStr">
        <is>
          <t>P052</t>
        </is>
      </c>
      <c r="G254" s="37" t="inlineStr">
        <is>
          <t>Basket</t>
        </is>
      </c>
      <c r="H254" s="39" t="n"/>
    </row>
    <row r="255" ht="15" customHeight="1" s="26">
      <c r="A255" s="37" t="inlineStr">
        <is>
          <t>R043</t>
        </is>
      </c>
      <c r="B255" s="37">
        <f>IFERROR(INDEX(Recipes!$B$2:$B$500,MATCH(A255,Recipes!$A$2:$A$500,0)),"")</f>
        <v/>
      </c>
      <c r="C255" s="39" t="inlineStr">
        <is>
          <t>Garlic</t>
        </is>
      </c>
      <c r="D255" s="47" t="n">
        <v>2</v>
      </c>
      <c r="E255" s="37" t="inlineStr">
        <is>
          <t>cloves</t>
        </is>
      </c>
      <c r="F255" s="37" t="inlineStr">
        <is>
          <t>P051</t>
        </is>
      </c>
      <c r="G255" s="37" t="inlineStr">
        <is>
          <t>Basket</t>
        </is>
      </c>
      <c r="H255" s="39" t="n"/>
    </row>
    <row r="256" ht="15" customHeight="1" s="26">
      <c r="A256" s="37" t="inlineStr">
        <is>
          <t>R043</t>
        </is>
      </c>
      <c r="B256" s="37">
        <f>IFERROR(INDEX(Recipes!$B$2:$B$500,MATCH(A256,Recipes!$A$2:$A$500,0)),"")</f>
        <v/>
      </c>
      <c r="C256" s="39" t="inlineStr">
        <is>
          <t>Soy sauce</t>
        </is>
      </c>
      <c r="D256" s="47" t="n">
        <v>3</v>
      </c>
      <c r="E256" s="37" t="inlineStr">
        <is>
          <t>tbsp</t>
        </is>
      </c>
      <c r="F256" s="37" t="n"/>
      <c r="G256" s="37" t="inlineStr">
        <is>
          <t>Pantry</t>
        </is>
      </c>
      <c r="H256" s="39" t="n"/>
    </row>
    <row r="257" ht="15" customHeight="1" s="26">
      <c r="A257" s="37" t="inlineStr">
        <is>
          <t>R043</t>
        </is>
      </c>
      <c r="B257" s="37">
        <f>IFERROR(INDEX(Recipes!$B$2:$B$500,MATCH(A257,Recipes!$A$2:$A$500,0)),"")</f>
        <v/>
      </c>
      <c r="C257" s="39" t="inlineStr">
        <is>
          <t>Honey</t>
        </is>
      </c>
      <c r="D257" s="47" t="n">
        <v>1</v>
      </c>
      <c r="E257" s="37" t="inlineStr">
        <is>
          <t>tbsp</t>
        </is>
      </c>
      <c r="F257" s="37" t="n"/>
      <c r="G257" s="37" t="inlineStr">
        <is>
          <t>Pantry</t>
        </is>
      </c>
      <c r="H257" s="39" t="n"/>
    </row>
    <row r="258" ht="15" customHeight="1" s="26">
      <c r="A258" s="37" t="inlineStr">
        <is>
          <t>R043</t>
        </is>
      </c>
      <c r="B258" s="37">
        <f>IFERROR(INDEX(Recipes!$B$2:$B$500,MATCH(A258,Recipes!$A$2:$A$500,0)),"")</f>
        <v/>
      </c>
      <c r="C258" s="39" t="inlineStr">
        <is>
          <t>Oil</t>
        </is>
      </c>
      <c r="D258" s="47" t="n">
        <v>1</v>
      </c>
      <c r="E258" s="37" t="inlineStr">
        <is>
          <t>tbsp</t>
        </is>
      </c>
      <c r="F258" s="37" t="n"/>
      <c r="G258" s="37" t="inlineStr">
        <is>
          <t>Staple</t>
        </is>
      </c>
      <c r="H258" s="39" t="n"/>
    </row>
    <row r="259" ht="15" customHeight="1" s="26">
      <c r="A259" s="37" t="inlineStr">
        <is>
          <t>R044</t>
        </is>
      </c>
      <c r="B259" s="37">
        <f>IFERROR(INDEX(Recipes!$B$2:$B$500,MATCH(A259,Recipes!$A$2:$A$500,0)),"")</f>
        <v/>
      </c>
      <c r="C259" s="39" t="inlineStr">
        <is>
          <t>Black-eyed beans</t>
        </is>
      </c>
      <c r="D259" s="47" t="n">
        <v>2</v>
      </c>
      <c r="E259" s="37" t="inlineStr">
        <is>
          <t>cups</t>
        </is>
      </c>
      <c r="F259" s="37" t="n"/>
      <c r="G259" s="37" t="inlineStr">
        <is>
          <t>Pantry</t>
        </is>
      </c>
      <c r="H259" s="39" t="inlineStr">
        <is>
          <t>soaked and peeled</t>
        </is>
      </c>
    </row>
    <row r="260" ht="15" customHeight="1" s="26">
      <c r="A260" s="37" t="inlineStr">
        <is>
          <t>R044</t>
        </is>
      </c>
      <c r="B260" s="37">
        <f>IFERROR(INDEX(Recipes!$B$2:$B$500,MATCH(A260,Recipes!$A$2:$A$500,0)),"")</f>
        <v/>
      </c>
      <c r="C260" s="39" t="inlineStr">
        <is>
          <t>Onion (red &amp; white)</t>
        </is>
      </c>
      <c r="D260" s="47" t="n">
        <v>1</v>
      </c>
      <c r="E260" s="37" t="inlineStr">
        <is>
          <t>pc</t>
        </is>
      </c>
      <c r="F260" s="37" t="inlineStr">
        <is>
          <t>P048</t>
        </is>
      </c>
      <c r="G260" s="37" t="inlineStr">
        <is>
          <t>Basket</t>
        </is>
      </c>
      <c r="H260" s="39" t="n"/>
    </row>
    <row r="261" ht="15" customHeight="1" s="26">
      <c r="A261" s="37" t="inlineStr">
        <is>
          <t>R044</t>
        </is>
      </c>
      <c r="B261" s="37">
        <f>IFERROR(INDEX(Recipes!$B$2:$B$500,MATCH(A261,Recipes!$A$2:$A$500,0)),"")</f>
        <v/>
      </c>
      <c r="C261" s="39" t="inlineStr">
        <is>
          <t>Garlic</t>
        </is>
      </c>
      <c r="D261" s="47" t="n">
        <v>3</v>
      </c>
      <c r="E261" s="37" t="inlineStr">
        <is>
          <t>cloves</t>
        </is>
      </c>
      <c r="F261" s="37" t="inlineStr">
        <is>
          <t>P051</t>
        </is>
      </c>
      <c r="G261" s="37" t="inlineStr">
        <is>
          <t>Basket</t>
        </is>
      </c>
      <c r="H261" s="39" t="n"/>
    </row>
    <row r="262" ht="15" customHeight="1" s="26">
      <c r="A262" s="37" t="inlineStr">
        <is>
          <t>R044</t>
        </is>
      </c>
      <c r="B262" s="37">
        <f>IFERROR(INDEX(Recipes!$B$2:$B$500,MATCH(A262,Recipes!$A$2:$A$500,0)),"")</f>
        <v/>
      </c>
      <c r="C262" s="39" t="inlineStr">
        <is>
          <t>Parsley</t>
        </is>
      </c>
      <c r="D262" s="47" t="n">
        <v>1</v>
      </c>
      <c r="E262" s="37" t="inlineStr">
        <is>
          <t>handful</t>
        </is>
      </c>
      <c r="F262" s="37" t="inlineStr">
        <is>
          <t>P081</t>
        </is>
      </c>
      <c r="G262" s="37" t="inlineStr">
        <is>
          <t>Basket</t>
        </is>
      </c>
      <c r="H262" s="39" t="n"/>
    </row>
    <row r="263" ht="15" customHeight="1" s="26">
      <c r="A263" s="37" t="inlineStr">
        <is>
          <t>R044</t>
        </is>
      </c>
      <c r="B263" s="37">
        <f>IFERROR(INDEX(Recipes!$B$2:$B$500,MATCH(A263,Recipes!$A$2:$A$500,0)),"")</f>
        <v/>
      </c>
      <c r="C263" s="39" t="inlineStr">
        <is>
          <t>Scent leaf (African basil)</t>
        </is>
      </c>
      <c r="D263" s="47" t="n">
        <v>1</v>
      </c>
      <c r="E263" s="37" t="inlineStr">
        <is>
          <t>handful</t>
        </is>
      </c>
      <c r="F263" s="37" t="inlineStr">
        <is>
          <t>P077</t>
        </is>
      </c>
      <c r="G263" s="37" t="inlineStr">
        <is>
          <t>Basket</t>
        </is>
      </c>
      <c r="H263" s="39" t="n"/>
    </row>
    <row r="264" ht="15" customHeight="1" s="26">
      <c r="A264" s="37" t="inlineStr">
        <is>
          <t>R044</t>
        </is>
      </c>
      <c r="B264" s="37">
        <f>IFERROR(INDEX(Recipes!$B$2:$B$500,MATCH(A264,Recipes!$A$2:$A$500,0)),"")</f>
        <v/>
      </c>
      <c r="C264" s="39" t="inlineStr">
        <is>
          <t>Lettuce (iceberg / romaine / local)</t>
        </is>
      </c>
      <c r="D264" s="47" t="n">
        <v>1</v>
      </c>
      <c r="E264" s="37" t="inlineStr">
        <is>
          <t>head</t>
        </is>
      </c>
      <c r="F264" s="37" t="inlineStr">
        <is>
          <t>P058</t>
        </is>
      </c>
      <c r="G264" s="37" t="inlineStr">
        <is>
          <t>Basket</t>
        </is>
      </c>
      <c r="H264" s="39" t="n"/>
    </row>
    <row r="265" ht="15" customHeight="1" s="26">
      <c r="A265" s="37" t="inlineStr">
        <is>
          <t>R044</t>
        </is>
      </c>
      <c r="B265" s="37">
        <f>IFERROR(INDEX(Recipes!$B$2:$B$500,MATCH(A265,Recipes!$A$2:$A$500,0)),"")</f>
        <v/>
      </c>
      <c r="C265" s="39" t="inlineStr">
        <is>
          <t>Tomato (plum)</t>
        </is>
      </c>
      <c r="D265" s="47" t="n">
        <v>2</v>
      </c>
      <c r="E265" s="37" t="inlineStr">
        <is>
          <t>pc</t>
        </is>
      </c>
      <c r="F265" s="37" t="inlineStr">
        <is>
          <t>P042</t>
        </is>
      </c>
      <c r="G265" s="37" t="inlineStr">
        <is>
          <t>Basket</t>
        </is>
      </c>
      <c r="H265" s="39" t="n"/>
    </row>
    <row r="266" ht="15" customHeight="1" s="26">
      <c r="A266" s="37" t="inlineStr">
        <is>
          <t>R044</t>
        </is>
      </c>
      <c r="B266" s="37">
        <f>IFERROR(INDEX(Recipes!$B$2:$B$500,MATCH(A266,Recipes!$A$2:$A$500,0)),"")</f>
        <v/>
      </c>
      <c r="C266" s="39" t="inlineStr">
        <is>
          <t>Cucumber</t>
        </is>
      </c>
      <c r="D266" s="47" t="n">
        <v>1</v>
      </c>
      <c r="E266" s="37" t="inlineStr">
        <is>
          <t>pc</t>
        </is>
      </c>
      <c r="F266" s="37" t="inlineStr">
        <is>
          <t>P054</t>
        </is>
      </c>
      <c r="G266" s="37" t="inlineStr">
        <is>
          <t>Basket</t>
        </is>
      </c>
      <c r="H266" s="39" t="n"/>
    </row>
    <row r="267" ht="15" customHeight="1" s="26">
      <c r="A267" s="37" t="inlineStr">
        <is>
          <t>R044</t>
        </is>
      </c>
      <c r="B267" s="37">
        <f>IFERROR(INDEX(Recipes!$B$2:$B$500,MATCH(A267,Recipes!$A$2:$A$500,0)),"")</f>
        <v/>
      </c>
      <c r="C267" s="39" t="inlineStr">
        <is>
          <t>Lemon</t>
        </is>
      </c>
      <c r="D267" s="47" t="n">
        <v>1</v>
      </c>
      <c r="E267" s="37" t="inlineStr">
        <is>
          <t>pc</t>
        </is>
      </c>
      <c r="F267" s="37" t="inlineStr">
        <is>
          <t>P009</t>
        </is>
      </c>
      <c r="G267" s="37" t="inlineStr">
        <is>
          <t>Basket</t>
        </is>
      </c>
      <c r="H267" s="39" t="n"/>
    </row>
    <row r="268" ht="15" customHeight="1" s="26">
      <c r="A268" s="37" t="inlineStr">
        <is>
          <t>R044</t>
        </is>
      </c>
      <c r="B268" s="37">
        <f>IFERROR(INDEX(Recipes!$B$2:$B$500,MATCH(A268,Recipes!$A$2:$A$500,0)),"")</f>
        <v/>
      </c>
      <c r="C268" s="39" t="inlineStr">
        <is>
          <t>Ground cumin</t>
        </is>
      </c>
      <c r="D268" s="47" t="n">
        <v>1</v>
      </c>
      <c r="E268" s="37" t="inlineStr">
        <is>
          <t>tsp</t>
        </is>
      </c>
      <c r="F268" s="37" t="n"/>
      <c r="G268" s="37" t="inlineStr">
        <is>
          <t>Pantry</t>
        </is>
      </c>
      <c r="H268" s="39" t="n"/>
    </row>
    <row r="269" ht="15" customHeight="1" s="26">
      <c r="A269" s="37" t="inlineStr">
        <is>
          <t>R044</t>
        </is>
      </c>
      <c r="B269" s="37">
        <f>IFERROR(INDEX(Recipes!$B$2:$B$500,MATCH(A269,Recipes!$A$2:$A$500,0)),"")</f>
        <v/>
      </c>
      <c r="C269" s="39" t="inlineStr">
        <is>
          <t>Plain yoghurt</t>
        </is>
      </c>
      <c r="D269" s="47" t="n">
        <v>1</v>
      </c>
      <c r="E269" s="37" t="inlineStr">
        <is>
          <t>cup</t>
        </is>
      </c>
      <c r="F269" s="37" t="n"/>
      <c r="G269" s="37" t="inlineStr">
        <is>
          <t>Pantry</t>
        </is>
      </c>
      <c r="H269" s="39" t="n"/>
    </row>
    <row r="270" ht="15" customHeight="1" s="26">
      <c r="A270" s="37" t="inlineStr">
        <is>
          <t>R044</t>
        </is>
      </c>
      <c r="B270" s="37">
        <f>IFERROR(INDEX(Recipes!$B$2:$B$500,MATCH(A270,Recipes!$A$2:$A$500,0)),"")</f>
        <v/>
      </c>
      <c r="C270" s="39" t="inlineStr">
        <is>
          <t>Pita bread</t>
        </is>
      </c>
      <c r="D270" s="47" t="n">
        <v>3</v>
      </c>
      <c r="E270" s="37" t="inlineStr">
        <is>
          <t>pc</t>
        </is>
      </c>
      <c r="F270" s="37" t="n"/>
      <c r="G270" s="37" t="inlineStr">
        <is>
          <t>Pantry</t>
        </is>
      </c>
      <c r="H270" s="39" t="n"/>
    </row>
    <row r="271" ht="15" customHeight="1" s="26">
      <c r="A271" s="37" t="inlineStr">
        <is>
          <t>R044</t>
        </is>
      </c>
      <c r="B271" s="37">
        <f>IFERROR(INDEX(Recipes!$B$2:$B$500,MATCH(A271,Recipes!$A$2:$A$500,0)),"")</f>
        <v/>
      </c>
      <c r="C271" s="39" t="inlineStr">
        <is>
          <t>Oil</t>
        </is>
      </c>
      <c r="D271" s="47" t="n">
        <v>2</v>
      </c>
      <c r="E271" s="37" t="inlineStr">
        <is>
          <t>tbsp</t>
        </is>
      </c>
      <c r="F271" s="37" t="n"/>
      <c r="G271" s="37" t="inlineStr">
        <is>
          <t>Staple</t>
        </is>
      </c>
      <c r="H271" s="39" t="n"/>
    </row>
    <row r="272" ht="15" customHeight="1" s="26">
      <c r="A272" s="37" t="inlineStr">
        <is>
          <t>R045</t>
        </is>
      </c>
      <c r="B272" s="37">
        <f>IFERROR(INDEX(Recipes!$B$2:$B$500,MATCH(A272,Recipes!$A$2:$A$500,0)),"")</f>
        <v/>
      </c>
      <c r="C272" s="39" t="inlineStr">
        <is>
          <t>Sweet potato</t>
        </is>
      </c>
      <c r="D272" s="47" t="n">
        <v>2</v>
      </c>
      <c r="E272" s="37" t="inlineStr">
        <is>
          <t>pc</t>
        </is>
      </c>
      <c r="F272" s="37" t="inlineStr">
        <is>
          <t>P069</t>
        </is>
      </c>
      <c r="G272" s="37" t="inlineStr">
        <is>
          <t>Basket</t>
        </is>
      </c>
      <c r="H272" s="39" t="n"/>
    </row>
    <row r="273" ht="15" customHeight="1" s="26">
      <c r="A273" s="37" t="inlineStr">
        <is>
          <t>R045</t>
        </is>
      </c>
      <c r="B273" s="37">
        <f>IFERROR(INDEX(Recipes!$B$2:$B$500,MATCH(A273,Recipes!$A$2:$A$500,0)),"")</f>
        <v/>
      </c>
      <c r="C273" s="39" t="inlineStr">
        <is>
          <t>Chickpeas or beans</t>
        </is>
      </c>
      <c r="D273" s="47" t="n">
        <v>1</v>
      </c>
      <c r="E273" s="37" t="inlineStr">
        <is>
          <t>cup</t>
        </is>
      </c>
      <c r="F273" s="37" t="n"/>
      <c r="G273" s="37" t="inlineStr">
        <is>
          <t>Pantry</t>
        </is>
      </c>
      <c r="H273" s="39" t="inlineStr">
        <is>
          <t>cooked</t>
        </is>
      </c>
    </row>
    <row r="274" ht="15" customHeight="1" s="26">
      <c r="A274" s="37" t="inlineStr">
        <is>
          <t>R045</t>
        </is>
      </c>
      <c r="B274" s="37">
        <f>IFERROR(INDEX(Recipes!$B$2:$B$500,MATCH(A274,Recipes!$A$2:$A$500,0)),"")</f>
        <v/>
      </c>
      <c r="C274" s="39" t="inlineStr">
        <is>
          <t>Quinoa or rice</t>
        </is>
      </c>
      <c r="D274" s="47" t="n">
        <v>1</v>
      </c>
      <c r="E274" s="37" t="inlineStr">
        <is>
          <t>cup</t>
        </is>
      </c>
      <c r="F274" s="37" t="n"/>
      <c r="G274" s="37" t="inlineStr">
        <is>
          <t>Pantry</t>
        </is>
      </c>
      <c r="H274" s="39" t="inlineStr">
        <is>
          <t>uncooked</t>
        </is>
      </c>
    </row>
    <row r="275" ht="15" customHeight="1" s="26">
      <c r="A275" s="37" t="inlineStr">
        <is>
          <t>R045</t>
        </is>
      </c>
      <c r="B275" s="37">
        <f>IFERROR(INDEX(Recipes!$B$2:$B$500,MATCH(A275,Recipes!$A$2:$A$500,0)),"")</f>
        <v/>
      </c>
      <c r="C275" s="39" t="inlineStr">
        <is>
          <t>Fluted pumpkin leaf</t>
        </is>
      </c>
      <c r="D275" s="47" t="n">
        <v>2</v>
      </c>
      <c r="E275" s="37" t="inlineStr">
        <is>
          <t>cups</t>
        </is>
      </c>
      <c r="F275" s="37" t="inlineStr">
        <is>
          <t>P072</t>
        </is>
      </c>
      <c r="G275" s="37" t="inlineStr">
        <is>
          <t>Basket</t>
        </is>
      </c>
      <c r="H275" s="39" t="inlineStr">
        <is>
          <t>leaves</t>
        </is>
      </c>
    </row>
    <row r="276" ht="15" customHeight="1" s="26">
      <c r="A276" s="37" t="inlineStr">
        <is>
          <t>R045</t>
        </is>
      </c>
      <c r="B276" s="37">
        <f>IFERROR(INDEX(Recipes!$B$2:$B$500,MATCH(A276,Recipes!$A$2:$A$500,0)),"")</f>
        <v/>
      </c>
      <c r="C276" s="39" t="inlineStr">
        <is>
          <t>Groundnut (fresh or roasted)</t>
        </is>
      </c>
      <c r="D276" s="47" t="n">
        <v>0.25</v>
      </c>
      <c r="E276" s="37" t="inlineStr">
        <is>
          <t>cup</t>
        </is>
      </c>
      <c r="F276" s="37" t="inlineStr">
        <is>
          <t>P040</t>
        </is>
      </c>
      <c r="G276" s="37" t="inlineStr">
        <is>
          <t>Basket</t>
        </is>
      </c>
      <c r="H276" s="39" t="inlineStr">
        <is>
          <t>roasted</t>
        </is>
      </c>
    </row>
    <row r="277" ht="15" customHeight="1" s="26">
      <c r="A277" s="37" t="inlineStr">
        <is>
          <t>R045</t>
        </is>
      </c>
      <c r="B277" s="37">
        <f>IFERROR(INDEX(Recipes!$B$2:$B$500,MATCH(A277,Recipes!$A$2:$A$500,0)),"")</f>
        <v/>
      </c>
      <c r="C277" s="39" t="inlineStr">
        <is>
          <t>Garlic</t>
        </is>
      </c>
      <c r="D277" s="47" t="n">
        <v>1</v>
      </c>
      <c r="E277" s="37" t="inlineStr">
        <is>
          <t>clove</t>
        </is>
      </c>
      <c r="F277" s="37" t="inlineStr">
        <is>
          <t>P051</t>
        </is>
      </c>
      <c r="G277" s="37" t="inlineStr">
        <is>
          <t>Basket</t>
        </is>
      </c>
      <c r="H277" s="39" t="n"/>
    </row>
    <row r="278" ht="15" customHeight="1" s="26">
      <c r="A278" s="37" t="inlineStr">
        <is>
          <t>R045</t>
        </is>
      </c>
      <c r="B278" s="37">
        <f>IFERROR(INDEX(Recipes!$B$2:$B$500,MATCH(A278,Recipes!$A$2:$A$500,0)),"")</f>
        <v/>
      </c>
      <c r="C278" s="39" t="inlineStr">
        <is>
          <t>Lemon</t>
        </is>
      </c>
      <c r="D278" s="47" t="n">
        <v>1</v>
      </c>
      <c r="E278" s="37" t="inlineStr">
        <is>
          <t>pc</t>
        </is>
      </c>
      <c r="F278" s="37" t="inlineStr">
        <is>
          <t>P009</t>
        </is>
      </c>
      <c r="G278" s="37" t="inlineStr">
        <is>
          <t>Basket</t>
        </is>
      </c>
      <c r="H278" s="39" t="n"/>
    </row>
    <row r="279" ht="15" customHeight="1" s="26">
      <c r="A279" s="37" t="inlineStr">
        <is>
          <t>R045</t>
        </is>
      </c>
      <c r="B279" s="37">
        <f>IFERROR(INDEX(Recipes!$B$2:$B$500,MATCH(A279,Recipes!$A$2:$A$500,0)),"")</f>
        <v/>
      </c>
      <c r="C279" s="39" t="inlineStr">
        <is>
          <t>Cucumber</t>
        </is>
      </c>
      <c r="D279" s="47" t="n">
        <v>0.5</v>
      </c>
      <c r="E279" s="37" t="inlineStr">
        <is>
          <t>pc</t>
        </is>
      </c>
      <c r="F279" s="37" t="inlineStr">
        <is>
          <t>P054</t>
        </is>
      </c>
      <c r="G279" s="37" t="inlineStr">
        <is>
          <t>Basket</t>
        </is>
      </c>
      <c r="H279" s="39" t="n"/>
    </row>
    <row r="280" ht="15" customHeight="1" s="26">
      <c r="A280" s="37" t="inlineStr">
        <is>
          <t>R045</t>
        </is>
      </c>
      <c r="B280" s="37">
        <f>IFERROR(INDEX(Recipes!$B$2:$B$500,MATCH(A280,Recipes!$A$2:$A$500,0)),"")</f>
        <v/>
      </c>
      <c r="C280" s="39" t="inlineStr">
        <is>
          <t>Carrot</t>
        </is>
      </c>
      <c r="D280" s="47" t="n">
        <v>1</v>
      </c>
      <c r="E280" s="37" t="inlineStr">
        <is>
          <t>pc</t>
        </is>
      </c>
      <c r="F280" s="37" t="inlineStr">
        <is>
          <t>P055</t>
        </is>
      </c>
      <c r="G280" s="37" t="inlineStr">
        <is>
          <t>Basket</t>
        </is>
      </c>
      <c r="H280" s="39" t="n"/>
    </row>
    <row r="281" ht="15" customHeight="1" s="26">
      <c r="A281" s="37" t="inlineStr">
        <is>
          <t>R045</t>
        </is>
      </c>
      <c r="B281" s="37">
        <f>IFERROR(INDEX(Recipes!$B$2:$B$500,MATCH(A281,Recipes!$A$2:$A$500,0)),"")</f>
        <v/>
      </c>
      <c r="C281" s="39" t="inlineStr">
        <is>
          <t>Olive oil</t>
        </is>
      </c>
      <c r="D281" s="47" t="n">
        <v>3</v>
      </c>
      <c r="E281" s="37" t="inlineStr">
        <is>
          <t>tbsp</t>
        </is>
      </c>
      <c r="F281" s="37" t="n"/>
      <c r="G281" s="37" t="inlineStr">
        <is>
          <t>Staple</t>
        </is>
      </c>
      <c r="H281" s="39" t="n"/>
    </row>
    <row r="282" ht="15" customHeight="1" s="26">
      <c r="A282" s="37" t="inlineStr">
        <is>
          <t>R045</t>
        </is>
      </c>
      <c r="B282" s="37">
        <f>IFERROR(INDEX(Recipes!$B$2:$B$500,MATCH(A282,Recipes!$A$2:$A$500,0)),"")</f>
        <v/>
      </c>
      <c r="C282" s="39" t="inlineStr">
        <is>
          <t>Salt</t>
        </is>
      </c>
      <c r="D282" s="47" t="n">
        <v>1</v>
      </c>
      <c r="E282" s="37" t="inlineStr">
        <is>
          <t>pinch</t>
        </is>
      </c>
      <c r="F282" s="37" t="n"/>
      <c r="G282" s="37" t="inlineStr">
        <is>
          <t>Staple</t>
        </is>
      </c>
      <c r="H282" s="39" t="n"/>
    </row>
    <row r="283" ht="15" customHeight="1" s="26">
      <c r="A283" s="37" t="inlineStr">
        <is>
          <t>R046</t>
        </is>
      </c>
      <c r="B283" s="37">
        <f>IFERROR(INDEX(Recipes!$B$2:$B$500,MATCH(A283,Recipes!$A$2:$A$500,0)),"")</f>
        <v/>
      </c>
      <c r="C283" s="39" t="inlineStr">
        <is>
          <t>Minced beef or thin steak</t>
        </is>
      </c>
      <c r="D283" s="47" t="n">
        <v>250</v>
      </c>
      <c r="E283" s="37" t="inlineStr">
        <is>
          <t>g</t>
        </is>
      </c>
      <c r="F283" s="37" t="n"/>
      <c r="G283" s="37" t="inlineStr">
        <is>
          <t>Protein</t>
        </is>
      </c>
      <c r="H283" s="39" t="n"/>
    </row>
    <row r="284" ht="15" customHeight="1" s="26">
      <c r="A284" s="37" t="inlineStr">
        <is>
          <t>R046</t>
        </is>
      </c>
      <c r="B284" s="37">
        <f>IFERROR(INDEX(Recipes!$B$2:$B$500,MATCH(A284,Recipes!$A$2:$A$500,0)),"")</f>
        <v/>
      </c>
      <c r="C284" s="39" t="inlineStr">
        <is>
          <t>Rice</t>
        </is>
      </c>
      <c r="D284" s="47" t="n">
        <v>1</v>
      </c>
      <c r="E284" s="37" t="inlineStr">
        <is>
          <t>cup</t>
        </is>
      </c>
      <c r="F284" s="37" t="n"/>
      <c r="G284" s="37" t="inlineStr">
        <is>
          <t>Pantry</t>
        </is>
      </c>
      <c r="H284" s="39" t="inlineStr">
        <is>
          <t>uncooked</t>
        </is>
      </c>
    </row>
    <row r="285" ht="15" customHeight="1" s="26">
      <c r="A285" s="37" t="inlineStr">
        <is>
          <t>R046</t>
        </is>
      </c>
      <c r="B285" s="37">
        <f>IFERROR(INDEX(Recipes!$B$2:$B$500,MATCH(A285,Recipes!$A$2:$A$500,0)),"")</f>
        <v/>
      </c>
      <c r="C285" s="39" t="inlineStr">
        <is>
          <t>Eggs</t>
        </is>
      </c>
      <c r="D285" s="47" t="n">
        <v>2</v>
      </c>
      <c r="E285" s="37" t="inlineStr">
        <is>
          <t>pc</t>
        </is>
      </c>
      <c r="F285" s="37" t="n"/>
      <c r="G285" s="37" t="inlineStr">
        <is>
          <t>Protein</t>
        </is>
      </c>
      <c r="H285" s="39" t="n"/>
    </row>
    <row r="286" ht="15" customHeight="1" s="26">
      <c r="A286" s="37" t="inlineStr">
        <is>
          <t>R046</t>
        </is>
      </c>
      <c r="B286" s="37">
        <f>IFERROR(INDEX(Recipes!$B$2:$B$500,MATCH(A286,Recipes!$A$2:$A$500,0)),"")</f>
        <v/>
      </c>
      <c r="C286" s="39" t="inlineStr">
        <is>
          <t>Amaranth greens (Nigerian spinach)</t>
        </is>
      </c>
      <c r="D286" s="47" t="n">
        <v>2</v>
      </c>
      <c r="E286" s="37" t="inlineStr">
        <is>
          <t>cups</t>
        </is>
      </c>
      <c r="F286" s="37" t="inlineStr">
        <is>
          <t>P073</t>
        </is>
      </c>
      <c r="G286" s="37" t="inlineStr">
        <is>
          <t>Basket</t>
        </is>
      </c>
      <c r="H286" s="39" t="n"/>
    </row>
    <row r="287" ht="15" customHeight="1" s="26">
      <c r="A287" s="37" t="inlineStr">
        <is>
          <t>R046</t>
        </is>
      </c>
      <c r="B287" s="37">
        <f>IFERROR(INDEX(Recipes!$B$2:$B$500,MATCH(A287,Recipes!$A$2:$A$500,0)),"")</f>
        <v/>
      </c>
      <c r="C287" s="39" t="inlineStr">
        <is>
          <t>Carrot</t>
        </is>
      </c>
      <c r="D287" s="47" t="n">
        <v>2</v>
      </c>
      <c r="E287" s="37" t="inlineStr">
        <is>
          <t>pc</t>
        </is>
      </c>
      <c r="F287" s="37" t="inlineStr">
        <is>
          <t>P055</t>
        </is>
      </c>
      <c r="G287" s="37" t="inlineStr">
        <is>
          <t>Basket</t>
        </is>
      </c>
      <c r="H287" s="39" t="n"/>
    </row>
    <row r="288" ht="15" customHeight="1" s="26">
      <c r="A288" s="37" t="inlineStr">
        <is>
          <t>R046</t>
        </is>
      </c>
      <c r="B288" s="37">
        <f>IFERROR(INDEX(Recipes!$B$2:$B$500,MATCH(A288,Recipes!$A$2:$A$500,0)),"")</f>
        <v/>
      </c>
      <c r="C288" s="39" t="inlineStr">
        <is>
          <t>Cucumber</t>
        </is>
      </c>
      <c r="D288" s="47" t="n">
        <v>1</v>
      </c>
      <c r="E288" s="37" t="inlineStr">
        <is>
          <t>pc</t>
        </is>
      </c>
      <c r="F288" s="37" t="inlineStr">
        <is>
          <t>P054</t>
        </is>
      </c>
      <c r="G288" s="37" t="inlineStr">
        <is>
          <t>Basket</t>
        </is>
      </c>
      <c r="H288" s="39" t="n"/>
    </row>
    <row r="289" ht="15" customHeight="1" s="26">
      <c r="A289" s="37" t="inlineStr">
        <is>
          <t>R046</t>
        </is>
      </c>
      <c r="B289" s="37">
        <f>IFERROR(INDEX(Recipes!$B$2:$B$500,MATCH(A289,Recipes!$A$2:$A$500,0)),"")</f>
        <v/>
      </c>
      <c r="C289" s="39" t="inlineStr">
        <is>
          <t>Mushrooms (oyster / button)</t>
        </is>
      </c>
      <c r="D289" s="47" t="n">
        <v>1</v>
      </c>
      <c r="E289" s="37" t="inlineStr">
        <is>
          <t>cup</t>
        </is>
      </c>
      <c r="F289" s="37" t="inlineStr">
        <is>
          <t>P067</t>
        </is>
      </c>
      <c r="G289" s="37" t="inlineStr">
        <is>
          <t>Basket</t>
        </is>
      </c>
      <c r="H289" s="39" t="inlineStr">
        <is>
          <t>optional</t>
        </is>
      </c>
    </row>
    <row r="290" ht="15" customHeight="1" s="26">
      <c r="A290" s="37" t="inlineStr">
        <is>
          <t>R046</t>
        </is>
      </c>
      <c r="B290" s="37">
        <f>IFERROR(INDEX(Recipes!$B$2:$B$500,MATCH(A290,Recipes!$A$2:$A$500,0)),"")</f>
        <v/>
      </c>
      <c r="C290" s="39" t="inlineStr">
        <is>
          <t>Garlic</t>
        </is>
      </c>
      <c r="D290" s="47" t="n">
        <v>2</v>
      </c>
      <c r="E290" s="37" t="inlineStr">
        <is>
          <t>cloves</t>
        </is>
      </c>
      <c r="F290" s="37" t="inlineStr">
        <is>
          <t>P051</t>
        </is>
      </c>
      <c r="G290" s="37" t="inlineStr">
        <is>
          <t>Basket</t>
        </is>
      </c>
      <c r="H290" s="39" t="n"/>
    </row>
    <row r="291" ht="15" customHeight="1" s="26">
      <c r="A291" s="37" t="inlineStr">
        <is>
          <t>R046</t>
        </is>
      </c>
      <c r="B291" s="37">
        <f>IFERROR(INDEX(Recipes!$B$2:$B$500,MATCH(A291,Recipes!$A$2:$A$500,0)),"")</f>
        <v/>
      </c>
      <c r="C291" s="39" t="inlineStr">
        <is>
          <t>Scotch bonnet</t>
        </is>
      </c>
      <c r="D291" s="47" t="n">
        <v>0.5</v>
      </c>
      <c r="E291" s="37" t="inlineStr">
        <is>
          <t>pc</t>
        </is>
      </c>
      <c r="F291" s="37" t="inlineStr">
        <is>
          <t>P046</t>
        </is>
      </c>
      <c r="G291" s="37" t="inlineStr">
        <is>
          <t>Basket</t>
        </is>
      </c>
      <c r="H291" s="39" t="n"/>
    </row>
    <row r="292" ht="15" customHeight="1" s="26">
      <c r="A292" s="37" t="inlineStr">
        <is>
          <t>R046</t>
        </is>
      </c>
      <c r="B292" s="37">
        <f>IFERROR(INDEX(Recipes!$B$2:$B$500,MATCH(A292,Recipes!$A$2:$A$500,0)),"")</f>
        <v/>
      </c>
      <c r="C292" s="39" t="inlineStr">
        <is>
          <t>Spring onion</t>
        </is>
      </c>
      <c r="D292" s="47" t="n">
        <v>2</v>
      </c>
      <c r="E292" s="37" t="inlineStr">
        <is>
          <t>stalks</t>
        </is>
      </c>
      <c r="F292" s="37" t="inlineStr">
        <is>
          <t>P049</t>
        </is>
      </c>
      <c r="G292" s="37" t="inlineStr">
        <is>
          <t>Basket</t>
        </is>
      </c>
      <c r="H292" s="39" t="n"/>
    </row>
    <row r="293" ht="15" customHeight="1" s="26">
      <c r="A293" s="37" t="inlineStr">
        <is>
          <t>R046</t>
        </is>
      </c>
      <c r="B293" s="37">
        <f>IFERROR(INDEX(Recipes!$B$2:$B$500,MATCH(A293,Recipes!$A$2:$A$500,0)),"")</f>
        <v/>
      </c>
      <c r="C293" s="39" t="inlineStr">
        <is>
          <t>Soy sauce</t>
        </is>
      </c>
      <c r="D293" s="47" t="n">
        <v>2</v>
      </c>
      <c r="E293" s="37" t="inlineStr">
        <is>
          <t>tbsp</t>
        </is>
      </c>
      <c r="F293" s="37" t="n"/>
      <c r="G293" s="37" t="inlineStr">
        <is>
          <t>Pantry</t>
        </is>
      </c>
      <c r="H293" s="39" t="n"/>
    </row>
    <row r="294" ht="15" customHeight="1" s="26">
      <c r="A294" s="37" t="inlineStr">
        <is>
          <t>R046</t>
        </is>
      </c>
      <c r="B294" s="37">
        <f>IFERROR(INDEX(Recipes!$B$2:$B$500,MATCH(A294,Recipes!$A$2:$A$500,0)),"")</f>
        <v/>
      </c>
      <c r="C294" s="39" t="inlineStr">
        <is>
          <t>Honey</t>
        </is>
      </c>
      <c r="D294" s="47" t="n">
        <v>1</v>
      </c>
      <c r="E294" s="37" t="inlineStr">
        <is>
          <t>tbsp</t>
        </is>
      </c>
      <c r="F294" s="37" t="n"/>
      <c r="G294" s="37" t="inlineStr">
        <is>
          <t>Pantry</t>
        </is>
      </c>
      <c r="H294" s="39" t="n"/>
    </row>
    <row r="295" ht="15" customHeight="1" s="26">
      <c r="A295" s="37" t="inlineStr">
        <is>
          <t>R046</t>
        </is>
      </c>
      <c r="B295" s="37">
        <f>IFERROR(INDEX(Recipes!$B$2:$B$500,MATCH(A295,Recipes!$A$2:$A$500,0)),"")</f>
        <v/>
      </c>
      <c r="C295" s="39" t="inlineStr">
        <is>
          <t>Sesame oil</t>
        </is>
      </c>
      <c r="D295" s="47" t="n">
        <v>1</v>
      </c>
      <c r="E295" s="37" t="inlineStr">
        <is>
          <t>tsp</t>
        </is>
      </c>
      <c r="F295" s="37" t="n"/>
      <c r="G295" s="37" t="inlineStr">
        <is>
          <t>Pantry</t>
        </is>
      </c>
      <c r="H295" s="39" t="n"/>
    </row>
    <row r="296" ht="15" customHeight="1" s="26">
      <c r="A296" s="37" t="inlineStr">
        <is>
          <t>R047</t>
        </is>
      </c>
      <c r="B296" s="37">
        <f>IFERROR(INDEX(Recipes!$B$2:$B$500,MATCH(A296,Recipes!$A$2:$A$500,0)),"")</f>
        <v/>
      </c>
      <c r="C296" s="39" t="inlineStr">
        <is>
          <t>Wara soya (tofu)</t>
        </is>
      </c>
      <c r="D296" s="47" t="n">
        <v>300</v>
      </c>
      <c r="E296" s="37" t="inlineStr">
        <is>
          <t>g</t>
        </is>
      </c>
      <c r="F296" s="37" t="n"/>
      <c r="G296" s="37" t="inlineStr">
        <is>
          <t>Protein</t>
        </is>
      </c>
      <c r="H296" s="39" t="n"/>
    </row>
    <row r="297" ht="15" customHeight="1" s="26">
      <c r="A297" s="37" t="inlineStr">
        <is>
          <t>R047</t>
        </is>
      </c>
      <c r="B297" s="37">
        <f>IFERROR(INDEX(Recipes!$B$2:$B$500,MATCH(A297,Recipes!$A$2:$A$500,0)),"")</f>
        <v/>
      </c>
      <c r="C297" s="39" t="inlineStr">
        <is>
          <t>Rice or noodles</t>
        </is>
      </c>
      <c r="D297" s="47" t="n">
        <v>1</v>
      </c>
      <c r="E297" s="37" t="inlineStr">
        <is>
          <t>cup</t>
        </is>
      </c>
      <c r="F297" s="37" t="n"/>
      <c r="G297" s="37" t="inlineStr">
        <is>
          <t>Pantry</t>
        </is>
      </c>
      <c r="H297" s="39" t="n"/>
    </row>
    <row r="298" ht="15" customHeight="1" s="26">
      <c r="A298" s="37" t="inlineStr">
        <is>
          <t>R047</t>
        </is>
      </c>
      <c r="B298" s="37">
        <f>IFERROR(INDEX(Recipes!$B$2:$B$500,MATCH(A298,Recipes!$A$2:$A$500,0)),"")</f>
        <v/>
      </c>
      <c r="C298" s="39" t="inlineStr">
        <is>
          <t>Purple cabbage</t>
        </is>
      </c>
      <c r="D298" s="47" t="n">
        <v>0.25</v>
      </c>
      <c r="E298" s="37" t="inlineStr">
        <is>
          <t>head</t>
        </is>
      </c>
      <c r="F298" s="37" t="inlineStr">
        <is>
          <t>P057</t>
        </is>
      </c>
      <c r="G298" s="37" t="inlineStr">
        <is>
          <t>Basket</t>
        </is>
      </c>
      <c r="H298" s="39" t="n"/>
    </row>
    <row r="299" ht="15" customHeight="1" s="26">
      <c r="A299" s="37" t="inlineStr">
        <is>
          <t>R047</t>
        </is>
      </c>
      <c r="B299" s="37">
        <f>IFERROR(INDEX(Recipes!$B$2:$B$500,MATCH(A299,Recipes!$A$2:$A$500,0)),"")</f>
        <v/>
      </c>
      <c r="C299" s="39" t="inlineStr">
        <is>
          <t>Carrot</t>
        </is>
      </c>
      <c r="D299" s="47" t="n">
        <v>2</v>
      </c>
      <c r="E299" s="37" t="inlineStr">
        <is>
          <t>pc</t>
        </is>
      </c>
      <c r="F299" s="37" t="inlineStr">
        <is>
          <t>P055</t>
        </is>
      </c>
      <c r="G299" s="37" t="inlineStr">
        <is>
          <t>Basket</t>
        </is>
      </c>
      <c r="H299" s="39" t="n"/>
    </row>
    <row r="300" ht="15" customHeight="1" s="26">
      <c r="A300" s="37" t="inlineStr">
        <is>
          <t>R047</t>
        </is>
      </c>
      <c r="B300" s="37">
        <f>IFERROR(INDEX(Recipes!$B$2:$B$500,MATCH(A300,Recipes!$A$2:$A$500,0)),"")</f>
        <v/>
      </c>
      <c r="C300" s="39" t="inlineStr">
        <is>
          <t>Cucumber</t>
        </is>
      </c>
      <c r="D300" s="47" t="n">
        <v>1</v>
      </c>
      <c r="E300" s="37" t="inlineStr">
        <is>
          <t>pc</t>
        </is>
      </c>
      <c r="F300" s="37" t="inlineStr">
        <is>
          <t>P054</t>
        </is>
      </c>
      <c r="G300" s="37" t="inlineStr">
        <is>
          <t>Basket</t>
        </is>
      </c>
      <c r="H300" s="39" t="n"/>
    </row>
    <row r="301" ht="15" customHeight="1" s="26">
      <c r="A301" s="37" t="inlineStr">
        <is>
          <t>R047</t>
        </is>
      </c>
      <c r="B301" s="37">
        <f>IFERROR(INDEX(Recipes!$B$2:$B$500,MATCH(A301,Recipes!$A$2:$A$500,0)),"")</f>
        <v/>
      </c>
      <c r="C301" s="39" t="inlineStr">
        <is>
          <t>Spring onion</t>
        </is>
      </c>
      <c r="D301" s="47" t="n">
        <v>2</v>
      </c>
      <c r="E301" s="37" t="inlineStr">
        <is>
          <t>stalks</t>
        </is>
      </c>
      <c r="F301" s="37" t="inlineStr">
        <is>
          <t>P049</t>
        </is>
      </c>
      <c r="G301" s="37" t="inlineStr">
        <is>
          <t>Basket</t>
        </is>
      </c>
      <c r="H301" s="39" t="n"/>
    </row>
    <row r="302" ht="15" customHeight="1" s="26">
      <c r="A302" s="37" t="inlineStr">
        <is>
          <t>R047</t>
        </is>
      </c>
      <c r="B302" s="37">
        <f>IFERROR(INDEX(Recipes!$B$2:$B$500,MATCH(A302,Recipes!$A$2:$A$500,0)),"")</f>
        <v/>
      </c>
      <c r="C302" s="39" t="inlineStr">
        <is>
          <t>Coriander (cilantro)</t>
        </is>
      </c>
      <c r="D302" s="47" t="n">
        <v>1</v>
      </c>
      <c r="E302" s="37" t="inlineStr">
        <is>
          <t>handful</t>
        </is>
      </c>
      <c r="F302" s="37" t="inlineStr">
        <is>
          <t>P080</t>
        </is>
      </c>
      <c r="G302" s="37" t="inlineStr">
        <is>
          <t>Basket</t>
        </is>
      </c>
      <c r="H302" s="39" t="n"/>
    </row>
    <row r="303" ht="15" customHeight="1" s="26">
      <c r="A303" s="37" t="inlineStr">
        <is>
          <t>R047</t>
        </is>
      </c>
      <c r="B303" s="37">
        <f>IFERROR(INDEX(Recipes!$B$2:$B$500,MATCH(A303,Recipes!$A$2:$A$500,0)),"")</f>
        <v/>
      </c>
      <c r="C303" s="39" t="inlineStr">
        <is>
          <t>Lime</t>
        </is>
      </c>
      <c r="D303" s="47" t="n">
        <v>1</v>
      </c>
      <c r="E303" s="37" t="inlineStr">
        <is>
          <t>pc</t>
        </is>
      </c>
      <c r="F303" s="37" t="inlineStr">
        <is>
          <t>P010</t>
        </is>
      </c>
      <c r="G303" s="37" t="inlineStr">
        <is>
          <t>Basket</t>
        </is>
      </c>
      <c r="H303" s="39" t="n"/>
    </row>
    <row r="304" ht="15" customHeight="1" s="26">
      <c r="A304" s="37" t="inlineStr">
        <is>
          <t>R047</t>
        </is>
      </c>
      <c r="B304" s="37">
        <f>IFERROR(INDEX(Recipes!$B$2:$B$500,MATCH(A304,Recipes!$A$2:$A$500,0)),"")</f>
        <v/>
      </c>
      <c r="C304" s="39" t="inlineStr">
        <is>
          <t>Ginger</t>
        </is>
      </c>
      <c r="D304" s="47" t="n">
        <v>1</v>
      </c>
      <c r="E304" s="37" t="inlineStr">
        <is>
          <t>thumb</t>
        </is>
      </c>
      <c r="F304" s="37" t="inlineStr">
        <is>
          <t>P052</t>
        </is>
      </c>
      <c r="G304" s="37" t="inlineStr">
        <is>
          <t>Basket</t>
        </is>
      </c>
      <c r="H304" s="39" t="n"/>
    </row>
    <row r="305" ht="15" customHeight="1" s="26">
      <c r="A305" s="37" t="inlineStr">
        <is>
          <t>R047</t>
        </is>
      </c>
      <c r="B305" s="37">
        <f>IFERROR(INDEX(Recipes!$B$2:$B$500,MATCH(A305,Recipes!$A$2:$A$500,0)),"")</f>
        <v/>
      </c>
      <c r="C305" s="39" t="inlineStr">
        <is>
          <t>Garlic</t>
        </is>
      </c>
      <c r="D305" s="47" t="n">
        <v>1</v>
      </c>
      <c r="E305" s="37" t="inlineStr">
        <is>
          <t>clove</t>
        </is>
      </c>
      <c r="F305" s="37" t="inlineStr">
        <is>
          <t>P051</t>
        </is>
      </c>
      <c r="G305" s="37" t="inlineStr">
        <is>
          <t>Basket</t>
        </is>
      </c>
      <c r="H305" s="39" t="n"/>
    </row>
    <row r="306" ht="15" customHeight="1" s="26">
      <c r="A306" s="37" t="inlineStr">
        <is>
          <t>R047</t>
        </is>
      </c>
      <c r="B306" s="37">
        <f>IFERROR(INDEX(Recipes!$B$2:$B$500,MATCH(A306,Recipes!$A$2:$A$500,0)),"")</f>
        <v/>
      </c>
      <c r="C306" s="39" t="inlineStr">
        <is>
          <t>Dates</t>
        </is>
      </c>
      <c r="D306" s="47" t="n">
        <v>2</v>
      </c>
      <c r="E306" s="37" t="inlineStr">
        <is>
          <t>pc</t>
        </is>
      </c>
      <c r="F306" s="37" t="inlineStr">
        <is>
          <t>P030</t>
        </is>
      </c>
      <c r="G306" s="37" t="inlineStr">
        <is>
          <t>Basket</t>
        </is>
      </c>
      <c r="H306" s="39" t="inlineStr">
        <is>
          <t>pitted</t>
        </is>
      </c>
    </row>
    <row r="307" ht="15" customHeight="1" s="26">
      <c r="A307" s="37" t="inlineStr">
        <is>
          <t>R047</t>
        </is>
      </c>
      <c r="B307" s="37">
        <f>IFERROR(INDEX(Recipes!$B$2:$B$500,MATCH(A307,Recipes!$A$2:$A$500,0)),"")</f>
        <v/>
      </c>
      <c r="C307" s="39" t="inlineStr">
        <is>
          <t>Groundnut paste (peanut butter)</t>
        </is>
      </c>
      <c r="D307" s="47" t="n">
        <v>3</v>
      </c>
      <c r="E307" s="37" t="inlineStr">
        <is>
          <t>tbsp</t>
        </is>
      </c>
      <c r="F307" s="37" t="n"/>
      <c r="G307" s="37" t="inlineStr">
        <is>
          <t>Pantry</t>
        </is>
      </c>
      <c r="H307" s="39" t="n"/>
    </row>
    <row r="308" ht="15" customHeight="1" s="26">
      <c r="A308" s="37" t="inlineStr">
        <is>
          <t>R047</t>
        </is>
      </c>
      <c r="B308" s="37">
        <f>IFERROR(INDEX(Recipes!$B$2:$B$500,MATCH(A308,Recipes!$A$2:$A$500,0)),"")</f>
        <v/>
      </c>
      <c r="C308" s="39" t="inlineStr">
        <is>
          <t>Soy sauce</t>
        </is>
      </c>
      <c r="D308" s="47" t="n">
        <v>2</v>
      </c>
      <c r="E308" s="37" t="inlineStr">
        <is>
          <t>tbsp</t>
        </is>
      </c>
      <c r="F308" s="37" t="n"/>
      <c r="G308" s="37" t="inlineStr">
        <is>
          <t>Pantry</t>
        </is>
      </c>
      <c r="H308" s="39" t="n"/>
    </row>
    <row r="309" ht="15" customHeight="1" s="26">
      <c r="A309" s="37" t="inlineStr">
        <is>
          <t>R048</t>
        </is>
      </c>
      <c r="B309" s="37">
        <f>IFERROR(INDEX(Recipes!$B$2:$B$500,MATCH(A309,Recipes!$A$2:$A$500,0)),"")</f>
        <v/>
      </c>
      <c r="C309" s="39" t="inlineStr">
        <is>
          <t>Chicken breast</t>
        </is>
      </c>
      <c r="D309" s="47" t="n">
        <v>2</v>
      </c>
      <c r="E309" s="37" t="inlineStr">
        <is>
          <t>pc</t>
        </is>
      </c>
      <c r="F309" s="37" t="n"/>
      <c r="G309" s="37" t="inlineStr">
        <is>
          <t>Protein</t>
        </is>
      </c>
      <c r="H309" s="39" t="n"/>
    </row>
    <row r="310" ht="15" customHeight="1" s="26">
      <c r="A310" s="37" t="inlineStr">
        <is>
          <t>R048</t>
        </is>
      </c>
      <c r="B310" s="37">
        <f>IFERROR(INDEX(Recipes!$B$2:$B$500,MATCH(A310,Recipes!$A$2:$A$500,0)),"")</f>
        <v/>
      </c>
      <c r="C310" s="39" t="inlineStr">
        <is>
          <t>Rice</t>
        </is>
      </c>
      <c r="D310" s="47" t="n">
        <v>1</v>
      </c>
      <c r="E310" s="37" t="inlineStr">
        <is>
          <t>cup</t>
        </is>
      </c>
      <c r="F310" s="37" t="n"/>
      <c r="G310" s="37" t="inlineStr">
        <is>
          <t>Pantry</t>
        </is>
      </c>
      <c r="H310" s="39" t="inlineStr">
        <is>
          <t>uncooked</t>
        </is>
      </c>
    </row>
    <row r="311" ht="15" customHeight="1" s="26">
      <c r="A311" s="37" t="inlineStr">
        <is>
          <t>R048</t>
        </is>
      </c>
      <c r="B311" s="37">
        <f>IFERROR(INDEX(Recipes!$B$2:$B$500,MATCH(A311,Recipes!$A$2:$A$500,0)),"")</f>
        <v/>
      </c>
      <c r="C311" s="39" t="inlineStr">
        <is>
          <t>Cucumber</t>
        </is>
      </c>
      <c r="D311" s="47" t="n">
        <v>1</v>
      </c>
      <c r="E311" s="37" t="inlineStr">
        <is>
          <t>pc</t>
        </is>
      </c>
      <c r="F311" s="37" t="inlineStr">
        <is>
          <t>P054</t>
        </is>
      </c>
      <c r="G311" s="37" t="inlineStr">
        <is>
          <t>Basket</t>
        </is>
      </c>
      <c r="H311" s="39" t="n"/>
    </row>
    <row r="312" ht="15" customHeight="1" s="26">
      <c r="A312" s="37" t="inlineStr">
        <is>
          <t>R048</t>
        </is>
      </c>
      <c r="B312" s="37">
        <f>IFERROR(INDEX(Recipes!$B$2:$B$500,MATCH(A312,Recipes!$A$2:$A$500,0)),"")</f>
        <v/>
      </c>
      <c r="C312" s="39" t="inlineStr">
        <is>
          <t>Tomato (plum)</t>
        </is>
      </c>
      <c r="D312" s="47" t="n">
        <v>3</v>
      </c>
      <c r="E312" s="37" t="inlineStr">
        <is>
          <t>pc</t>
        </is>
      </c>
      <c r="F312" s="37" t="inlineStr">
        <is>
          <t>P042</t>
        </is>
      </c>
      <c r="G312" s="37" t="inlineStr">
        <is>
          <t>Basket</t>
        </is>
      </c>
      <c r="H312" s="39" t="n"/>
    </row>
    <row r="313" ht="15" customHeight="1" s="26">
      <c r="A313" s="37" t="inlineStr">
        <is>
          <t>R048</t>
        </is>
      </c>
      <c r="B313" s="37">
        <f>IFERROR(INDEX(Recipes!$B$2:$B$500,MATCH(A313,Recipes!$A$2:$A$500,0)),"")</f>
        <v/>
      </c>
      <c r="C313" s="39" t="inlineStr">
        <is>
          <t>Onion (red &amp; white)</t>
        </is>
      </c>
      <c r="D313" s="47" t="n">
        <v>0.5</v>
      </c>
      <c r="E313" s="37" t="inlineStr">
        <is>
          <t>pc</t>
        </is>
      </c>
      <c r="F313" s="37" t="inlineStr">
        <is>
          <t>P048</t>
        </is>
      </c>
      <c r="G313" s="37" t="inlineStr">
        <is>
          <t>Basket</t>
        </is>
      </c>
      <c r="H313" s="39" t="inlineStr">
        <is>
          <t>red</t>
        </is>
      </c>
    </row>
    <row r="314" ht="15" customHeight="1" s="26">
      <c r="A314" s="37" t="inlineStr">
        <is>
          <t>R048</t>
        </is>
      </c>
      <c r="B314" s="37">
        <f>IFERROR(INDEX(Recipes!$B$2:$B$500,MATCH(A314,Recipes!$A$2:$A$500,0)),"")</f>
        <v/>
      </c>
      <c r="C314" s="39" t="inlineStr">
        <is>
          <t>Lettuce (iceberg / romaine / local)</t>
        </is>
      </c>
      <c r="D314" s="47" t="n">
        <v>0.5</v>
      </c>
      <c r="E314" s="37" t="inlineStr">
        <is>
          <t>head</t>
        </is>
      </c>
      <c r="F314" s="37" t="inlineStr">
        <is>
          <t>P058</t>
        </is>
      </c>
      <c r="G314" s="37" t="inlineStr">
        <is>
          <t>Basket</t>
        </is>
      </c>
      <c r="H314" s="39" t="n"/>
    </row>
    <row r="315" ht="15" customHeight="1" s="26">
      <c r="A315" s="37" t="inlineStr">
        <is>
          <t>R048</t>
        </is>
      </c>
      <c r="B315" s="37">
        <f>IFERROR(INDEX(Recipes!$B$2:$B$500,MATCH(A315,Recipes!$A$2:$A$500,0)),"")</f>
        <v/>
      </c>
      <c r="C315" s="39" t="inlineStr">
        <is>
          <t>Garlic</t>
        </is>
      </c>
      <c r="D315" s="47" t="n">
        <v>2</v>
      </c>
      <c r="E315" s="37" t="inlineStr">
        <is>
          <t>cloves</t>
        </is>
      </c>
      <c r="F315" s="37" t="inlineStr">
        <is>
          <t>P051</t>
        </is>
      </c>
      <c r="G315" s="37" t="inlineStr">
        <is>
          <t>Basket</t>
        </is>
      </c>
      <c r="H315" s="39" t="n"/>
    </row>
    <row r="316" ht="15" customHeight="1" s="26">
      <c r="A316" s="37" t="inlineStr">
        <is>
          <t>R048</t>
        </is>
      </c>
      <c r="B316" s="37">
        <f>IFERROR(INDEX(Recipes!$B$2:$B$500,MATCH(A316,Recipes!$A$2:$A$500,0)),"")</f>
        <v/>
      </c>
      <c r="C316" s="39" t="inlineStr">
        <is>
          <t>Lemon</t>
        </is>
      </c>
      <c r="D316" s="47" t="n">
        <v>1</v>
      </c>
      <c r="E316" s="37" t="inlineStr">
        <is>
          <t>pc</t>
        </is>
      </c>
      <c r="F316" s="37" t="inlineStr">
        <is>
          <t>P009</t>
        </is>
      </c>
      <c r="G316" s="37" t="inlineStr">
        <is>
          <t>Basket</t>
        </is>
      </c>
      <c r="H316" s="39" t="n"/>
    </row>
    <row r="317" ht="15" customHeight="1" s="26">
      <c r="A317" s="37" t="inlineStr">
        <is>
          <t>R048</t>
        </is>
      </c>
      <c r="B317" s="37">
        <f>IFERROR(INDEX(Recipes!$B$2:$B$500,MATCH(A317,Recipes!$A$2:$A$500,0)),"")</f>
        <v/>
      </c>
      <c r="C317" s="39" t="inlineStr">
        <is>
          <t>Mint</t>
        </is>
      </c>
      <c r="D317" s="47" t="n">
        <v>1</v>
      </c>
      <c r="E317" s="37" t="inlineStr">
        <is>
          <t>small bunch</t>
        </is>
      </c>
      <c r="F317" s="37" t="inlineStr">
        <is>
          <t>P079</t>
        </is>
      </c>
      <c r="G317" s="37" t="inlineStr">
        <is>
          <t>Basket</t>
        </is>
      </c>
      <c r="H317" s="39" t="inlineStr">
        <is>
          <t>or parsley</t>
        </is>
      </c>
    </row>
    <row r="318" ht="15" customHeight="1" s="26">
      <c r="A318" s="37" t="inlineStr">
        <is>
          <t>R048</t>
        </is>
      </c>
      <c r="B318" s="37">
        <f>IFERROR(INDEX(Recipes!$B$2:$B$500,MATCH(A318,Recipes!$A$2:$A$500,0)),"")</f>
        <v/>
      </c>
      <c r="C318" s="39" t="inlineStr">
        <is>
          <t>Greek yoghurt</t>
        </is>
      </c>
      <c r="D318" s="47" t="n">
        <v>1</v>
      </c>
      <c r="E318" s="37" t="inlineStr">
        <is>
          <t>cup</t>
        </is>
      </c>
      <c r="F318" s="37" t="n"/>
      <c r="G318" s="37" t="inlineStr">
        <is>
          <t>Pantry</t>
        </is>
      </c>
      <c r="H318" s="39" t="n"/>
    </row>
    <row r="319" ht="15" customHeight="1" s="26">
      <c r="A319" s="37" t="inlineStr">
        <is>
          <t>R048</t>
        </is>
      </c>
      <c r="B319" s="37">
        <f>IFERROR(INDEX(Recipes!$B$2:$B$500,MATCH(A319,Recipes!$A$2:$A$500,0)),"")</f>
        <v/>
      </c>
      <c r="C319" s="39" t="inlineStr">
        <is>
          <t>Dried oregano</t>
        </is>
      </c>
      <c r="D319" s="47" t="n">
        <v>1</v>
      </c>
      <c r="E319" s="37" t="inlineStr">
        <is>
          <t>tsp</t>
        </is>
      </c>
      <c r="F319" s="37" t="n"/>
      <c r="G319" s="37" t="inlineStr">
        <is>
          <t>Pantry</t>
        </is>
      </c>
      <c r="H319" s="39" t="n"/>
    </row>
    <row r="320" ht="15" customHeight="1" s="26">
      <c r="A320" s="37" t="inlineStr">
        <is>
          <t>R048</t>
        </is>
      </c>
      <c r="B320" s="37">
        <f>IFERROR(INDEX(Recipes!$B$2:$B$500,MATCH(A320,Recipes!$A$2:$A$500,0)),"")</f>
        <v/>
      </c>
      <c r="C320" s="39" t="inlineStr">
        <is>
          <t>Olive oil</t>
        </is>
      </c>
      <c r="D320" s="47" t="n">
        <v>1</v>
      </c>
      <c r="E320" s="37" t="inlineStr">
        <is>
          <t>tbsp</t>
        </is>
      </c>
      <c r="F320" s="37" t="n"/>
      <c r="G320" s="37" t="inlineStr">
        <is>
          <t>Staple</t>
        </is>
      </c>
      <c r="H320" s="39" t="n"/>
    </row>
    <row r="321" ht="15" customHeight="1" s="26">
      <c r="A321" s="37" t="inlineStr">
        <is>
          <t>R049</t>
        </is>
      </c>
      <c r="B321" s="37">
        <f>IFERROR(INDEX(Recipes!$B$2:$B$500,MATCH(A321,Recipes!$A$2:$A$500,0)),"")</f>
        <v/>
      </c>
      <c r="C321" s="39" t="inlineStr">
        <is>
          <t>Prawns</t>
        </is>
      </c>
      <c r="D321" s="47" t="n">
        <v>250</v>
      </c>
      <c r="E321" s="37" t="inlineStr">
        <is>
          <t>g</t>
        </is>
      </c>
      <c r="F321" s="37" t="n"/>
      <c r="G321" s="37" t="inlineStr">
        <is>
          <t>Protein</t>
        </is>
      </c>
      <c r="H321" s="39" t="n"/>
    </row>
    <row r="322" ht="15" customHeight="1" s="26">
      <c r="A322" s="37" t="inlineStr">
        <is>
          <t>R049</t>
        </is>
      </c>
      <c r="B322" s="37">
        <f>IFERROR(INDEX(Recipes!$B$2:$B$500,MATCH(A322,Recipes!$A$2:$A$500,0)),"")</f>
        <v/>
      </c>
      <c r="C322" s="39" t="inlineStr">
        <is>
          <t>Rice</t>
        </is>
      </c>
      <c r="D322" s="47" t="n">
        <v>1</v>
      </c>
      <c r="E322" s="37" t="inlineStr">
        <is>
          <t>cup</t>
        </is>
      </c>
      <c r="F322" s="37" t="n"/>
      <c r="G322" s="37" t="inlineStr">
        <is>
          <t>Pantry</t>
        </is>
      </c>
      <c r="H322" s="39" t="inlineStr">
        <is>
          <t>uncooked</t>
        </is>
      </c>
    </row>
    <row r="323" ht="15" customHeight="1" s="26">
      <c r="A323" s="37" t="inlineStr">
        <is>
          <t>R049</t>
        </is>
      </c>
      <c r="B323" s="37">
        <f>IFERROR(INDEX(Recipes!$B$2:$B$500,MATCH(A323,Recipes!$A$2:$A$500,0)),"")</f>
        <v/>
      </c>
      <c r="C323" s="39" t="inlineStr">
        <is>
          <t>Coconut</t>
        </is>
      </c>
      <c r="D323" s="47" t="n">
        <v>0.5</v>
      </c>
      <c r="E323" s="37" t="inlineStr">
        <is>
          <t>pc</t>
        </is>
      </c>
      <c r="F323" s="37" t="inlineStr">
        <is>
          <t>P016</t>
        </is>
      </c>
      <c r="G323" s="37" t="inlineStr">
        <is>
          <t>Basket</t>
        </is>
      </c>
      <c r="H323" s="39" t="inlineStr">
        <is>
          <t>for 1 cup fresh milk</t>
        </is>
      </c>
    </row>
    <row r="324" ht="15" customHeight="1" s="26">
      <c r="A324" s="37" t="inlineStr">
        <is>
          <t>R049</t>
        </is>
      </c>
      <c r="B324" s="37">
        <f>IFERROR(INDEX(Recipes!$B$2:$B$500,MATCH(A324,Recipes!$A$2:$A$500,0)),"")</f>
        <v/>
      </c>
      <c r="C324" s="39" t="inlineStr">
        <is>
          <t>Mango</t>
        </is>
      </c>
      <c r="D324" s="47" t="n">
        <v>1</v>
      </c>
      <c r="E324" s="37" t="inlineStr">
        <is>
          <t>pc</t>
        </is>
      </c>
      <c r="F324" s="37" t="inlineStr">
        <is>
          <t>P006</t>
        </is>
      </c>
      <c r="G324" s="37" t="inlineStr">
        <is>
          <t>Basket</t>
        </is>
      </c>
      <c r="H324" s="39" t="n"/>
    </row>
    <row r="325" ht="15" customHeight="1" s="26">
      <c r="A325" s="37" t="inlineStr">
        <is>
          <t>R049</t>
        </is>
      </c>
      <c r="B325" s="37">
        <f>IFERROR(INDEX(Recipes!$B$2:$B$500,MATCH(A325,Recipes!$A$2:$A$500,0)),"")</f>
        <v/>
      </c>
      <c r="C325" s="39" t="inlineStr">
        <is>
          <t>Onion (red &amp; white)</t>
        </is>
      </c>
      <c r="D325" s="47" t="n">
        <v>0.5</v>
      </c>
      <c r="E325" s="37" t="inlineStr">
        <is>
          <t>pc</t>
        </is>
      </c>
      <c r="F325" s="37" t="inlineStr">
        <is>
          <t>P048</t>
        </is>
      </c>
      <c r="G325" s="37" t="inlineStr">
        <is>
          <t>Basket</t>
        </is>
      </c>
      <c r="H325" s="39" t="inlineStr">
        <is>
          <t>red</t>
        </is>
      </c>
    </row>
    <row r="326" ht="15" customHeight="1" s="26">
      <c r="A326" s="37" t="inlineStr">
        <is>
          <t>R049</t>
        </is>
      </c>
      <c r="B326" s="37">
        <f>IFERROR(INDEX(Recipes!$B$2:$B$500,MATCH(A326,Recipes!$A$2:$A$500,0)),"")</f>
        <v/>
      </c>
      <c r="C326" s="39" t="inlineStr">
        <is>
          <t>Red bell pepper</t>
        </is>
      </c>
      <c r="D326" s="47" t="n">
        <v>1</v>
      </c>
      <c r="E326" s="37" t="inlineStr">
        <is>
          <t>pc</t>
        </is>
      </c>
      <c r="F326" s="37" t="inlineStr">
        <is>
          <t>P044</t>
        </is>
      </c>
      <c r="G326" s="37" t="inlineStr">
        <is>
          <t>Basket</t>
        </is>
      </c>
      <c r="H326" s="39" t="n"/>
    </row>
    <row r="327" ht="15" customHeight="1" s="26">
      <c r="A327" s="37" t="inlineStr">
        <is>
          <t>R049</t>
        </is>
      </c>
      <c r="B327" s="37">
        <f>IFERROR(INDEX(Recipes!$B$2:$B$500,MATCH(A327,Recipes!$A$2:$A$500,0)),"")</f>
        <v/>
      </c>
      <c r="C327" s="39" t="inlineStr">
        <is>
          <t>Scotch bonnet</t>
        </is>
      </c>
      <c r="D327" s="47" t="n">
        <v>0.25</v>
      </c>
      <c r="E327" s="37" t="inlineStr">
        <is>
          <t>pc</t>
        </is>
      </c>
      <c r="F327" s="37" t="inlineStr">
        <is>
          <t>P046</t>
        </is>
      </c>
      <c r="G327" s="37" t="inlineStr">
        <is>
          <t>Basket</t>
        </is>
      </c>
      <c r="H327" s="39" t="n"/>
    </row>
    <row r="328" ht="15" customHeight="1" s="26">
      <c r="A328" s="37" t="inlineStr">
        <is>
          <t>R049</t>
        </is>
      </c>
      <c r="B328" s="37">
        <f>IFERROR(INDEX(Recipes!$B$2:$B$500,MATCH(A328,Recipes!$A$2:$A$500,0)),"")</f>
        <v/>
      </c>
      <c r="C328" s="39" t="inlineStr">
        <is>
          <t>Coriander (cilantro)</t>
        </is>
      </c>
      <c r="D328" s="47" t="n">
        <v>1</v>
      </c>
      <c r="E328" s="37" t="inlineStr">
        <is>
          <t>handful</t>
        </is>
      </c>
      <c r="F328" s="37" t="inlineStr">
        <is>
          <t>P080</t>
        </is>
      </c>
      <c r="G328" s="37" t="inlineStr">
        <is>
          <t>Basket</t>
        </is>
      </c>
      <c r="H328" s="39" t="n"/>
    </row>
    <row r="329" ht="15" customHeight="1" s="26">
      <c r="A329" s="37" t="inlineStr">
        <is>
          <t>R049</t>
        </is>
      </c>
      <c r="B329" s="37">
        <f>IFERROR(INDEX(Recipes!$B$2:$B$500,MATCH(A329,Recipes!$A$2:$A$500,0)),"")</f>
        <v/>
      </c>
      <c r="C329" s="39" t="inlineStr">
        <is>
          <t>Lime</t>
        </is>
      </c>
      <c r="D329" s="47" t="n">
        <v>1</v>
      </c>
      <c r="E329" s="37" t="inlineStr">
        <is>
          <t>pc</t>
        </is>
      </c>
      <c r="F329" s="37" t="inlineStr">
        <is>
          <t>P010</t>
        </is>
      </c>
      <c r="G329" s="37" t="inlineStr">
        <is>
          <t>Basket</t>
        </is>
      </c>
      <c r="H329" s="39" t="n"/>
    </row>
    <row r="330" ht="15" customHeight="1" s="26">
      <c r="A330" s="37" t="inlineStr">
        <is>
          <t>R049</t>
        </is>
      </c>
      <c r="B330" s="37">
        <f>IFERROR(INDEX(Recipes!$B$2:$B$500,MATCH(A330,Recipes!$A$2:$A$500,0)),"")</f>
        <v/>
      </c>
      <c r="C330" s="39" t="inlineStr">
        <is>
          <t>Garlic</t>
        </is>
      </c>
      <c r="D330" s="47" t="n">
        <v>1</v>
      </c>
      <c r="E330" s="37" t="inlineStr">
        <is>
          <t>clove</t>
        </is>
      </c>
      <c r="F330" s="37" t="inlineStr">
        <is>
          <t>P051</t>
        </is>
      </c>
      <c r="G330" s="37" t="inlineStr">
        <is>
          <t>Basket</t>
        </is>
      </c>
      <c r="H330" s="39" t="n"/>
    </row>
    <row r="331" ht="15" customHeight="1" s="26">
      <c r="A331" s="37" t="inlineStr">
        <is>
          <t>R049</t>
        </is>
      </c>
      <c r="B331" s="37">
        <f>IFERROR(INDEX(Recipes!$B$2:$B$500,MATCH(A331,Recipes!$A$2:$A$500,0)),"")</f>
        <v/>
      </c>
      <c r="C331" s="39" t="inlineStr">
        <is>
          <t>Oil</t>
        </is>
      </c>
      <c r="D331" s="47" t="n">
        <v>1</v>
      </c>
      <c r="E331" s="37" t="inlineStr">
        <is>
          <t>tbsp</t>
        </is>
      </c>
      <c r="F331" s="37" t="n"/>
      <c r="G331" s="37" t="inlineStr">
        <is>
          <t>Staple</t>
        </is>
      </c>
      <c r="H331" s="39" t="n"/>
    </row>
    <row r="332" ht="15" customHeight="1" s="26">
      <c r="A332" s="37" t="inlineStr">
        <is>
          <t>R050</t>
        </is>
      </c>
      <c r="B332" s="37">
        <f>IFERROR(INDEX(Recipes!$B$2:$B$500,MATCH(A332,Recipes!$A$2:$A$500,0)),"")</f>
        <v/>
      </c>
      <c r="C332" s="39" t="inlineStr">
        <is>
          <t>Chicken breast</t>
        </is>
      </c>
      <c r="D332" s="47" t="n">
        <v>2</v>
      </c>
      <c r="E332" s="37" t="inlineStr">
        <is>
          <t>pc</t>
        </is>
      </c>
      <c r="F332" s="37" t="n"/>
      <c r="G332" s="37" t="inlineStr">
        <is>
          <t>Protein</t>
        </is>
      </c>
      <c r="H332" s="39" t="n"/>
    </row>
    <row r="333" ht="15" customHeight="1" s="26">
      <c r="A333" s="37" t="inlineStr">
        <is>
          <t>R050</t>
        </is>
      </c>
      <c r="B333" s="37">
        <f>IFERROR(INDEX(Recipes!$B$2:$B$500,MATCH(A333,Recipes!$A$2:$A$500,0)),"")</f>
        <v/>
      </c>
      <c r="C333" s="39" t="inlineStr">
        <is>
          <t>Large wraps or pita</t>
        </is>
      </c>
      <c r="D333" s="47" t="n">
        <v>2</v>
      </c>
      <c r="E333" s="37" t="inlineStr">
        <is>
          <t>pc</t>
        </is>
      </c>
      <c r="F333" s="37" t="n"/>
      <c r="G333" s="37" t="inlineStr">
        <is>
          <t>Pantry</t>
        </is>
      </c>
      <c r="H333" s="39" t="n"/>
    </row>
    <row r="334" ht="15" customHeight="1" s="26">
      <c r="A334" s="37" t="inlineStr">
        <is>
          <t>R050</t>
        </is>
      </c>
      <c r="B334" s="37">
        <f>IFERROR(INDEX(Recipes!$B$2:$B$500,MATCH(A334,Recipes!$A$2:$A$500,0)),"")</f>
        <v/>
      </c>
      <c r="C334" s="39" t="inlineStr">
        <is>
          <t>Cabbage (white)</t>
        </is>
      </c>
      <c r="D334" s="47" t="n">
        <v>0.25</v>
      </c>
      <c r="E334" s="37" t="inlineStr">
        <is>
          <t>head</t>
        </is>
      </c>
      <c r="F334" s="37" t="inlineStr">
        <is>
          <t>P056</t>
        </is>
      </c>
      <c r="G334" s="37" t="inlineStr">
        <is>
          <t>Basket</t>
        </is>
      </c>
      <c r="H334" s="39" t="n"/>
    </row>
    <row r="335" ht="15" customHeight="1" s="26">
      <c r="A335" s="37" t="inlineStr">
        <is>
          <t>R050</t>
        </is>
      </c>
      <c r="B335" s="37">
        <f>IFERROR(INDEX(Recipes!$B$2:$B$500,MATCH(A335,Recipes!$A$2:$A$500,0)),"")</f>
        <v/>
      </c>
      <c r="C335" s="39" t="inlineStr">
        <is>
          <t>Carrot</t>
        </is>
      </c>
      <c r="D335" s="47" t="n">
        <v>1</v>
      </c>
      <c r="E335" s="37" t="inlineStr">
        <is>
          <t>pc</t>
        </is>
      </c>
      <c r="F335" s="37" t="inlineStr">
        <is>
          <t>P055</t>
        </is>
      </c>
      <c r="G335" s="37" t="inlineStr">
        <is>
          <t>Basket</t>
        </is>
      </c>
      <c r="H335" s="39" t="n"/>
    </row>
    <row r="336" ht="15" customHeight="1" s="26">
      <c r="A336" s="37" t="inlineStr">
        <is>
          <t>R050</t>
        </is>
      </c>
      <c r="B336" s="37">
        <f>IFERROR(INDEX(Recipes!$B$2:$B$500,MATCH(A336,Recipes!$A$2:$A$500,0)),"")</f>
        <v/>
      </c>
      <c r="C336" s="39" t="inlineStr">
        <is>
          <t>Cucumber</t>
        </is>
      </c>
      <c r="D336" s="47" t="n">
        <v>1</v>
      </c>
      <c r="E336" s="37" t="inlineStr">
        <is>
          <t>pc</t>
        </is>
      </c>
      <c r="F336" s="37" t="inlineStr">
        <is>
          <t>P054</t>
        </is>
      </c>
      <c r="G336" s="37" t="inlineStr">
        <is>
          <t>Basket</t>
        </is>
      </c>
      <c r="H336" s="39" t="n"/>
    </row>
    <row r="337" ht="15" customHeight="1" s="26">
      <c r="A337" s="37" t="inlineStr">
        <is>
          <t>R050</t>
        </is>
      </c>
      <c r="B337" s="37">
        <f>IFERROR(INDEX(Recipes!$B$2:$B$500,MATCH(A337,Recipes!$A$2:$A$500,0)),"")</f>
        <v/>
      </c>
      <c r="C337" s="39" t="inlineStr">
        <is>
          <t>Tomato (plum)</t>
        </is>
      </c>
      <c r="D337" s="47" t="n">
        <v>2</v>
      </c>
      <c r="E337" s="37" t="inlineStr">
        <is>
          <t>pc</t>
        </is>
      </c>
      <c r="F337" s="37" t="inlineStr">
        <is>
          <t>P042</t>
        </is>
      </c>
      <c r="G337" s="37" t="inlineStr">
        <is>
          <t>Basket</t>
        </is>
      </c>
      <c r="H337" s="39" t="n"/>
    </row>
    <row r="338" ht="15" customHeight="1" s="26">
      <c r="A338" s="37" t="inlineStr">
        <is>
          <t>R050</t>
        </is>
      </c>
      <c r="B338" s="37">
        <f>IFERROR(INDEX(Recipes!$B$2:$B$500,MATCH(A338,Recipes!$A$2:$A$500,0)),"")</f>
        <v/>
      </c>
      <c r="C338" s="39" t="inlineStr">
        <is>
          <t>Onion (red &amp; white)</t>
        </is>
      </c>
      <c r="D338" s="47" t="n">
        <v>0.5</v>
      </c>
      <c r="E338" s="37" t="inlineStr">
        <is>
          <t>pc</t>
        </is>
      </c>
      <c r="F338" s="37" t="inlineStr">
        <is>
          <t>P048</t>
        </is>
      </c>
      <c r="G338" s="37" t="inlineStr">
        <is>
          <t>Basket</t>
        </is>
      </c>
      <c r="H338" s="39" t="n"/>
    </row>
    <row r="339" ht="15" customHeight="1" s="26">
      <c r="A339" s="37" t="inlineStr">
        <is>
          <t>R050</t>
        </is>
      </c>
      <c r="B339" s="37">
        <f>IFERROR(INDEX(Recipes!$B$2:$B$500,MATCH(A339,Recipes!$A$2:$A$500,0)),"")</f>
        <v/>
      </c>
      <c r="C339" s="39" t="inlineStr">
        <is>
          <t>Garlic</t>
        </is>
      </c>
      <c r="D339" s="47" t="n">
        <v>2</v>
      </c>
      <c r="E339" s="37" t="inlineStr">
        <is>
          <t>cloves</t>
        </is>
      </c>
      <c r="F339" s="37" t="inlineStr">
        <is>
          <t>P051</t>
        </is>
      </c>
      <c r="G339" s="37" t="inlineStr">
        <is>
          <t>Basket</t>
        </is>
      </c>
      <c r="H339" s="39" t="n"/>
    </row>
    <row r="340" ht="15" customHeight="1" s="26">
      <c r="A340" s="37" t="inlineStr">
        <is>
          <t>R050</t>
        </is>
      </c>
      <c r="B340" s="37">
        <f>IFERROR(INDEX(Recipes!$B$2:$B$500,MATCH(A340,Recipes!$A$2:$A$500,0)),"")</f>
        <v/>
      </c>
      <c r="C340" s="39" t="inlineStr">
        <is>
          <t>Lemon</t>
        </is>
      </c>
      <c r="D340" s="47" t="n">
        <v>0.5</v>
      </c>
      <c r="E340" s="37" t="inlineStr">
        <is>
          <t>pc</t>
        </is>
      </c>
      <c r="F340" s="37" t="inlineStr">
        <is>
          <t>P009</t>
        </is>
      </c>
      <c r="G340" s="37" t="inlineStr">
        <is>
          <t>Basket</t>
        </is>
      </c>
      <c r="H340" s="39" t="n"/>
    </row>
    <row r="341" ht="15" customHeight="1" s="26">
      <c r="A341" s="37" t="inlineStr">
        <is>
          <t>R050</t>
        </is>
      </c>
      <c r="B341" s="37">
        <f>IFERROR(INDEX(Recipes!$B$2:$B$500,MATCH(A341,Recipes!$A$2:$A$500,0)),"")</f>
        <v/>
      </c>
      <c r="C341" s="39" t="inlineStr">
        <is>
          <t>Greek yoghurt</t>
        </is>
      </c>
      <c r="D341" s="47" t="n">
        <v>0.5</v>
      </c>
      <c r="E341" s="37" t="inlineStr">
        <is>
          <t>cup</t>
        </is>
      </c>
      <c r="F341" s="37" t="n"/>
      <c r="G341" s="37" t="inlineStr">
        <is>
          <t>Pantry</t>
        </is>
      </c>
      <c r="H341" s="39" t="n"/>
    </row>
    <row r="342" ht="15" customHeight="1" s="26">
      <c r="A342" s="37" t="inlineStr">
        <is>
          <t>R050</t>
        </is>
      </c>
      <c r="B342" s="37">
        <f>IFERROR(INDEX(Recipes!$B$2:$B$500,MATCH(A342,Recipes!$A$2:$A$500,0)),"")</f>
        <v/>
      </c>
      <c r="C342" s="39" t="inlineStr">
        <is>
          <t>Curry powder and paprika</t>
        </is>
      </c>
      <c r="D342" s="47" t="n">
        <v>2</v>
      </c>
      <c r="E342" s="37" t="inlineStr">
        <is>
          <t>tsp</t>
        </is>
      </c>
      <c r="F342" s="37" t="n"/>
      <c r="G342" s="37" t="inlineStr">
        <is>
          <t>Pantry</t>
        </is>
      </c>
      <c r="H342" s="39" t="n"/>
    </row>
    <row r="343" ht="15" customHeight="1" s="26">
      <c r="A343" s="37" t="inlineStr">
        <is>
          <t>R050</t>
        </is>
      </c>
      <c r="B343" s="37">
        <f>IFERROR(INDEX(Recipes!$B$2:$B$500,MATCH(A343,Recipes!$A$2:$A$500,0)),"")</f>
        <v/>
      </c>
      <c r="C343" s="39" t="inlineStr">
        <is>
          <t>Oil</t>
        </is>
      </c>
      <c r="D343" s="47" t="n">
        <v>1</v>
      </c>
      <c r="E343" s="37" t="inlineStr">
        <is>
          <t>tbsp</t>
        </is>
      </c>
      <c r="F343" s="37" t="n"/>
      <c r="G343" s="37" t="inlineStr">
        <is>
          <t>Staple</t>
        </is>
      </c>
      <c r="H343" s="39" t="n"/>
    </row>
    <row r="344" ht="15" customHeight="1" s="26">
      <c r="A344" s="37" t="inlineStr">
        <is>
          <t>R051</t>
        </is>
      </c>
      <c r="B344" s="37">
        <f>IFERROR(INDEX(Recipes!$B$2:$B$500,MATCH(A344,Recipes!$A$2:$A$500,0)),"")</f>
        <v/>
      </c>
      <c r="C344" s="39" t="inlineStr">
        <is>
          <t>White fish fillets (croaker / tilapia)</t>
        </is>
      </c>
      <c r="D344" s="47" t="n">
        <v>300</v>
      </c>
      <c r="E344" s="37" t="inlineStr">
        <is>
          <t>g</t>
        </is>
      </c>
      <c r="F344" s="37" t="n"/>
      <c r="G344" s="37" t="inlineStr">
        <is>
          <t>Protein</t>
        </is>
      </c>
      <c r="H344" s="39" t="n"/>
    </row>
    <row r="345" ht="15" customHeight="1" s="26">
      <c r="A345" s="37" t="inlineStr">
        <is>
          <t>R051</t>
        </is>
      </c>
      <c r="B345" s="37">
        <f>IFERROR(INDEX(Recipes!$B$2:$B$500,MATCH(A345,Recipes!$A$2:$A$500,0)),"")</f>
        <v/>
      </c>
      <c r="C345" s="39" t="inlineStr">
        <is>
          <t>Small tortillas</t>
        </is>
      </c>
      <c r="D345" s="47" t="n">
        <v>6</v>
      </c>
      <c r="E345" s="37" t="inlineStr">
        <is>
          <t>pc</t>
        </is>
      </c>
      <c r="F345" s="37" t="n"/>
      <c r="G345" s="37" t="inlineStr">
        <is>
          <t>Pantry</t>
        </is>
      </c>
      <c r="H345" s="39" t="n"/>
    </row>
    <row r="346" ht="15" customHeight="1" s="26">
      <c r="A346" s="37" t="inlineStr">
        <is>
          <t>R051</t>
        </is>
      </c>
      <c r="B346" s="37">
        <f>IFERROR(INDEX(Recipes!$B$2:$B$500,MATCH(A346,Recipes!$A$2:$A$500,0)),"")</f>
        <v/>
      </c>
      <c r="C346" s="39" t="inlineStr">
        <is>
          <t>Pineapple</t>
        </is>
      </c>
      <c r="D346" s="47" t="n">
        <v>1</v>
      </c>
      <c r="E346" s="37" t="inlineStr">
        <is>
          <t>cup</t>
        </is>
      </c>
      <c r="F346" s="37" t="inlineStr">
        <is>
          <t>P003</t>
        </is>
      </c>
      <c r="G346" s="37" t="inlineStr">
        <is>
          <t>Basket</t>
        </is>
      </c>
      <c r="H346" s="39" t="inlineStr">
        <is>
          <t>diced</t>
        </is>
      </c>
    </row>
    <row r="347" ht="15" customHeight="1" s="26">
      <c r="A347" s="37" t="inlineStr">
        <is>
          <t>R051</t>
        </is>
      </c>
      <c r="B347" s="37">
        <f>IFERROR(INDEX(Recipes!$B$2:$B$500,MATCH(A347,Recipes!$A$2:$A$500,0)),"")</f>
        <v/>
      </c>
      <c r="C347" s="39" t="inlineStr">
        <is>
          <t>Onion (red &amp; white)</t>
        </is>
      </c>
      <c r="D347" s="47" t="n">
        <v>0.5</v>
      </c>
      <c r="E347" s="37" t="inlineStr">
        <is>
          <t>pc</t>
        </is>
      </c>
      <c r="F347" s="37" t="inlineStr">
        <is>
          <t>P048</t>
        </is>
      </c>
      <c r="G347" s="37" t="inlineStr">
        <is>
          <t>Basket</t>
        </is>
      </c>
      <c r="H347" s="39" t="inlineStr">
        <is>
          <t>red</t>
        </is>
      </c>
    </row>
    <row r="348" ht="15" customHeight="1" s="26">
      <c r="A348" s="37" t="inlineStr">
        <is>
          <t>R051</t>
        </is>
      </c>
      <c r="B348" s="37">
        <f>IFERROR(INDEX(Recipes!$B$2:$B$500,MATCH(A348,Recipes!$A$2:$A$500,0)),"")</f>
        <v/>
      </c>
      <c r="C348" s="39" t="inlineStr">
        <is>
          <t>Scotch bonnet</t>
        </is>
      </c>
      <c r="D348" s="47" t="n">
        <v>0.25</v>
      </c>
      <c r="E348" s="37" t="inlineStr">
        <is>
          <t>pc</t>
        </is>
      </c>
      <c r="F348" s="37" t="inlineStr">
        <is>
          <t>P046</t>
        </is>
      </c>
      <c r="G348" s="37" t="inlineStr">
        <is>
          <t>Basket</t>
        </is>
      </c>
      <c r="H348" s="39" t="n"/>
    </row>
    <row r="349" ht="15" customHeight="1" s="26">
      <c r="A349" s="37" t="inlineStr">
        <is>
          <t>R051</t>
        </is>
      </c>
      <c r="B349" s="37">
        <f>IFERROR(INDEX(Recipes!$B$2:$B$500,MATCH(A349,Recipes!$A$2:$A$500,0)),"")</f>
        <v/>
      </c>
      <c r="C349" s="39" t="inlineStr">
        <is>
          <t>Coriander (cilantro)</t>
        </is>
      </c>
      <c r="D349" s="47" t="n">
        <v>1</v>
      </c>
      <c r="E349" s="37" t="inlineStr">
        <is>
          <t>handful</t>
        </is>
      </c>
      <c r="F349" s="37" t="inlineStr">
        <is>
          <t>P080</t>
        </is>
      </c>
      <c r="G349" s="37" t="inlineStr">
        <is>
          <t>Basket</t>
        </is>
      </c>
      <c r="H349" s="39" t="n"/>
    </row>
    <row r="350" ht="15" customHeight="1" s="26">
      <c r="A350" s="37" t="inlineStr">
        <is>
          <t>R051</t>
        </is>
      </c>
      <c r="B350" s="37">
        <f>IFERROR(INDEX(Recipes!$B$2:$B$500,MATCH(A350,Recipes!$A$2:$A$500,0)),"")</f>
        <v/>
      </c>
      <c r="C350" s="39" t="inlineStr">
        <is>
          <t>Cabbage (white)</t>
        </is>
      </c>
      <c r="D350" s="47" t="n">
        <v>0.25</v>
      </c>
      <c r="E350" s="37" t="inlineStr">
        <is>
          <t>head</t>
        </is>
      </c>
      <c r="F350" s="37" t="inlineStr">
        <is>
          <t>P056</t>
        </is>
      </c>
      <c r="G350" s="37" t="inlineStr">
        <is>
          <t>Basket</t>
        </is>
      </c>
      <c r="H350" s="39" t="n"/>
    </row>
    <row r="351" ht="15" customHeight="1" s="26">
      <c r="A351" s="37" t="inlineStr">
        <is>
          <t>R051</t>
        </is>
      </c>
      <c r="B351" s="37">
        <f>IFERROR(INDEX(Recipes!$B$2:$B$500,MATCH(A351,Recipes!$A$2:$A$500,0)),"")</f>
        <v/>
      </c>
      <c r="C351" s="39" t="inlineStr">
        <is>
          <t>Lime</t>
        </is>
      </c>
      <c r="D351" s="47" t="n">
        <v>2</v>
      </c>
      <c r="E351" s="37" t="inlineStr">
        <is>
          <t>pc</t>
        </is>
      </c>
      <c r="F351" s="37" t="inlineStr">
        <is>
          <t>P010</t>
        </is>
      </c>
      <c r="G351" s="37" t="inlineStr">
        <is>
          <t>Basket</t>
        </is>
      </c>
      <c r="H351" s="39" t="n"/>
    </row>
    <row r="352" ht="15" customHeight="1" s="26">
      <c r="A352" s="37" t="inlineStr">
        <is>
          <t>R051</t>
        </is>
      </c>
      <c r="B352" s="37">
        <f>IFERROR(INDEX(Recipes!$B$2:$B$500,MATCH(A352,Recipes!$A$2:$A$500,0)),"")</f>
        <v/>
      </c>
      <c r="C352" s="39" t="inlineStr">
        <is>
          <t>Avocado</t>
        </is>
      </c>
      <c r="D352" s="47" t="n">
        <v>0.5</v>
      </c>
      <c r="E352" s="37" t="inlineStr">
        <is>
          <t>pc</t>
        </is>
      </c>
      <c r="F352" s="37" t="inlineStr">
        <is>
          <t>P012</t>
        </is>
      </c>
      <c r="G352" s="37" t="inlineStr">
        <is>
          <t>Basket</t>
        </is>
      </c>
      <c r="H352" s="39" t="n"/>
    </row>
    <row r="353" ht="15" customHeight="1" s="26">
      <c r="A353" s="37" t="inlineStr">
        <is>
          <t>R051</t>
        </is>
      </c>
      <c r="B353" s="37">
        <f>IFERROR(INDEX(Recipes!$B$2:$B$500,MATCH(A353,Recipes!$A$2:$A$500,0)),"")</f>
        <v/>
      </c>
      <c r="C353" s="39" t="inlineStr">
        <is>
          <t>Paprika</t>
        </is>
      </c>
      <c r="D353" s="47" t="n">
        <v>1</v>
      </c>
      <c r="E353" s="37" t="inlineStr">
        <is>
          <t>tsp</t>
        </is>
      </c>
      <c r="F353" s="37" t="n"/>
      <c r="G353" s="37" t="inlineStr">
        <is>
          <t>Pantry</t>
        </is>
      </c>
      <c r="H353" s="39" t="n"/>
    </row>
    <row r="354" ht="15" customHeight="1" s="26">
      <c r="A354" s="37" t="inlineStr">
        <is>
          <t>R051</t>
        </is>
      </c>
      <c r="B354" s="37">
        <f>IFERROR(INDEX(Recipes!$B$2:$B$500,MATCH(A354,Recipes!$A$2:$A$500,0)),"")</f>
        <v/>
      </c>
      <c r="C354" s="39" t="inlineStr">
        <is>
          <t>Oil</t>
        </is>
      </c>
      <c r="D354" s="47" t="n">
        <v>1</v>
      </c>
      <c r="E354" s="37" t="inlineStr">
        <is>
          <t>tbsp</t>
        </is>
      </c>
      <c r="F354" s="37" t="n"/>
      <c r="G354" s="37" t="inlineStr">
        <is>
          <t>Staple</t>
        </is>
      </c>
      <c r="H354" s="39" t="n"/>
    </row>
    <row r="355" ht="15" customHeight="1" s="26">
      <c r="A355" s="37" t="inlineStr">
        <is>
          <t>R052</t>
        </is>
      </c>
      <c r="B355" s="37">
        <f>IFERROR(INDEX(Recipes!$B$2:$B$500,MATCH(A355,Recipes!$A$2:$A$500,0)),"")</f>
        <v/>
      </c>
      <c r="C355" s="39" t="inlineStr">
        <is>
          <t>Minced chicken</t>
        </is>
      </c>
      <c r="D355" s="47" t="n">
        <v>300</v>
      </c>
      <c r="E355" s="37" t="inlineStr">
        <is>
          <t>g</t>
        </is>
      </c>
      <c r="F355" s="37" t="n"/>
      <c r="G355" s="37" t="inlineStr">
        <is>
          <t>Protein</t>
        </is>
      </c>
      <c r="H355" s="39" t="n"/>
    </row>
    <row r="356" ht="15" customHeight="1" s="26">
      <c r="A356" s="37" t="inlineStr">
        <is>
          <t>R052</t>
        </is>
      </c>
      <c r="B356" s="37">
        <f>IFERROR(INDEX(Recipes!$B$2:$B$500,MATCH(A356,Recipes!$A$2:$A$500,0)),"")</f>
        <v/>
      </c>
      <c r="C356" s="39" t="inlineStr">
        <is>
          <t>Lettuce (iceberg / romaine / local)</t>
        </is>
      </c>
      <c r="D356" s="47" t="n">
        <v>1</v>
      </c>
      <c r="E356" s="37" t="inlineStr">
        <is>
          <t>head</t>
        </is>
      </c>
      <c r="F356" s="37" t="inlineStr">
        <is>
          <t>P058</t>
        </is>
      </c>
      <c r="G356" s="37" t="inlineStr">
        <is>
          <t>Basket</t>
        </is>
      </c>
      <c r="H356" s="39" t="inlineStr">
        <is>
          <t>iceberg</t>
        </is>
      </c>
    </row>
    <row r="357" ht="15" customHeight="1" s="26">
      <c r="A357" s="37" t="inlineStr">
        <is>
          <t>R052</t>
        </is>
      </c>
      <c r="B357" s="37">
        <f>IFERROR(INDEX(Recipes!$B$2:$B$500,MATCH(A357,Recipes!$A$2:$A$500,0)),"")</f>
        <v/>
      </c>
      <c r="C357" s="39" t="inlineStr">
        <is>
          <t>Carrot</t>
        </is>
      </c>
      <c r="D357" s="47" t="n">
        <v>1</v>
      </c>
      <c r="E357" s="37" t="inlineStr">
        <is>
          <t>pc</t>
        </is>
      </c>
      <c r="F357" s="37" t="inlineStr">
        <is>
          <t>P055</t>
        </is>
      </c>
      <c r="G357" s="37" t="inlineStr">
        <is>
          <t>Basket</t>
        </is>
      </c>
      <c r="H357" s="39" t="n"/>
    </row>
    <row r="358" ht="15" customHeight="1" s="26">
      <c r="A358" s="37" t="inlineStr">
        <is>
          <t>R052</t>
        </is>
      </c>
      <c r="B358" s="37">
        <f>IFERROR(INDEX(Recipes!$B$2:$B$500,MATCH(A358,Recipes!$A$2:$A$500,0)),"")</f>
        <v/>
      </c>
      <c r="C358" s="39" t="inlineStr">
        <is>
          <t>Red bell pepper</t>
        </is>
      </c>
      <c r="D358" s="47" t="n">
        <v>0.5</v>
      </c>
      <c r="E358" s="37" t="inlineStr">
        <is>
          <t>pc</t>
        </is>
      </c>
      <c r="F358" s="37" t="inlineStr">
        <is>
          <t>P044</t>
        </is>
      </c>
      <c r="G358" s="37" t="inlineStr">
        <is>
          <t>Basket</t>
        </is>
      </c>
      <c r="H358" s="39" t="n"/>
    </row>
    <row r="359" ht="15" customHeight="1" s="26">
      <c r="A359" s="37" t="inlineStr">
        <is>
          <t>R052</t>
        </is>
      </c>
      <c r="B359" s="37">
        <f>IFERROR(INDEX(Recipes!$B$2:$B$500,MATCH(A359,Recipes!$A$2:$A$500,0)),"")</f>
        <v/>
      </c>
      <c r="C359" s="39" t="inlineStr">
        <is>
          <t>Spring onion</t>
        </is>
      </c>
      <c r="D359" s="47" t="n">
        <v>2</v>
      </c>
      <c r="E359" s="37" t="inlineStr">
        <is>
          <t>stalks</t>
        </is>
      </c>
      <c r="F359" s="37" t="inlineStr">
        <is>
          <t>P049</t>
        </is>
      </c>
      <c r="G359" s="37" t="inlineStr">
        <is>
          <t>Basket</t>
        </is>
      </c>
      <c r="H359" s="39" t="n"/>
    </row>
    <row r="360" ht="15" customHeight="1" s="26">
      <c r="A360" s="37" t="inlineStr">
        <is>
          <t>R052</t>
        </is>
      </c>
      <c r="B360" s="37">
        <f>IFERROR(INDEX(Recipes!$B$2:$B$500,MATCH(A360,Recipes!$A$2:$A$500,0)),"")</f>
        <v/>
      </c>
      <c r="C360" s="39" t="inlineStr">
        <is>
          <t>Garlic</t>
        </is>
      </c>
      <c r="D360" s="47" t="n">
        <v>2</v>
      </c>
      <c r="E360" s="37" t="inlineStr">
        <is>
          <t>cloves</t>
        </is>
      </c>
      <c r="F360" s="37" t="inlineStr">
        <is>
          <t>P051</t>
        </is>
      </c>
      <c r="G360" s="37" t="inlineStr">
        <is>
          <t>Basket</t>
        </is>
      </c>
      <c r="H360" s="39" t="n"/>
    </row>
    <row r="361" ht="15" customHeight="1" s="26">
      <c r="A361" s="37" t="inlineStr">
        <is>
          <t>R052</t>
        </is>
      </c>
      <c r="B361" s="37">
        <f>IFERROR(INDEX(Recipes!$B$2:$B$500,MATCH(A361,Recipes!$A$2:$A$500,0)),"")</f>
        <v/>
      </c>
      <c r="C361" s="39" t="inlineStr">
        <is>
          <t>Ginger</t>
        </is>
      </c>
      <c r="D361" s="47" t="n">
        <v>1</v>
      </c>
      <c r="E361" s="37" t="inlineStr">
        <is>
          <t>thumb</t>
        </is>
      </c>
      <c r="F361" s="37" t="inlineStr">
        <is>
          <t>P052</t>
        </is>
      </c>
      <c r="G361" s="37" t="inlineStr">
        <is>
          <t>Basket</t>
        </is>
      </c>
      <c r="H361" s="39" t="n"/>
    </row>
    <row r="362" ht="15" customHeight="1" s="26">
      <c r="A362" s="37" t="inlineStr">
        <is>
          <t>R052</t>
        </is>
      </c>
      <c r="B362" s="37">
        <f>IFERROR(INDEX(Recipes!$B$2:$B$500,MATCH(A362,Recipes!$A$2:$A$500,0)),"")</f>
        <v/>
      </c>
      <c r="C362" s="39" t="inlineStr">
        <is>
          <t>Groundnut (fresh or roasted)</t>
        </is>
      </c>
      <c r="D362" s="47" t="n">
        <v>2</v>
      </c>
      <c r="E362" s="37" t="inlineStr">
        <is>
          <t>tbsp</t>
        </is>
      </c>
      <c r="F362" s="37" t="inlineStr">
        <is>
          <t>P040</t>
        </is>
      </c>
      <c r="G362" s="37" t="inlineStr">
        <is>
          <t>Basket</t>
        </is>
      </c>
      <c r="H362" s="39" t="inlineStr">
        <is>
          <t>roasted</t>
        </is>
      </c>
    </row>
    <row r="363" ht="15" customHeight="1" s="26">
      <c r="A363" s="37" t="inlineStr">
        <is>
          <t>R052</t>
        </is>
      </c>
      <c r="B363" s="37">
        <f>IFERROR(INDEX(Recipes!$B$2:$B$500,MATCH(A363,Recipes!$A$2:$A$500,0)),"")</f>
        <v/>
      </c>
      <c r="C363" s="39" t="inlineStr">
        <is>
          <t>Lime</t>
        </is>
      </c>
      <c r="D363" s="47" t="n">
        <v>1</v>
      </c>
      <c r="E363" s="37" t="inlineStr">
        <is>
          <t>pc</t>
        </is>
      </c>
      <c r="F363" s="37" t="inlineStr">
        <is>
          <t>P010</t>
        </is>
      </c>
      <c r="G363" s="37" t="inlineStr">
        <is>
          <t>Basket</t>
        </is>
      </c>
      <c r="H363" s="39" t="n"/>
    </row>
    <row r="364" ht="15" customHeight="1" s="26">
      <c r="A364" s="37" t="inlineStr">
        <is>
          <t>R052</t>
        </is>
      </c>
      <c r="B364" s="37">
        <f>IFERROR(INDEX(Recipes!$B$2:$B$500,MATCH(A364,Recipes!$A$2:$A$500,0)),"")</f>
        <v/>
      </c>
      <c r="C364" s="39" t="inlineStr">
        <is>
          <t>Soy sauce</t>
        </is>
      </c>
      <c r="D364" s="47" t="n">
        <v>2</v>
      </c>
      <c r="E364" s="37" t="inlineStr">
        <is>
          <t>tbsp</t>
        </is>
      </c>
      <c r="F364" s="37" t="n"/>
      <c r="G364" s="37" t="inlineStr">
        <is>
          <t>Pantry</t>
        </is>
      </c>
      <c r="H364" s="39" t="n"/>
    </row>
    <row r="365" ht="15" customHeight="1" s="26">
      <c r="A365" s="37" t="inlineStr">
        <is>
          <t>R052</t>
        </is>
      </c>
      <c r="B365" s="37">
        <f>IFERROR(INDEX(Recipes!$B$2:$B$500,MATCH(A365,Recipes!$A$2:$A$500,0)),"")</f>
        <v/>
      </c>
      <c r="C365" s="39" t="inlineStr">
        <is>
          <t>Oil</t>
        </is>
      </c>
      <c r="D365" s="47" t="n">
        <v>1</v>
      </c>
      <c r="E365" s="37" t="inlineStr">
        <is>
          <t>tbsp</t>
        </is>
      </c>
      <c r="F365" s="37" t="n"/>
      <c r="G365" s="37" t="inlineStr">
        <is>
          <t>Staple</t>
        </is>
      </c>
      <c r="H365" s="39" t="n"/>
    </row>
    <row r="366" ht="15" customHeight="1" s="26">
      <c r="A366" s="37" t="inlineStr">
        <is>
          <t>R053</t>
        </is>
      </c>
      <c r="B366" s="37">
        <f>IFERROR(INDEX(Recipes!$B$2:$B$500,MATCH(A366,Recipes!$A$2:$A$500,0)),"")</f>
        <v/>
      </c>
      <c r="C366" s="39" t="inlineStr">
        <is>
          <t>Beef, thinly sliced</t>
        </is>
      </c>
      <c r="D366" s="47" t="n">
        <v>300</v>
      </c>
      <c r="E366" s="37" t="inlineStr">
        <is>
          <t>g</t>
        </is>
      </c>
      <c r="F366" s="37" t="n"/>
      <c r="G366" s="37" t="inlineStr">
        <is>
          <t>Protein</t>
        </is>
      </c>
      <c r="H366" s="39" t="n"/>
    </row>
    <row r="367" ht="15" customHeight="1" s="26">
      <c r="A367" s="37" t="inlineStr">
        <is>
          <t>R053</t>
        </is>
      </c>
      <c r="B367" s="37">
        <f>IFERROR(INDEX(Recipes!$B$2:$B$500,MATCH(A367,Recipes!$A$2:$A$500,0)),"")</f>
        <v/>
      </c>
      <c r="C367" s="39" t="inlineStr">
        <is>
          <t>Lettuce (iceberg / romaine / local)</t>
        </is>
      </c>
      <c r="D367" s="47" t="n">
        <v>1</v>
      </c>
      <c r="E367" s="37" t="inlineStr">
        <is>
          <t>head</t>
        </is>
      </c>
      <c r="F367" s="37" t="inlineStr">
        <is>
          <t>P058</t>
        </is>
      </c>
      <c r="G367" s="37" t="inlineStr">
        <is>
          <t>Basket</t>
        </is>
      </c>
      <c r="H367" s="39" t="n"/>
    </row>
    <row r="368" ht="15" customHeight="1" s="26">
      <c r="A368" s="37" t="inlineStr">
        <is>
          <t>R053</t>
        </is>
      </c>
      <c r="B368" s="37">
        <f>IFERROR(INDEX(Recipes!$B$2:$B$500,MATCH(A368,Recipes!$A$2:$A$500,0)),"")</f>
        <v/>
      </c>
      <c r="C368" s="39" t="inlineStr">
        <is>
          <t>Onion (red &amp; white)</t>
        </is>
      </c>
      <c r="D368" s="47" t="n">
        <v>1</v>
      </c>
      <c r="E368" s="37" t="inlineStr">
        <is>
          <t>pc</t>
        </is>
      </c>
      <c r="F368" s="37" t="inlineStr">
        <is>
          <t>P048</t>
        </is>
      </c>
      <c r="G368" s="37" t="inlineStr">
        <is>
          <t>Basket</t>
        </is>
      </c>
      <c r="H368" s="39" t="inlineStr">
        <is>
          <t>red</t>
        </is>
      </c>
    </row>
    <row r="369" ht="15" customHeight="1" s="26">
      <c r="A369" s="37" t="inlineStr">
        <is>
          <t>R053</t>
        </is>
      </c>
      <c r="B369" s="37">
        <f>IFERROR(INDEX(Recipes!$B$2:$B$500,MATCH(A369,Recipes!$A$2:$A$500,0)),"")</f>
        <v/>
      </c>
      <c r="C369" s="39" t="inlineStr">
        <is>
          <t>Tomato (plum)</t>
        </is>
      </c>
      <c r="D369" s="47" t="n">
        <v>2</v>
      </c>
      <c r="E369" s="37" t="inlineStr">
        <is>
          <t>pc</t>
        </is>
      </c>
      <c r="F369" s="37" t="inlineStr">
        <is>
          <t>P042</t>
        </is>
      </c>
      <c r="G369" s="37" t="inlineStr">
        <is>
          <t>Basket</t>
        </is>
      </c>
      <c r="H369" s="39" t="n"/>
    </row>
    <row r="370" ht="15" customHeight="1" s="26">
      <c r="A370" s="37" t="inlineStr">
        <is>
          <t>R053</t>
        </is>
      </c>
      <c r="B370" s="37">
        <f>IFERROR(INDEX(Recipes!$B$2:$B$500,MATCH(A370,Recipes!$A$2:$A$500,0)),"")</f>
        <v/>
      </c>
      <c r="C370" s="39" t="inlineStr">
        <is>
          <t>Cucumber</t>
        </is>
      </c>
      <c r="D370" s="47" t="n">
        <v>1</v>
      </c>
      <c r="E370" s="37" t="inlineStr">
        <is>
          <t>pc</t>
        </is>
      </c>
      <c r="F370" s="37" t="inlineStr">
        <is>
          <t>P054</t>
        </is>
      </c>
      <c r="G370" s="37" t="inlineStr">
        <is>
          <t>Basket</t>
        </is>
      </c>
      <c r="H370" s="39" t="n"/>
    </row>
    <row r="371" ht="15" customHeight="1" s="26">
      <c r="A371" s="37" t="inlineStr">
        <is>
          <t>R053</t>
        </is>
      </c>
      <c r="B371" s="37">
        <f>IFERROR(INDEX(Recipes!$B$2:$B$500,MATCH(A371,Recipes!$A$2:$A$500,0)),"")</f>
        <v/>
      </c>
      <c r="C371" s="39" t="inlineStr">
        <is>
          <t>Lime</t>
        </is>
      </c>
      <c r="D371" s="47" t="n">
        <v>1</v>
      </c>
      <c r="E371" s="37" t="inlineStr">
        <is>
          <t>pc</t>
        </is>
      </c>
      <c r="F371" s="37" t="inlineStr">
        <is>
          <t>P010</t>
        </is>
      </c>
      <c r="G371" s="37" t="inlineStr">
        <is>
          <t>Basket</t>
        </is>
      </c>
      <c r="H371" s="39" t="n"/>
    </row>
    <row r="372" ht="15" customHeight="1" s="26">
      <c r="A372" s="37" t="inlineStr">
        <is>
          <t>R053</t>
        </is>
      </c>
      <c r="B372" s="37">
        <f>IFERROR(INDEX(Recipes!$B$2:$B$500,MATCH(A372,Recipes!$A$2:$A$500,0)),"")</f>
        <v/>
      </c>
      <c r="C372" s="39" t="inlineStr">
        <is>
          <t>Yaji (suya spice)</t>
        </is>
      </c>
      <c r="D372" s="47" t="n">
        <v>2</v>
      </c>
      <c r="E372" s="37" t="inlineStr">
        <is>
          <t>tbsp</t>
        </is>
      </c>
      <c r="F372" s="37" t="n"/>
      <c r="G372" s="37" t="inlineStr">
        <is>
          <t>Pantry</t>
        </is>
      </c>
      <c r="H372" s="39" t="n"/>
    </row>
    <row r="373" ht="15" customHeight="1" s="26">
      <c r="A373" s="37" t="inlineStr">
        <is>
          <t>R053</t>
        </is>
      </c>
      <c r="B373" s="37">
        <f>IFERROR(INDEX(Recipes!$B$2:$B$500,MATCH(A373,Recipes!$A$2:$A$500,0)),"")</f>
        <v/>
      </c>
      <c r="C373" s="39" t="inlineStr">
        <is>
          <t>Oil</t>
        </is>
      </c>
      <c r="D373" s="47" t="n">
        <v>1</v>
      </c>
      <c r="E373" s="37" t="inlineStr">
        <is>
          <t>tbsp</t>
        </is>
      </c>
      <c r="F373" s="37" t="n"/>
      <c r="G373" s="37" t="inlineStr">
        <is>
          <t>Staple</t>
        </is>
      </c>
      <c r="H373" s="39" t="n"/>
    </row>
    <row r="374" ht="15" customHeight="1" s="26">
      <c r="A374" s="37" t="inlineStr">
        <is>
          <t>R054</t>
        </is>
      </c>
      <c r="B374" s="37">
        <f>IFERROR(INDEX(Recipes!$B$2:$B$500,MATCH(A374,Recipes!$A$2:$A$500,0)),"")</f>
        <v/>
      </c>
      <c r="C374" s="39" t="inlineStr">
        <is>
          <t>Tortillas</t>
        </is>
      </c>
      <c r="D374" s="47" t="n">
        <v>4</v>
      </c>
      <c r="E374" s="37" t="inlineStr">
        <is>
          <t>pc</t>
        </is>
      </c>
      <c r="F374" s="37" t="n"/>
      <c r="G374" s="37" t="inlineStr">
        <is>
          <t>Pantry</t>
        </is>
      </c>
      <c r="H374" s="39" t="n"/>
    </row>
    <row r="375" ht="15" customHeight="1" s="26">
      <c r="A375" s="37" t="inlineStr">
        <is>
          <t>R054</t>
        </is>
      </c>
      <c r="B375" s="37">
        <f>IFERROR(INDEX(Recipes!$B$2:$B$500,MATCH(A375,Recipes!$A$2:$A$500,0)),"")</f>
        <v/>
      </c>
      <c r="C375" s="39" t="inlineStr">
        <is>
          <t>Sweet corn</t>
        </is>
      </c>
      <c r="D375" s="47" t="n">
        <v>1</v>
      </c>
      <c r="E375" s="37" t="inlineStr">
        <is>
          <t>cob</t>
        </is>
      </c>
      <c r="F375" s="37" t="inlineStr">
        <is>
          <t>P060</t>
        </is>
      </c>
      <c r="G375" s="37" t="inlineStr">
        <is>
          <t>Basket</t>
        </is>
      </c>
      <c r="H375" s="39" t="n"/>
    </row>
    <row r="376" ht="15" customHeight="1" s="26">
      <c r="A376" s="37" t="inlineStr">
        <is>
          <t>R054</t>
        </is>
      </c>
      <c r="B376" s="37">
        <f>IFERROR(INDEX(Recipes!$B$2:$B$500,MATCH(A376,Recipes!$A$2:$A$500,0)),"")</f>
        <v/>
      </c>
      <c r="C376" s="39" t="inlineStr">
        <is>
          <t>Red bell pepper</t>
        </is>
      </c>
      <c r="D376" s="47" t="n">
        <v>1</v>
      </c>
      <c r="E376" s="37" t="inlineStr">
        <is>
          <t>pc</t>
        </is>
      </c>
      <c r="F376" s="37" t="inlineStr">
        <is>
          <t>P044</t>
        </is>
      </c>
      <c r="G376" s="37" t="inlineStr">
        <is>
          <t>Basket</t>
        </is>
      </c>
      <c r="H376" s="39" t="n"/>
    </row>
    <row r="377" ht="15" customHeight="1" s="26">
      <c r="A377" s="37" t="inlineStr">
        <is>
          <t>R054</t>
        </is>
      </c>
      <c r="B377" s="37">
        <f>IFERROR(INDEX(Recipes!$B$2:$B$500,MATCH(A377,Recipes!$A$2:$A$500,0)),"")</f>
        <v/>
      </c>
      <c r="C377" s="39" t="inlineStr">
        <is>
          <t>Onion (red &amp; white)</t>
        </is>
      </c>
      <c r="D377" s="47" t="n">
        <v>0.5</v>
      </c>
      <c r="E377" s="37" t="inlineStr">
        <is>
          <t>pc</t>
        </is>
      </c>
      <c r="F377" s="37" t="inlineStr">
        <is>
          <t>P048</t>
        </is>
      </c>
      <c r="G377" s="37" t="inlineStr">
        <is>
          <t>Basket</t>
        </is>
      </c>
      <c r="H377" s="39" t="n"/>
    </row>
    <row r="378" ht="15" customHeight="1" s="26">
      <c r="A378" s="37" t="inlineStr">
        <is>
          <t>R054</t>
        </is>
      </c>
      <c r="B378" s="37">
        <f>IFERROR(INDEX(Recipes!$B$2:$B$500,MATCH(A378,Recipes!$A$2:$A$500,0)),"")</f>
        <v/>
      </c>
      <c r="C378" s="39" t="inlineStr">
        <is>
          <t>Amaranth greens (Nigerian spinach)</t>
        </is>
      </c>
      <c r="D378" s="47" t="n">
        <v>1</v>
      </c>
      <c r="E378" s="37" t="inlineStr">
        <is>
          <t>cup</t>
        </is>
      </c>
      <c r="F378" s="37" t="inlineStr">
        <is>
          <t>P073</t>
        </is>
      </c>
      <c r="G378" s="37" t="inlineStr">
        <is>
          <t>Basket</t>
        </is>
      </c>
      <c r="H378" s="39" t="n"/>
    </row>
    <row r="379" ht="15" customHeight="1" s="26">
      <c r="A379" s="37" t="inlineStr">
        <is>
          <t>R054</t>
        </is>
      </c>
      <c r="B379" s="37">
        <f>IFERROR(INDEX(Recipes!$B$2:$B$500,MATCH(A379,Recipes!$A$2:$A$500,0)),"")</f>
        <v/>
      </c>
      <c r="C379" s="39" t="inlineStr">
        <is>
          <t>Scotch bonnet</t>
        </is>
      </c>
      <c r="D379" s="47" t="n">
        <v>0.25</v>
      </c>
      <c r="E379" s="37" t="inlineStr">
        <is>
          <t>pc</t>
        </is>
      </c>
      <c r="F379" s="37" t="inlineStr">
        <is>
          <t>P046</t>
        </is>
      </c>
      <c r="G379" s="37" t="inlineStr">
        <is>
          <t>Basket</t>
        </is>
      </c>
      <c r="H379" s="39" t="n"/>
    </row>
    <row r="380" ht="15" customHeight="1" s="26">
      <c r="A380" s="37" t="inlineStr">
        <is>
          <t>R054</t>
        </is>
      </c>
      <c r="B380" s="37">
        <f>IFERROR(INDEX(Recipes!$B$2:$B$500,MATCH(A380,Recipes!$A$2:$A$500,0)),"")</f>
        <v/>
      </c>
      <c r="C380" s="39" t="inlineStr">
        <is>
          <t>Avocado</t>
        </is>
      </c>
      <c r="D380" s="47" t="n">
        <v>0.5</v>
      </c>
      <c r="E380" s="37" t="inlineStr">
        <is>
          <t>pc</t>
        </is>
      </c>
      <c r="F380" s="37" t="inlineStr">
        <is>
          <t>P012</t>
        </is>
      </c>
      <c r="G380" s="37" t="inlineStr">
        <is>
          <t>Basket</t>
        </is>
      </c>
      <c r="H380" s="39" t="inlineStr">
        <is>
          <t>to serve</t>
        </is>
      </c>
    </row>
    <row r="381" ht="15" customHeight="1" s="26">
      <c r="A381" s="37" t="inlineStr">
        <is>
          <t>R054</t>
        </is>
      </c>
      <c r="B381" s="37">
        <f>IFERROR(INDEX(Recipes!$B$2:$B$500,MATCH(A381,Recipes!$A$2:$A$500,0)),"")</f>
        <v/>
      </c>
      <c r="C381" s="39" t="inlineStr">
        <is>
          <t>Grated cheese</t>
        </is>
      </c>
      <c r="D381" s="47" t="n">
        <v>1</v>
      </c>
      <c r="E381" s="37" t="inlineStr">
        <is>
          <t>cup</t>
        </is>
      </c>
      <c r="F381" s="37" t="n"/>
      <c r="G381" s="37" t="inlineStr">
        <is>
          <t>Pantry</t>
        </is>
      </c>
      <c r="H381" s="39" t="n"/>
    </row>
    <row r="382" ht="15" customHeight="1" s="26">
      <c r="A382" s="37" t="inlineStr">
        <is>
          <t>R054</t>
        </is>
      </c>
      <c r="B382" s="37">
        <f>IFERROR(INDEX(Recipes!$B$2:$B$500,MATCH(A382,Recipes!$A$2:$A$500,0)),"")</f>
        <v/>
      </c>
      <c r="C382" s="39" t="inlineStr">
        <is>
          <t>Ground cumin</t>
        </is>
      </c>
      <c r="D382" s="47" t="n">
        <v>1</v>
      </c>
      <c r="E382" s="37" t="inlineStr">
        <is>
          <t>tsp</t>
        </is>
      </c>
      <c r="F382" s="37" t="n"/>
      <c r="G382" s="37" t="inlineStr">
        <is>
          <t>Pantry</t>
        </is>
      </c>
      <c r="H382" s="39" t="n"/>
    </row>
    <row r="383" ht="15" customHeight="1" s="26">
      <c r="A383" s="37" t="inlineStr">
        <is>
          <t>R054</t>
        </is>
      </c>
      <c r="B383" s="37">
        <f>IFERROR(INDEX(Recipes!$B$2:$B$500,MATCH(A383,Recipes!$A$2:$A$500,0)),"")</f>
        <v/>
      </c>
      <c r="C383" s="39" t="inlineStr">
        <is>
          <t>Oil</t>
        </is>
      </c>
      <c r="D383" s="47" t="n">
        <v>1</v>
      </c>
      <c r="E383" s="37" t="inlineStr">
        <is>
          <t>tsp</t>
        </is>
      </c>
      <c r="F383" s="37" t="n"/>
      <c r="G383" s="37" t="inlineStr">
        <is>
          <t>Staple</t>
        </is>
      </c>
      <c r="H383" s="39" t="n"/>
    </row>
    <row r="384" ht="15" customHeight="1" s="26">
      <c r="A384" s="37" t="inlineStr">
        <is>
          <t>R055</t>
        </is>
      </c>
      <c r="B384" s="37">
        <f>IFERROR(INDEX(Recipes!$B$2:$B$500,MATCH(A384,Recipes!$A$2:$A$500,0)),"")</f>
        <v/>
      </c>
      <c r="C384" s="39" t="inlineStr">
        <is>
          <t>Eggs</t>
        </is>
      </c>
      <c r="D384" s="47" t="n">
        <v>4</v>
      </c>
      <c r="E384" s="37" t="inlineStr">
        <is>
          <t>pc</t>
        </is>
      </c>
      <c r="F384" s="37" t="n"/>
      <c r="G384" s="37" t="inlineStr">
        <is>
          <t>Protein</t>
        </is>
      </c>
      <c r="H384" s="39" t="n"/>
    </row>
    <row r="385" ht="15" customHeight="1" s="26">
      <c r="A385" s="37" t="inlineStr">
        <is>
          <t>R055</t>
        </is>
      </c>
      <c r="B385" s="37">
        <f>IFERROR(INDEX(Recipes!$B$2:$B$500,MATCH(A385,Recipes!$A$2:$A$500,0)),"")</f>
        <v/>
      </c>
      <c r="C385" s="39" t="inlineStr">
        <is>
          <t>Wraps</t>
        </is>
      </c>
      <c r="D385" s="47" t="n">
        <v>2</v>
      </c>
      <c r="E385" s="37" t="inlineStr">
        <is>
          <t>pc</t>
        </is>
      </c>
      <c r="F385" s="37" t="n"/>
      <c r="G385" s="37" t="inlineStr">
        <is>
          <t>Pantry</t>
        </is>
      </c>
      <c r="H385" s="39" t="n"/>
    </row>
    <row r="386" ht="15" customHeight="1" s="26">
      <c r="A386" s="37" t="inlineStr">
        <is>
          <t>R055</t>
        </is>
      </c>
      <c r="B386" s="37">
        <f>IFERROR(INDEX(Recipes!$B$2:$B$500,MATCH(A386,Recipes!$A$2:$A$500,0)),"")</f>
        <v/>
      </c>
      <c r="C386" s="39" t="inlineStr">
        <is>
          <t>Avocado</t>
        </is>
      </c>
      <c r="D386" s="47" t="n">
        <v>1</v>
      </c>
      <c r="E386" s="37" t="inlineStr">
        <is>
          <t>pc</t>
        </is>
      </c>
      <c r="F386" s="37" t="inlineStr">
        <is>
          <t>P012</t>
        </is>
      </c>
      <c r="G386" s="37" t="inlineStr">
        <is>
          <t>Basket</t>
        </is>
      </c>
      <c r="H386" s="39" t="n"/>
    </row>
    <row r="387" ht="15" customHeight="1" s="26">
      <c r="A387" s="37" t="inlineStr">
        <is>
          <t>R055</t>
        </is>
      </c>
      <c r="B387" s="37">
        <f>IFERROR(INDEX(Recipes!$B$2:$B$500,MATCH(A387,Recipes!$A$2:$A$500,0)),"")</f>
        <v/>
      </c>
      <c r="C387" s="39" t="inlineStr">
        <is>
          <t>Tomato (plum)</t>
        </is>
      </c>
      <c r="D387" s="47" t="n">
        <v>2</v>
      </c>
      <c r="E387" s="37" t="inlineStr">
        <is>
          <t>pc</t>
        </is>
      </c>
      <c r="F387" s="37" t="inlineStr">
        <is>
          <t>P042</t>
        </is>
      </c>
      <c r="G387" s="37" t="inlineStr">
        <is>
          <t>Basket</t>
        </is>
      </c>
      <c r="H387" s="39" t="n"/>
    </row>
    <row r="388" ht="15" customHeight="1" s="26">
      <c r="A388" s="37" t="inlineStr">
        <is>
          <t>R055</t>
        </is>
      </c>
      <c r="B388" s="37">
        <f>IFERROR(INDEX(Recipes!$B$2:$B$500,MATCH(A388,Recipes!$A$2:$A$500,0)),"")</f>
        <v/>
      </c>
      <c r="C388" s="39" t="inlineStr">
        <is>
          <t>Onion (red &amp; white)</t>
        </is>
      </c>
      <c r="D388" s="47" t="n">
        <v>0.5</v>
      </c>
      <c r="E388" s="37" t="inlineStr">
        <is>
          <t>pc</t>
        </is>
      </c>
      <c r="F388" s="37" t="inlineStr">
        <is>
          <t>P048</t>
        </is>
      </c>
      <c r="G388" s="37" t="inlineStr">
        <is>
          <t>Basket</t>
        </is>
      </c>
      <c r="H388" s="39" t="n"/>
    </row>
    <row r="389" ht="15" customHeight="1" s="26">
      <c r="A389" s="37" t="inlineStr">
        <is>
          <t>R055</t>
        </is>
      </c>
      <c r="B389" s="37">
        <f>IFERROR(INDEX(Recipes!$B$2:$B$500,MATCH(A389,Recipes!$A$2:$A$500,0)),"")</f>
        <v/>
      </c>
      <c r="C389" s="39" t="inlineStr">
        <is>
          <t>Scotch bonnet</t>
        </is>
      </c>
      <c r="D389" s="47" t="n">
        <v>0.25</v>
      </c>
      <c r="E389" s="37" t="inlineStr">
        <is>
          <t>pc</t>
        </is>
      </c>
      <c r="F389" s="37" t="inlineStr">
        <is>
          <t>P046</t>
        </is>
      </c>
      <c r="G389" s="37" t="inlineStr">
        <is>
          <t>Basket</t>
        </is>
      </c>
      <c r="H389" s="39" t="n"/>
    </row>
    <row r="390" ht="15" customHeight="1" s="26">
      <c r="A390" s="37" t="inlineStr">
        <is>
          <t>R055</t>
        </is>
      </c>
      <c r="B390" s="37">
        <f>IFERROR(INDEX(Recipes!$B$2:$B$500,MATCH(A390,Recipes!$A$2:$A$500,0)),"")</f>
        <v/>
      </c>
      <c r="C390" s="39" t="inlineStr">
        <is>
          <t>Amaranth greens (Nigerian spinach)</t>
        </is>
      </c>
      <c r="D390" s="47" t="n">
        <v>1</v>
      </c>
      <c r="E390" s="37" t="inlineStr">
        <is>
          <t>cup</t>
        </is>
      </c>
      <c r="F390" s="37" t="inlineStr">
        <is>
          <t>P073</t>
        </is>
      </c>
      <c r="G390" s="37" t="inlineStr">
        <is>
          <t>Basket</t>
        </is>
      </c>
      <c r="H390" s="39" t="n"/>
    </row>
    <row r="391" ht="15" customHeight="1" s="26">
      <c r="A391" s="37" t="inlineStr">
        <is>
          <t>R055</t>
        </is>
      </c>
      <c r="B391" s="37">
        <f>IFERROR(INDEX(Recipes!$B$2:$B$500,MATCH(A391,Recipes!$A$2:$A$500,0)),"")</f>
        <v/>
      </c>
      <c r="C391" s="39" t="inlineStr">
        <is>
          <t>Oil</t>
        </is>
      </c>
      <c r="D391" s="47" t="n">
        <v>1</v>
      </c>
      <c r="E391" s="37" t="inlineStr">
        <is>
          <t>tsp</t>
        </is>
      </c>
      <c r="F391" s="37" t="n"/>
      <c r="G391" s="37" t="inlineStr">
        <is>
          <t>Staple</t>
        </is>
      </c>
      <c r="H391" s="39" t="n"/>
    </row>
    <row r="392" ht="15" customHeight="1" s="26">
      <c r="A392" s="37" t="inlineStr">
        <is>
          <t>R056</t>
        </is>
      </c>
      <c r="B392" s="37">
        <f>IFERROR(INDEX(Recipes!$B$2:$B$500,MATCH(A392,Recipes!$A$2:$A$500,0)),"")</f>
        <v/>
      </c>
      <c r="C392" s="39" t="inlineStr">
        <is>
          <t>Large wraps</t>
        </is>
      </c>
      <c r="D392" s="47" t="n">
        <v>2</v>
      </c>
      <c r="E392" s="37" t="inlineStr">
        <is>
          <t>pc</t>
        </is>
      </c>
      <c r="F392" s="37" t="n"/>
      <c r="G392" s="37" t="inlineStr">
        <is>
          <t>Pantry</t>
        </is>
      </c>
      <c r="H392" s="39" t="n"/>
    </row>
    <row r="393" ht="15" customHeight="1" s="26">
      <c r="A393" s="37" t="inlineStr">
        <is>
          <t>R056</t>
        </is>
      </c>
      <c r="B393" s="37">
        <f>IFERROR(INDEX(Recipes!$B$2:$B$500,MATCH(A393,Recipes!$A$2:$A$500,0)),"")</f>
        <v/>
      </c>
      <c r="C393" s="39" t="inlineStr">
        <is>
          <t>Black-eyed beans</t>
        </is>
      </c>
      <c r="D393" s="47" t="n">
        <v>1.5</v>
      </c>
      <c r="E393" s="37" t="inlineStr">
        <is>
          <t>cups</t>
        </is>
      </c>
      <c r="F393" s="37" t="n"/>
      <c r="G393" s="37" t="inlineStr">
        <is>
          <t>Pantry</t>
        </is>
      </c>
      <c r="H393" s="39" t="inlineStr">
        <is>
          <t>cooked</t>
        </is>
      </c>
    </row>
    <row r="394" ht="15" customHeight="1" s="26">
      <c r="A394" s="37" t="inlineStr">
        <is>
          <t>R056</t>
        </is>
      </c>
      <c r="B394" s="37">
        <f>IFERROR(INDEX(Recipes!$B$2:$B$500,MATCH(A394,Recipes!$A$2:$A$500,0)),"")</f>
        <v/>
      </c>
      <c r="C394" s="39" t="inlineStr">
        <is>
          <t>Plantain (ripe &amp; unripe)</t>
        </is>
      </c>
      <c r="D394" s="47" t="n">
        <v>1</v>
      </c>
      <c r="E394" s="37" t="inlineStr">
        <is>
          <t>pc</t>
        </is>
      </c>
      <c r="F394" s="37" t="inlineStr">
        <is>
          <t>P002</t>
        </is>
      </c>
      <c r="G394" s="37" t="inlineStr">
        <is>
          <t>Basket</t>
        </is>
      </c>
      <c r="H394" s="39" t="inlineStr">
        <is>
          <t>ripe</t>
        </is>
      </c>
    </row>
    <row r="395" ht="15" customHeight="1" s="26">
      <c r="A395" s="37" t="inlineStr">
        <is>
          <t>R056</t>
        </is>
      </c>
      <c r="B395" s="37">
        <f>IFERROR(INDEX(Recipes!$B$2:$B$500,MATCH(A395,Recipes!$A$2:$A$500,0)),"")</f>
        <v/>
      </c>
      <c r="C395" s="39" t="inlineStr">
        <is>
          <t>Grated cheese</t>
        </is>
      </c>
      <c r="D395" s="47" t="n">
        <v>0.5</v>
      </c>
      <c r="E395" s="37" t="inlineStr">
        <is>
          <t>cup</t>
        </is>
      </c>
      <c r="F395" s="37" t="n"/>
      <c r="G395" s="37" t="inlineStr">
        <is>
          <t>Pantry</t>
        </is>
      </c>
      <c r="H395" s="39" t="n"/>
    </row>
    <row r="396" ht="15" customHeight="1" s="26">
      <c r="A396" s="37" t="inlineStr">
        <is>
          <t>R056</t>
        </is>
      </c>
      <c r="B396" s="37">
        <f>IFERROR(INDEX(Recipes!$B$2:$B$500,MATCH(A396,Recipes!$A$2:$A$500,0)),"")</f>
        <v/>
      </c>
      <c r="C396" s="39" t="inlineStr">
        <is>
          <t>Tomato (plum)</t>
        </is>
      </c>
      <c r="D396" s="47" t="n">
        <v>2</v>
      </c>
      <c r="E396" s="37" t="inlineStr">
        <is>
          <t>pc</t>
        </is>
      </c>
      <c r="F396" s="37" t="inlineStr">
        <is>
          <t>P042</t>
        </is>
      </c>
      <c r="G396" s="37" t="inlineStr">
        <is>
          <t>Basket</t>
        </is>
      </c>
      <c r="H396" s="39" t="n"/>
    </row>
    <row r="397" ht="15" customHeight="1" s="26">
      <c r="A397" s="37" t="inlineStr">
        <is>
          <t>R056</t>
        </is>
      </c>
      <c r="B397" s="37">
        <f>IFERROR(INDEX(Recipes!$B$2:$B$500,MATCH(A397,Recipes!$A$2:$A$500,0)),"")</f>
        <v/>
      </c>
      <c r="C397" s="39" t="inlineStr">
        <is>
          <t>Onion (red &amp; white)</t>
        </is>
      </c>
      <c r="D397" s="47" t="n">
        <v>0.5</v>
      </c>
      <c r="E397" s="37" t="inlineStr">
        <is>
          <t>pc</t>
        </is>
      </c>
      <c r="F397" s="37" t="inlineStr">
        <is>
          <t>P048</t>
        </is>
      </c>
      <c r="G397" s="37" t="inlineStr">
        <is>
          <t>Basket</t>
        </is>
      </c>
      <c r="H397" s="39" t="n"/>
    </row>
    <row r="398" ht="15" customHeight="1" s="26">
      <c r="A398" s="37" t="inlineStr">
        <is>
          <t>R056</t>
        </is>
      </c>
      <c r="B398" s="37">
        <f>IFERROR(INDEX(Recipes!$B$2:$B$500,MATCH(A398,Recipes!$A$2:$A$500,0)),"")</f>
        <v/>
      </c>
      <c r="C398" s="39" t="inlineStr">
        <is>
          <t>Scotch bonnet</t>
        </is>
      </c>
      <c r="D398" s="47" t="n">
        <v>0.25</v>
      </c>
      <c r="E398" s="37" t="inlineStr">
        <is>
          <t>pc</t>
        </is>
      </c>
      <c r="F398" s="37" t="inlineStr">
        <is>
          <t>P046</t>
        </is>
      </c>
      <c r="G398" s="37" t="inlineStr">
        <is>
          <t>Basket</t>
        </is>
      </c>
      <c r="H398" s="39" t="n"/>
    </row>
    <row r="399" ht="15" customHeight="1" s="26">
      <c r="A399" s="37" t="inlineStr">
        <is>
          <t>R056</t>
        </is>
      </c>
      <c r="B399" s="37">
        <f>IFERROR(INDEX(Recipes!$B$2:$B$500,MATCH(A399,Recipes!$A$2:$A$500,0)),"")</f>
        <v/>
      </c>
      <c r="C399" s="39" t="inlineStr">
        <is>
          <t>Lettuce (iceberg / romaine / local)</t>
        </is>
      </c>
      <c r="D399" s="47" t="n">
        <v>4</v>
      </c>
      <c r="E399" s="37" t="inlineStr">
        <is>
          <t>leaves</t>
        </is>
      </c>
      <c r="F399" s="37" t="inlineStr">
        <is>
          <t>P058</t>
        </is>
      </c>
      <c r="G399" s="37" t="inlineStr">
        <is>
          <t>Basket</t>
        </is>
      </c>
      <c r="H399" s="39" t="n"/>
    </row>
    <row r="400" ht="15" customHeight="1" s="26">
      <c r="A400" s="37" t="inlineStr">
        <is>
          <t>R056</t>
        </is>
      </c>
      <c r="B400" s="37">
        <f>IFERROR(INDEX(Recipes!$B$2:$B$500,MATCH(A400,Recipes!$A$2:$A$500,0)),"")</f>
        <v/>
      </c>
      <c r="C400" s="39" t="inlineStr">
        <is>
          <t>Lime</t>
        </is>
      </c>
      <c r="D400" s="47" t="n">
        <v>1</v>
      </c>
      <c r="E400" s="37" t="inlineStr">
        <is>
          <t>pc</t>
        </is>
      </c>
      <c r="F400" s="37" t="inlineStr">
        <is>
          <t>P010</t>
        </is>
      </c>
      <c r="G400" s="37" t="inlineStr">
        <is>
          <t>Basket</t>
        </is>
      </c>
      <c r="H400" s="39" t="n"/>
    </row>
    <row r="401" ht="15" customHeight="1" s="26">
      <c r="A401" s="37" t="inlineStr">
        <is>
          <t>R056</t>
        </is>
      </c>
      <c r="B401" s="37">
        <f>IFERROR(INDEX(Recipes!$B$2:$B$500,MATCH(A401,Recipes!$A$2:$A$500,0)),"")</f>
        <v/>
      </c>
      <c r="C401" s="39" t="inlineStr">
        <is>
          <t>Ground cumin</t>
        </is>
      </c>
      <c r="D401" s="47" t="n">
        <v>1</v>
      </c>
      <c r="E401" s="37" t="inlineStr">
        <is>
          <t>tsp</t>
        </is>
      </c>
      <c r="F401" s="37" t="n"/>
      <c r="G401" s="37" t="inlineStr">
        <is>
          <t>Pantry</t>
        </is>
      </c>
      <c r="H401" s="39" t="n"/>
    </row>
    <row r="402" ht="15" customHeight="1" s="26">
      <c r="A402" s="37" t="inlineStr">
        <is>
          <t>R056</t>
        </is>
      </c>
      <c r="B402" s="37">
        <f>IFERROR(INDEX(Recipes!$B$2:$B$500,MATCH(A402,Recipes!$A$2:$A$500,0)),"")</f>
        <v/>
      </c>
      <c r="C402" s="39" t="inlineStr">
        <is>
          <t>Oil</t>
        </is>
      </c>
      <c r="D402" s="47" t="n">
        <v>1</v>
      </c>
      <c r="E402" s="37" t="inlineStr">
        <is>
          <t>tbsp</t>
        </is>
      </c>
      <c r="F402" s="37" t="n"/>
      <c r="G402" s="37" t="inlineStr">
        <is>
          <t>Staple</t>
        </is>
      </c>
      <c r="H402" s="39" t="n"/>
    </row>
    <row r="403" ht="15" customHeight="1" s="26">
      <c r="A403" s="37" t="inlineStr">
        <is>
          <t>R057</t>
        </is>
      </c>
      <c r="B403" s="37">
        <f>IFERROR(INDEX(Recipes!$B$2:$B$500,MATCH(A403,Recipes!$A$2:$A$500,0)),"")</f>
        <v/>
      </c>
      <c r="C403" s="39" t="inlineStr">
        <is>
          <t>Chicken thighs</t>
        </is>
      </c>
      <c r="D403" s="47" t="n">
        <v>4</v>
      </c>
      <c r="E403" s="37" t="inlineStr">
        <is>
          <t>pc</t>
        </is>
      </c>
      <c r="F403" s="37" t="n"/>
      <c r="G403" s="37" t="inlineStr">
        <is>
          <t>Protein</t>
        </is>
      </c>
      <c r="H403" s="39" t="inlineStr">
        <is>
          <t>or 2 breasts</t>
        </is>
      </c>
    </row>
    <row r="404" ht="15" customHeight="1" s="26">
      <c r="A404" s="37" t="inlineStr">
        <is>
          <t>R057</t>
        </is>
      </c>
      <c r="B404" s="37">
        <f>IFERROR(INDEX(Recipes!$B$2:$B$500,MATCH(A404,Recipes!$A$2:$A$500,0)),"")</f>
        <v/>
      </c>
      <c r="C404" s="39" t="inlineStr">
        <is>
          <t>Sweet potato</t>
        </is>
      </c>
      <c r="D404" s="47" t="n">
        <v>2</v>
      </c>
      <c r="E404" s="37" t="inlineStr">
        <is>
          <t>pc</t>
        </is>
      </c>
      <c r="F404" s="37" t="inlineStr">
        <is>
          <t>P069</t>
        </is>
      </c>
      <c r="G404" s="37" t="inlineStr">
        <is>
          <t>Basket</t>
        </is>
      </c>
      <c r="H404" s="39" t="n"/>
    </row>
    <row r="405" ht="15" customHeight="1" s="26">
      <c r="A405" s="37" t="inlineStr">
        <is>
          <t>R057</t>
        </is>
      </c>
      <c r="B405" s="37">
        <f>IFERROR(INDEX(Recipes!$B$2:$B$500,MATCH(A405,Recipes!$A$2:$A$500,0)),"")</f>
        <v/>
      </c>
      <c r="C405" s="39" t="inlineStr">
        <is>
          <t>Green beans</t>
        </is>
      </c>
      <c r="D405" s="47" t="n">
        <v>200</v>
      </c>
      <c r="E405" s="37" t="inlineStr">
        <is>
          <t>g</t>
        </is>
      </c>
      <c r="F405" s="37" t="inlineStr">
        <is>
          <t>P059</t>
        </is>
      </c>
      <c r="G405" s="37" t="inlineStr">
        <is>
          <t>Basket</t>
        </is>
      </c>
      <c r="H405" s="39" t="n"/>
    </row>
    <row r="406" ht="15" customHeight="1" s="26">
      <c r="A406" s="37" t="inlineStr">
        <is>
          <t>R057</t>
        </is>
      </c>
      <c r="B406" s="37">
        <f>IFERROR(INDEX(Recipes!$B$2:$B$500,MATCH(A406,Recipes!$A$2:$A$500,0)),"")</f>
        <v/>
      </c>
      <c r="C406" s="39" t="inlineStr">
        <is>
          <t>Onion (red &amp; white)</t>
        </is>
      </c>
      <c r="D406" s="47" t="n">
        <v>1</v>
      </c>
      <c r="E406" s="37" t="inlineStr">
        <is>
          <t>pc</t>
        </is>
      </c>
      <c r="F406" s="37" t="inlineStr">
        <is>
          <t>P048</t>
        </is>
      </c>
      <c r="G406" s="37" t="inlineStr">
        <is>
          <t>Basket</t>
        </is>
      </c>
      <c r="H406" s="39" t="inlineStr">
        <is>
          <t>red</t>
        </is>
      </c>
    </row>
    <row r="407" ht="15" customHeight="1" s="26">
      <c r="A407" s="37" t="inlineStr">
        <is>
          <t>R057</t>
        </is>
      </c>
      <c r="B407" s="37">
        <f>IFERROR(INDEX(Recipes!$B$2:$B$500,MATCH(A407,Recipes!$A$2:$A$500,0)),"")</f>
        <v/>
      </c>
      <c r="C407" s="39" t="inlineStr">
        <is>
          <t>Lemon</t>
        </is>
      </c>
      <c r="D407" s="47" t="n">
        <v>1</v>
      </c>
      <c r="E407" s="37" t="inlineStr">
        <is>
          <t>pc</t>
        </is>
      </c>
      <c r="F407" s="37" t="inlineStr">
        <is>
          <t>P009</t>
        </is>
      </c>
      <c r="G407" s="37" t="inlineStr">
        <is>
          <t>Basket</t>
        </is>
      </c>
      <c r="H407" s="39" t="n"/>
    </row>
    <row r="408" ht="15" customHeight="1" s="26">
      <c r="A408" s="37" t="inlineStr">
        <is>
          <t>R057</t>
        </is>
      </c>
      <c r="B408" s="37">
        <f>IFERROR(INDEX(Recipes!$B$2:$B$500,MATCH(A408,Recipes!$A$2:$A$500,0)),"")</f>
        <v/>
      </c>
      <c r="C408" s="39" t="inlineStr">
        <is>
          <t>Garlic</t>
        </is>
      </c>
      <c r="D408" s="47" t="n">
        <v>4</v>
      </c>
      <c r="E408" s="37" t="inlineStr">
        <is>
          <t>cloves</t>
        </is>
      </c>
      <c r="F408" s="37" t="inlineStr">
        <is>
          <t>P051</t>
        </is>
      </c>
      <c r="G408" s="37" t="inlineStr">
        <is>
          <t>Basket</t>
        </is>
      </c>
      <c r="H408" s="39" t="n"/>
    </row>
    <row r="409" ht="15" customHeight="1" s="26">
      <c r="A409" s="37" t="inlineStr">
        <is>
          <t>R057</t>
        </is>
      </c>
      <c r="B409" s="37">
        <f>IFERROR(INDEX(Recipes!$B$2:$B$500,MATCH(A409,Recipes!$A$2:$A$500,0)),"")</f>
        <v/>
      </c>
      <c r="C409" s="39" t="inlineStr">
        <is>
          <t>Rosemary</t>
        </is>
      </c>
      <c r="D409" s="47" t="n">
        <v>2</v>
      </c>
      <c r="E409" s="37" t="inlineStr">
        <is>
          <t>sprigs</t>
        </is>
      </c>
      <c r="F409" s="37" t="inlineStr">
        <is>
          <t>P084</t>
        </is>
      </c>
      <c r="G409" s="37" t="inlineStr">
        <is>
          <t>Basket</t>
        </is>
      </c>
      <c r="H409" s="39" t="inlineStr">
        <is>
          <t>or scent leaf</t>
        </is>
      </c>
    </row>
    <row r="410" ht="15" customHeight="1" s="26">
      <c r="A410" s="37" t="inlineStr">
        <is>
          <t>R057</t>
        </is>
      </c>
      <c r="B410" s="37">
        <f>IFERROR(INDEX(Recipes!$B$2:$B$500,MATCH(A410,Recipes!$A$2:$A$500,0)),"")</f>
        <v/>
      </c>
      <c r="C410" s="39" t="inlineStr">
        <is>
          <t>Paprika</t>
        </is>
      </c>
      <c r="D410" s="47" t="n">
        <v>1</v>
      </c>
      <c r="E410" s="37" t="inlineStr">
        <is>
          <t>tsp</t>
        </is>
      </c>
      <c r="F410" s="37" t="n"/>
      <c r="G410" s="37" t="inlineStr">
        <is>
          <t>Pantry</t>
        </is>
      </c>
      <c r="H410" s="39" t="n"/>
    </row>
    <row r="411" ht="15" customHeight="1" s="26">
      <c r="A411" s="37" t="inlineStr">
        <is>
          <t>R057</t>
        </is>
      </c>
      <c r="B411" s="37">
        <f>IFERROR(INDEX(Recipes!$B$2:$B$500,MATCH(A411,Recipes!$A$2:$A$500,0)),"")</f>
        <v/>
      </c>
      <c r="C411" s="39" t="inlineStr">
        <is>
          <t>Oil</t>
        </is>
      </c>
      <c r="D411" s="47" t="n">
        <v>2</v>
      </c>
      <c r="E411" s="37" t="inlineStr">
        <is>
          <t>tbsp</t>
        </is>
      </c>
      <c r="F411" s="37" t="n"/>
      <c r="G411" s="37" t="inlineStr">
        <is>
          <t>Staple</t>
        </is>
      </c>
      <c r="H411" s="39" t="n"/>
    </row>
    <row r="412" ht="15" customHeight="1" s="26">
      <c r="A412" s="37" t="inlineStr">
        <is>
          <t>R057</t>
        </is>
      </c>
      <c r="B412" s="37">
        <f>IFERROR(INDEX(Recipes!$B$2:$B$500,MATCH(A412,Recipes!$A$2:$A$500,0)),"")</f>
        <v/>
      </c>
      <c r="C412" s="39" t="inlineStr">
        <is>
          <t>Salt</t>
        </is>
      </c>
      <c r="D412" s="47" t="n">
        <v>1</v>
      </c>
      <c r="E412" s="37" t="inlineStr">
        <is>
          <t>pinch</t>
        </is>
      </c>
      <c r="F412" s="37" t="n"/>
      <c r="G412" s="37" t="inlineStr">
        <is>
          <t>Staple</t>
        </is>
      </c>
      <c r="H412" s="39" t="n"/>
    </row>
    <row r="413" ht="15" customHeight="1" s="26">
      <c r="A413" s="37" t="inlineStr">
        <is>
          <t>R058</t>
        </is>
      </c>
      <c r="B413" s="37">
        <f>IFERROR(INDEX(Recipes!$B$2:$B$500,MATCH(A413,Recipes!$A$2:$A$500,0)),"")</f>
        <v/>
      </c>
      <c r="C413" s="39" t="inlineStr">
        <is>
          <t>Chicken breast</t>
        </is>
      </c>
      <c r="D413" s="47" t="n">
        <v>2</v>
      </c>
      <c r="E413" s="37" t="inlineStr">
        <is>
          <t>pc</t>
        </is>
      </c>
      <c r="F413" s="37" t="n"/>
      <c r="G413" s="37" t="inlineStr">
        <is>
          <t>Protein</t>
        </is>
      </c>
      <c r="H413" s="39" t="n"/>
    </row>
    <row r="414" ht="15" customHeight="1" s="26">
      <c r="A414" s="37" t="inlineStr">
        <is>
          <t>R058</t>
        </is>
      </c>
      <c r="B414" s="37">
        <f>IFERROR(INDEX(Recipes!$B$2:$B$500,MATCH(A414,Recipes!$A$2:$A$500,0)),"")</f>
        <v/>
      </c>
      <c r="C414" s="39" t="inlineStr">
        <is>
          <t>Broccoli</t>
        </is>
      </c>
      <c r="D414" s="47" t="n">
        <v>1</v>
      </c>
      <c r="E414" s="37" t="inlineStr">
        <is>
          <t>head</t>
        </is>
      </c>
      <c r="F414" s="37" t="inlineStr">
        <is>
          <t>P063</t>
        </is>
      </c>
      <c r="G414" s="37" t="inlineStr">
        <is>
          <t>Basket</t>
        </is>
      </c>
      <c r="H414" s="39" t="inlineStr">
        <is>
          <t>or 200g green beans</t>
        </is>
      </c>
    </row>
    <row r="415" ht="15" customHeight="1" s="26">
      <c r="A415" s="37" t="inlineStr">
        <is>
          <t>R058</t>
        </is>
      </c>
      <c r="B415" s="37">
        <f>IFERROR(INDEX(Recipes!$B$2:$B$500,MATCH(A415,Recipes!$A$2:$A$500,0)),"")</f>
        <v/>
      </c>
      <c r="C415" s="39" t="inlineStr">
        <is>
          <t>Carrot</t>
        </is>
      </c>
      <c r="D415" s="47" t="n">
        <v>2</v>
      </c>
      <c r="E415" s="37" t="inlineStr">
        <is>
          <t>pc</t>
        </is>
      </c>
      <c r="F415" s="37" t="inlineStr">
        <is>
          <t>P055</t>
        </is>
      </c>
      <c r="G415" s="37" t="inlineStr">
        <is>
          <t>Basket</t>
        </is>
      </c>
      <c r="H415" s="39" t="n"/>
    </row>
    <row r="416" ht="15" customHeight="1" s="26">
      <c r="A416" s="37" t="inlineStr">
        <is>
          <t>R058</t>
        </is>
      </c>
      <c r="B416" s="37">
        <f>IFERROR(INDEX(Recipes!$B$2:$B$500,MATCH(A416,Recipes!$A$2:$A$500,0)),"")</f>
        <v/>
      </c>
      <c r="C416" s="39" t="inlineStr">
        <is>
          <t>Red bell pepper</t>
        </is>
      </c>
      <c r="D416" s="47" t="n">
        <v>1</v>
      </c>
      <c r="E416" s="37" t="inlineStr">
        <is>
          <t>pc</t>
        </is>
      </c>
      <c r="F416" s="37" t="inlineStr">
        <is>
          <t>P044</t>
        </is>
      </c>
      <c r="G416" s="37" t="inlineStr">
        <is>
          <t>Basket</t>
        </is>
      </c>
      <c r="H416" s="39" t="n"/>
    </row>
    <row r="417" ht="15" customHeight="1" s="26">
      <c r="A417" s="37" t="inlineStr">
        <is>
          <t>R058</t>
        </is>
      </c>
      <c r="B417" s="37">
        <f>IFERROR(INDEX(Recipes!$B$2:$B$500,MATCH(A417,Recipes!$A$2:$A$500,0)),"")</f>
        <v/>
      </c>
      <c r="C417" s="39" t="inlineStr">
        <is>
          <t>Green / yellow bell pepper</t>
        </is>
      </c>
      <c r="D417" s="47" t="n">
        <v>1</v>
      </c>
      <c r="E417" s="37" t="inlineStr">
        <is>
          <t>pc</t>
        </is>
      </c>
      <c r="F417" s="37" t="inlineStr">
        <is>
          <t>P045</t>
        </is>
      </c>
      <c r="G417" s="37" t="inlineStr">
        <is>
          <t>Basket</t>
        </is>
      </c>
      <c r="H417" s="39" t="inlineStr">
        <is>
          <t>green</t>
        </is>
      </c>
    </row>
    <row r="418" ht="15" customHeight="1" s="26">
      <c r="A418" s="37" t="inlineStr">
        <is>
          <t>R058</t>
        </is>
      </c>
      <c r="B418" s="37">
        <f>IFERROR(INDEX(Recipes!$B$2:$B$500,MATCH(A418,Recipes!$A$2:$A$500,0)),"")</f>
        <v/>
      </c>
      <c r="C418" s="39" t="inlineStr">
        <is>
          <t>Spring onion</t>
        </is>
      </c>
      <c r="D418" s="47" t="n">
        <v>3</v>
      </c>
      <c r="E418" s="37" t="inlineStr">
        <is>
          <t>stalks</t>
        </is>
      </c>
      <c r="F418" s="37" t="inlineStr">
        <is>
          <t>P049</t>
        </is>
      </c>
      <c r="G418" s="37" t="inlineStr">
        <is>
          <t>Basket</t>
        </is>
      </c>
      <c r="H418" s="39" t="n"/>
    </row>
    <row r="419" ht="15" customHeight="1" s="26">
      <c r="A419" s="37" t="inlineStr">
        <is>
          <t>R058</t>
        </is>
      </c>
      <c r="B419" s="37">
        <f>IFERROR(INDEX(Recipes!$B$2:$B$500,MATCH(A419,Recipes!$A$2:$A$500,0)),"")</f>
        <v/>
      </c>
      <c r="C419" s="39" t="inlineStr">
        <is>
          <t>Ginger</t>
        </is>
      </c>
      <c r="D419" s="47" t="n">
        <v>1</v>
      </c>
      <c r="E419" s="37" t="inlineStr">
        <is>
          <t>thumb</t>
        </is>
      </c>
      <c r="F419" s="37" t="inlineStr">
        <is>
          <t>P052</t>
        </is>
      </c>
      <c r="G419" s="37" t="inlineStr">
        <is>
          <t>Basket</t>
        </is>
      </c>
      <c r="H419" s="39" t="n"/>
    </row>
    <row r="420" ht="15" customHeight="1" s="26">
      <c r="A420" s="37" t="inlineStr">
        <is>
          <t>R058</t>
        </is>
      </c>
      <c r="B420" s="37">
        <f>IFERROR(INDEX(Recipes!$B$2:$B$500,MATCH(A420,Recipes!$A$2:$A$500,0)),"")</f>
        <v/>
      </c>
      <c r="C420" s="39" t="inlineStr">
        <is>
          <t>Garlic</t>
        </is>
      </c>
      <c r="D420" s="47" t="n">
        <v>3</v>
      </c>
      <c r="E420" s="37" t="inlineStr">
        <is>
          <t>cloves</t>
        </is>
      </c>
      <c r="F420" s="37" t="inlineStr">
        <is>
          <t>P051</t>
        </is>
      </c>
      <c r="G420" s="37" t="inlineStr">
        <is>
          <t>Basket</t>
        </is>
      </c>
      <c r="H420" s="39" t="n"/>
    </row>
    <row r="421" ht="15" customHeight="1" s="26">
      <c r="A421" s="37" t="inlineStr">
        <is>
          <t>R058</t>
        </is>
      </c>
      <c r="B421" s="37">
        <f>IFERROR(INDEX(Recipes!$B$2:$B$500,MATCH(A421,Recipes!$A$2:$A$500,0)),"")</f>
        <v/>
      </c>
      <c r="C421" s="39" t="inlineStr">
        <is>
          <t>Soy sauce</t>
        </is>
      </c>
      <c r="D421" s="47" t="n">
        <v>3</v>
      </c>
      <c r="E421" s="37" t="inlineStr">
        <is>
          <t>tbsp</t>
        </is>
      </c>
      <c r="F421" s="37" t="n"/>
      <c r="G421" s="37" t="inlineStr">
        <is>
          <t>Pantry</t>
        </is>
      </c>
      <c r="H421" s="39" t="n"/>
    </row>
    <row r="422" ht="15" customHeight="1" s="26">
      <c r="A422" s="37" t="inlineStr">
        <is>
          <t>R058</t>
        </is>
      </c>
      <c r="B422" s="37">
        <f>IFERROR(INDEX(Recipes!$B$2:$B$500,MATCH(A422,Recipes!$A$2:$A$500,0)),"")</f>
        <v/>
      </c>
      <c r="C422" s="39" t="inlineStr">
        <is>
          <t>Cornflour</t>
        </is>
      </c>
      <c r="D422" s="47" t="n">
        <v>1</v>
      </c>
      <c r="E422" s="37" t="inlineStr">
        <is>
          <t>tsp</t>
        </is>
      </c>
      <c r="F422" s="37" t="n"/>
      <c r="G422" s="37" t="inlineStr">
        <is>
          <t>Pantry</t>
        </is>
      </c>
      <c r="H422" s="39" t="n"/>
    </row>
    <row r="423" ht="15" customHeight="1" s="26">
      <c r="A423" s="37" t="inlineStr">
        <is>
          <t>R058</t>
        </is>
      </c>
      <c r="B423" s="37">
        <f>IFERROR(INDEX(Recipes!$B$2:$B$500,MATCH(A423,Recipes!$A$2:$A$500,0)),"")</f>
        <v/>
      </c>
      <c r="C423" s="39" t="inlineStr">
        <is>
          <t>Rice or noodles</t>
        </is>
      </c>
      <c r="D423" s="47" t="n">
        <v>1</v>
      </c>
      <c r="E423" s="37" t="inlineStr">
        <is>
          <t>cup</t>
        </is>
      </c>
      <c r="F423" s="37" t="n"/>
      <c r="G423" s="37" t="inlineStr">
        <is>
          <t>Pantry</t>
        </is>
      </c>
      <c r="H423" s="39" t="n"/>
    </row>
    <row r="424" ht="15" customHeight="1" s="26">
      <c r="A424" s="37" t="inlineStr">
        <is>
          <t>R058</t>
        </is>
      </c>
      <c r="B424" s="37">
        <f>IFERROR(INDEX(Recipes!$B$2:$B$500,MATCH(A424,Recipes!$A$2:$A$500,0)),"")</f>
        <v/>
      </c>
      <c r="C424" s="39" t="inlineStr">
        <is>
          <t>Oil</t>
        </is>
      </c>
      <c r="D424" s="47" t="n">
        <v>1</v>
      </c>
      <c r="E424" s="37" t="inlineStr">
        <is>
          <t>tbsp</t>
        </is>
      </c>
      <c r="F424" s="37" t="n"/>
      <c r="G424" s="37" t="inlineStr">
        <is>
          <t>Staple</t>
        </is>
      </c>
      <c r="H424" s="39" t="n"/>
    </row>
    <row r="425" ht="15" customHeight="1" s="26">
      <c r="A425" s="37" t="inlineStr">
        <is>
          <t>R059</t>
        </is>
      </c>
      <c r="B425" s="37">
        <f>IFERROR(INDEX(Recipes!$B$2:$B$500,MATCH(A425,Recipes!$A$2:$A$500,0)),"")</f>
        <v/>
      </c>
      <c r="C425" s="39" t="inlineStr">
        <is>
          <t>Chicken</t>
        </is>
      </c>
      <c r="D425" s="47" t="n">
        <v>400</v>
      </c>
      <c r="E425" s="37" t="inlineStr">
        <is>
          <t>g</t>
        </is>
      </c>
      <c r="F425" s="37" t="n"/>
      <c r="G425" s="37" t="inlineStr">
        <is>
          <t>Protein</t>
        </is>
      </c>
      <c r="H425" s="39" t="n"/>
    </row>
    <row r="426" ht="15" customHeight="1" s="26">
      <c r="A426" s="37" t="inlineStr">
        <is>
          <t>R059</t>
        </is>
      </c>
      <c r="B426" s="37">
        <f>IFERROR(INDEX(Recipes!$B$2:$B$500,MATCH(A426,Recipes!$A$2:$A$500,0)),"")</f>
        <v/>
      </c>
      <c r="C426" s="39" t="inlineStr">
        <is>
          <t>Pumpkin (squash)</t>
        </is>
      </c>
      <c r="D426" s="47" t="n">
        <v>2</v>
      </c>
      <c r="E426" s="37" t="inlineStr">
        <is>
          <t>cups</t>
        </is>
      </c>
      <c r="F426" s="37" t="inlineStr">
        <is>
          <t>P068</t>
        </is>
      </c>
      <c r="G426" s="37" t="inlineStr">
        <is>
          <t>Basket</t>
        </is>
      </c>
      <c r="H426" s="39" t="inlineStr">
        <is>
          <t>cubed</t>
        </is>
      </c>
    </row>
    <row r="427" ht="15" customHeight="1" s="26">
      <c r="A427" s="37" t="inlineStr">
        <is>
          <t>R059</t>
        </is>
      </c>
      <c r="B427" s="37">
        <f>IFERROR(INDEX(Recipes!$B$2:$B$500,MATCH(A427,Recipes!$A$2:$A$500,0)),"")</f>
        <v/>
      </c>
      <c r="C427" s="39" t="inlineStr">
        <is>
          <t>Green beans</t>
        </is>
      </c>
      <c r="D427" s="47" t="n">
        <v>100</v>
      </c>
      <c r="E427" s="37" t="inlineStr">
        <is>
          <t>g</t>
        </is>
      </c>
      <c r="F427" s="37" t="inlineStr">
        <is>
          <t>P059</t>
        </is>
      </c>
      <c r="G427" s="37" t="inlineStr">
        <is>
          <t>Basket</t>
        </is>
      </c>
      <c r="H427" s="39" t="n"/>
    </row>
    <row r="428" ht="15" customHeight="1" s="26">
      <c r="A428" s="37" t="inlineStr">
        <is>
          <t>R059</t>
        </is>
      </c>
      <c r="B428" s="37">
        <f>IFERROR(INDEX(Recipes!$B$2:$B$500,MATCH(A428,Recipes!$A$2:$A$500,0)),"")</f>
        <v/>
      </c>
      <c r="C428" s="39" t="inlineStr">
        <is>
          <t>Fluted pumpkin leaf</t>
        </is>
      </c>
      <c r="D428" s="47" t="n">
        <v>2</v>
      </c>
      <c r="E428" s="37" t="inlineStr">
        <is>
          <t>cups</t>
        </is>
      </c>
      <c r="F428" s="37" t="inlineStr">
        <is>
          <t>P072</t>
        </is>
      </c>
      <c r="G428" s="37" t="inlineStr">
        <is>
          <t>Basket</t>
        </is>
      </c>
      <c r="H428" s="39" t="n"/>
    </row>
    <row r="429" ht="15" customHeight="1" s="26">
      <c r="A429" s="37" t="inlineStr">
        <is>
          <t>R059</t>
        </is>
      </c>
      <c r="B429" s="37">
        <f>IFERROR(INDEX(Recipes!$B$2:$B$500,MATCH(A429,Recipes!$A$2:$A$500,0)),"")</f>
        <v/>
      </c>
      <c r="C429" s="39" t="inlineStr">
        <is>
          <t>Lemongrass</t>
        </is>
      </c>
      <c r="D429" s="47" t="n">
        <v>1</v>
      </c>
      <c r="E429" s="37" t="inlineStr">
        <is>
          <t>stalk</t>
        </is>
      </c>
      <c r="F429" s="37" t="inlineStr">
        <is>
          <t>P083</t>
        </is>
      </c>
      <c r="G429" s="37" t="inlineStr">
        <is>
          <t>Basket</t>
        </is>
      </c>
      <c r="H429" s="39" t="n"/>
    </row>
    <row r="430" ht="15" customHeight="1" s="26">
      <c r="A430" s="37" t="inlineStr">
        <is>
          <t>R059</t>
        </is>
      </c>
      <c r="B430" s="37">
        <f>IFERROR(INDEX(Recipes!$B$2:$B$500,MATCH(A430,Recipes!$A$2:$A$500,0)),"")</f>
        <v/>
      </c>
      <c r="C430" s="39" t="inlineStr">
        <is>
          <t>Scent leaf (African basil)</t>
        </is>
      </c>
      <c r="D430" s="47" t="n">
        <v>1</v>
      </c>
      <c r="E430" s="37" t="inlineStr">
        <is>
          <t>handful</t>
        </is>
      </c>
      <c r="F430" s="37" t="inlineStr">
        <is>
          <t>P077</t>
        </is>
      </c>
      <c r="G430" s="37" t="inlineStr">
        <is>
          <t>Basket</t>
        </is>
      </c>
      <c r="H430" s="39" t="n"/>
    </row>
    <row r="431" ht="15" customHeight="1" s="26">
      <c r="A431" s="37" t="inlineStr">
        <is>
          <t>R059</t>
        </is>
      </c>
      <c r="B431" s="37">
        <f>IFERROR(INDEX(Recipes!$B$2:$B$500,MATCH(A431,Recipes!$A$2:$A$500,0)),"")</f>
        <v/>
      </c>
      <c r="C431" s="39" t="inlineStr">
        <is>
          <t>Ginger</t>
        </is>
      </c>
      <c r="D431" s="47" t="n">
        <v>1</v>
      </c>
      <c r="E431" s="37" t="inlineStr">
        <is>
          <t>thumb</t>
        </is>
      </c>
      <c r="F431" s="37" t="inlineStr">
        <is>
          <t>P052</t>
        </is>
      </c>
      <c r="G431" s="37" t="inlineStr">
        <is>
          <t>Basket</t>
        </is>
      </c>
      <c r="H431" s="39" t="n"/>
    </row>
    <row r="432" ht="15" customHeight="1" s="26">
      <c r="A432" s="37" t="inlineStr">
        <is>
          <t>R059</t>
        </is>
      </c>
      <c r="B432" s="37">
        <f>IFERROR(INDEX(Recipes!$B$2:$B$500,MATCH(A432,Recipes!$A$2:$A$500,0)),"")</f>
        <v/>
      </c>
      <c r="C432" s="39" t="inlineStr">
        <is>
          <t>Garlic</t>
        </is>
      </c>
      <c r="D432" s="47" t="n">
        <v>3</v>
      </c>
      <c r="E432" s="37" t="inlineStr">
        <is>
          <t>cloves</t>
        </is>
      </c>
      <c r="F432" s="37" t="inlineStr">
        <is>
          <t>P051</t>
        </is>
      </c>
      <c r="G432" s="37" t="inlineStr">
        <is>
          <t>Basket</t>
        </is>
      </c>
      <c r="H432" s="39" t="n"/>
    </row>
    <row r="433" ht="15" customHeight="1" s="26">
      <c r="A433" s="37" t="inlineStr">
        <is>
          <t>R059</t>
        </is>
      </c>
      <c r="B433" s="37">
        <f>IFERROR(INDEX(Recipes!$B$2:$B$500,MATCH(A433,Recipes!$A$2:$A$500,0)),"")</f>
        <v/>
      </c>
      <c r="C433" s="39" t="inlineStr">
        <is>
          <t>Scotch bonnet</t>
        </is>
      </c>
      <c r="D433" s="47" t="n">
        <v>0.5</v>
      </c>
      <c r="E433" s="37" t="inlineStr">
        <is>
          <t>pc</t>
        </is>
      </c>
      <c r="F433" s="37" t="inlineStr">
        <is>
          <t>P046</t>
        </is>
      </c>
      <c r="G433" s="37" t="inlineStr">
        <is>
          <t>Basket</t>
        </is>
      </c>
      <c r="H433" s="39" t="n"/>
    </row>
    <row r="434" ht="15" customHeight="1" s="26">
      <c r="A434" s="37" t="inlineStr">
        <is>
          <t>R059</t>
        </is>
      </c>
      <c r="B434" s="37">
        <f>IFERROR(INDEX(Recipes!$B$2:$B$500,MATCH(A434,Recipes!$A$2:$A$500,0)),"")</f>
        <v/>
      </c>
      <c r="C434" s="39" t="inlineStr">
        <is>
          <t>Coconut</t>
        </is>
      </c>
      <c r="D434" s="47" t="n">
        <v>1</v>
      </c>
      <c r="E434" s="37" t="inlineStr">
        <is>
          <t>pc</t>
        </is>
      </c>
      <c r="F434" s="37" t="inlineStr">
        <is>
          <t>P016</t>
        </is>
      </c>
      <c r="G434" s="37" t="inlineStr">
        <is>
          <t>Basket</t>
        </is>
      </c>
      <c r="H434" s="39" t="inlineStr">
        <is>
          <t>for 2 cups fresh milk</t>
        </is>
      </c>
    </row>
    <row r="435" ht="15" customHeight="1" s="26">
      <c r="A435" s="37" t="inlineStr">
        <is>
          <t>R059</t>
        </is>
      </c>
      <c r="B435" s="37">
        <f>IFERROR(INDEX(Recipes!$B$2:$B$500,MATCH(A435,Recipes!$A$2:$A$500,0)),"")</f>
        <v/>
      </c>
      <c r="C435" s="39" t="inlineStr">
        <is>
          <t>Lime</t>
        </is>
      </c>
      <c r="D435" s="47" t="n">
        <v>1</v>
      </c>
      <c r="E435" s="37" t="inlineStr">
        <is>
          <t>pc</t>
        </is>
      </c>
      <c r="F435" s="37" t="inlineStr">
        <is>
          <t>P010</t>
        </is>
      </c>
      <c r="G435" s="37" t="inlineStr">
        <is>
          <t>Basket</t>
        </is>
      </c>
      <c r="H435" s="39" t="n"/>
    </row>
    <row r="436" ht="15" customHeight="1" s="26">
      <c r="A436" s="37" t="inlineStr">
        <is>
          <t>R059</t>
        </is>
      </c>
      <c r="B436" s="37">
        <f>IFERROR(INDEX(Recipes!$B$2:$B$500,MATCH(A436,Recipes!$A$2:$A$500,0)),"")</f>
        <v/>
      </c>
      <c r="C436" s="39" t="inlineStr">
        <is>
          <t>Green curry paste</t>
        </is>
      </c>
      <c r="D436" s="47" t="n">
        <v>2</v>
      </c>
      <c r="E436" s="37" t="inlineStr">
        <is>
          <t>tbsp</t>
        </is>
      </c>
      <c r="F436" s="37" t="n"/>
      <c r="G436" s="37" t="inlineStr">
        <is>
          <t>Pantry</t>
        </is>
      </c>
      <c r="H436" s="39" t="n"/>
    </row>
    <row r="437" ht="15" customHeight="1" s="26">
      <c r="A437" s="37" t="inlineStr">
        <is>
          <t>R059</t>
        </is>
      </c>
      <c r="B437" s="37">
        <f>IFERROR(INDEX(Recipes!$B$2:$B$500,MATCH(A437,Recipes!$A$2:$A$500,0)),"")</f>
        <v/>
      </c>
      <c r="C437" s="39" t="inlineStr">
        <is>
          <t>Fish sauce</t>
        </is>
      </c>
      <c r="D437" s="47" t="n">
        <v>1</v>
      </c>
      <c r="E437" s="37" t="inlineStr">
        <is>
          <t>tbsp</t>
        </is>
      </c>
      <c r="F437" s="37" t="n"/>
      <c r="G437" s="37" t="inlineStr">
        <is>
          <t>Pantry</t>
        </is>
      </c>
      <c r="H437" s="39" t="n"/>
    </row>
    <row r="438" ht="15" customHeight="1" s="26">
      <c r="A438" s="37" t="inlineStr">
        <is>
          <t>R059</t>
        </is>
      </c>
      <c r="B438" s="37">
        <f>IFERROR(INDEX(Recipes!$B$2:$B$500,MATCH(A438,Recipes!$A$2:$A$500,0)),"")</f>
        <v/>
      </c>
      <c r="C438" s="39" t="inlineStr">
        <is>
          <t>Rice</t>
        </is>
      </c>
      <c r="D438" s="47" t="n">
        <v>1.5</v>
      </c>
      <c r="E438" s="37" t="inlineStr">
        <is>
          <t>cups</t>
        </is>
      </c>
      <c r="F438" s="37" t="n"/>
      <c r="G438" s="37" t="inlineStr">
        <is>
          <t>Pantry</t>
        </is>
      </c>
      <c r="H438" s="39" t="n"/>
    </row>
    <row r="439" ht="15" customHeight="1" s="26">
      <c r="A439" s="37" t="inlineStr">
        <is>
          <t>R060</t>
        </is>
      </c>
      <c r="B439" s="37">
        <f>IFERROR(INDEX(Recipes!$B$2:$B$500,MATCH(A439,Recipes!$A$2:$A$500,0)),"")</f>
        <v/>
      </c>
      <c r="C439" s="39" t="inlineStr">
        <is>
          <t>Beef (sirloin or topside)</t>
        </is>
      </c>
      <c r="D439" s="47" t="n">
        <v>300</v>
      </c>
      <c r="E439" s="37" t="inlineStr">
        <is>
          <t>g</t>
        </is>
      </c>
      <c r="F439" s="37" t="n"/>
      <c r="G439" s="37" t="inlineStr">
        <is>
          <t>Protein</t>
        </is>
      </c>
      <c r="H439" s="39" t="n"/>
    </row>
    <row r="440" ht="15" customHeight="1" s="26">
      <c r="A440" s="37" t="inlineStr">
        <is>
          <t>R060</t>
        </is>
      </c>
      <c r="B440" s="37">
        <f>IFERROR(INDEX(Recipes!$B$2:$B$500,MATCH(A440,Recipes!$A$2:$A$500,0)),"")</f>
        <v/>
      </c>
      <c r="C440" s="39" t="inlineStr">
        <is>
          <t>Red bell pepper</t>
        </is>
      </c>
      <c r="D440" s="47" t="n">
        <v>1</v>
      </c>
      <c r="E440" s="37" t="inlineStr">
        <is>
          <t>pc</t>
        </is>
      </c>
      <c r="F440" s="37" t="inlineStr">
        <is>
          <t>P044</t>
        </is>
      </c>
      <c r="G440" s="37" t="inlineStr">
        <is>
          <t>Basket</t>
        </is>
      </c>
      <c r="H440" s="39" t="n"/>
    </row>
    <row r="441" ht="15" customHeight="1" s="26">
      <c r="A441" s="37" t="inlineStr">
        <is>
          <t>R060</t>
        </is>
      </c>
      <c r="B441" s="37">
        <f>IFERROR(INDEX(Recipes!$B$2:$B$500,MATCH(A441,Recipes!$A$2:$A$500,0)),"")</f>
        <v/>
      </c>
      <c r="C441" s="39" t="inlineStr">
        <is>
          <t>Green / yellow bell pepper</t>
        </is>
      </c>
      <c r="D441" s="47" t="n">
        <v>1</v>
      </c>
      <c r="E441" s="37" t="inlineStr">
        <is>
          <t>pc</t>
        </is>
      </c>
      <c r="F441" s="37" t="inlineStr">
        <is>
          <t>P045</t>
        </is>
      </c>
      <c r="G441" s="37" t="inlineStr">
        <is>
          <t>Basket</t>
        </is>
      </c>
      <c r="H441" s="39" t="inlineStr">
        <is>
          <t>green or yellow</t>
        </is>
      </c>
    </row>
    <row r="442" ht="15" customHeight="1" s="26">
      <c r="A442" s="37" t="inlineStr">
        <is>
          <t>R060</t>
        </is>
      </c>
      <c r="B442" s="37">
        <f>IFERROR(INDEX(Recipes!$B$2:$B$500,MATCH(A442,Recipes!$A$2:$A$500,0)),"")</f>
        <v/>
      </c>
      <c r="C442" s="39" t="inlineStr">
        <is>
          <t>Onion (red &amp; white)</t>
        </is>
      </c>
      <c r="D442" s="47" t="n">
        <v>1</v>
      </c>
      <c r="E442" s="37" t="inlineStr">
        <is>
          <t>pc</t>
        </is>
      </c>
      <c r="F442" s="37" t="inlineStr">
        <is>
          <t>P048</t>
        </is>
      </c>
      <c r="G442" s="37" t="inlineStr">
        <is>
          <t>Basket</t>
        </is>
      </c>
      <c r="H442" s="39" t="n"/>
    </row>
    <row r="443" ht="15" customHeight="1" s="26">
      <c r="A443" s="37" t="inlineStr">
        <is>
          <t>R060</t>
        </is>
      </c>
      <c r="B443" s="37">
        <f>IFERROR(INDEX(Recipes!$B$2:$B$500,MATCH(A443,Recipes!$A$2:$A$500,0)),"")</f>
        <v/>
      </c>
      <c r="C443" s="39" t="inlineStr">
        <is>
          <t>Garlic</t>
        </is>
      </c>
      <c r="D443" s="47" t="n">
        <v>2</v>
      </c>
      <c r="E443" s="37" t="inlineStr">
        <is>
          <t>cloves</t>
        </is>
      </c>
      <c r="F443" s="37" t="inlineStr">
        <is>
          <t>P051</t>
        </is>
      </c>
      <c r="G443" s="37" t="inlineStr">
        <is>
          <t>Basket</t>
        </is>
      </c>
      <c r="H443" s="39" t="n"/>
    </row>
    <row r="444" ht="15" customHeight="1" s="26">
      <c r="A444" s="37" t="inlineStr">
        <is>
          <t>R060</t>
        </is>
      </c>
      <c r="B444" s="37">
        <f>IFERROR(INDEX(Recipes!$B$2:$B$500,MATCH(A444,Recipes!$A$2:$A$500,0)),"")</f>
        <v/>
      </c>
      <c r="C444" s="39" t="inlineStr">
        <is>
          <t>Ginger</t>
        </is>
      </c>
      <c r="D444" s="47" t="n">
        <v>1</v>
      </c>
      <c r="E444" s="37" t="inlineStr">
        <is>
          <t>thumb</t>
        </is>
      </c>
      <c r="F444" s="37" t="inlineStr">
        <is>
          <t>P052</t>
        </is>
      </c>
      <c r="G444" s="37" t="inlineStr">
        <is>
          <t>Basket</t>
        </is>
      </c>
      <c r="H444" s="39" t="n"/>
    </row>
    <row r="445" ht="15" customHeight="1" s="26">
      <c r="A445" s="37" t="inlineStr">
        <is>
          <t>R060</t>
        </is>
      </c>
      <c r="B445" s="37">
        <f>IFERROR(INDEX(Recipes!$B$2:$B$500,MATCH(A445,Recipes!$A$2:$A$500,0)),"")</f>
        <v/>
      </c>
      <c r="C445" s="39" t="inlineStr">
        <is>
          <t>Spring onion</t>
        </is>
      </c>
      <c r="D445" s="47" t="n">
        <v>2</v>
      </c>
      <c r="E445" s="37" t="inlineStr">
        <is>
          <t>stalks</t>
        </is>
      </c>
      <c r="F445" s="37" t="inlineStr">
        <is>
          <t>P049</t>
        </is>
      </c>
      <c r="G445" s="37" t="inlineStr">
        <is>
          <t>Basket</t>
        </is>
      </c>
      <c r="H445" s="39" t="n"/>
    </row>
    <row r="446" ht="15" customHeight="1" s="26">
      <c r="A446" s="37" t="inlineStr">
        <is>
          <t>R060</t>
        </is>
      </c>
      <c r="B446" s="37">
        <f>IFERROR(INDEX(Recipes!$B$2:$B$500,MATCH(A446,Recipes!$A$2:$A$500,0)),"")</f>
        <v/>
      </c>
      <c r="C446" s="39" t="inlineStr">
        <is>
          <t>Soy sauce</t>
        </is>
      </c>
      <c r="D446" s="47" t="n">
        <v>3</v>
      </c>
      <c r="E446" s="37" t="inlineStr">
        <is>
          <t>tbsp</t>
        </is>
      </c>
      <c r="F446" s="37" t="n"/>
      <c r="G446" s="37" t="inlineStr">
        <is>
          <t>Pantry</t>
        </is>
      </c>
      <c r="H446" s="39" t="n"/>
    </row>
    <row r="447" ht="15" customHeight="1" s="26">
      <c r="A447" s="37" t="inlineStr">
        <is>
          <t>R060</t>
        </is>
      </c>
      <c r="B447" s="37">
        <f>IFERROR(INDEX(Recipes!$B$2:$B$500,MATCH(A447,Recipes!$A$2:$A$500,0)),"")</f>
        <v/>
      </c>
      <c r="C447" s="39" t="inlineStr">
        <is>
          <t>Cornflour</t>
        </is>
      </c>
      <c r="D447" s="47" t="n">
        <v>1</v>
      </c>
      <c r="E447" s="37" t="inlineStr">
        <is>
          <t>tsp</t>
        </is>
      </c>
      <c r="F447" s="37" t="n"/>
      <c r="G447" s="37" t="inlineStr">
        <is>
          <t>Pantry</t>
        </is>
      </c>
      <c r="H447" s="39" t="n"/>
    </row>
    <row r="448" ht="15" customHeight="1" s="26">
      <c r="A448" s="37" t="inlineStr">
        <is>
          <t>R060</t>
        </is>
      </c>
      <c r="B448" s="37">
        <f>IFERROR(INDEX(Recipes!$B$2:$B$500,MATCH(A448,Recipes!$A$2:$A$500,0)),"")</f>
        <v/>
      </c>
      <c r="C448" s="39" t="inlineStr">
        <is>
          <t>Rice</t>
        </is>
      </c>
      <c r="D448" s="47" t="n">
        <v>1</v>
      </c>
      <c r="E448" s="37" t="inlineStr">
        <is>
          <t>cup</t>
        </is>
      </c>
      <c r="F448" s="37" t="n"/>
      <c r="G448" s="37" t="inlineStr">
        <is>
          <t>Pantry</t>
        </is>
      </c>
      <c r="H448" s="39" t="n"/>
    </row>
    <row r="449" ht="15" customHeight="1" s="26">
      <c r="A449" s="37" t="inlineStr">
        <is>
          <t>R060</t>
        </is>
      </c>
      <c r="B449" s="37">
        <f>IFERROR(INDEX(Recipes!$B$2:$B$500,MATCH(A449,Recipes!$A$2:$A$500,0)),"")</f>
        <v/>
      </c>
      <c r="C449" s="39" t="inlineStr">
        <is>
          <t>Oil</t>
        </is>
      </c>
      <c r="D449" s="47" t="n">
        <v>1</v>
      </c>
      <c r="E449" s="37" t="inlineStr">
        <is>
          <t>tbsp</t>
        </is>
      </c>
      <c r="F449" s="37" t="n"/>
      <c r="G449" s="37" t="inlineStr">
        <is>
          <t>Staple</t>
        </is>
      </c>
      <c r="H449" s="39" t="n"/>
    </row>
    <row r="450" ht="15" customHeight="1" s="26">
      <c r="A450" s="37" t="inlineStr">
        <is>
          <t>R061</t>
        </is>
      </c>
      <c r="B450" s="37">
        <f>IFERROR(INDEX(Recipes!$B$2:$B$500,MATCH(A450,Recipes!$A$2:$A$500,0)),"")</f>
        <v/>
      </c>
      <c r="C450" s="39" t="inlineStr">
        <is>
          <t>Cauliflower</t>
        </is>
      </c>
      <c r="D450" s="47" t="n">
        <v>1</v>
      </c>
      <c r="E450" s="37" t="inlineStr">
        <is>
          <t>head</t>
        </is>
      </c>
      <c r="F450" s="37" t="inlineStr">
        <is>
          <t>P064</t>
        </is>
      </c>
      <c r="G450" s="37" t="inlineStr">
        <is>
          <t>Basket</t>
        </is>
      </c>
      <c r="H450" s="39" t="n"/>
    </row>
    <row r="451" ht="15" customHeight="1" s="26">
      <c r="A451" s="37" t="inlineStr">
        <is>
          <t>R061</t>
        </is>
      </c>
      <c r="B451" s="37">
        <f>IFERROR(INDEX(Recipes!$B$2:$B$500,MATCH(A451,Recipes!$A$2:$A$500,0)),"")</f>
        <v/>
      </c>
      <c r="C451" s="39" t="inlineStr">
        <is>
          <t>Prawns</t>
        </is>
      </c>
      <c r="D451" s="47" t="n">
        <v>250</v>
      </c>
      <c r="E451" s="37" t="inlineStr">
        <is>
          <t>g</t>
        </is>
      </c>
      <c r="F451" s="37" t="n"/>
      <c r="G451" s="37" t="inlineStr">
        <is>
          <t>Protein</t>
        </is>
      </c>
      <c r="H451" s="39" t="n"/>
    </row>
    <row r="452" ht="15" customHeight="1" s="26">
      <c r="A452" s="37" t="inlineStr">
        <is>
          <t>R061</t>
        </is>
      </c>
      <c r="B452" s="37">
        <f>IFERROR(INDEX(Recipes!$B$2:$B$500,MATCH(A452,Recipes!$A$2:$A$500,0)),"")</f>
        <v/>
      </c>
      <c r="C452" s="39" t="inlineStr">
        <is>
          <t>Eggs</t>
        </is>
      </c>
      <c r="D452" s="47" t="n">
        <v>2</v>
      </c>
      <c r="E452" s="37" t="inlineStr">
        <is>
          <t>pc</t>
        </is>
      </c>
      <c r="F452" s="37" t="n"/>
      <c r="G452" s="37" t="inlineStr">
        <is>
          <t>Protein</t>
        </is>
      </c>
      <c r="H452" s="39" t="n"/>
    </row>
    <row r="453" ht="15" customHeight="1" s="26">
      <c r="A453" s="37" t="inlineStr">
        <is>
          <t>R061</t>
        </is>
      </c>
      <c r="B453" s="37">
        <f>IFERROR(INDEX(Recipes!$B$2:$B$500,MATCH(A453,Recipes!$A$2:$A$500,0)),"")</f>
        <v/>
      </c>
      <c r="C453" s="39" t="inlineStr">
        <is>
          <t>Carrot</t>
        </is>
      </c>
      <c r="D453" s="47" t="n">
        <v>2</v>
      </c>
      <c r="E453" s="37" t="inlineStr">
        <is>
          <t>pc</t>
        </is>
      </c>
      <c r="F453" s="37" t="inlineStr">
        <is>
          <t>P055</t>
        </is>
      </c>
      <c r="G453" s="37" t="inlineStr">
        <is>
          <t>Basket</t>
        </is>
      </c>
      <c r="H453" s="39" t="n"/>
    </row>
    <row r="454" ht="15" customHeight="1" s="26">
      <c r="A454" s="37" t="inlineStr">
        <is>
          <t>R061</t>
        </is>
      </c>
      <c r="B454" s="37">
        <f>IFERROR(INDEX(Recipes!$B$2:$B$500,MATCH(A454,Recipes!$A$2:$A$500,0)),"")</f>
        <v/>
      </c>
      <c r="C454" s="39" t="inlineStr">
        <is>
          <t>Green beans</t>
        </is>
      </c>
      <c r="D454" s="47" t="n">
        <v>100</v>
      </c>
      <c r="E454" s="37" t="inlineStr">
        <is>
          <t>g</t>
        </is>
      </c>
      <c r="F454" s="37" t="inlineStr">
        <is>
          <t>P059</t>
        </is>
      </c>
      <c r="G454" s="37" t="inlineStr">
        <is>
          <t>Basket</t>
        </is>
      </c>
      <c r="H454" s="39" t="n"/>
    </row>
    <row r="455" ht="15" customHeight="1" s="26">
      <c r="A455" s="37" t="inlineStr">
        <is>
          <t>R061</t>
        </is>
      </c>
      <c r="B455" s="37">
        <f>IFERROR(INDEX(Recipes!$B$2:$B$500,MATCH(A455,Recipes!$A$2:$A$500,0)),"")</f>
        <v/>
      </c>
      <c r="C455" s="39" t="inlineStr">
        <is>
          <t>Spring onion</t>
        </is>
      </c>
      <c r="D455" s="47" t="n">
        <v>3</v>
      </c>
      <c r="E455" s="37" t="inlineStr">
        <is>
          <t>stalks</t>
        </is>
      </c>
      <c r="F455" s="37" t="inlineStr">
        <is>
          <t>P049</t>
        </is>
      </c>
      <c r="G455" s="37" t="inlineStr">
        <is>
          <t>Basket</t>
        </is>
      </c>
      <c r="H455" s="39" t="n"/>
    </row>
    <row r="456" ht="15" customHeight="1" s="26">
      <c r="A456" s="37" t="inlineStr">
        <is>
          <t>R061</t>
        </is>
      </c>
      <c r="B456" s="37">
        <f>IFERROR(INDEX(Recipes!$B$2:$B$500,MATCH(A456,Recipes!$A$2:$A$500,0)),"")</f>
        <v/>
      </c>
      <c r="C456" s="39" t="inlineStr">
        <is>
          <t>Garlic</t>
        </is>
      </c>
      <c r="D456" s="47" t="n">
        <v>2</v>
      </c>
      <c r="E456" s="37" t="inlineStr">
        <is>
          <t>cloves</t>
        </is>
      </c>
      <c r="F456" s="37" t="inlineStr">
        <is>
          <t>P051</t>
        </is>
      </c>
      <c r="G456" s="37" t="inlineStr">
        <is>
          <t>Basket</t>
        </is>
      </c>
      <c r="H456" s="39" t="n"/>
    </row>
    <row r="457" ht="15" customHeight="1" s="26">
      <c r="A457" s="37" t="inlineStr">
        <is>
          <t>R061</t>
        </is>
      </c>
      <c r="B457" s="37">
        <f>IFERROR(INDEX(Recipes!$B$2:$B$500,MATCH(A457,Recipes!$A$2:$A$500,0)),"")</f>
        <v/>
      </c>
      <c r="C457" s="39" t="inlineStr">
        <is>
          <t>Ginger</t>
        </is>
      </c>
      <c r="D457" s="47" t="n">
        <v>1</v>
      </c>
      <c r="E457" s="37" t="inlineStr">
        <is>
          <t>thumb</t>
        </is>
      </c>
      <c r="F457" s="37" t="inlineStr">
        <is>
          <t>P052</t>
        </is>
      </c>
      <c r="G457" s="37" t="inlineStr">
        <is>
          <t>Basket</t>
        </is>
      </c>
      <c r="H457" s="39" t="n"/>
    </row>
    <row r="458" ht="15" customHeight="1" s="26">
      <c r="A458" s="37" t="inlineStr">
        <is>
          <t>R061</t>
        </is>
      </c>
      <c r="B458" s="37">
        <f>IFERROR(INDEX(Recipes!$B$2:$B$500,MATCH(A458,Recipes!$A$2:$A$500,0)),"")</f>
        <v/>
      </c>
      <c r="C458" s="39" t="inlineStr">
        <is>
          <t>Soy sauce</t>
        </is>
      </c>
      <c r="D458" s="47" t="n">
        <v>2</v>
      </c>
      <c r="E458" s="37" t="inlineStr">
        <is>
          <t>tbsp</t>
        </is>
      </c>
      <c r="F458" s="37" t="n"/>
      <c r="G458" s="37" t="inlineStr">
        <is>
          <t>Pantry</t>
        </is>
      </c>
      <c r="H458" s="39" t="n"/>
    </row>
    <row r="459" ht="15" customHeight="1" s="26">
      <c r="A459" s="37" t="inlineStr">
        <is>
          <t>R061</t>
        </is>
      </c>
      <c r="B459" s="37">
        <f>IFERROR(INDEX(Recipes!$B$2:$B$500,MATCH(A459,Recipes!$A$2:$A$500,0)),"")</f>
        <v/>
      </c>
      <c r="C459" s="39" t="inlineStr">
        <is>
          <t>Oil</t>
        </is>
      </c>
      <c r="D459" s="47" t="n">
        <v>1</v>
      </c>
      <c r="E459" s="37" t="inlineStr">
        <is>
          <t>tbsp</t>
        </is>
      </c>
      <c r="F459" s="37" t="n"/>
      <c r="G459" s="37" t="inlineStr">
        <is>
          <t>Staple</t>
        </is>
      </c>
      <c r="H459" s="39" t="n"/>
    </row>
    <row r="460" ht="15" customHeight="1" s="26">
      <c r="A460" s="37" t="inlineStr">
        <is>
          <t>R062</t>
        </is>
      </c>
      <c r="B460" s="37">
        <f>IFERROR(INDEX(Recipes!$B$2:$B$500,MATCH(A460,Recipes!$A$2:$A$500,0)),"")</f>
        <v/>
      </c>
      <c r="C460" s="39" t="inlineStr">
        <is>
          <t>Whole fish or fillets</t>
        </is>
      </c>
      <c r="D460" s="47" t="n">
        <v>2</v>
      </c>
      <c r="E460" s="37" t="inlineStr">
        <is>
          <t>pc</t>
        </is>
      </c>
      <c r="F460" s="37" t="n"/>
      <c r="G460" s="37" t="inlineStr">
        <is>
          <t>Protein</t>
        </is>
      </c>
      <c r="H460" s="39" t="n"/>
    </row>
    <row r="461" ht="15" customHeight="1" s="26">
      <c r="A461" s="37" t="inlineStr">
        <is>
          <t>R062</t>
        </is>
      </c>
      <c r="B461" s="37">
        <f>IFERROR(INDEX(Recipes!$B$2:$B$500,MATCH(A461,Recipes!$A$2:$A$500,0)),"")</f>
        <v/>
      </c>
      <c r="C461" s="39" t="inlineStr">
        <is>
          <t>Plantain (ripe &amp; unripe)</t>
        </is>
      </c>
      <c r="D461" s="47" t="n">
        <v>2</v>
      </c>
      <c r="E461" s="37" t="inlineStr">
        <is>
          <t>pc</t>
        </is>
      </c>
      <c r="F461" s="37" t="inlineStr">
        <is>
          <t>P002</t>
        </is>
      </c>
      <c r="G461" s="37" t="inlineStr">
        <is>
          <t>Basket</t>
        </is>
      </c>
      <c r="H461" s="39" t="inlineStr">
        <is>
          <t>ripe</t>
        </is>
      </c>
    </row>
    <row r="462" ht="15" customHeight="1" s="26">
      <c r="A462" s="37" t="inlineStr">
        <is>
          <t>R062</t>
        </is>
      </c>
      <c r="B462" s="37">
        <f>IFERROR(INDEX(Recipes!$B$2:$B$500,MATCH(A462,Recipes!$A$2:$A$500,0)),"")</f>
        <v/>
      </c>
      <c r="C462" s="39" t="inlineStr">
        <is>
          <t>Mango</t>
        </is>
      </c>
      <c r="D462" s="47" t="n">
        <v>1</v>
      </c>
      <c r="E462" s="37" t="inlineStr">
        <is>
          <t>pc</t>
        </is>
      </c>
      <c r="F462" s="37" t="inlineStr">
        <is>
          <t>P006</t>
        </is>
      </c>
      <c r="G462" s="37" t="inlineStr">
        <is>
          <t>Basket</t>
        </is>
      </c>
      <c r="H462" s="39" t="n"/>
    </row>
    <row r="463" ht="15" customHeight="1" s="26">
      <c r="A463" s="37" t="inlineStr">
        <is>
          <t>R062</t>
        </is>
      </c>
      <c r="B463" s="37">
        <f>IFERROR(INDEX(Recipes!$B$2:$B$500,MATCH(A463,Recipes!$A$2:$A$500,0)),"")</f>
        <v/>
      </c>
      <c r="C463" s="39" t="inlineStr">
        <is>
          <t>Onion (red &amp; white)</t>
        </is>
      </c>
      <c r="D463" s="47" t="n">
        <v>0.5</v>
      </c>
      <c r="E463" s="37" t="inlineStr">
        <is>
          <t>pc</t>
        </is>
      </c>
      <c r="F463" s="37" t="inlineStr">
        <is>
          <t>P048</t>
        </is>
      </c>
      <c r="G463" s="37" t="inlineStr">
        <is>
          <t>Basket</t>
        </is>
      </c>
      <c r="H463" s="39" t="inlineStr">
        <is>
          <t>red</t>
        </is>
      </c>
    </row>
    <row r="464" ht="15" customHeight="1" s="26">
      <c r="A464" s="37" t="inlineStr">
        <is>
          <t>R062</t>
        </is>
      </c>
      <c r="B464" s="37">
        <f>IFERROR(INDEX(Recipes!$B$2:$B$500,MATCH(A464,Recipes!$A$2:$A$500,0)),"")</f>
        <v/>
      </c>
      <c r="C464" s="39" t="inlineStr">
        <is>
          <t>Scotch bonnet</t>
        </is>
      </c>
      <c r="D464" s="47" t="n">
        <v>0.25</v>
      </c>
      <c r="E464" s="37" t="inlineStr">
        <is>
          <t>pc</t>
        </is>
      </c>
      <c r="F464" s="37" t="inlineStr">
        <is>
          <t>P046</t>
        </is>
      </c>
      <c r="G464" s="37" t="inlineStr">
        <is>
          <t>Basket</t>
        </is>
      </c>
      <c r="H464" s="39" t="n"/>
    </row>
    <row r="465" ht="15" customHeight="1" s="26">
      <c r="A465" s="37" t="inlineStr">
        <is>
          <t>R062</t>
        </is>
      </c>
      <c r="B465" s="37">
        <f>IFERROR(INDEX(Recipes!$B$2:$B$500,MATCH(A465,Recipes!$A$2:$A$500,0)),"")</f>
        <v/>
      </c>
      <c r="C465" s="39" t="inlineStr">
        <is>
          <t>Coriander (cilantro)</t>
        </is>
      </c>
      <c r="D465" s="47" t="n">
        <v>1</v>
      </c>
      <c r="E465" s="37" t="inlineStr">
        <is>
          <t>handful</t>
        </is>
      </c>
      <c r="F465" s="37" t="inlineStr">
        <is>
          <t>P080</t>
        </is>
      </c>
      <c r="G465" s="37" t="inlineStr">
        <is>
          <t>Basket</t>
        </is>
      </c>
      <c r="H465" s="39" t="n"/>
    </row>
    <row r="466" ht="15" customHeight="1" s="26">
      <c r="A466" s="37" t="inlineStr">
        <is>
          <t>R062</t>
        </is>
      </c>
      <c r="B466" s="37">
        <f>IFERROR(INDEX(Recipes!$B$2:$B$500,MATCH(A466,Recipes!$A$2:$A$500,0)),"")</f>
        <v/>
      </c>
      <c r="C466" s="39" t="inlineStr">
        <is>
          <t>Lime</t>
        </is>
      </c>
      <c r="D466" s="47" t="n">
        <v>2</v>
      </c>
      <c r="E466" s="37" t="inlineStr">
        <is>
          <t>pc</t>
        </is>
      </c>
      <c r="F466" s="37" t="inlineStr">
        <is>
          <t>P010</t>
        </is>
      </c>
      <c r="G466" s="37" t="inlineStr">
        <is>
          <t>Basket</t>
        </is>
      </c>
      <c r="H466" s="39" t="n"/>
    </row>
    <row r="467" ht="15" customHeight="1" s="26">
      <c r="A467" s="37" t="inlineStr">
        <is>
          <t>R062</t>
        </is>
      </c>
      <c r="B467" s="37">
        <f>IFERROR(INDEX(Recipes!$B$2:$B$500,MATCH(A467,Recipes!$A$2:$A$500,0)),"")</f>
        <v/>
      </c>
      <c r="C467" s="39" t="inlineStr">
        <is>
          <t>Garlic</t>
        </is>
      </c>
      <c r="D467" s="47" t="n">
        <v>2</v>
      </c>
      <c r="E467" s="37" t="inlineStr">
        <is>
          <t>cloves</t>
        </is>
      </c>
      <c r="F467" s="37" t="inlineStr">
        <is>
          <t>P051</t>
        </is>
      </c>
      <c r="G467" s="37" t="inlineStr">
        <is>
          <t>Basket</t>
        </is>
      </c>
      <c r="H467" s="39" t="n"/>
    </row>
    <row r="468" ht="15" customHeight="1" s="26">
      <c r="A468" s="37" t="inlineStr">
        <is>
          <t>R062</t>
        </is>
      </c>
      <c r="B468" s="37">
        <f>IFERROR(INDEX(Recipes!$B$2:$B$500,MATCH(A468,Recipes!$A$2:$A$500,0)),"")</f>
        <v/>
      </c>
      <c r="C468" s="39" t="inlineStr">
        <is>
          <t>Ginger</t>
        </is>
      </c>
      <c r="D468" s="47" t="n">
        <v>1</v>
      </c>
      <c r="E468" s="37" t="inlineStr">
        <is>
          <t>thumb</t>
        </is>
      </c>
      <c r="F468" s="37" t="inlineStr">
        <is>
          <t>P052</t>
        </is>
      </c>
      <c r="G468" s="37" t="inlineStr">
        <is>
          <t>Basket</t>
        </is>
      </c>
      <c r="H468" s="39" t="n"/>
    </row>
    <row r="469" ht="15" customHeight="1" s="26">
      <c r="A469" s="37" t="inlineStr">
        <is>
          <t>R062</t>
        </is>
      </c>
      <c r="B469" s="37">
        <f>IFERROR(INDEX(Recipes!$B$2:$B$500,MATCH(A469,Recipes!$A$2:$A$500,0)),"")</f>
        <v/>
      </c>
      <c r="C469" s="39" t="inlineStr">
        <is>
          <t>Paprika</t>
        </is>
      </c>
      <c r="D469" s="47" t="n">
        <v>1</v>
      </c>
      <c r="E469" s="37" t="inlineStr">
        <is>
          <t>tsp</t>
        </is>
      </c>
      <c r="F469" s="37" t="n"/>
      <c r="G469" s="37" t="inlineStr">
        <is>
          <t>Pantry</t>
        </is>
      </c>
      <c r="H469" s="39" t="n"/>
    </row>
    <row r="470" ht="15" customHeight="1" s="26">
      <c r="A470" s="37" t="inlineStr">
        <is>
          <t>R062</t>
        </is>
      </c>
      <c r="B470" s="37">
        <f>IFERROR(INDEX(Recipes!$B$2:$B$500,MATCH(A470,Recipes!$A$2:$A$500,0)),"")</f>
        <v/>
      </c>
      <c r="C470" s="39" t="inlineStr">
        <is>
          <t>Oil</t>
        </is>
      </c>
      <c r="D470" s="47" t="n">
        <v>1</v>
      </c>
      <c r="E470" s="37" t="inlineStr">
        <is>
          <t>tbsp</t>
        </is>
      </c>
      <c r="F470" s="37" t="n"/>
      <c r="G470" s="37" t="inlineStr">
        <is>
          <t>Staple</t>
        </is>
      </c>
      <c r="H470" s="39" t="n"/>
    </row>
    <row r="471" ht="15" customHeight="1" s="26">
      <c r="A471" s="37" t="inlineStr">
        <is>
          <t>R063</t>
        </is>
      </c>
      <c r="B471" s="37">
        <f>IFERROR(INDEX(Recipes!$B$2:$B$500,MATCH(A471,Recipes!$A$2:$A$500,0)),"")</f>
        <v/>
      </c>
      <c r="C471" s="39" t="inlineStr">
        <is>
          <t>Chickpeas or beans</t>
        </is>
      </c>
      <c r="D471" s="47" t="n">
        <v>2</v>
      </c>
      <c r="E471" s="37" t="inlineStr">
        <is>
          <t>cups</t>
        </is>
      </c>
      <c r="F471" s="37" t="n"/>
      <c r="G471" s="37" t="inlineStr">
        <is>
          <t>Pantry</t>
        </is>
      </c>
      <c r="H471" s="39" t="inlineStr">
        <is>
          <t>cooked</t>
        </is>
      </c>
    </row>
    <row r="472" ht="15" customHeight="1" s="26">
      <c r="A472" s="37" t="inlineStr">
        <is>
          <t>R063</t>
        </is>
      </c>
      <c r="B472" s="37">
        <f>IFERROR(INDEX(Recipes!$B$2:$B$500,MATCH(A472,Recipes!$A$2:$A$500,0)),"")</f>
        <v/>
      </c>
      <c r="C472" s="39" t="inlineStr">
        <is>
          <t>Amaranth greens (Nigerian spinach)</t>
        </is>
      </c>
      <c r="D472" s="47" t="n">
        <v>4</v>
      </c>
      <c r="E472" s="37" t="inlineStr">
        <is>
          <t>cups</t>
        </is>
      </c>
      <c r="F472" s="37" t="inlineStr">
        <is>
          <t>P073</t>
        </is>
      </c>
      <c r="G472" s="37" t="inlineStr">
        <is>
          <t>Basket</t>
        </is>
      </c>
      <c r="H472" s="39" t="n"/>
    </row>
    <row r="473" ht="15" customHeight="1" s="26">
      <c r="A473" s="37" t="inlineStr">
        <is>
          <t>R063</t>
        </is>
      </c>
      <c r="B473" s="37">
        <f>IFERROR(INDEX(Recipes!$B$2:$B$500,MATCH(A473,Recipes!$A$2:$A$500,0)),"")</f>
        <v/>
      </c>
      <c r="C473" s="39" t="inlineStr">
        <is>
          <t>Tomato (plum)</t>
        </is>
      </c>
      <c r="D473" s="47" t="n">
        <v>3</v>
      </c>
      <c r="E473" s="37" t="inlineStr">
        <is>
          <t>pc</t>
        </is>
      </c>
      <c r="F473" s="37" t="inlineStr">
        <is>
          <t>P042</t>
        </is>
      </c>
      <c r="G473" s="37" t="inlineStr">
        <is>
          <t>Basket</t>
        </is>
      </c>
      <c r="H473" s="39" t="n"/>
    </row>
    <row r="474" ht="15" customHeight="1" s="26">
      <c r="A474" s="37" t="inlineStr">
        <is>
          <t>R063</t>
        </is>
      </c>
      <c r="B474" s="37">
        <f>IFERROR(INDEX(Recipes!$B$2:$B$500,MATCH(A474,Recipes!$A$2:$A$500,0)),"")</f>
        <v/>
      </c>
      <c r="C474" s="39" t="inlineStr">
        <is>
          <t>Onion (red &amp; white)</t>
        </is>
      </c>
      <c r="D474" s="47" t="n">
        <v>1</v>
      </c>
      <c r="E474" s="37" t="inlineStr">
        <is>
          <t>pc</t>
        </is>
      </c>
      <c r="F474" s="37" t="inlineStr">
        <is>
          <t>P048</t>
        </is>
      </c>
      <c r="G474" s="37" t="inlineStr">
        <is>
          <t>Basket</t>
        </is>
      </c>
      <c r="H474" s="39" t="n"/>
    </row>
    <row r="475" ht="15" customHeight="1" s="26">
      <c r="A475" s="37" t="inlineStr">
        <is>
          <t>R063</t>
        </is>
      </c>
      <c r="B475" s="37">
        <f>IFERROR(INDEX(Recipes!$B$2:$B$500,MATCH(A475,Recipes!$A$2:$A$500,0)),"")</f>
        <v/>
      </c>
      <c r="C475" s="39" t="inlineStr">
        <is>
          <t>Garlic</t>
        </is>
      </c>
      <c r="D475" s="47" t="n">
        <v>3</v>
      </c>
      <c r="E475" s="37" t="inlineStr">
        <is>
          <t>cloves</t>
        </is>
      </c>
      <c r="F475" s="37" t="inlineStr">
        <is>
          <t>P051</t>
        </is>
      </c>
      <c r="G475" s="37" t="inlineStr">
        <is>
          <t>Basket</t>
        </is>
      </c>
      <c r="H475" s="39" t="n"/>
    </row>
    <row r="476" ht="15" customHeight="1" s="26">
      <c r="A476" s="37" t="inlineStr">
        <is>
          <t>R063</t>
        </is>
      </c>
      <c r="B476" s="37">
        <f>IFERROR(INDEX(Recipes!$B$2:$B$500,MATCH(A476,Recipes!$A$2:$A$500,0)),"")</f>
        <v/>
      </c>
      <c r="C476" s="39" t="inlineStr">
        <is>
          <t>Ginger</t>
        </is>
      </c>
      <c r="D476" s="47" t="n">
        <v>1</v>
      </c>
      <c r="E476" s="37" t="inlineStr">
        <is>
          <t>thumb</t>
        </is>
      </c>
      <c r="F476" s="37" t="inlineStr">
        <is>
          <t>P052</t>
        </is>
      </c>
      <c r="G476" s="37" t="inlineStr">
        <is>
          <t>Basket</t>
        </is>
      </c>
      <c r="H476" s="39" t="n"/>
    </row>
    <row r="477" ht="15" customHeight="1" s="26">
      <c r="A477" s="37" t="inlineStr">
        <is>
          <t>R063</t>
        </is>
      </c>
      <c r="B477" s="37">
        <f>IFERROR(INDEX(Recipes!$B$2:$B$500,MATCH(A477,Recipes!$A$2:$A$500,0)),"")</f>
        <v/>
      </c>
      <c r="C477" s="39" t="inlineStr">
        <is>
          <t>Scotch bonnet</t>
        </is>
      </c>
      <c r="D477" s="47" t="n">
        <v>0.25</v>
      </c>
      <c r="E477" s="37" t="inlineStr">
        <is>
          <t>pc</t>
        </is>
      </c>
      <c r="F477" s="37" t="inlineStr">
        <is>
          <t>P046</t>
        </is>
      </c>
      <c r="G477" s="37" t="inlineStr">
        <is>
          <t>Basket</t>
        </is>
      </c>
      <c r="H477" s="39" t="n"/>
    </row>
    <row r="478" ht="15" customHeight="1" s="26">
      <c r="A478" s="37" t="inlineStr">
        <is>
          <t>R063</t>
        </is>
      </c>
      <c r="B478" s="37">
        <f>IFERROR(INDEX(Recipes!$B$2:$B$500,MATCH(A478,Recipes!$A$2:$A$500,0)),"")</f>
        <v/>
      </c>
      <c r="C478" s="39" t="inlineStr">
        <is>
          <t>Coconut</t>
        </is>
      </c>
      <c r="D478" s="47" t="n">
        <v>0.25</v>
      </c>
      <c r="E478" s="37" t="inlineStr">
        <is>
          <t>pc</t>
        </is>
      </c>
      <c r="F478" s="37" t="inlineStr">
        <is>
          <t>P016</t>
        </is>
      </c>
      <c r="G478" s="37" t="inlineStr">
        <is>
          <t>Basket</t>
        </is>
      </c>
      <c r="H478" s="39" t="inlineStr">
        <is>
          <t>for 1/2 cup fresh milk</t>
        </is>
      </c>
    </row>
    <row r="479" ht="15" customHeight="1" s="26">
      <c r="A479" s="37" t="inlineStr">
        <is>
          <t>R063</t>
        </is>
      </c>
      <c r="B479" s="37">
        <f>IFERROR(INDEX(Recipes!$B$2:$B$500,MATCH(A479,Recipes!$A$2:$A$500,0)),"")</f>
        <v/>
      </c>
      <c r="C479" s="39" t="inlineStr">
        <is>
          <t>Curry powder</t>
        </is>
      </c>
      <c r="D479" s="47" t="n">
        <v>1</v>
      </c>
      <c r="E479" s="37" t="inlineStr">
        <is>
          <t>tbsp</t>
        </is>
      </c>
      <c r="F479" s="37" t="n"/>
      <c r="G479" s="37" t="inlineStr">
        <is>
          <t>Pantry</t>
        </is>
      </c>
      <c r="H479" s="39" t="n"/>
    </row>
    <row r="480" ht="15" customHeight="1" s="26">
      <c r="A480" s="37" t="inlineStr">
        <is>
          <t>R063</t>
        </is>
      </c>
      <c r="B480" s="37">
        <f>IFERROR(INDEX(Recipes!$B$2:$B$500,MATCH(A480,Recipes!$A$2:$A$500,0)),"")</f>
        <v/>
      </c>
      <c r="C480" s="39" t="inlineStr">
        <is>
          <t>Ground cumin</t>
        </is>
      </c>
      <c r="D480" s="47" t="n">
        <v>1</v>
      </c>
      <c r="E480" s="37" t="inlineStr">
        <is>
          <t>tsp</t>
        </is>
      </c>
      <c r="F480" s="37" t="n"/>
      <c r="G480" s="37" t="inlineStr">
        <is>
          <t>Pantry</t>
        </is>
      </c>
      <c r="H480" s="39" t="n"/>
    </row>
    <row r="481" ht="15" customHeight="1" s="26">
      <c r="A481" s="37" t="inlineStr">
        <is>
          <t>R063</t>
        </is>
      </c>
      <c r="B481" s="37">
        <f>IFERROR(INDEX(Recipes!$B$2:$B$500,MATCH(A481,Recipes!$A$2:$A$500,0)),"")</f>
        <v/>
      </c>
      <c r="C481" s="39" t="inlineStr">
        <is>
          <t>Rice or flatbread</t>
        </is>
      </c>
      <c r="D481" s="47" t="n">
        <v>1.5</v>
      </c>
      <c r="E481" s="37" t="inlineStr">
        <is>
          <t>cups</t>
        </is>
      </c>
      <c r="F481" s="37" t="n"/>
      <c r="G481" s="37" t="inlineStr">
        <is>
          <t>Pantry</t>
        </is>
      </c>
      <c r="H481" s="39" t="n"/>
    </row>
    <row r="482" ht="15" customHeight="1" s="26">
      <c r="A482" s="37" t="inlineStr">
        <is>
          <t>R063</t>
        </is>
      </c>
      <c r="B482" s="37">
        <f>IFERROR(INDEX(Recipes!$B$2:$B$500,MATCH(A482,Recipes!$A$2:$A$500,0)),"")</f>
        <v/>
      </c>
      <c r="C482" s="39" t="inlineStr">
        <is>
          <t>Oil</t>
        </is>
      </c>
      <c r="D482" s="47" t="n">
        <v>1</v>
      </c>
      <c r="E482" s="37" t="inlineStr">
        <is>
          <t>tbsp</t>
        </is>
      </c>
      <c r="F482" s="37" t="n"/>
      <c r="G482" s="37" t="inlineStr">
        <is>
          <t>Staple</t>
        </is>
      </c>
      <c r="H482" s="39" t="n"/>
    </row>
    <row r="483" ht="15" customHeight="1" s="26">
      <c r="A483" s="37" t="inlineStr">
        <is>
          <t>R064</t>
        </is>
      </c>
      <c r="B483" s="37">
        <f>IFERROR(INDEX(Recipes!$B$2:$B$500,MATCH(A483,Recipes!$A$2:$A$500,0)),"")</f>
        <v/>
      </c>
      <c r="C483" s="39" t="inlineStr">
        <is>
          <t>Chicken pieces</t>
        </is>
      </c>
      <c r="D483" s="47" t="n">
        <v>800</v>
      </c>
      <c r="E483" s="37" t="inlineStr">
        <is>
          <t>g</t>
        </is>
      </c>
      <c r="F483" s="37" t="n"/>
      <c r="G483" s="37" t="inlineStr">
        <is>
          <t>Protein</t>
        </is>
      </c>
      <c r="H483" s="39" t="n"/>
    </row>
    <row r="484" ht="15" customHeight="1" s="26">
      <c r="A484" s="37" t="inlineStr">
        <is>
          <t>R064</t>
        </is>
      </c>
      <c r="B484" s="37">
        <f>IFERROR(INDEX(Recipes!$B$2:$B$500,MATCH(A484,Recipes!$A$2:$A$500,0)),"")</f>
        <v/>
      </c>
      <c r="C484" s="39" t="inlineStr">
        <is>
          <t>Sweet potato</t>
        </is>
      </c>
      <c r="D484" s="47" t="n">
        <v>2</v>
      </c>
      <c r="E484" s="37" t="inlineStr">
        <is>
          <t>pc</t>
        </is>
      </c>
      <c r="F484" s="37" t="inlineStr">
        <is>
          <t>P069</t>
        </is>
      </c>
      <c r="G484" s="37" t="inlineStr">
        <is>
          <t>Basket</t>
        </is>
      </c>
      <c r="H484" s="39" t="n"/>
    </row>
    <row r="485" ht="15" customHeight="1" s="26">
      <c r="A485" s="37" t="inlineStr">
        <is>
          <t>R064</t>
        </is>
      </c>
      <c r="B485" s="37">
        <f>IFERROR(INDEX(Recipes!$B$2:$B$500,MATCH(A485,Recipes!$A$2:$A$500,0)),"")</f>
        <v/>
      </c>
      <c r="C485" s="39" t="inlineStr">
        <is>
          <t>Onion (red &amp; white)</t>
        </is>
      </c>
      <c r="D485" s="47" t="n">
        <v>1</v>
      </c>
      <c r="E485" s="37" t="inlineStr">
        <is>
          <t>pc</t>
        </is>
      </c>
      <c r="F485" s="37" t="inlineStr">
        <is>
          <t>P048</t>
        </is>
      </c>
      <c r="G485" s="37" t="inlineStr">
        <is>
          <t>Basket</t>
        </is>
      </c>
      <c r="H485" s="39" t="n"/>
    </row>
    <row r="486" ht="15" customHeight="1" s="26">
      <c r="A486" s="37" t="inlineStr">
        <is>
          <t>R064</t>
        </is>
      </c>
      <c r="B486" s="37">
        <f>IFERROR(INDEX(Recipes!$B$2:$B$500,MATCH(A486,Recipes!$A$2:$A$500,0)),"")</f>
        <v/>
      </c>
      <c r="C486" s="39" t="inlineStr">
        <is>
          <t>Garlic</t>
        </is>
      </c>
      <c r="D486" s="47" t="n">
        <v>4</v>
      </c>
      <c r="E486" s="37" t="inlineStr">
        <is>
          <t>cloves</t>
        </is>
      </c>
      <c r="F486" s="37" t="inlineStr">
        <is>
          <t>P051</t>
        </is>
      </c>
      <c r="G486" s="37" t="inlineStr">
        <is>
          <t>Basket</t>
        </is>
      </c>
      <c r="H486" s="39" t="n"/>
    </row>
    <row r="487" ht="15" customHeight="1" s="26">
      <c r="A487" s="37" t="inlineStr">
        <is>
          <t>R064</t>
        </is>
      </c>
      <c r="B487" s="37">
        <f>IFERROR(INDEX(Recipes!$B$2:$B$500,MATCH(A487,Recipes!$A$2:$A$500,0)),"")</f>
        <v/>
      </c>
      <c r="C487" s="39" t="inlineStr">
        <is>
          <t>Ginger</t>
        </is>
      </c>
      <c r="D487" s="47" t="n">
        <v>1</v>
      </c>
      <c r="E487" s="37" t="inlineStr">
        <is>
          <t>thumb</t>
        </is>
      </c>
      <c r="F487" s="37" t="inlineStr">
        <is>
          <t>P052</t>
        </is>
      </c>
      <c r="G487" s="37" t="inlineStr">
        <is>
          <t>Basket</t>
        </is>
      </c>
      <c r="H487" s="39" t="n"/>
    </row>
    <row r="488" ht="15" customHeight="1" s="26">
      <c r="A488" s="37" t="inlineStr">
        <is>
          <t>R064</t>
        </is>
      </c>
      <c r="B488" s="37">
        <f>IFERROR(INDEX(Recipes!$B$2:$B$500,MATCH(A488,Recipes!$A$2:$A$500,0)),"")</f>
        <v/>
      </c>
      <c r="C488" s="39" t="inlineStr">
        <is>
          <t>Scotch bonnet</t>
        </is>
      </c>
      <c r="D488" s="47" t="n">
        <v>0.5</v>
      </c>
      <c r="E488" s="37" t="inlineStr">
        <is>
          <t>pc</t>
        </is>
      </c>
      <c r="F488" s="37" t="inlineStr">
        <is>
          <t>P046</t>
        </is>
      </c>
      <c r="G488" s="37" t="inlineStr">
        <is>
          <t>Basket</t>
        </is>
      </c>
      <c r="H488" s="39" t="n"/>
    </row>
    <row r="489" ht="15" customHeight="1" s="26">
      <c r="A489" s="37" t="inlineStr">
        <is>
          <t>R064</t>
        </is>
      </c>
      <c r="B489" s="37">
        <f>IFERROR(INDEX(Recipes!$B$2:$B$500,MATCH(A489,Recipes!$A$2:$A$500,0)),"")</f>
        <v/>
      </c>
      <c r="C489" s="39" t="inlineStr">
        <is>
          <t>Spring onion</t>
        </is>
      </c>
      <c r="D489" s="47" t="n">
        <v>2</v>
      </c>
      <c r="E489" s="37" t="inlineStr">
        <is>
          <t>stalks</t>
        </is>
      </c>
      <c r="F489" s="37" t="inlineStr">
        <is>
          <t>P049</t>
        </is>
      </c>
      <c r="G489" s="37" t="inlineStr">
        <is>
          <t>Basket</t>
        </is>
      </c>
      <c r="H489" s="39" t="n"/>
    </row>
    <row r="490" ht="15" customHeight="1" s="26">
      <c r="A490" s="37" t="inlineStr">
        <is>
          <t>R064</t>
        </is>
      </c>
      <c r="B490" s="37">
        <f>IFERROR(INDEX(Recipes!$B$2:$B$500,MATCH(A490,Recipes!$A$2:$A$500,0)),"")</f>
        <v/>
      </c>
      <c r="C490" s="39" t="inlineStr">
        <is>
          <t>Tomato (plum)</t>
        </is>
      </c>
      <c r="D490" s="47" t="n">
        <v>2</v>
      </c>
      <c r="E490" s="37" t="inlineStr">
        <is>
          <t>pc</t>
        </is>
      </c>
      <c r="F490" s="37" t="inlineStr">
        <is>
          <t>P042</t>
        </is>
      </c>
      <c r="G490" s="37" t="inlineStr">
        <is>
          <t>Basket</t>
        </is>
      </c>
      <c r="H490" s="39" t="n"/>
    </row>
    <row r="491" ht="15" customHeight="1" s="26">
      <c r="A491" s="37" t="inlineStr">
        <is>
          <t>R064</t>
        </is>
      </c>
      <c r="B491" s="37">
        <f>IFERROR(INDEX(Recipes!$B$2:$B$500,MATCH(A491,Recipes!$A$2:$A$500,0)),"")</f>
        <v/>
      </c>
      <c r="C491" s="39" t="inlineStr">
        <is>
          <t>Curry powder</t>
        </is>
      </c>
      <c r="D491" s="47" t="n">
        <v>2</v>
      </c>
      <c r="E491" s="37" t="inlineStr">
        <is>
          <t>tbsp</t>
        </is>
      </c>
      <c r="F491" s="37" t="n"/>
      <c r="G491" s="37" t="inlineStr">
        <is>
          <t>Pantry</t>
        </is>
      </c>
      <c r="H491" s="39" t="n"/>
    </row>
    <row r="492" ht="15" customHeight="1" s="26">
      <c r="A492" s="37" t="inlineStr">
        <is>
          <t>R064</t>
        </is>
      </c>
      <c r="B492" s="37">
        <f>IFERROR(INDEX(Recipes!$B$2:$B$500,MATCH(A492,Recipes!$A$2:$A$500,0)),"")</f>
        <v/>
      </c>
      <c r="C492" s="39" t="inlineStr">
        <is>
          <t>Dried thyme</t>
        </is>
      </c>
      <c r="D492" s="47" t="n">
        <v>1</v>
      </c>
      <c r="E492" s="37" t="inlineStr">
        <is>
          <t>tsp</t>
        </is>
      </c>
      <c r="F492" s="37" t="n"/>
      <c r="G492" s="37" t="inlineStr">
        <is>
          <t>Pantry</t>
        </is>
      </c>
      <c r="H492" s="39" t="n"/>
    </row>
    <row r="493" ht="15" customHeight="1" s="26">
      <c r="A493" s="37" t="inlineStr">
        <is>
          <t>R064</t>
        </is>
      </c>
      <c r="B493" s="37">
        <f>IFERROR(INDEX(Recipes!$B$2:$B$500,MATCH(A493,Recipes!$A$2:$A$500,0)),"")</f>
        <v/>
      </c>
      <c r="C493" s="39" t="inlineStr">
        <is>
          <t>Rice</t>
        </is>
      </c>
      <c r="D493" s="47" t="n">
        <v>2</v>
      </c>
      <c r="E493" s="37" t="inlineStr">
        <is>
          <t>cups</t>
        </is>
      </c>
      <c r="F493" s="37" t="n"/>
      <c r="G493" s="37" t="inlineStr">
        <is>
          <t>Pantry</t>
        </is>
      </c>
      <c r="H493" s="39" t="n"/>
    </row>
    <row r="494" ht="15" customHeight="1" s="26">
      <c r="A494" s="37" t="inlineStr">
        <is>
          <t>R064</t>
        </is>
      </c>
      <c r="B494" s="37">
        <f>IFERROR(INDEX(Recipes!$B$2:$B$500,MATCH(A494,Recipes!$A$2:$A$500,0)),"")</f>
        <v/>
      </c>
      <c r="C494" s="39" t="inlineStr">
        <is>
          <t>Oil</t>
        </is>
      </c>
      <c r="D494" s="47" t="n">
        <v>1</v>
      </c>
      <c r="E494" s="37" t="inlineStr">
        <is>
          <t>tbsp</t>
        </is>
      </c>
      <c r="F494" s="37" t="n"/>
      <c r="G494" s="37" t="inlineStr">
        <is>
          <t>Staple</t>
        </is>
      </c>
      <c r="H494" s="39" t="n"/>
    </row>
    <row r="495" ht="15" customHeight="1" s="26">
      <c r="A495" s="37" t="inlineStr">
        <is>
          <t>R065</t>
        </is>
      </c>
      <c r="B495" s="37">
        <f>IFERROR(INDEX(Recipes!$B$2:$B$500,MATCH(A495,Recipes!$A$2:$A$500,0)),"")</f>
        <v/>
      </c>
      <c r="C495" s="39" t="inlineStr">
        <is>
          <t>Pasta</t>
        </is>
      </c>
      <c r="D495" s="47" t="n">
        <v>200</v>
      </c>
      <c r="E495" s="37" t="inlineStr">
        <is>
          <t>g</t>
        </is>
      </c>
      <c r="F495" s="37" t="n"/>
      <c r="G495" s="37" t="inlineStr">
        <is>
          <t>Pantry</t>
        </is>
      </c>
      <c r="H495" s="39" t="n"/>
    </row>
    <row r="496" ht="15" customHeight="1" s="26">
      <c r="A496" s="37" t="inlineStr">
        <is>
          <t>R065</t>
        </is>
      </c>
      <c r="B496" s="37">
        <f>IFERROR(INDEX(Recipes!$B$2:$B$500,MATCH(A496,Recipes!$A$2:$A$500,0)),"")</f>
        <v/>
      </c>
      <c r="C496" s="39" t="inlineStr">
        <is>
          <t>Tomato (plum)</t>
        </is>
      </c>
      <c r="D496" s="47" t="n">
        <v>5</v>
      </c>
      <c r="E496" s="37" t="inlineStr">
        <is>
          <t>pc</t>
        </is>
      </c>
      <c r="F496" s="37" t="inlineStr">
        <is>
          <t>P042</t>
        </is>
      </c>
      <c r="G496" s="37" t="inlineStr">
        <is>
          <t>Basket</t>
        </is>
      </c>
      <c r="H496" s="39" t="inlineStr">
        <is>
          <t>plum</t>
        </is>
      </c>
    </row>
    <row r="497" ht="15" customHeight="1" s="26">
      <c r="A497" s="37" t="inlineStr">
        <is>
          <t>R065</t>
        </is>
      </c>
      <c r="B497" s="37">
        <f>IFERROR(INDEX(Recipes!$B$2:$B$500,MATCH(A497,Recipes!$A$2:$A$500,0)),"")</f>
        <v/>
      </c>
      <c r="C497" s="39" t="inlineStr">
        <is>
          <t>Red bell pepper</t>
        </is>
      </c>
      <c r="D497" s="47" t="n">
        <v>1</v>
      </c>
      <c r="E497" s="37" t="inlineStr">
        <is>
          <t>pc</t>
        </is>
      </c>
      <c r="F497" s="37" t="inlineStr">
        <is>
          <t>P044</t>
        </is>
      </c>
      <c r="G497" s="37" t="inlineStr">
        <is>
          <t>Basket</t>
        </is>
      </c>
      <c r="H497" s="39" t="n"/>
    </row>
    <row r="498" ht="15" customHeight="1" s="26">
      <c r="A498" s="37" t="inlineStr">
        <is>
          <t>R065</t>
        </is>
      </c>
      <c r="B498" s="37">
        <f>IFERROR(INDEX(Recipes!$B$2:$B$500,MATCH(A498,Recipes!$A$2:$A$500,0)),"")</f>
        <v/>
      </c>
      <c r="C498" s="39" t="inlineStr">
        <is>
          <t>Onion (red &amp; white)</t>
        </is>
      </c>
      <c r="D498" s="47" t="n">
        <v>1</v>
      </c>
      <c r="E498" s="37" t="inlineStr">
        <is>
          <t>pc</t>
        </is>
      </c>
      <c r="F498" s="37" t="inlineStr">
        <is>
          <t>P048</t>
        </is>
      </c>
      <c r="G498" s="37" t="inlineStr">
        <is>
          <t>Basket</t>
        </is>
      </c>
      <c r="H498" s="39" t="n"/>
    </row>
    <row r="499" ht="15" customHeight="1" s="26">
      <c r="A499" s="37" t="inlineStr">
        <is>
          <t>R065</t>
        </is>
      </c>
      <c r="B499" s="37">
        <f>IFERROR(INDEX(Recipes!$B$2:$B$500,MATCH(A499,Recipes!$A$2:$A$500,0)),"")</f>
        <v/>
      </c>
      <c r="C499" s="39" t="inlineStr">
        <is>
          <t>Garlic</t>
        </is>
      </c>
      <c r="D499" s="47" t="n">
        <v>3</v>
      </c>
      <c r="E499" s="37" t="inlineStr">
        <is>
          <t>cloves</t>
        </is>
      </c>
      <c r="F499" s="37" t="inlineStr">
        <is>
          <t>P051</t>
        </is>
      </c>
      <c r="G499" s="37" t="inlineStr">
        <is>
          <t>Basket</t>
        </is>
      </c>
      <c r="H499" s="39" t="n"/>
    </row>
    <row r="500" ht="15" customHeight="1" s="26">
      <c r="A500" s="37" t="inlineStr">
        <is>
          <t>R065</t>
        </is>
      </c>
      <c r="B500" s="37">
        <f>IFERROR(INDEX(Recipes!$B$2:$B$500,MATCH(A500,Recipes!$A$2:$A$500,0)),"")</f>
        <v/>
      </c>
      <c r="C500" s="39" t="inlineStr">
        <is>
          <t>Mushrooms (oyster / button)</t>
        </is>
      </c>
      <c r="D500" s="47" t="n">
        <v>1</v>
      </c>
      <c r="E500" s="37" t="inlineStr">
        <is>
          <t>cup</t>
        </is>
      </c>
      <c r="F500" s="37" t="inlineStr">
        <is>
          <t>P067</t>
        </is>
      </c>
      <c r="G500" s="37" t="inlineStr">
        <is>
          <t>Basket</t>
        </is>
      </c>
      <c r="H500" s="39" t="inlineStr">
        <is>
          <t>optional</t>
        </is>
      </c>
    </row>
    <row r="501" ht="15" customHeight="1" s="26">
      <c r="A501" s="37" t="inlineStr">
        <is>
          <t>R065</t>
        </is>
      </c>
      <c r="B501" s="37">
        <f>IFERROR(INDEX(Recipes!$B$2:$B$500,MATCH(A501,Recipes!$A$2:$A$500,0)),"")</f>
        <v/>
      </c>
      <c r="C501" s="39" t="inlineStr">
        <is>
          <t>Baby spinach</t>
        </is>
      </c>
      <c r="D501" s="47" t="n">
        <v>1</v>
      </c>
      <c r="E501" s="37" t="inlineStr">
        <is>
          <t>cup</t>
        </is>
      </c>
      <c r="F501" s="37" t="inlineStr">
        <is>
          <t>P075</t>
        </is>
      </c>
      <c r="G501" s="37" t="inlineStr">
        <is>
          <t>Basket</t>
        </is>
      </c>
      <c r="H501" s="39" t="inlineStr">
        <is>
          <t>or efo tete</t>
        </is>
      </c>
    </row>
    <row r="502" ht="15" customHeight="1" s="26">
      <c r="A502" s="37" t="inlineStr">
        <is>
          <t>R065</t>
        </is>
      </c>
      <c r="B502" s="37">
        <f>IFERROR(INDEX(Recipes!$B$2:$B$500,MATCH(A502,Recipes!$A$2:$A$500,0)),"")</f>
        <v/>
      </c>
      <c r="C502" s="39" t="inlineStr">
        <is>
          <t>Basil (sweet)</t>
        </is>
      </c>
      <c r="D502" s="47" t="n">
        <v>1</v>
      </c>
      <c r="E502" s="37" t="inlineStr">
        <is>
          <t>handful</t>
        </is>
      </c>
      <c r="F502" s="37" t="inlineStr">
        <is>
          <t>P082</t>
        </is>
      </c>
      <c r="G502" s="37" t="inlineStr">
        <is>
          <t>Basket</t>
        </is>
      </c>
      <c r="H502" s="39" t="inlineStr">
        <is>
          <t>or scent leaf</t>
        </is>
      </c>
    </row>
    <row r="503" ht="15" customHeight="1" s="26">
      <c r="A503" s="37" t="inlineStr">
        <is>
          <t>R065</t>
        </is>
      </c>
      <c r="B503" s="37">
        <f>IFERROR(INDEX(Recipes!$B$2:$B$500,MATCH(A503,Recipes!$A$2:$A$500,0)),"")</f>
        <v/>
      </c>
      <c r="C503" s="39" t="inlineStr">
        <is>
          <t>Parmesan</t>
        </is>
      </c>
      <c r="D503" s="47" t="n">
        <v>2</v>
      </c>
      <c r="E503" s="37" t="inlineStr">
        <is>
          <t>tbsp</t>
        </is>
      </c>
      <c r="F503" s="37" t="n"/>
      <c r="G503" s="37" t="inlineStr">
        <is>
          <t>Pantry</t>
        </is>
      </c>
      <c r="H503" s="39" t="n"/>
    </row>
    <row r="504" ht="15" customHeight="1" s="26">
      <c r="A504" s="37" t="inlineStr">
        <is>
          <t>R065</t>
        </is>
      </c>
      <c r="B504" s="37">
        <f>IFERROR(INDEX(Recipes!$B$2:$B$500,MATCH(A504,Recipes!$A$2:$A$500,0)),"")</f>
        <v/>
      </c>
      <c r="C504" s="39" t="inlineStr">
        <is>
          <t>Olive oil</t>
        </is>
      </c>
      <c r="D504" s="47" t="n">
        <v>2</v>
      </c>
      <c r="E504" s="37" t="inlineStr">
        <is>
          <t>tbsp</t>
        </is>
      </c>
      <c r="F504" s="37" t="n"/>
      <c r="G504" s="37" t="inlineStr">
        <is>
          <t>Staple</t>
        </is>
      </c>
      <c r="H504" s="39" t="n"/>
    </row>
    <row r="505" ht="15" customHeight="1" s="26">
      <c r="A505" s="37" t="inlineStr">
        <is>
          <t>R066</t>
        </is>
      </c>
      <c r="B505" s="37">
        <f>IFERROR(INDEX(Recipes!$B$2:$B$500,MATCH(A505,Recipes!$A$2:$A$500,0)),"")</f>
        <v/>
      </c>
      <c r="C505" s="39" t="inlineStr">
        <is>
          <t>Red bell pepper</t>
        </is>
      </c>
      <c r="D505" s="47" t="n">
        <v>4</v>
      </c>
      <c r="E505" s="37" t="inlineStr">
        <is>
          <t>pc</t>
        </is>
      </c>
      <c r="F505" s="37" t="inlineStr">
        <is>
          <t>P044</t>
        </is>
      </c>
      <c r="G505" s="37" t="inlineStr">
        <is>
          <t>Basket</t>
        </is>
      </c>
      <c r="H505" s="39" t="inlineStr">
        <is>
          <t>large</t>
        </is>
      </c>
    </row>
    <row r="506" ht="15" customHeight="1" s="26">
      <c r="A506" s="37" t="inlineStr">
        <is>
          <t>R066</t>
        </is>
      </c>
      <c r="B506" s="37">
        <f>IFERROR(INDEX(Recipes!$B$2:$B$500,MATCH(A506,Recipes!$A$2:$A$500,0)),"")</f>
        <v/>
      </c>
      <c r="C506" s="39" t="inlineStr">
        <is>
          <t>Minced beef</t>
        </is>
      </c>
      <c r="D506" s="47" t="n">
        <v>200</v>
      </c>
      <c r="E506" s="37" t="inlineStr">
        <is>
          <t>g</t>
        </is>
      </c>
      <c r="F506" s="37" t="n"/>
      <c r="G506" s="37" t="inlineStr">
        <is>
          <t>Protein</t>
        </is>
      </c>
      <c r="H506" s="39" t="n"/>
    </row>
    <row r="507" ht="15" customHeight="1" s="26">
      <c r="A507" s="37" t="inlineStr">
        <is>
          <t>R066</t>
        </is>
      </c>
      <c r="B507" s="37">
        <f>IFERROR(INDEX(Recipes!$B$2:$B$500,MATCH(A507,Recipes!$A$2:$A$500,0)),"")</f>
        <v/>
      </c>
      <c r="C507" s="39" t="inlineStr">
        <is>
          <t>Rice</t>
        </is>
      </c>
      <c r="D507" s="47" t="n">
        <v>1</v>
      </c>
      <c r="E507" s="37" t="inlineStr">
        <is>
          <t>cup</t>
        </is>
      </c>
      <c r="F507" s="37" t="n"/>
      <c r="G507" s="37" t="inlineStr">
        <is>
          <t>Pantry</t>
        </is>
      </c>
      <c r="H507" s="39" t="inlineStr">
        <is>
          <t>cooked</t>
        </is>
      </c>
    </row>
    <row r="508" ht="15" customHeight="1" s="26">
      <c r="A508" s="37" t="inlineStr">
        <is>
          <t>R066</t>
        </is>
      </c>
      <c r="B508" s="37">
        <f>IFERROR(INDEX(Recipes!$B$2:$B$500,MATCH(A508,Recipes!$A$2:$A$500,0)),"")</f>
        <v/>
      </c>
      <c r="C508" s="39" t="inlineStr">
        <is>
          <t>Sweet corn</t>
        </is>
      </c>
      <c r="D508" s="47" t="n">
        <v>1</v>
      </c>
      <c r="E508" s="37" t="inlineStr">
        <is>
          <t>cob</t>
        </is>
      </c>
      <c r="F508" s="37" t="inlineStr">
        <is>
          <t>P060</t>
        </is>
      </c>
      <c r="G508" s="37" t="inlineStr">
        <is>
          <t>Basket</t>
        </is>
      </c>
      <c r="H508" s="39" t="n"/>
    </row>
    <row r="509" ht="15" customHeight="1" s="26">
      <c r="A509" s="37" t="inlineStr">
        <is>
          <t>R066</t>
        </is>
      </c>
      <c r="B509" s="37">
        <f>IFERROR(INDEX(Recipes!$B$2:$B$500,MATCH(A509,Recipes!$A$2:$A$500,0)),"")</f>
        <v/>
      </c>
      <c r="C509" s="39" t="inlineStr">
        <is>
          <t>Tomato (plum)</t>
        </is>
      </c>
      <c r="D509" s="47" t="n">
        <v>2</v>
      </c>
      <c r="E509" s="37" t="inlineStr">
        <is>
          <t>pc</t>
        </is>
      </c>
      <c r="F509" s="37" t="inlineStr">
        <is>
          <t>P042</t>
        </is>
      </c>
      <c r="G509" s="37" t="inlineStr">
        <is>
          <t>Basket</t>
        </is>
      </c>
      <c r="H509" s="39" t="n"/>
    </row>
    <row r="510" ht="15" customHeight="1" s="26">
      <c r="A510" s="37" t="inlineStr">
        <is>
          <t>R066</t>
        </is>
      </c>
      <c r="B510" s="37">
        <f>IFERROR(INDEX(Recipes!$B$2:$B$500,MATCH(A510,Recipes!$A$2:$A$500,0)),"")</f>
        <v/>
      </c>
      <c r="C510" s="39" t="inlineStr">
        <is>
          <t>Onion (red &amp; white)</t>
        </is>
      </c>
      <c r="D510" s="47" t="n">
        <v>1</v>
      </c>
      <c r="E510" s="37" t="inlineStr">
        <is>
          <t>pc</t>
        </is>
      </c>
      <c r="F510" s="37" t="inlineStr">
        <is>
          <t>P048</t>
        </is>
      </c>
      <c r="G510" s="37" t="inlineStr">
        <is>
          <t>Basket</t>
        </is>
      </c>
      <c r="H510" s="39" t="n"/>
    </row>
    <row r="511" ht="15" customHeight="1" s="26">
      <c r="A511" s="37" t="inlineStr">
        <is>
          <t>R066</t>
        </is>
      </c>
      <c r="B511" s="37">
        <f>IFERROR(INDEX(Recipes!$B$2:$B$500,MATCH(A511,Recipes!$A$2:$A$500,0)),"")</f>
        <v/>
      </c>
      <c r="C511" s="39" t="inlineStr">
        <is>
          <t>Garlic</t>
        </is>
      </c>
      <c r="D511" s="47" t="n">
        <v>2</v>
      </c>
      <c r="E511" s="37" t="inlineStr">
        <is>
          <t>cloves</t>
        </is>
      </c>
      <c r="F511" s="37" t="inlineStr">
        <is>
          <t>P051</t>
        </is>
      </c>
      <c r="G511" s="37" t="inlineStr">
        <is>
          <t>Basket</t>
        </is>
      </c>
      <c r="H511" s="39" t="n"/>
    </row>
    <row r="512" ht="15" customHeight="1" s="26">
      <c r="A512" s="37" t="inlineStr">
        <is>
          <t>R066</t>
        </is>
      </c>
      <c r="B512" s="37">
        <f>IFERROR(INDEX(Recipes!$B$2:$B$500,MATCH(A512,Recipes!$A$2:$A$500,0)),"")</f>
        <v/>
      </c>
      <c r="C512" s="39" t="inlineStr">
        <is>
          <t>Scotch bonnet</t>
        </is>
      </c>
      <c r="D512" s="47" t="n">
        <v>0.25</v>
      </c>
      <c r="E512" s="37" t="inlineStr">
        <is>
          <t>pc</t>
        </is>
      </c>
      <c r="F512" s="37" t="inlineStr">
        <is>
          <t>P046</t>
        </is>
      </c>
      <c r="G512" s="37" t="inlineStr">
        <is>
          <t>Basket</t>
        </is>
      </c>
      <c r="H512" s="39" t="n"/>
    </row>
    <row r="513" ht="15" customHeight="1" s="26">
      <c r="A513" s="37" t="inlineStr">
        <is>
          <t>R066</t>
        </is>
      </c>
      <c r="B513" s="37">
        <f>IFERROR(INDEX(Recipes!$B$2:$B$500,MATCH(A513,Recipes!$A$2:$A$500,0)),"")</f>
        <v/>
      </c>
      <c r="C513" s="39" t="inlineStr">
        <is>
          <t>Curry powder and thyme</t>
        </is>
      </c>
      <c r="D513" s="47" t="n">
        <v>1</v>
      </c>
      <c r="E513" s="37" t="inlineStr">
        <is>
          <t>tsp</t>
        </is>
      </c>
      <c r="F513" s="37" t="n"/>
      <c r="G513" s="37" t="inlineStr">
        <is>
          <t>Pantry</t>
        </is>
      </c>
      <c r="H513" s="39" t="n"/>
    </row>
    <row r="514" ht="15" customHeight="1" s="26">
      <c r="A514" s="37" t="inlineStr">
        <is>
          <t>R066</t>
        </is>
      </c>
      <c r="B514" s="37">
        <f>IFERROR(INDEX(Recipes!$B$2:$B$500,MATCH(A514,Recipes!$A$2:$A$500,0)),"")</f>
        <v/>
      </c>
      <c r="C514" s="39" t="inlineStr">
        <is>
          <t>Grated cheese</t>
        </is>
      </c>
      <c r="D514" s="47" t="n">
        <v>0.5</v>
      </c>
      <c r="E514" s="37" t="inlineStr">
        <is>
          <t>cup</t>
        </is>
      </c>
      <c r="F514" s="37" t="n"/>
      <c r="G514" s="37" t="inlineStr">
        <is>
          <t>Pantry</t>
        </is>
      </c>
      <c r="H514" s="39" t="n"/>
    </row>
    <row r="515" ht="15" customHeight="1" s="26">
      <c r="A515" s="37" t="inlineStr">
        <is>
          <t>R066</t>
        </is>
      </c>
      <c r="B515" s="37">
        <f>IFERROR(INDEX(Recipes!$B$2:$B$500,MATCH(A515,Recipes!$A$2:$A$500,0)),"")</f>
        <v/>
      </c>
      <c r="C515" s="39" t="inlineStr">
        <is>
          <t>Oil</t>
        </is>
      </c>
      <c r="D515" s="47" t="n">
        <v>1</v>
      </c>
      <c r="E515" s="37" t="inlineStr">
        <is>
          <t>tbsp</t>
        </is>
      </c>
      <c r="F515" s="37" t="n"/>
      <c r="G515" s="37" t="inlineStr">
        <is>
          <t>Staple</t>
        </is>
      </c>
      <c r="H515" s="39" t="n"/>
    </row>
    <row r="516" ht="15" customHeight="1" s="26">
      <c r="A516" s="37" t="inlineStr">
        <is>
          <t>R067</t>
        </is>
      </c>
      <c r="B516" s="37">
        <f>IFERROR(INDEX(Recipes!$B$2:$B$500,MATCH(A516,Recipes!$A$2:$A$500,0)),"")</f>
        <v/>
      </c>
      <c r="C516" s="39" t="inlineStr">
        <is>
          <t>Rice</t>
        </is>
      </c>
      <c r="D516" s="47" t="n">
        <v>2</v>
      </c>
      <c r="E516" s="37" t="inlineStr">
        <is>
          <t>cups</t>
        </is>
      </c>
      <c r="F516" s="37" t="n"/>
      <c r="G516" s="37" t="inlineStr">
        <is>
          <t>Pantry</t>
        </is>
      </c>
      <c r="H516" s="39" t="inlineStr">
        <is>
          <t>cooked, day-old</t>
        </is>
      </c>
    </row>
    <row r="517" ht="15" customHeight="1" s="26">
      <c r="A517" s="37" t="inlineStr">
        <is>
          <t>R067</t>
        </is>
      </c>
      <c r="B517" s="37">
        <f>IFERROR(INDEX(Recipes!$B$2:$B$500,MATCH(A517,Recipes!$A$2:$A$500,0)),"")</f>
        <v/>
      </c>
      <c r="C517" s="39" t="inlineStr">
        <is>
          <t>Eggs</t>
        </is>
      </c>
      <c r="D517" s="47" t="n">
        <v>3</v>
      </c>
      <c r="E517" s="37" t="inlineStr">
        <is>
          <t>pc</t>
        </is>
      </c>
      <c r="F517" s="37" t="n"/>
      <c r="G517" s="37" t="inlineStr">
        <is>
          <t>Protein</t>
        </is>
      </c>
      <c r="H517" s="39" t="n"/>
    </row>
    <row r="518" ht="15" customHeight="1" s="26">
      <c r="A518" s="37" t="inlineStr">
        <is>
          <t>R067</t>
        </is>
      </c>
      <c r="B518" s="37">
        <f>IFERROR(INDEX(Recipes!$B$2:$B$500,MATCH(A518,Recipes!$A$2:$A$500,0)),"")</f>
        <v/>
      </c>
      <c r="C518" s="39" t="inlineStr">
        <is>
          <t>Carrot</t>
        </is>
      </c>
      <c r="D518" s="47" t="n">
        <v>2</v>
      </c>
      <c r="E518" s="37" t="inlineStr">
        <is>
          <t>pc</t>
        </is>
      </c>
      <c r="F518" s="37" t="inlineStr">
        <is>
          <t>P055</t>
        </is>
      </c>
      <c r="G518" s="37" t="inlineStr">
        <is>
          <t>Basket</t>
        </is>
      </c>
      <c r="H518" s="39" t="n"/>
    </row>
    <row r="519" ht="15" customHeight="1" s="26">
      <c r="A519" s="37" t="inlineStr">
        <is>
          <t>R067</t>
        </is>
      </c>
      <c r="B519" s="37">
        <f>IFERROR(INDEX(Recipes!$B$2:$B$500,MATCH(A519,Recipes!$A$2:$A$500,0)),"")</f>
        <v/>
      </c>
      <c r="C519" s="39" t="inlineStr">
        <is>
          <t>Green beans</t>
        </is>
      </c>
      <c r="D519" s="47" t="n">
        <v>100</v>
      </c>
      <c r="E519" s="37" t="inlineStr">
        <is>
          <t>g</t>
        </is>
      </c>
      <c r="F519" s="37" t="inlineStr">
        <is>
          <t>P059</t>
        </is>
      </c>
      <c r="G519" s="37" t="inlineStr">
        <is>
          <t>Basket</t>
        </is>
      </c>
      <c r="H519" s="39" t="n"/>
    </row>
    <row r="520" ht="15" customHeight="1" s="26">
      <c r="A520" s="37" t="inlineStr">
        <is>
          <t>R067</t>
        </is>
      </c>
      <c r="B520" s="37">
        <f>IFERROR(INDEX(Recipes!$B$2:$B$500,MATCH(A520,Recipes!$A$2:$A$500,0)),"")</f>
        <v/>
      </c>
      <c r="C520" s="39" t="inlineStr">
        <is>
          <t>Sweet corn</t>
        </is>
      </c>
      <c r="D520" s="47" t="n">
        <v>1</v>
      </c>
      <c r="E520" s="37" t="inlineStr">
        <is>
          <t>cob</t>
        </is>
      </c>
      <c r="F520" s="37" t="inlineStr">
        <is>
          <t>P060</t>
        </is>
      </c>
      <c r="G520" s="37" t="inlineStr">
        <is>
          <t>Basket</t>
        </is>
      </c>
      <c r="H520" s="39" t="n"/>
    </row>
    <row r="521" ht="15" customHeight="1" s="26">
      <c r="A521" s="37" t="inlineStr">
        <is>
          <t>R067</t>
        </is>
      </c>
      <c r="B521" s="37">
        <f>IFERROR(INDEX(Recipes!$B$2:$B$500,MATCH(A521,Recipes!$A$2:$A$500,0)),"")</f>
        <v/>
      </c>
      <c r="C521" s="39" t="inlineStr">
        <is>
          <t>Spring onion</t>
        </is>
      </c>
      <c r="D521" s="47" t="n">
        <v>3</v>
      </c>
      <c r="E521" s="37" t="inlineStr">
        <is>
          <t>stalks</t>
        </is>
      </c>
      <c r="F521" s="37" t="inlineStr">
        <is>
          <t>P049</t>
        </is>
      </c>
      <c r="G521" s="37" t="inlineStr">
        <is>
          <t>Basket</t>
        </is>
      </c>
      <c r="H521" s="39" t="n"/>
    </row>
    <row r="522" ht="15" customHeight="1" s="26">
      <c r="A522" s="37" t="inlineStr">
        <is>
          <t>R067</t>
        </is>
      </c>
      <c r="B522" s="37">
        <f>IFERROR(INDEX(Recipes!$B$2:$B$500,MATCH(A522,Recipes!$A$2:$A$500,0)),"")</f>
        <v/>
      </c>
      <c r="C522" s="39" t="inlineStr">
        <is>
          <t>Garlic</t>
        </is>
      </c>
      <c r="D522" s="47" t="n">
        <v>2</v>
      </c>
      <c r="E522" s="37" t="inlineStr">
        <is>
          <t>cloves</t>
        </is>
      </c>
      <c r="F522" s="37" t="inlineStr">
        <is>
          <t>P051</t>
        </is>
      </c>
      <c r="G522" s="37" t="inlineStr">
        <is>
          <t>Basket</t>
        </is>
      </c>
      <c r="H522" s="39" t="n"/>
    </row>
    <row r="523" ht="15" customHeight="1" s="26">
      <c r="A523" s="37" t="inlineStr">
        <is>
          <t>R067</t>
        </is>
      </c>
      <c r="B523" s="37">
        <f>IFERROR(INDEX(Recipes!$B$2:$B$500,MATCH(A523,Recipes!$A$2:$A$500,0)),"")</f>
        <v/>
      </c>
      <c r="C523" s="39" t="inlineStr">
        <is>
          <t>Ginger</t>
        </is>
      </c>
      <c r="D523" s="47" t="n">
        <v>1</v>
      </c>
      <c r="E523" s="37" t="inlineStr">
        <is>
          <t>thumb</t>
        </is>
      </c>
      <c r="F523" s="37" t="inlineStr">
        <is>
          <t>P052</t>
        </is>
      </c>
      <c r="G523" s="37" t="inlineStr">
        <is>
          <t>Basket</t>
        </is>
      </c>
      <c r="H523" s="39" t="n"/>
    </row>
    <row r="524" ht="15" customHeight="1" s="26">
      <c r="A524" s="37" t="inlineStr">
        <is>
          <t>R067</t>
        </is>
      </c>
      <c r="B524" s="37">
        <f>IFERROR(INDEX(Recipes!$B$2:$B$500,MATCH(A524,Recipes!$A$2:$A$500,0)),"")</f>
        <v/>
      </c>
      <c r="C524" s="39" t="inlineStr">
        <is>
          <t>Soy sauce</t>
        </is>
      </c>
      <c r="D524" s="47" t="n">
        <v>2</v>
      </c>
      <c r="E524" s="37" t="inlineStr">
        <is>
          <t>tbsp</t>
        </is>
      </c>
      <c r="F524" s="37" t="n"/>
      <c r="G524" s="37" t="inlineStr">
        <is>
          <t>Pantry</t>
        </is>
      </c>
      <c r="H524" s="39" t="n"/>
    </row>
    <row r="525" ht="15" customHeight="1" s="26">
      <c r="A525" s="37" t="inlineStr">
        <is>
          <t>R067</t>
        </is>
      </c>
      <c r="B525" s="37">
        <f>IFERROR(INDEX(Recipes!$B$2:$B$500,MATCH(A525,Recipes!$A$2:$A$500,0)),"")</f>
        <v/>
      </c>
      <c r="C525" s="39" t="inlineStr">
        <is>
          <t>Curry powder</t>
        </is>
      </c>
      <c r="D525" s="47" t="n">
        <v>1</v>
      </c>
      <c r="E525" s="37" t="inlineStr">
        <is>
          <t>tsp</t>
        </is>
      </c>
      <c r="F525" s="37" t="n"/>
      <c r="G525" s="37" t="inlineStr">
        <is>
          <t>Pantry</t>
        </is>
      </c>
      <c r="H525" s="39" t="n"/>
    </row>
    <row r="526" ht="15" customHeight="1" s="26">
      <c r="A526" s="37" t="inlineStr">
        <is>
          <t>R067</t>
        </is>
      </c>
      <c r="B526" s="37">
        <f>IFERROR(INDEX(Recipes!$B$2:$B$500,MATCH(A526,Recipes!$A$2:$A$500,0)),"")</f>
        <v/>
      </c>
      <c r="C526" s="39" t="inlineStr">
        <is>
          <t>Oil</t>
        </is>
      </c>
      <c r="D526" s="47" t="n">
        <v>1</v>
      </c>
      <c r="E526" s="37" t="inlineStr">
        <is>
          <t>tbsp</t>
        </is>
      </c>
      <c r="F526" s="37" t="n"/>
      <c r="G526" s="37" t="inlineStr">
        <is>
          <t>Staple</t>
        </is>
      </c>
      <c r="H526" s="39" t="n"/>
    </row>
    <row r="527" ht="15" customHeight="1" s="26">
      <c r="A527" s="37" t="inlineStr">
        <is>
          <t>R068</t>
        </is>
      </c>
      <c r="B527" s="37">
        <f>IFERROR(INDEX(Recipes!$B$2:$B$500,MATCH(A527,Recipes!$A$2:$A$500,0)),"")</f>
        <v/>
      </c>
      <c r="C527" s="39" t="inlineStr">
        <is>
          <t>Prawns</t>
        </is>
      </c>
      <c r="D527" s="47" t="n">
        <v>300</v>
      </c>
      <c r="E527" s="37" t="inlineStr">
        <is>
          <t>g</t>
        </is>
      </c>
      <c r="F527" s="37" t="n"/>
      <c r="G527" s="37" t="inlineStr">
        <is>
          <t>Protein</t>
        </is>
      </c>
      <c r="H527" s="39" t="n"/>
    </row>
    <row r="528" ht="15" customHeight="1" s="26">
      <c r="A528" s="37" t="inlineStr">
        <is>
          <t>R068</t>
        </is>
      </c>
      <c r="B528" s="37">
        <f>IFERROR(INDEX(Recipes!$B$2:$B$500,MATCH(A528,Recipes!$A$2:$A$500,0)),"")</f>
        <v/>
      </c>
      <c r="C528" s="39" t="inlineStr">
        <is>
          <t>Okra</t>
        </is>
      </c>
      <c r="D528" s="47" t="n">
        <v>200</v>
      </c>
      <c r="E528" s="37" t="inlineStr">
        <is>
          <t>g</t>
        </is>
      </c>
      <c r="F528" s="37" t="inlineStr">
        <is>
          <t>P062</t>
        </is>
      </c>
      <c r="G528" s="37" t="inlineStr">
        <is>
          <t>Basket</t>
        </is>
      </c>
      <c r="H528" s="39" t="n"/>
    </row>
    <row r="529" ht="15" customHeight="1" s="26">
      <c r="A529" s="37" t="inlineStr">
        <is>
          <t>R068</t>
        </is>
      </c>
      <c r="B529" s="37">
        <f>IFERROR(INDEX(Recipes!$B$2:$B$500,MATCH(A529,Recipes!$A$2:$A$500,0)),"")</f>
        <v/>
      </c>
      <c r="C529" s="39" t="inlineStr">
        <is>
          <t>Onion (red &amp; white)</t>
        </is>
      </c>
      <c r="D529" s="47" t="n">
        <v>1</v>
      </c>
      <c r="E529" s="37" t="inlineStr">
        <is>
          <t>pc</t>
        </is>
      </c>
      <c r="F529" s="37" t="inlineStr">
        <is>
          <t>P048</t>
        </is>
      </c>
      <c r="G529" s="37" t="inlineStr">
        <is>
          <t>Basket</t>
        </is>
      </c>
      <c r="H529" s="39" t="n"/>
    </row>
    <row r="530" ht="15" customHeight="1" s="26">
      <c r="A530" s="37" t="inlineStr">
        <is>
          <t>R068</t>
        </is>
      </c>
      <c r="B530" s="37">
        <f>IFERROR(INDEX(Recipes!$B$2:$B$500,MATCH(A530,Recipes!$A$2:$A$500,0)),"")</f>
        <v/>
      </c>
      <c r="C530" s="39" t="inlineStr">
        <is>
          <t>Tomato (plum)</t>
        </is>
      </c>
      <c r="D530" s="47" t="n">
        <v>2</v>
      </c>
      <c r="E530" s="37" t="inlineStr">
        <is>
          <t>pc</t>
        </is>
      </c>
      <c r="F530" s="37" t="inlineStr">
        <is>
          <t>P042</t>
        </is>
      </c>
      <c r="G530" s="37" t="inlineStr">
        <is>
          <t>Basket</t>
        </is>
      </c>
      <c r="H530" s="39" t="n"/>
    </row>
    <row r="531" ht="15" customHeight="1" s="26">
      <c r="A531" s="37" t="inlineStr">
        <is>
          <t>R068</t>
        </is>
      </c>
      <c r="B531" s="37">
        <f>IFERROR(INDEX(Recipes!$B$2:$B$500,MATCH(A531,Recipes!$A$2:$A$500,0)),"")</f>
        <v/>
      </c>
      <c r="C531" s="39" t="inlineStr">
        <is>
          <t>Garlic</t>
        </is>
      </c>
      <c r="D531" s="47" t="n">
        <v>3</v>
      </c>
      <c r="E531" s="37" t="inlineStr">
        <is>
          <t>cloves</t>
        </is>
      </c>
      <c r="F531" s="37" t="inlineStr">
        <is>
          <t>P051</t>
        </is>
      </c>
      <c r="G531" s="37" t="inlineStr">
        <is>
          <t>Basket</t>
        </is>
      </c>
      <c r="H531" s="39" t="n"/>
    </row>
    <row r="532" ht="15" customHeight="1" s="26">
      <c r="A532" s="37" t="inlineStr">
        <is>
          <t>R068</t>
        </is>
      </c>
      <c r="B532" s="37">
        <f>IFERROR(INDEX(Recipes!$B$2:$B$500,MATCH(A532,Recipes!$A$2:$A$500,0)),"")</f>
        <v/>
      </c>
      <c r="C532" s="39" t="inlineStr">
        <is>
          <t>Ginger</t>
        </is>
      </c>
      <c r="D532" s="47" t="n">
        <v>1</v>
      </c>
      <c r="E532" s="37" t="inlineStr">
        <is>
          <t>thumb</t>
        </is>
      </c>
      <c r="F532" s="37" t="inlineStr">
        <is>
          <t>P052</t>
        </is>
      </c>
      <c r="G532" s="37" t="inlineStr">
        <is>
          <t>Basket</t>
        </is>
      </c>
      <c r="H532" s="39" t="n"/>
    </row>
    <row r="533" ht="15" customHeight="1" s="26">
      <c r="A533" s="37" t="inlineStr">
        <is>
          <t>R068</t>
        </is>
      </c>
      <c r="B533" s="37">
        <f>IFERROR(INDEX(Recipes!$B$2:$B$500,MATCH(A533,Recipes!$A$2:$A$500,0)),"")</f>
        <v/>
      </c>
      <c r="C533" s="39" t="inlineStr">
        <is>
          <t>Turmeric (fresh)</t>
        </is>
      </c>
      <c r="D533" s="47" t="n">
        <v>1</v>
      </c>
      <c r="E533" s="37" t="inlineStr">
        <is>
          <t>thumb</t>
        </is>
      </c>
      <c r="F533" s="37" t="inlineStr">
        <is>
          <t>P053</t>
        </is>
      </c>
      <c r="G533" s="37" t="inlineStr">
        <is>
          <t>Basket</t>
        </is>
      </c>
      <c r="H533" s="39" t="inlineStr">
        <is>
          <t>fresh</t>
        </is>
      </c>
    </row>
    <row r="534" ht="15" customHeight="1" s="26">
      <c r="A534" s="37" t="inlineStr">
        <is>
          <t>R068</t>
        </is>
      </c>
      <c r="B534" s="37">
        <f>IFERROR(INDEX(Recipes!$B$2:$B$500,MATCH(A534,Recipes!$A$2:$A$500,0)),"")</f>
        <v/>
      </c>
      <c r="C534" s="39" t="inlineStr">
        <is>
          <t>Scotch bonnet</t>
        </is>
      </c>
      <c r="D534" s="47" t="n">
        <v>0.25</v>
      </c>
      <c r="E534" s="37" t="inlineStr">
        <is>
          <t>pc</t>
        </is>
      </c>
      <c r="F534" s="37" t="inlineStr">
        <is>
          <t>P046</t>
        </is>
      </c>
      <c r="G534" s="37" t="inlineStr">
        <is>
          <t>Basket</t>
        </is>
      </c>
      <c r="H534" s="39" t="n"/>
    </row>
    <row r="535" ht="15" customHeight="1" s="26">
      <c r="A535" s="37" t="inlineStr">
        <is>
          <t>R068</t>
        </is>
      </c>
      <c r="B535" s="37">
        <f>IFERROR(INDEX(Recipes!$B$2:$B$500,MATCH(A535,Recipes!$A$2:$A$500,0)),"")</f>
        <v/>
      </c>
      <c r="C535" s="39" t="inlineStr">
        <is>
          <t>Coconut</t>
        </is>
      </c>
      <c r="D535" s="47" t="n">
        <v>0.5</v>
      </c>
      <c r="E535" s="37" t="inlineStr">
        <is>
          <t>pc</t>
        </is>
      </c>
      <c r="F535" s="37" t="inlineStr">
        <is>
          <t>P016</t>
        </is>
      </c>
      <c r="G535" s="37" t="inlineStr">
        <is>
          <t>Basket</t>
        </is>
      </c>
      <c r="H535" s="39" t="inlineStr">
        <is>
          <t>for 1 cup fresh milk</t>
        </is>
      </c>
    </row>
    <row r="536" ht="15" customHeight="1" s="26">
      <c r="A536" s="37" t="inlineStr">
        <is>
          <t>R068</t>
        </is>
      </c>
      <c r="B536" s="37">
        <f>IFERROR(INDEX(Recipes!$B$2:$B$500,MATCH(A536,Recipes!$A$2:$A$500,0)),"")</f>
        <v/>
      </c>
      <c r="C536" s="39" t="inlineStr">
        <is>
          <t>Lime</t>
        </is>
      </c>
      <c r="D536" s="47" t="n">
        <v>1</v>
      </c>
      <c r="E536" s="37" t="inlineStr">
        <is>
          <t>pc</t>
        </is>
      </c>
      <c r="F536" s="37" t="inlineStr">
        <is>
          <t>P010</t>
        </is>
      </c>
      <c r="G536" s="37" t="inlineStr">
        <is>
          <t>Basket</t>
        </is>
      </c>
      <c r="H536" s="39" t="n"/>
    </row>
    <row r="537" ht="15" customHeight="1" s="26">
      <c r="A537" s="37" t="inlineStr">
        <is>
          <t>R068</t>
        </is>
      </c>
      <c r="B537" s="37">
        <f>IFERROR(INDEX(Recipes!$B$2:$B$500,MATCH(A537,Recipes!$A$2:$A$500,0)),"")</f>
        <v/>
      </c>
      <c r="C537" s="39" t="inlineStr">
        <is>
          <t>Curry powder</t>
        </is>
      </c>
      <c r="D537" s="47" t="n">
        <v>1</v>
      </c>
      <c r="E537" s="37" t="inlineStr">
        <is>
          <t>tbsp</t>
        </is>
      </c>
      <c r="F537" s="37" t="n"/>
      <c r="G537" s="37" t="inlineStr">
        <is>
          <t>Pantry</t>
        </is>
      </c>
      <c r="H537" s="39" t="n"/>
    </row>
    <row r="538" ht="15" customHeight="1" s="26">
      <c r="A538" s="37" t="inlineStr">
        <is>
          <t>R068</t>
        </is>
      </c>
      <c r="B538" s="37">
        <f>IFERROR(INDEX(Recipes!$B$2:$B$500,MATCH(A538,Recipes!$A$2:$A$500,0)),"")</f>
        <v/>
      </c>
      <c r="C538" s="39" t="inlineStr">
        <is>
          <t>Rice</t>
        </is>
      </c>
      <c r="D538" s="47" t="n">
        <v>1.5</v>
      </c>
      <c r="E538" s="37" t="inlineStr">
        <is>
          <t>cups</t>
        </is>
      </c>
      <c r="F538" s="37" t="n"/>
      <c r="G538" s="37" t="inlineStr">
        <is>
          <t>Pantry</t>
        </is>
      </c>
      <c r="H538" s="39" t="n"/>
    </row>
    <row r="539" ht="15" customHeight="1" s="26">
      <c r="A539" s="37" t="inlineStr">
        <is>
          <t>R068</t>
        </is>
      </c>
      <c r="B539" s="37">
        <f>IFERROR(INDEX(Recipes!$B$2:$B$500,MATCH(A539,Recipes!$A$2:$A$500,0)),"")</f>
        <v/>
      </c>
      <c r="C539" s="39" t="inlineStr">
        <is>
          <t>Oil</t>
        </is>
      </c>
      <c r="D539" s="47" t="n">
        <v>1</v>
      </c>
      <c r="E539" s="37" t="inlineStr">
        <is>
          <t>tbsp</t>
        </is>
      </c>
      <c r="F539" s="37" t="n"/>
      <c r="G539" s="37" t="inlineStr">
        <is>
          <t>Staple</t>
        </is>
      </c>
      <c r="H539" s="39" t="n"/>
    </row>
    <row r="540" ht="15" customHeight="1" s="26">
      <c r="A540" s="37" t="inlineStr">
        <is>
          <t>R069</t>
        </is>
      </c>
      <c r="B540" s="37">
        <f>IFERROR(INDEX(Recipes!$B$2:$B$500,MATCH(A540,Recipes!$A$2:$A$500,0)),"")</f>
        <v/>
      </c>
      <c r="C540" s="39" t="inlineStr">
        <is>
          <t>Garden egg</t>
        </is>
      </c>
      <c r="D540" s="47" t="n">
        <v>6</v>
      </c>
      <c r="E540" s="37" t="inlineStr">
        <is>
          <t>pc</t>
        </is>
      </c>
      <c r="F540" s="37" t="inlineStr">
        <is>
          <t>P061</t>
        </is>
      </c>
      <c r="G540" s="37" t="inlineStr">
        <is>
          <t>Basket</t>
        </is>
      </c>
      <c r="H540" s="39" t="n"/>
    </row>
    <row r="541" ht="15" customHeight="1" s="26">
      <c r="A541" s="37" t="inlineStr">
        <is>
          <t>R069</t>
        </is>
      </c>
      <c r="B541" s="37">
        <f>IFERROR(INDEX(Recipes!$B$2:$B$500,MATCH(A541,Recipes!$A$2:$A$500,0)),"")</f>
        <v/>
      </c>
      <c r="C541" s="39" t="inlineStr">
        <is>
          <t>Zucchini (courgette)</t>
        </is>
      </c>
      <c r="D541" s="47" t="n">
        <v>1</v>
      </c>
      <c r="E541" s="37" t="inlineStr">
        <is>
          <t>pc</t>
        </is>
      </c>
      <c r="F541" s="37" t="inlineStr">
        <is>
          <t>P066</t>
        </is>
      </c>
      <c r="G541" s="37" t="inlineStr">
        <is>
          <t>Basket</t>
        </is>
      </c>
      <c r="H541" s="39" t="inlineStr">
        <is>
          <t>optional</t>
        </is>
      </c>
    </row>
    <row r="542" ht="15" customHeight="1" s="26">
      <c r="A542" s="37" t="inlineStr">
        <is>
          <t>R069</t>
        </is>
      </c>
      <c r="B542" s="37">
        <f>IFERROR(INDEX(Recipes!$B$2:$B$500,MATCH(A542,Recipes!$A$2:$A$500,0)),"")</f>
        <v/>
      </c>
      <c r="C542" s="39" t="inlineStr">
        <is>
          <t>Red bell pepper</t>
        </is>
      </c>
      <c r="D542" s="47" t="n">
        <v>2</v>
      </c>
      <c r="E542" s="37" t="inlineStr">
        <is>
          <t>pc</t>
        </is>
      </c>
      <c r="F542" s="37" t="inlineStr">
        <is>
          <t>P044</t>
        </is>
      </c>
      <c r="G542" s="37" t="inlineStr">
        <is>
          <t>Basket</t>
        </is>
      </c>
      <c r="H542" s="39" t="n"/>
    </row>
    <row r="543" ht="15" customHeight="1" s="26">
      <c r="A543" s="37" t="inlineStr">
        <is>
          <t>R069</t>
        </is>
      </c>
      <c r="B543" s="37">
        <f>IFERROR(INDEX(Recipes!$B$2:$B$500,MATCH(A543,Recipes!$A$2:$A$500,0)),"")</f>
        <v/>
      </c>
      <c r="C543" s="39" t="inlineStr">
        <is>
          <t>Green / yellow bell pepper</t>
        </is>
      </c>
      <c r="D543" s="47" t="n">
        <v>1</v>
      </c>
      <c r="E543" s="37" t="inlineStr">
        <is>
          <t>pc</t>
        </is>
      </c>
      <c r="F543" s="37" t="inlineStr">
        <is>
          <t>P045</t>
        </is>
      </c>
      <c r="G543" s="37" t="inlineStr">
        <is>
          <t>Basket</t>
        </is>
      </c>
      <c r="H543" s="39" t="inlineStr">
        <is>
          <t>green</t>
        </is>
      </c>
    </row>
    <row r="544" ht="15" customHeight="1" s="26">
      <c r="A544" s="37" t="inlineStr">
        <is>
          <t>R069</t>
        </is>
      </c>
      <c r="B544" s="37">
        <f>IFERROR(INDEX(Recipes!$B$2:$B$500,MATCH(A544,Recipes!$A$2:$A$500,0)),"")</f>
        <v/>
      </c>
      <c r="C544" s="39" t="inlineStr">
        <is>
          <t>Tomato (plum)</t>
        </is>
      </c>
      <c r="D544" s="47" t="n">
        <v>5</v>
      </c>
      <c r="E544" s="37" t="inlineStr">
        <is>
          <t>pc</t>
        </is>
      </c>
      <c r="F544" s="37" t="inlineStr">
        <is>
          <t>P042</t>
        </is>
      </c>
      <c r="G544" s="37" t="inlineStr">
        <is>
          <t>Basket</t>
        </is>
      </c>
      <c r="H544" s="39" t="n"/>
    </row>
    <row r="545" ht="15" customHeight="1" s="26">
      <c r="A545" s="37" t="inlineStr">
        <is>
          <t>R069</t>
        </is>
      </c>
      <c r="B545" s="37">
        <f>IFERROR(INDEX(Recipes!$B$2:$B$500,MATCH(A545,Recipes!$A$2:$A$500,0)),"")</f>
        <v/>
      </c>
      <c r="C545" s="39" t="inlineStr">
        <is>
          <t>Onion (red &amp; white)</t>
        </is>
      </c>
      <c r="D545" s="47" t="n">
        <v>1</v>
      </c>
      <c r="E545" s="37" t="inlineStr">
        <is>
          <t>pc</t>
        </is>
      </c>
      <c r="F545" s="37" t="inlineStr">
        <is>
          <t>P048</t>
        </is>
      </c>
      <c r="G545" s="37" t="inlineStr">
        <is>
          <t>Basket</t>
        </is>
      </c>
      <c r="H545" s="39" t="n"/>
    </row>
    <row r="546" ht="15" customHeight="1" s="26">
      <c r="A546" s="37" t="inlineStr">
        <is>
          <t>R069</t>
        </is>
      </c>
      <c r="B546" s="37">
        <f>IFERROR(INDEX(Recipes!$B$2:$B$500,MATCH(A546,Recipes!$A$2:$A$500,0)),"")</f>
        <v/>
      </c>
      <c r="C546" s="39" t="inlineStr">
        <is>
          <t>Garlic</t>
        </is>
      </c>
      <c r="D546" s="47" t="n">
        <v>4</v>
      </c>
      <c r="E546" s="37" t="inlineStr">
        <is>
          <t>cloves</t>
        </is>
      </c>
      <c r="F546" s="37" t="inlineStr">
        <is>
          <t>P051</t>
        </is>
      </c>
      <c r="G546" s="37" t="inlineStr">
        <is>
          <t>Basket</t>
        </is>
      </c>
      <c r="H546" s="39" t="n"/>
    </row>
    <row r="547" ht="15" customHeight="1" s="26">
      <c r="A547" s="37" t="inlineStr">
        <is>
          <t>R069</t>
        </is>
      </c>
      <c r="B547" s="37">
        <f>IFERROR(INDEX(Recipes!$B$2:$B$500,MATCH(A547,Recipes!$A$2:$A$500,0)),"")</f>
        <v/>
      </c>
      <c r="C547" s="39" t="inlineStr">
        <is>
          <t>Scent leaf (African basil)</t>
        </is>
      </c>
      <c r="D547" s="47" t="n">
        <v>1</v>
      </c>
      <c r="E547" s="37" t="inlineStr">
        <is>
          <t>handful</t>
        </is>
      </c>
      <c r="F547" s="37" t="inlineStr">
        <is>
          <t>P077</t>
        </is>
      </c>
      <c r="G547" s="37" t="inlineStr">
        <is>
          <t>Basket</t>
        </is>
      </c>
      <c r="H547" s="39" t="inlineStr">
        <is>
          <t>or basil</t>
        </is>
      </c>
    </row>
    <row r="548" ht="15" customHeight="1" s="26">
      <c r="A548" s="37" t="inlineStr">
        <is>
          <t>R069</t>
        </is>
      </c>
      <c r="B548" s="37">
        <f>IFERROR(INDEX(Recipes!$B$2:$B$500,MATCH(A548,Recipes!$A$2:$A$500,0)),"")</f>
        <v/>
      </c>
      <c r="C548" s="39" t="inlineStr">
        <is>
          <t>Dried thyme</t>
        </is>
      </c>
      <c r="D548" s="47" t="n">
        <v>1</v>
      </c>
      <c r="E548" s="37" t="inlineStr">
        <is>
          <t>tsp</t>
        </is>
      </c>
      <c r="F548" s="37" t="n"/>
      <c r="G548" s="37" t="inlineStr">
        <is>
          <t>Pantry</t>
        </is>
      </c>
      <c r="H548" s="39" t="n"/>
    </row>
    <row r="549" ht="15" customHeight="1" s="26">
      <c r="A549" s="37" t="inlineStr">
        <is>
          <t>R069</t>
        </is>
      </c>
      <c r="B549" s="37">
        <f>IFERROR(INDEX(Recipes!$B$2:$B$500,MATCH(A549,Recipes!$A$2:$A$500,0)),"")</f>
        <v/>
      </c>
      <c r="C549" s="39" t="inlineStr">
        <is>
          <t>Olive oil</t>
        </is>
      </c>
      <c r="D549" s="47" t="n">
        <v>3</v>
      </c>
      <c r="E549" s="37" t="inlineStr">
        <is>
          <t>tbsp</t>
        </is>
      </c>
      <c r="F549" s="37" t="n"/>
      <c r="G549" s="37" t="inlineStr">
        <is>
          <t>Staple</t>
        </is>
      </c>
      <c r="H549" s="39" t="n"/>
    </row>
    <row r="550" ht="15" customHeight="1" s="26">
      <c r="A550" s="37" t="inlineStr">
        <is>
          <t>R070</t>
        </is>
      </c>
      <c r="B550" s="37">
        <f>IFERROR(INDEX(Recipes!$B$2:$B$500,MATCH(A550,Recipes!$A$2:$A$500,0)),"")</f>
        <v/>
      </c>
      <c r="C550" s="39" t="inlineStr">
        <is>
          <t>Chicken breast</t>
        </is>
      </c>
      <c r="D550" s="47" t="n">
        <v>2</v>
      </c>
      <c r="E550" s="37" t="inlineStr">
        <is>
          <t>pc</t>
        </is>
      </c>
      <c r="F550" s="37" t="n"/>
      <c r="G550" s="37" t="inlineStr">
        <is>
          <t>Protein</t>
        </is>
      </c>
      <c r="H550" s="39" t="n"/>
    </row>
    <row r="551" ht="15" customHeight="1" s="26">
      <c r="A551" s="37" t="inlineStr">
        <is>
          <t>R070</t>
        </is>
      </c>
      <c r="B551" s="37">
        <f>IFERROR(INDEX(Recipes!$B$2:$B$500,MATCH(A551,Recipes!$A$2:$A$500,0)),"")</f>
        <v/>
      </c>
      <c r="C551" s="39" t="inlineStr">
        <is>
          <t>Scent leaf (African basil)</t>
        </is>
      </c>
      <c r="D551" s="47" t="n">
        <v>1</v>
      </c>
      <c r="E551" s="37" t="inlineStr">
        <is>
          <t>bunch</t>
        </is>
      </c>
      <c r="F551" s="37" t="inlineStr">
        <is>
          <t>P077</t>
        </is>
      </c>
      <c r="G551" s="37" t="inlineStr">
        <is>
          <t>Basket</t>
        </is>
      </c>
      <c r="H551" s="39" t="n"/>
    </row>
    <row r="552" ht="15" customHeight="1" s="26">
      <c r="A552" s="37" t="inlineStr">
        <is>
          <t>R070</t>
        </is>
      </c>
      <c r="B552" s="37">
        <f>IFERROR(INDEX(Recipes!$B$2:$B$500,MATCH(A552,Recipes!$A$2:$A$500,0)),"")</f>
        <v/>
      </c>
      <c r="C552" s="39" t="inlineStr">
        <is>
          <t>Parsley</t>
        </is>
      </c>
      <c r="D552" s="47" t="n">
        <v>0.5</v>
      </c>
      <c r="E552" s="37" t="inlineStr">
        <is>
          <t>bunch</t>
        </is>
      </c>
      <c r="F552" s="37" t="inlineStr">
        <is>
          <t>P081</t>
        </is>
      </c>
      <c r="G552" s="37" t="inlineStr">
        <is>
          <t>Basket</t>
        </is>
      </c>
      <c r="H552" s="39" t="n"/>
    </row>
    <row r="553" ht="15" customHeight="1" s="26">
      <c r="A553" s="37" t="inlineStr">
        <is>
          <t>R070</t>
        </is>
      </c>
      <c r="B553" s="37">
        <f>IFERROR(INDEX(Recipes!$B$2:$B$500,MATCH(A553,Recipes!$A$2:$A$500,0)),"")</f>
        <v/>
      </c>
      <c r="C553" s="39" t="inlineStr">
        <is>
          <t>Garlic</t>
        </is>
      </c>
      <c r="D553" s="47" t="n">
        <v>3</v>
      </c>
      <c r="E553" s="37" t="inlineStr">
        <is>
          <t>cloves</t>
        </is>
      </c>
      <c r="F553" s="37" t="inlineStr">
        <is>
          <t>P051</t>
        </is>
      </c>
      <c r="G553" s="37" t="inlineStr">
        <is>
          <t>Basket</t>
        </is>
      </c>
      <c r="H553" s="39" t="n"/>
    </row>
    <row r="554" ht="15" customHeight="1" s="26">
      <c r="A554" s="37" t="inlineStr">
        <is>
          <t>R070</t>
        </is>
      </c>
      <c r="B554" s="37">
        <f>IFERROR(INDEX(Recipes!$B$2:$B$500,MATCH(A554,Recipes!$A$2:$A$500,0)),"")</f>
        <v/>
      </c>
      <c r="C554" s="39" t="inlineStr">
        <is>
          <t>Scotch bonnet</t>
        </is>
      </c>
      <c r="D554" s="47" t="n">
        <v>0.25</v>
      </c>
      <c r="E554" s="37" t="inlineStr">
        <is>
          <t>pc</t>
        </is>
      </c>
      <c r="F554" s="37" t="inlineStr">
        <is>
          <t>P046</t>
        </is>
      </c>
      <c r="G554" s="37" t="inlineStr">
        <is>
          <t>Basket</t>
        </is>
      </c>
      <c r="H554" s="39" t="n"/>
    </row>
    <row r="555" ht="15" customHeight="1" s="26">
      <c r="A555" s="37" t="inlineStr">
        <is>
          <t>R070</t>
        </is>
      </c>
      <c r="B555" s="37">
        <f>IFERROR(INDEX(Recipes!$B$2:$B$500,MATCH(A555,Recipes!$A$2:$A$500,0)),"")</f>
        <v/>
      </c>
      <c r="C555" s="39" t="inlineStr">
        <is>
          <t>Lime</t>
        </is>
      </c>
      <c r="D555" s="47" t="n">
        <v>1</v>
      </c>
      <c r="E555" s="37" t="inlineStr">
        <is>
          <t>pc</t>
        </is>
      </c>
      <c r="F555" s="37" t="inlineStr">
        <is>
          <t>P010</t>
        </is>
      </c>
      <c r="G555" s="37" t="inlineStr">
        <is>
          <t>Basket</t>
        </is>
      </c>
      <c r="H555" s="39" t="n"/>
    </row>
    <row r="556" ht="15" customHeight="1" s="26">
      <c r="A556" s="37" t="inlineStr">
        <is>
          <t>R070</t>
        </is>
      </c>
      <c r="B556" s="37">
        <f>IFERROR(INDEX(Recipes!$B$2:$B$500,MATCH(A556,Recipes!$A$2:$A$500,0)),"")</f>
        <v/>
      </c>
      <c r="C556" s="39" t="inlineStr">
        <is>
          <t>Sweet potato</t>
        </is>
      </c>
      <c r="D556" s="47" t="n">
        <v>2</v>
      </c>
      <c r="E556" s="37" t="inlineStr">
        <is>
          <t>pc</t>
        </is>
      </c>
      <c r="F556" s="37" t="inlineStr">
        <is>
          <t>P069</t>
        </is>
      </c>
      <c r="G556" s="37" t="inlineStr">
        <is>
          <t>Basket</t>
        </is>
      </c>
      <c r="H556" s="39" t="inlineStr">
        <is>
          <t>for wedges</t>
        </is>
      </c>
    </row>
    <row r="557" ht="15" customHeight="1" s="26">
      <c r="A557" s="37" t="inlineStr">
        <is>
          <t>R070</t>
        </is>
      </c>
      <c r="B557" s="37">
        <f>IFERROR(INDEX(Recipes!$B$2:$B$500,MATCH(A557,Recipes!$A$2:$A$500,0)),"")</f>
        <v/>
      </c>
      <c r="C557" s="39" t="inlineStr">
        <is>
          <t>Vinegar</t>
        </is>
      </c>
      <c r="D557" s="47" t="n">
        <v>2</v>
      </c>
      <c r="E557" s="37" t="inlineStr">
        <is>
          <t>tbsp</t>
        </is>
      </c>
      <c r="F557" s="37" t="n"/>
      <c r="G557" s="37" t="inlineStr">
        <is>
          <t>Pantry</t>
        </is>
      </c>
      <c r="H557" s="39" t="n"/>
    </row>
    <row r="558" ht="15" customHeight="1" s="26">
      <c r="A558" s="37" t="inlineStr">
        <is>
          <t>R070</t>
        </is>
      </c>
      <c r="B558" s="37">
        <f>IFERROR(INDEX(Recipes!$B$2:$B$500,MATCH(A558,Recipes!$A$2:$A$500,0)),"")</f>
        <v/>
      </c>
      <c r="C558" s="39" t="inlineStr">
        <is>
          <t>Olive oil</t>
        </is>
      </c>
      <c r="D558" s="47" t="n">
        <v>4</v>
      </c>
      <c r="E558" s="37" t="inlineStr">
        <is>
          <t>tbsp</t>
        </is>
      </c>
      <c r="F558" s="37" t="n"/>
      <c r="G558" s="37" t="inlineStr">
        <is>
          <t>Staple</t>
        </is>
      </c>
      <c r="H558" s="39" t="n"/>
    </row>
    <row r="559" ht="15" customHeight="1" s="26">
      <c r="A559" s="37" t="inlineStr">
        <is>
          <t>R070</t>
        </is>
      </c>
      <c r="B559" s="37">
        <f>IFERROR(INDEX(Recipes!$B$2:$B$500,MATCH(A559,Recipes!$A$2:$A$500,0)),"")</f>
        <v/>
      </c>
      <c r="C559" s="39" t="inlineStr">
        <is>
          <t>Salt</t>
        </is>
      </c>
      <c r="D559" s="47" t="n">
        <v>1</v>
      </c>
      <c r="E559" s="37" t="inlineStr">
        <is>
          <t>pinch</t>
        </is>
      </c>
      <c r="F559" s="37" t="n"/>
      <c r="G559" s="37" t="inlineStr">
        <is>
          <t>Staple</t>
        </is>
      </c>
      <c r="H559" s="39" t="n"/>
    </row>
    <row r="560" ht="15" customHeight="1" s="26">
      <c r="A560" s="37" t="inlineStr">
        <is>
          <t>R071</t>
        </is>
      </c>
      <c r="B560" s="37">
        <f>IFERROR(INDEX(Recipes!$B$2:$B$500,MATCH(A560,Recipes!$A$2:$A$500,0)),"")</f>
        <v/>
      </c>
      <c r="C560" s="39" t="inlineStr">
        <is>
          <t>Fish fillets (croaker / snapper)</t>
        </is>
      </c>
      <c r="D560" s="47" t="n">
        <v>2</v>
      </c>
      <c r="E560" s="37" t="inlineStr">
        <is>
          <t>pc</t>
        </is>
      </c>
      <c r="F560" s="37" t="n"/>
      <c r="G560" s="37" t="inlineStr">
        <is>
          <t>Protein</t>
        </is>
      </c>
      <c r="H560" s="39" t="n"/>
    </row>
    <row r="561" ht="15" customHeight="1" s="26">
      <c r="A561" s="37" t="inlineStr">
        <is>
          <t>R071</t>
        </is>
      </c>
      <c r="B561" s="37">
        <f>IFERROR(INDEX(Recipes!$B$2:$B$500,MATCH(A561,Recipes!$A$2:$A$500,0)),"")</f>
        <v/>
      </c>
      <c r="C561" s="39" t="inlineStr">
        <is>
          <t>Tomato (plum)</t>
        </is>
      </c>
      <c r="D561" s="47" t="n">
        <v>2</v>
      </c>
      <c r="E561" s="37" t="inlineStr">
        <is>
          <t>pc</t>
        </is>
      </c>
      <c r="F561" s="37" t="inlineStr">
        <is>
          <t>P042</t>
        </is>
      </c>
      <c r="G561" s="37" t="inlineStr">
        <is>
          <t>Basket</t>
        </is>
      </c>
      <c r="H561" s="39" t="n"/>
    </row>
    <row r="562" ht="15" customHeight="1" s="26">
      <c r="A562" s="37" t="inlineStr">
        <is>
          <t>R071</t>
        </is>
      </c>
      <c r="B562" s="37">
        <f>IFERROR(INDEX(Recipes!$B$2:$B$500,MATCH(A562,Recipes!$A$2:$A$500,0)),"")</f>
        <v/>
      </c>
      <c r="C562" s="39" t="inlineStr">
        <is>
          <t>Lemon</t>
        </is>
      </c>
      <c r="D562" s="47" t="n">
        <v>1</v>
      </c>
      <c r="E562" s="37" t="inlineStr">
        <is>
          <t>pc</t>
        </is>
      </c>
      <c r="F562" s="37" t="inlineStr">
        <is>
          <t>P009</t>
        </is>
      </c>
      <c r="G562" s="37" t="inlineStr">
        <is>
          <t>Basket</t>
        </is>
      </c>
      <c r="H562" s="39" t="n"/>
    </row>
    <row r="563" ht="15" customHeight="1" s="26">
      <c r="A563" s="37" t="inlineStr">
        <is>
          <t>R071</t>
        </is>
      </c>
      <c r="B563" s="37">
        <f>IFERROR(INDEX(Recipes!$B$2:$B$500,MATCH(A563,Recipes!$A$2:$A$500,0)),"")</f>
        <v/>
      </c>
      <c r="C563" s="39" t="inlineStr">
        <is>
          <t>Amaranth greens (Nigerian spinach)</t>
        </is>
      </c>
      <c r="D563" s="47" t="n">
        <v>2</v>
      </c>
      <c r="E563" s="37" t="inlineStr">
        <is>
          <t>cups</t>
        </is>
      </c>
      <c r="F563" s="37" t="inlineStr">
        <is>
          <t>P073</t>
        </is>
      </c>
      <c r="G563" s="37" t="inlineStr">
        <is>
          <t>Basket</t>
        </is>
      </c>
      <c r="H563" s="39" t="n"/>
    </row>
    <row r="564" ht="15" customHeight="1" s="26">
      <c r="A564" s="37" t="inlineStr">
        <is>
          <t>R071</t>
        </is>
      </c>
      <c r="B564" s="37">
        <f>IFERROR(INDEX(Recipes!$B$2:$B$500,MATCH(A564,Recipes!$A$2:$A$500,0)),"")</f>
        <v/>
      </c>
      <c r="C564" s="39" t="inlineStr">
        <is>
          <t>Onion (red &amp; white)</t>
        </is>
      </c>
      <c r="D564" s="47" t="n">
        <v>0.5</v>
      </c>
      <c r="E564" s="37" t="inlineStr">
        <is>
          <t>pc</t>
        </is>
      </c>
      <c r="F564" s="37" t="inlineStr">
        <is>
          <t>P048</t>
        </is>
      </c>
      <c r="G564" s="37" t="inlineStr">
        <is>
          <t>Basket</t>
        </is>
      </c>
      <c r="H564" s="39" t="n"/>
    </row>
    <row r="565" ht="15" customHeight="1" s="26">
      <c r="A565" s="37" t="inlineStr">
        <is>
          <t>R071</t>
        </is>
      </c>
      <c r="B565" s="37">
        <f>IFERROR(INDEX(Recipes!$B$2:$B$500,MATCH(A565,Recipes!$A$2:$A$500,0)),"")</f>
        <v/>
      </c>
      <c r="C565" s="39" t="inlineStr">
        <is>
          <t>Garlic</t>
        </is>
      </c>
      <c r="D565" s="47" t="n">
        <v>2</v>
      </c>
      <c r="E565" s="37" t="inlineStr">
        <is>
          <t>cloves</t>
        </is>
      </c>
      <c r="F565" s="37" t="inlineStr">
        <is>
          <t>P051</t>
        </is>
      </c>
      <c r="G565" s="37" t="inlineStr">
        <is>
          <t>Basket</t>
        </is>
      </c>
      <c r="H565" s="39" t="n"/>
    </row>
    <row r="566" ht="15" customHeight="1" s="26">
      <c r="A566" s="37" t="inlineStr">
        <is>
          <t>R071</t>
        </is>
      </c>
      <c r="B566" s="37">
        <f>IFERROR(INDEX(Recipes!$B$2:$B$500,MATCH(A566,Recipes!$A$2:$A$500,0)),"")</f>
        <v/>
      </c>
      <c r="C566" s="39" t="inlineStr">
        <is>
          <t>Ginger</t>
        </is>
      </c>
      <c r="D566" s="47" t="n">
        <v>1</v>
      </c>
      <c r="E566" s="37" t="inlineStr">
        <is>
          <t>thumb</t>
        </is>
      </c>
      <c r="F566" s="37" t="inlineStr">
        <is>
          <t>P052</t>
        </is>
      </c>
      <c r="G566" s="37" t="inlineStr">
        <is>
          <t>Basket</t>
        </is>
      </c>
      <c r="H566" s="39" t="n"/>
    </row>
    <row r="567" ht="15" customHeight="1" s="26">
      <c r="A567" s="37" t="inlineStr">
        <is>
          <t>R071</t>
        </is>
      </c>
      <c r="B567" s="37">
        <f>IFERROR(INDEX(Recipes!$B$2:$B$500,MATCH(A567,Recipes!$A$2:$A$500,0)),"")</f>
        <v/>
      </c>
      <c r="C567" s="39" t="inlineStr">
        <is>
          <t>Scent leaf (African basil)</t>
        </is>
      </c>
      <c r="D567" s="47" t="n">
        <v>1</v>
      </c>
      <c r="E567" s="37" t="inlineStr">
        <is>
          <t>handful</t>
        </is>
      </c>
      <c r="F567" s="37" t="inlineStr">
        <is>
          <t>P077</t>
        </is>
      </c>
      <c r="G567" s="37" t="inlineStr">
        <is>
          <t>Basket</t>
        </is>
      </c>
      <c r="H567" s="39" t="inlineStr">
        <is>
          <t>or parsley</t>
        </is>
      </c>
    </row>
    <row r="568" ht="15" customHeight="1" s="26">
      <c r="A568" s="37" t="inlineStr">
        <is>
          <t>R071</t>
        </is>
      </c>
      <c r="B568" s="37">
        <f>IFERROR(INDEX(Recipes!$B$2:$B$500,MATCH(A568,Recipes!$A$2:$A$500,0)),"")</f>
        <v/>
      </c>
      <c r="C568" s="39" t="inlineStr">
        <is>
          <t>Irish potato</t>
        </is>
      </c>
      <c r="D568" s="47" t="n">
        <v>300</v>
      </c>
      <c r="E568" s="37" t="inlineStr">
        <is>
          <t>g</t>
        </is>
      </c>
      <c r="F568" s="37" t="inlineStr">
        <is>
          <t>P070</t>
        </is>
      </c>
      <c r="G568" s="37" t="inlineStr">
        <is>
          <t>Basket</t>
        </is>
      </c>
      <c r="H568" s="39" t="n"/>
    </row>
    <row r="569" ht="15" customHeight="1" s="26">
      <c r="A569" s="37" t="inlineStr">
        <is>
          <t>R071</t>
        </is>
      </c>
      <c r="B569" s="37">
        <f>IFERROR(INDEX(Recipes!$B$2:$B$500,MATCH(A569,Recipes!$A$2:$A$500,0)),"")</f>
        <v/>
      </c>
      <c r="C569" s="39" t="inlineStr">
        <is>
          <t>Olive oil</t>
        </is>
      </c>
      <c r="D569" s="47" t="n">
        <v>1</v>
      </c>
      <c r="E569" s="37" t="inlineStr">
        <is>
          <t>tbsp</t>
        </is>
      </c>
      <c r="F569" s="37" t="n"/>
      <c r="G569" s="37" t="inlineStr">
        <is>
          <t>Staple</t>
        </is>
      </c>
      <c r="H569" s="39" t="n"/>
    </row>
    <row r="570" ht="15" customHeight="1" s="26">
      <c r="A570" s="37" t="inlineStr">
        <is>
          <t>R071</t>
        </is>
      </c>
      <c r="B570" s="37">
        <f>IFERROR(INDEX(Recipes!$B$2:$B$500,MATCH(A570,Recipes!$A$2:$A$500,0)),"")</f>
        <v/>
      </c>
      <c r="C570" s="39" t="inlineStr">
        <is>
          <t>Salt</t>
        </is>
      </c>
      <c r="D570" s="47" t="n">
        <v>1</v>
      </c>
      <c r="E570" s="37" t="inlineStr">
        <is>
          <t>pinch</t>
        </is>
      </c>
      <c r="F570" s="37" t="n"/>
      <c r="G570" s="37" t="inlineStr">
        <is>
          <t>Staple</t>
        </is>
      </c>
      <c r="H570" s="39" t="n"/>
    </row>
    <row r="571" ht="15" customHeight="1" s="26">
      <c r="A571" s="37" t="inlineStr">
        <is>
          <t>R072</t>
        </is>
      </c>
      <c r="B571" s="37">
        <f>IFERROR(INDEX(Recipes!$B$2:$B$500,MATCH(A571,Recipes!$A$2:$A$500,0)),"")</f>
        <v/>
      </c>
      <c r="C571" s="39" t="inlineStr">
        <is>
          <t>Pasta</t>
        </is>
      </c>
      <c r="D571" s="47" t="n">
        <v>200</v>
      </c>
      <c r="E571" s="37" t="inlineStr">
        <is>
          <t>g</t>
        </is>
      </c>
      <c r="F571" s="37" t="n"/>
      <c r="G571" s="37" t="inlineStr">
        <is>
          <t>Pantry</t>
        </is>
      </c>
      <c r="H571" s="39" t="n"/>
    </row>
    <row r="572" ht="15" customHeight="1" s="26">
      <c r="A572" s="37" t="inlineStr">
        <is>
          <t>R072</t>
        </is>
      </c>
      <c r="B572" s="37">
        <f>IFERROR(INDEX(Recipes!$B$2:$B$500,MATCH(A572,Recipes!$A$2:$A$500,0)),"")</f>
        <v/>
      </c>
      <c r="C572" s="39" t="inlineStr">
        <is>
          <t>Fluted pumpkin leaf</t>
        </is>
      </c>
      <c r="D572" s="47" t="n">
        <v>2</v>
      </c>
      <c r="E572" s="37" t="inlineStr">
        <is>
          <t>cups</t>
        </is>
      </c>
      <c r="F572" s="37" t="inlineStr">
        <is>
          <t>P072</t>
        </is>
      </c>
      <c r="G572" s="37" t="inlineStr">
        <is>
          <t>Basket</t>
        </is>
      </c>
      <c r="H572" s="39" t="n"/>
    </row>
    <row r="573" ht="15" customHeight="1" s="26">
      <c r="A573" s="37" t="inlineStr">
        <is>
          <t>R072</t>
        </is>
      </c>
      <c r="B573" s="37">
        <f>IFERROR(INDEX(Recipes!$B$2:$B$500,MATCH(A573,Recipes!$A$2:$A$500,0)),"")</f>
        <v/>
      </c>
      <c r="C573" s="39" t="inlineStr">
        <is>
          <t>Scent leaf (African basil)</t>
        </is>
      </c>
      <c r="D573" s="47" t="n">
        <v>1</v>
      </c>
      <c r="E573" s="37" t="inlineStr">
        <is>
          <t>handful</t>
        </is>
      </c>
      <c r="F573" s="37" t="inlineStr">
        <is>
          <t>P077</t>
        </is>
      </c>
      <c r="G573" s="37" t="inlineStr">
        <is>
          <t>Basket</t>
        </is>
      </c>
      <c r="H573" s="39" t="inlineStr">
        <is>
          <t>or basil</t>
        </is>
      </c>
    </row>
    <row r="574" ht="15" customHeight="1" s="26">
      <c r="A574" s="37" t="inlineStr">
        <is>
          <t>R072</t>
        </is>
      </c>
      <c r="B574" s="37">
        <f>IFERROR(INDEX(Recipes!$B$2:$B$500,MATCH(A574,Recipes!$A$2:$A$500,0)),"")</f>
        <v/>
      </c>
      <c r="C574" s="39" t="inlineStr">
        <is>
          <t>Groundnut (fresh or roasted)</t>
        </is>
      </c>
      <c r="D574" s="47" t="n">
        <v>0.33</v>
      </c>
      <c r="E574" s="37" t="inlineStr">
        <is>
          <t>cup</t>
        </is>
      </c>
      <c r="F574" s="37" t="inlineStr">
        <is>
          <t>P040</t>
        </is>
      </c>
      <c r="G574" s="37" t="inlineStr">
        <is>
          <t>Basket</t>
        </is>
      </c>
      <c r="H574" s="39" t="inlineStr">
        <is>
          <t>roasted</t>
        </is>
      </c>
    </row>
    <row r="575" ht="15" customHeight="1" s="26">
      <c r="A575" s="37" t="inlineStr">
        <is>
          <t>R072</t>
        </is>
      </c>
      <c r="B575" s="37">
        <f>IFERROR(INDEX(Recipes!$B$2:$B$500,MATCH(A575,Recipes!$A$2:$A$500,0)),"")</f>
        <v/>
      </c>
      <c r="C575" s="39" t="inlineStr">
        <is>
          <t>Garlic</t>
        </is>
      </c>
      <c r="D575" s="47" t="n">
        <v>2</v>
      </c>
      <c r="E575" s="37" t="inlineStr">
        <is>
          <t>cloves</t>
        </is>
      </c>
      <c r="F575" s="37" t="inlineStr">
        <is>
          <t>P051</t>
        </is>
      </c>
      <c r="G575" s="37" t="inlineStr">
        <is>
          <t>Basket</t>
        </is>
      </c>
      <c r="H575" s="39" t="n"/>
    </row>
    <row r="576" ht="15" customHeight="1" s="26">
      <c r="A576" s="37" t="inlineStr">
        <is>
          <t>R072</t>
        </is>
      </c>
      <c r="B576" s="37">
        <f>IFERROR(INDEX(Recipes!$B$2:$B$500,MATCH(A576,Recipes!$A$2:$A$500,0)),"")</f>
        <v/>
      </c>
      <c r="C576" s="39" t="inlineStr">
        <is>
          <t>Lemon</t>
        </is>
      </c>
      <c r="D576" s="47" t="n">
        <v>1</v>
      </c>
      <c r="E576" s="37" t="inlineStr">
        <is>
          <t>pc</t>
        </is>
      </c>
      <c r="F576" s="37" t="inlineStr">
        <is>
          <t>P009</t>
        </is>
      </c>
      <c r="G576" s="37" t="inlineStr">
        <is>
          <t>Basket</t>
        </is>
      </c>
      <c r="H576" s="39" t="n"/>
    </row>
    <row r="577" ht="15" customHeight="1" s="26">
      <c r="A577" s="37" t="inlineStr">
        <is>
          <t>R072</t>
        </is>
      </c>
      <c r="B577" s="37">
        <f>IFERROR(INDEX(Recipes!$B$2:$B$500,MATCH(A577,Recipes!$A$2:$A$500,0)),"")</f>
        <v/>
      </c>
      <c r="C577" s="39" t="inlineStr">
        <is>
          <t>Cherry tomato</t>
        </is>
      </c>
      <c r="D577" s="47" t="n">
        <v>1</v>
      </c>
      <c r="E577" s="37" t="inlineStr">
        <is>
          <t>cup</t>
        </is>
      </c>
      <c r="F577" s="37" t="inlineStr">
        <is>
          <t>P043</t>
        </is>
      </c>
      <c r="G577" s="37" t="inlineStr">
        <is>
          <t>Basket</t>
        </is>
      </c>
      <c r="H577" s="39" t="inlineStr">
        <is>
          <t>or 2 plum tomatoes</t>
        </is>
      </c>
    </row>
    <row r="578" ht="15" customHeight="1" s="26">
      <c r="A578" s="37" t="inlineStr">
        <is>
          <t>R072</t>
        </is>
      </c>
      <c r="B578" s="37">
        <f>IFERROR(INDEX(Recipes!$B$2:$B$500,MATCH(A578,Recipes!$A$2:$A$500,0)),"")</f>
        <v/>
      </c>
      <c r="C578" s="39" t="inlineStr">
        <is>
          <t>Parmesan</t>
        </is>
      </c>
      <c r="D578" s="47" t="n">
        <v>3</v>
      </c>
      <c r="E578" s="37" t="inlineStr">
        <is>
          <t>tbsp</t>
        </is>
      </c>
      <c r="F578" s="37" t="n"/>
      <c r="G578" s="37" t="inlineStr">
        <is>
          <t>Pantry</t>
        </is>
      </c>
      <c r="H578" s="39" t="n"/>
    </row>
    <row r="579" ht="15" customHeight="1" s="26">
      <c r="A579" s="37" t="inlineStr">
        <is>
          <t>R072</t>
        </is>
      </c>
      <c r="B579" s="37">
        <f>IFERROR(INDEX(Recipes!$B$2:$B$500,MATCH(A579,Recipes!$A$2:$A$500,0)),"")</f>
        <v/>
      </c>
      <c r="C579" s="39" t="inlineStr">
        <is>
          <t>Olive oil</t>
        </is>
      </c>
      <c r="D579" s="47" t="n">
        <v>4</v>
      </c>
      <c r="E579" s="37" t="inlineStr">
        <is>
          <t>tbsp</t>
        </is>
      </c>
      <c r="F579" s="37" t="n"/>
      <c r="G579" s="37" t="inlineStr">
        <is>
          <t>Staple</t>
        </is>
      </c>
      <c r="H579" s="39" t="n"/>
    </row>
    <row r="580" ht="15" customHeight="1" s="26">
      <c r="A580" s="37" t="inlineStr">
        <is>
          <t>R073</t>
        </is>
      </c>
      <c r="B580" s="37">
        <f>IFERROR(INDEX(Recipes!$B$2:$B$500,MATCH(A580,Recipes!$A$2:$A$500,0)),"")</f>
        <v/>
      </c>
      <c r="C580" s="39" t="inlineStr">
        <is>
          <t>Pumpkin (squash)</t>
        </is>
      </c>
      <c r="D580" s="47" t="n">
        <v>1</v>
      </c>
      <c r="E580" s="37" t="inlineStr">
        <is>
          <t>kg</t>
        </is>
      </c>
      <c r="F580" s="37" t="inlineStr">
        <is>
          <t>P068</t>
        </is>
      </c>
      <c r="G580" s="37" t="inlineStr">
        <is>
          <t>Basket</t>
        </is>
      </c>
      <c r="H580" s="39" t="n"/>
    </row>
    <row r="581" ht="15" customHeight="1" s="26">
      <c r="A581" s="37" t="inlineStr">
        <is>
          <t>R073</t>
        </is>
      </c>
      <c r="B581" s="37">
        <f>IFERROR(INDEX(Recipes!$B$2:$B$500,MATCH(A581,Recipes!$A$2:$A$500,0)),"")</f>
        <v/>
      </c>
      <c r="C581" s="39" t="inlineStr">
        <is>
          <t>Carrot</t>
        </is>
      </c>
      <c r="D581" s="47" t="n">
        <v>2</v>
      </c>
      <c r="E581" s="37" t="inlineStr">
        <is>
          <t>pc</t>
        </is>
      </c>
      <c r="F581" s="37" t="inlineStr">
        <is>
          <t>P055</t>
        </is>
      </c>
      <c r="G581" s="37" t="inlineStr">
        <is>
          <t>Basket</t>
        </is>
      </c>
      <c r="H581" s="39" t="n"/>
    </row>
    <row r="582" ht="15" customHeight="1" s="26">
      <c r="A582" s="37" t="inlineStr">
        <is>
          <t>R073</t>
        </is>
      </c>
      <c r="B582" s="37">
        <f>IFERROR(INDEX(Recipes!$B$2:$B$500,MATCH(A582,Recipes!$A$2:$A$500,0)),"")</f>
        <v/>
      </c>
      <c r="C582" s="39" t="inlineStr">
        <is>
          <t>Onion (red &amp; white)</t>
        </is>
      </c>
      <c r="D582" s="47" t="n">
        <v>1</v>
      </c>
      <c r="E582" s="37" t="inlineStr">
        <is>
          <t>pc</t>
        </is>
      </c>
      <c r="F582" s="37" t="inlineStr">
        <is>
          <t>P048</t>
        </is>
      </c>
      <c r="G582" s="37" t="inlineStr">
        <is>
          <t>Basket</t>
        </is>
      </c>
      <c r="H582" s="39" t="n"/>
    </row>
    <row r="583" ht="15" customHeight="1" s="26">
      <c r="A583" s="37" t="inlineStr">
        <is>
          <t>R073</t>
        </is>
      </c>
      <c r="B583" s="37">
        <f>IFERROR(INDEX(Recipes!$B$2:$B$500,MATCH(A583,Recipes!$A$2:$A$500,0)),"")</f>
        <v/>
      </c>
      <c r="C583" s="39" t="inlineStr">
        <is>
          <t>Garlic</t>
        </is>
      </c>
      <c r="D583" s="47" t="n">
        <v>3</v>
      </c>
      <c r="E583" s="37" t="inlineStr">
        <is>
          <t>cloves</t>
        </is>
      </c>
      <c r="F583" s="37" t="inlineStr">
        <is>
          <t>P051</t>
        </is>
      </c>
      <c r="G583" s="37" t="inlineStr">
        <is>
          <t>Basket</t>
        </is>
      </c>
      <c r="H583" s="39" t="n"/>
    </row>
    <row r="584" ht="15" customHeight="1" s="26">
      <c r="A584" s="37" t="inlineStr">
        <is>
          <t>R073</t>
        </is>
      </c>
      <c r="B584" s="37">
        <f>IFERROR(INDEX(Recipes!$B$2:$B$500,MATCH(A584,Recipes!$A$2:$A$500,0)),"")</f>
        <v/>
      </c>
      <c r="C584" s="39" t="inlineStr">
        <is>
          <t>Ginger</t>
        </is>
      </c>
      <c r="D584" s="47" t="n">
        <v>2</v>
      </c>
      <c r="E584" s="37" t="inlineStr">
        <is>
          <t>thumbs</t>
        </is>
      </c>
      <c r="F584" s="37" t="inlineStr">
        <is>
          <t>P052</t>
        </is>
      </c>
      <c r="G584" s="37" t="inlineStr">
        <is>
          <t>Basket</t>
        </is>
      </c>
      <c r="H584" s="39" t="n"/>
    </row>
    <row r="585" ht="15" customHeight="1" s="26">
      <c r="A585" s="37" t="inlineStr">
        <is>
          <t>R073</t>
        </is>
      </c>
      <c r="B585" s="37">
        <f>IFERROR(INDEX(Recipes!$B$2:$B$500,MATCH(A585,Recipes!$A$2:$A$500,0)),"")</f>
        <v/>
      </c>
      <c r="C585" s="39" t="inlineStr">
        <is>
          <t>Coconut</t>
        </is>
      </c>
      <c r="D585" s="47" t="n">
        <v>0.25</v>
      </c>
      <c r="E585" s="37" t="inlineStr">
        <is>
          <t>pc</t>
        </is>
      </c>
      <c r="F585" s="37" t="inlineStr">
        <is>
          <t>P016</t>
        </is>
      </c>
      <c r="G585" s="37" t="inlineStr">
        <is>
          <t>Basket</t>
        </is>
      </c>
      <c r="H585" s="39" t="inlineStr">
        <is>
          <t>for 1/2 cup fresh milk</t>
        </is>
      </c>
    </row>
    <row r="586" ht="15" customHeight="1" s="26">
      <c r="A586" s="37" t="inlineStr">
        <is>
          <t>R073</t>
        </is>
      </c>
      <c r="B586" s="37">
        <f>IFERROR(INDEX(Recipes!$B$2:$B$500,MATCH(A586,Recipes!$A$2:$A$500,0)),"")</f>
        <v/>
      </c>
      <c r="C586" s="39" t="inlineStr">
        <is>
          <t>Scotch bonnet</t>
        </is>
      </c>
      <c r="D586" s="47" t="n">
        <v>0.25</v>
      </c>
      <c r="E586" s="37" t="inlineStr">
        <is>
          <t>pc</t>
        </is>
      </c>
      <c r="F586" s="37" t="inlineStr">
        <is>
          <t>P046</t>
        </is>
      </c>
      <c r="G586" s="37" t="inlineStr">
        <is>
          <t>Basket</t>
        </is>
      </c>
      <c r="H586" s="39" t="inlineStr">
        <is>
          <t>optional</t>
        </is>
      </c>
    </row>
    <row r="587" ht="15" customHeight="1" s="26">
      <c r="A587" s="37" t="inlineStr">
        <is>
          <t>R073</t>
        </is>
      </c>
      <c r="B587" s="37">
        <f>IFERROR(INDEX(Recipes!$B$2:$B$500,MATCH(A587,Recipes!$A$2:$A$500,0)),"")</f>
        <v/>
      </c>
      <c r="C587" s="39" t="inlineStr">
        <is>
          <t>Vegetable stock</t>
        </is>
      </c>
      <c r="D587" s="47" t="n">
        <v>3</v>
      </c>
      <c r="E587" s="37" t="inlineStr">
        <is>
          <t>cups</t>
        </is>
      </c>
      <c r="F587" s="37" t="n"/>
      <c r="G587" s="37" t="inlineStr">
        <is>
          <t>Pantry</t>
        </is>
      </c>
      <c r="H587" s="39" t="n"/>
    </row>
    <row r="588" ht="15" customHeight="1" s="26">
      <c r="A588" s="37" t="inlineStr">
        <is>
          <t>R073</t>
        </is>
      </c>
      <c r="B588" s="37">
        <f>IFERROR(INDEX(Recipes!$B$2:$B$500,MATCH(A588,Recipes!$A$2:$A$500,0)),"")</f>
        <v/>
      </c>
      <c r="C588" s="39" t="inlineStr">
        <is>
          <t>Oil</t>
        </is>
      </c>
      <c r="D588" s="47" t="n">
        <v>1</v>
      </c>
      <c r="E588" s="37" t="inlineStr">
        <is>
          <t>tbsp</t>
        </is>
      </c>
      <c r="F588" s="37" t="n"/>
      <c r="G588" s="37" t="inlineStr">
        <is>
          <t>Staple</t>
        </is>
      </c>
      <c r="H588" s="39" t="n"/>
    </row>
    <row r="589" ht="15" customHeight="1" s="26">
      <c r="A589" s="37" t="inlineStr">
        <is>
          <t>R074</t>
        </is>
      </c>
      <c r="B589" s="37">
        <f>IFERROR(INDEX(Recipes!$B$2:$B$500,MATCH(A589,Recipes!$A$2:$A$500,0)),"")</f>
        <v/>
      </c>
      <c r="C589" s="39" t="inlineStr">
        <is>
          <t>Tomato (plum)</t>
        </is>
      </c>
      <c r="D589" s="47" t="n">
        <v>8</v>
      </c>
      <c r="E589" s="37" t="inlineStr">
        <is>
          <t>pc</t>
        </is>
      </c>
      <c r="F589" s="37" t="inlineStr">
        <is>
          <t>P042</t>
        </is>
      </c>
      <c r="G589" s="37" t="inlineStr">
        <is>
          <t>Basket</t>
        </is>
      </c>
      <c r="H589" s="39" t="inlineStr">
        <is>
          <t>plum</t>
        </is>
      </c>
    </row>
    <row r="590" ht="15" customHeight="1" s="26">
      <c r="A590" s="37" t="inlineStr">
        <is>
          <t>R074</t>
        </is>
      </c>
      <c r="B590" s="37">
        <f>IFERROR(INDEX(Recipes!$B$2:$B$500,MATCH(A590,Recipes!$A$2:$A$500,0)),"")</f>
        <v/>
      </c>
      <c r="C590" s="39" t="inlineStr">
        <is>
          <t>Red bell pepper</t>
        </is>
      </c>
      <c r="D590" s="47" t="n">
        <v>3</v>
      </c>
      <c r="E590" s="37" t="inlineStr">
        <is>
          <t>pc</t>
        </is>
      </c>
      <c r="F590" s="37" t="inlineStr">
        <is>
          <t>P044</t>
        </is>
      </c>
      <c r="G590" s="37" t="inlineStr">
        <is>
          <t>Basket</t>
        </is>
      </c>
      <c r="H590" s="39" t="n"/>
    </row>
    <row r="591" ht="15" customHeight="1" s="26">
      <c r="A591" s="37" t="inlineStr">
        <is>
          <t>R074</t>
        </is>
      </c>
      <c r="B591" s="37">
        <f>IFERROR(INDEX(Recipes!$B$2:$B$500,MATCH(A591,Recipes!$A$2:$A$500,0)),"")</f>
        <v/>
      </c>
      <c r="C591" s="39" t="inlineStr">
        <is>
          <t>Onion (red &amp; white)</t>
        </is>
      </c>
      <c r="D591" s="47" t="n">
        <v>1</v>
      </c>
      <c r="E591" s="37" t="inlineStr">
        <is>
          <t>pc</t>
        </is>
      </c>
      <c r="F591" s="37" t="inlineStr">
        <is>
          <t>P048</t>
        </is>
      </c>
      <c r="G591" s="37" t="inlineStr">
        <is>
          <t>Basket</t>
        </is>
      </c>
      <c r="H591" s="39" t="n"/>
    </row>
    <row r="592" ht="15" customHeight="1" s="26">
      <c r="A592" s="37" t="inlineStr">
        <is>
          <t>R074</t>
        </is>
      </c>
      <c r="B592" s="37">
        <f>IFERROR(INDEX(Recipes!$B$2:$B$500,MATCH(A592,Recipes!$A$2:$A$500,0)),"")</f>
        <v/>
      </c>
      <c r="C592" s="39" t="inlineStr">
        <is>
          <t>Garlic</t>
        </is>
      </c>
      <c r="D592" s="47" t="n">
        <v>4</v>
      </c>
      <c r="E592" s="37" t="inlineStr">
        <is>
          <t>cloves</t>
        </is>
      </c>
      <c r="F592" s="37" t="inlineStr">
        <is>
          <t>P051</t>
        </is>
      </c>
      <c r="G592" s="37" t="inlineStr">
        <is>
          <t>Basket</t>
        </is>
      </c>
      <c r="H592" s="39" t="n"/>
    </row>
    <row r="593" ht="15" customHeight="1" s="26">
      <c r="A593" s="37" t="inlineStr">
        <is>
          <t>R074</t>
        </is>
      </c>
      <c r="B593" s="37">
        <f>IFERROR(INDEX(Recipes!$B$2:$B$500,MATCH(A593,Recipes!$A$2:$A$500,0)),"")</f>
        <v/>
      </c>
      <c r="C593" s="39" t="inlineStr">
        <is>
          <t>Scotch bonnet</t>
        </is>
      </c>
      <c r="D593" s="47" t="n">
        <v>0.25</v>
      </c>
      <c r="E593" s="37" t="inlineStr">
        <is>
          <t>pc</t>
        </is>
      </c>
      <c r="F593" s="37" t="inlineStr">
        <is>
          <t>P046</t>
        </is>
      </c>
      <c r="G593" s="37" t="inlineStr">
        <is>
          <t>Basket</t>
        </is>
      </c>
      <c r="H593" s="39" t="n"/>
    </row>
    <row r="594" ht="15" customHeight="1" s="26">
      <c r="A594" s="37" t="inlineStr">
        <is>
          <t>R074</t>
        </is>
      </c>
      <c r="B594" s="37">
        <f>IFERROR(INDEX(Recipes!$B$2:$B$500,MATCH(A594,Recipes!$A$2:$A$500,0)),"")</f>
        <v/>
      </c>
      <c r="C594" s="39" t="inlineStr">
        <is>
          <t>Basil (sweet)</t>
        </is>
      </c>
      <c r="D594" s="47" t="n">
        <v>1</v>
      </c>
      <c r="E594" s="37" t="inlineStr">
        <is>
          <t>handful</t>
        </is>
      </c>
      <c r="F594" s="37" t="inlineStr">
        <is>
          <t>P082</t>
        </is>
      </c>
      <c r="G594" s="37" t="inlineStr">
        <is>
          <t>Basket</t>
        </is>
      </c>
      <c r="H594" s="39" t="inlineStr">
        <is>
          <t>or scent leaf</t>
        </is>
      </c>
    </row>
    <row r="595" ht="15" customHeight="1" s="26">
      <c r="A595" s="37" t="inlineStr">
        <is>
          <t>R074</t>
        </is>
      </c>
      <c r="B595" s="37">
        <f>IFERROR(INDEX(Recipes!$B$2:$B$500,MATCH(A595,Recipes!$A$2:$A$500,0)),"")</f>
        <v/>
      </c>
      <c r="C595" s="39" t="inlineStr">
        <is>
          <t>Stock</t>
        </is>
      </c>
      <c r="D595" s="47" t="n">
        <v>2</v>
      </c>
      <c r="E595" s="37" t="inlineStr">
        <is>
          <t>cups</t>
        </is>
      </c>
      <c r="F595" s="37" t="n"/>
      <c r="G595" s="37" t="inlineStr">
        <is>
          <t>Pantry</t>
        </is>
      </c>
      <c r="H595" s="39" t="n"/>
    </row>
    <row r="596" ht="15" customHeight="1" s="26">
      <c r="A596" s="37" t="inlineStr">
        <is>
          <t>R074</t>
        </is>
      </c>
      <c r="B596" s="37">
        <f>IFERROR(INDEX(Recipes!$B$2:$B$500,MATCH(A596,Recipes!$A$2:$A$500,0)),"")</f>
        <v/>
      </c>
      <c r="C596" s="39" t="inlineStr">
        <is>
          <t>Crusty bread</t>
        </is>
      </c>
      <c r="D596" s="47" t="n">
        <v>4</v>
      </c>
      <c r="E596" s="37" t="inlineStr">
        <is>
          <t>slices</t>
        </is>
      </c>
      <c r="F596" s="37" t="n"/>
      <c r="G596" s="37" t="inlineStr">
        <is>
          <t>Pantry</t>
        </is>
      </c>
      <c r="H596" s="39" t="inlineStr">
        <is>
          <t>to serve</t>
        </is>
      </c>
    </row>
    <row r="597" ht="15" customHeight="1" s="26">
      <c r="A597" s="37" t="inlineStr">
        <is>
          <t>R074</t>
        </is>
      </c>
      <c r="B597" s="37">
        <f>IFERROR(INDEX(Recipes!$B$2:$B$500,MATCH(A597,Recipes!$A$2:$A$500,0)),"")</f>
        <v/>
      </c>
      <c r="C597" s="39" t="inlineStr">
        <is>
          <t>Olive oil</t>
        </is>
      </c>
      <c r="D597" s="47" t="n">
        <v>2</v>
      </c>
      <c r="E597" s="37" t="inlineStr">
        <is>
          <t>tbsp</t>
        </is>
      </c>
      <c r="F597" s="37" t="n"/>
      <c r="G597" s="37" t="inlineStr">
        <is>
          <t>Staple</t>
        </is>
      </c>
      <c r="H597" s="39" t="n"/>
    </row>
    <row r="598" ht="15" customHeight="1" s="26">
      <c r="A598" s="37" t="inlineStr">
        <is>
          <t>R075</t>
        </is>
      </c>
      <c r="B598" s="37">
        <f>IFERROR(INDEX(Recipes!$B$2:$B$500,MATCH(A598,Recipes!$A$2:$A$500,0)),"")</f>
        <v/>
      </c>
      <c r="C598" s="39" t="inlineStr">
        <is>
          <t>Chicken</t>
        </is>
      </c>
      <c r="D598" s="47" t="n">
        <v>300</v>
      </c>
      <c r="E598" s="37" t="inlineStr">
        <is>
          <t>g</t>
        </is>
      </c>
      <c r="F598" s="37" t="n"/>
      <c r="G598" s="37" t="inlineStr">
        <is>
          <t>Protein</t>
        </is>
      </c>
      <c r="H598" s="39" t="n"/>
    </row>
    <row r="599" ht="15" customHeight="1" s="26">
      <c r="A599" s="37" t="inlineStr">
        <is>
          <t>R075</t>
        </is>
      </c>
      <c r="B599" s="37">
        <f>IFERROR(INDEX(Recipes!$B$2:$B$500,MATCH(A599,Recipes!$A$2:$A$500,0)),"")</f>
        <v/>
      </c>
      <c r="C599" s="39" t="inlineStr">
        <is>
          <t>Coconut</t>
        </is>
      </c>
      <c r="D599" s="47" t="n">
        <v>1</v>
      </c>
      <c r="E599" s="37" t="inlineStr">
        <is>
          <t>pc</t>
        </is>
      </c>
      <c r="F599" s="37" t="inlineStr">
        <is>
          <t>P016</t>
        </is>
      </c>
      <c r="G599" s="37" t="inlineStr">
        <is>
          <t>Basket</t>
        </is>
      </c>
      <c r="H599" s="39" t="inlineStr">
        <is>
          <t>for fresh milk</t>
        </is>
      </c>
    </row>
    <row r="600" ht="15" customHeight="1" s="26">
      <c r="A600" s="37" t="inlineStr">
        <is>
          <t>R075</t>
        </is>
      </c>
      <c r="B600" s="37">
        <f>IFERROR(INDEX(Recipes!$B$2:$B$500,MATCH(A600,Recipes!$A$2:$A$500,0)),"")</f>
        <v/>
      </c>
      <c r="C600" s="39" t="inlineStr">
        <is>
          <t>Lemongrass</t>
        </is>
      </c>
      <c r="D600" s="47" t="n">
        <v>2</v>
      </c>
      <c r="E600" s="37" t="inlineStr">
        <is>
          <t>stalks</t>
        </is>
      </c>
      <c r="F600" s="37" t="inlineStr">
        <is>
          <t>P083</t>
        </is>
      </c>
      <c r="G600" s="37" t="inlineStr">
        <is>
          <t>Basket</t>
        </is>
      </c>
      <c r="H600" s="39" t="n"/>
    </row>
    <row r="601" ht="15" customHeight="1" s="26">
      <c r="A601" s="37" t="inlineStr">
        <is>
          <t>R075</t>
        </is>
      </c>
      <c r="B601" s="37">
        <f>IFERROR(INDEX(Recipes!$B$2:$B$500,MATCH(A601,Recipes!$A$2:$A$500,0)),"")</f>
        <v/>
      </c>
      <c r="C601" s="39" t="inlineStr">
        <is>
          <t>Ginger</t>
        </is>
      </c>
      <c r="D601" s="47" t="n">
        <v>2</v>
      </c>
      <c r="E601" s="37" t="inlineStr">
        <is>
          <t>thumbs</t>
        </is>
      </c>
      <c r="F601" s="37" t="inlineStr">
        <is>
          <t>P052</t>
        </is>
      </c>
      <c r="G601" s="37" t="inlineStr">
        <is>
          <t>Basket</t>
        </is>
      </c>
      <c r="H601" s="39" t="n"/>
    </row>
    <row r="602" ht="15" customHeight="1" s="26">
      <c r="A602" s="37" t="inlineStr">
        <is>
          <t>R075</t>
        </is>
      </c>
      <c r="B602" s="37">
        <f>IFERROR(INDEX(Recipes!$B$2:$B$500,MATCH(A602,Recipes!$A$2:$A$500,0)),"")</f>
        <v/>
      </c>
      <c r="C602" s="39" t="inlineStr">
        <is>
          <t>Mushrooms (oyster / button)</t>
        </is>
      </c>
      <c r="D602" s="47" t="n">
        <v>150</v>
      </c>
      <c r="E602" s="37" t="inlineStr">
        <is>
          <t>g</t>
        </is>
      </c>
      <c r="F602" s="37" t="inlineStr">
        <is>
          <t>P067</t>
        </is>
      </c>
      <c r="G602" s="37" t="inlineStr">
        <is>
          <t>Basket</t>
        </is>
      </c>
      <c r="H602" s="39" t="n"/>
    </row>
    <row r="603" ht="15" customHeight="1" s="26">
      <c r="A603" s="37" t="inlineStr">
        <is>
          <t>R075</t>
        </is>
      </c>
      <c r="B603" s="37">
        <f>IFERROR(INDEX(Recipes!$B$2:$B$500,MATCH(A603,Recipes!$A$2:$A$500,0)),"")</f>
        <v/>
      </c>
      <c r="C603" s="39" t="inlineStr">
        <is>
          <t>Scotch bonnet</t>
        </is>
      </c>
      <c r="D603" s="47" t="n">
        <v>0.5</v>
      </c>
      <c r="E603" s="37" t="inlineStr">
        <is>
          <t>pc</t>
        </is>
      </c>
      <c r="F603" s="37" t="inlineStr">
        <is>
          <t>P046</t>
        </is>
      </c>
      <c r="G603" s="37" t="inlineStr">
        <is>
          <t>Basket</t>
        </is>
      </c>
      <c r="H603" s="39" t="n"/>
    </row>
    <row r="604" ht="15" customHeight="1" s="26">
      <c r="A604" s="37" t="inlineStr">
        <is>
          <t>R075</t>
        </is>
      </c>
      <c r="B604" s="37">
        <f>IFERROR(INDEX(Recipes!$B$2:$B$500,MATCH(A604,Recipes!$A$2:$A$500,0)),"")</f>
        <v/>
      </c>
      <c r="C604" s="39" t="inlineStr">
        <is>
          <t>Lime</t>
        </is>
      </c>
      <c r="D604" s="47" t="n">
        <v>2</v>
      </c>
      <c r="E604" s="37" t="inlineStr">
        <is>
          <t>pc</t>
        </is>
      </c>
      <c r="F604" s="37" t="inlineStr">
        <is>
          <t>P010</t>
        </is>
      </c>
      <c r="G604" s="37" t="inlineStr">
        <is>
          <t>Basket</t>
        </is>
      </c>
      <c r="H604" s="39" t="n"/>
    </row>
    <row r="605" ht="15" customHeight="1" s="26">
      <c r="A605" s="37" t="inlineStr">
        <is>
          <t>R075</t>
        </is>
      </c>
      <c r="B605" s="37">
        <f>IFERROR(INDEX(Recipes!$B$2:$B$500,MATCH(A605,Recipes!$A$2:$A$500,0)),"")</f>
        <v/>
      </c>
      <c r="C605" s="39" t="inlineStr">
        <is>
          <t>Coriander (cilantro)</t>
        </is>
      </c>
      <c r="D605" s="47" t="n">
        <v>1</v>
      </c>
      <c r="E605" s="37" t="inlineStr">
        <is>
          <t>handful</t>
        </is>
      </c>
      <c r="F605" s="37" t="inlineStr">
        <is>
          <t>P080</t>
        </is>
      </c>
      <c r="G605" s="37" t="inlineStr">
        <is>
          <t>Basket</t>
        </is>
      </c>
      <c r="H605" s="39" t="n"/>
    </row>
    <row r="606" ht="15" customHeight="1" s="26">
      <c r="A606" s="37" t="inlineStr">
        <is>
          <t>R075</t>
        </is>
      </c>
      <c r="B606" s="37">
        <f>IFERROR(INDEX(Recipes!$B$2:$B$500,MATCH(A606,Recipes!$A$2:$A$500,0)),"")</f>
        <v/>
      </c>
      <c r="C606" s="39" t="inlineStr">
        <is>
          <t>Spring onion</t>
        </is>
      </c>
      <c r="D606" s="47" t="n">
        <v>2</v>
      </c>
      <c r="E606" s="37" t="inlineStr">
        <is>
          <t>stalks</t>
        </is>
      </c>
      <c r="F606" s="37" t="inlineStr">
        <is>
          <t>P049</t>
        </is>
      </c>
      <c r="G606" s="37" t="inlineStr">
        <is>
          <t>Basket</t>
        </is>
      </c>
      <c r="H606" s="39" t="n"/>
    </row>
    <row r="607" ht="15" customHeight="1" s="26">
      <c r="A607" s="37" t="inlineStr">
        <is>
          <t>R075</t>
        </is>
      </c>
      <c r="B607" s="37">
        <f>IFERROR(INDEX(Recipes!$B$2:$B$500,MATCH(A607,Recipes!$A$2:$A$500,0)),"")</f>
        <v/>
      </c>
      <c r="C607" s="39" t="inlineStr">
        <is>
          <t>Stock</t>
        </is>
      </c>
      <c r="D607" s="47" t="n">
        <v>2</v>
      </c>
      <c r="E607" s="37" t="inlineStr">
        <is>
          <t>cups</t>
        </is>
      </c>
      <c r="F607" s="37" t="n"/>
      <c r="G607" s="37" t="inlineStr">
        <is>
          <t>Pantry</t>
        </is>
      </c>
      <c r="H607" s="39" t="n"/>
    </row>
    <row r="608" ht="15" customHeight="1" s="26">
      <c r="A608" s="37" t="inlineStr">
        <is>
          <t>R075</t>
        </is>
      </c>
      <c r="B608" s="37">
        <f>IFERROR(INDEX(Recipes!$B$2:$B$500,MATCH(A608,Recipes!$A$2:$A$500,0)),"")</f>
        <v/>
      </c>
      <c r="C608" s="39" t="inlineStr">
        <is>
          <t>Fish sauce</t>
        </is>
      </c>
      <c r="D608" s="47" t="n">
        <v>1</v>
      </c>
      <c r="E608" s="37" t="inlineStr">
        <is>
          <t>tbsp</t>
        </is>
      </c>
      <c r="F608" s="37" t="n"/>
      <c r="G608" s="37" t="inlineStr">
        <is>
          <t>Pantry</t>
        </is>
      </c>
      <c r="H608" s="39" t="n"/>
    </row>
    <row r="609" ht="15" customHeight="1" s="26">
      <c r="A609" s="37" t="inlineStr">
        <is>
          <t>R076</t>
        </is>
      </c>
      <c r="B609" s="37">
        <f>IFERROR(INDEX(Recipes!$B$2:$B$500,MATCH(A609,Recipes!$A$2:$A$500,0)),"")</f>
        <v/>
      </c>
      <c r="C609" s="39" t="inlineStr">
        <is>
          <t>Carrot</t>
        </is>
      </c>
      <c r="D609" s="47" t="n">
        <v>2</v>
      </c>
      <c r="E609" s="37" t="inlineStr">
        <is>
          <t>pc</t>
        </is>
      </c>
      <c r="F609" s="37" t="inlineStr">
        <is>
          <t>P055</t>
        </is>
      </c>
      <c r="G609" s="37" t="inlineStr">
        <is>
          <t>Basket</t>
        </is>
      </c>
      <c r="H609" s="39" t="n"/>
    </row>
    <row r="610" ht="15" customHeight="1" s="26">
      <c r="A610" s="37" t="inlineStr">
        <is>
          <t>R076</t>
        </is>
      </c>
      <c r="B610" s="37">
        <f>IFERROR(INDEX(Recipes!$B$2:$B$500,MATCH(A610,Recipes!$A$2:$A$500,0)),"")</f>
        <v/>
      </c>
      <c r="C610" s="39" t="inlineStr">
        <is>
          <t>Onion (red &amp; white)</t>
        </is>
      </c>
      <c r="D610" s="47" t="n">
        <v>1</v>
      </c>
      <c r="E610" s="37" t="inlineStr">
        <is>
          <t>pc</t>
        </is>
      </c>
      <c r="F610" s="37" t="inlineStr">
        <is>
          <t>P048</t>
        </is>
      </c>
      <c r="G610" s="37" t="inlineStr">
        <is>
          <t>Basket</t>
        </is>
      </c>
      <c r="H610" s="39" t="n"/>
    </row>
    <row r="611" ht="15" customHeight="1" s="26">
      <c r="A611" s="37" t="inlineStr">
        <is>
          <t>R076</t>
        </is>
      </c>
      <c r="B611" s="37">
        <f>IFERROR(INDEX(Recipes!$B$2:$B$500,MATCH(A611,Recipes!$A$2:$A$500,0)),"")</f>
        <v/>
      </c>
      <c r="C611" s="39" t="inlineStr">
        <is>
          <t>Garlic</t>
        </is>
      </c>
      <c r="D611" s="47" t="n">
        <v>3</v>
      </c>
      <c r="E611" s="37" t="inlineStr">
        <is>
          <t>cloves</t>
        </is>
      </c>
      <c r="F611" s="37" t="inlineStr">
        <is>
          <t>P051</t>
        </is>
      </c>
      <c r="G611" s="37" t="inlineStr">
        <is>
          <t>Basket</t>
        </is>
      </c>
      <c r="H611" s="39" t="n"/>
    </row>
    <row r="612" ht="15" customHeight="1" s="26">
      <c r="A612" s="37" t="inlineStr">
        <is>
          <t>R076</t>
        </is>
      </c>
      <c r="B612" s="37">
        <f>IFERROR(INDEX(Recipes!$B$2:$B$500,MATCH(A612,Recipes!$A$2:$A$500,0)),"")</f>
        <v/>
      </c>
      <c r="C612" s="39" t="inlineStr">
        <is>
          <t>Cabbage (white)</t>
        </is>
      </c>
      <c r="D612" s="47" t="n">
        <v>0.25</v>
      </c>
      <c r="E612" s="37" t="inlineStr">
        <is>
          <t>head</t>
        </is>
      </c>
      <c r="F612" s="37" t="inlineStr">
        <is>
          <t>P056</t>
        </is>
      </c>
      <c r="G612" s="37" t="inlineStr">
        <is>
          <t>Basket</t>
        </is>
      </c>
      <c r="H612" s="39" t="n"/>
    </row>
    <row r="613" ht="15" customHeight="1" s="26">
      <c r="A613" s="37" t="inlineStr">
        <is>
          <t>R076</t>
        </is>
      </c>
      <c r="B613" s="37">
        <f>IFERROR(INDEX(Recipes!$B$2:$B$500,MATCH(A613,Recipes!$A$2:$A$500,0)),"")</f>
        <v/>
      </c>
      <c r="C613" s="39" t="inlineStr">
        <is>
          <t>Green beans</t>
        </is>
      </c>
      <c r="D613" s="47" t="n">
        <v>100</v>
      </c>
      <c r="E613" s="37" t="inlineStr">
        <is>
          <t>g</t>
        </is>
      </c>
      <c r="F613" s="37" t="inlineStr">
        <is>
          <t>P059</t>
        </is>
      </c>
      <c r="G613" s="37" t="inlineStr">
        <is>
          <t>Basket</t>
        </is>
      </c>
      <c r="H613" s="39" t="n"/>
    </row>
    <row r="614" ht="15" customHeight="1" s="26">
      <c r="A614" s="37" t="inlineStr">
        <is>
          <t>R076</t>
        </is>
      </c>
      <c r="B614" s="37">
        <f>IFERROR(INDEX(Recipes!$B$2:$B$500,MATCH(A614,Recipes!$A$2:$A$500,0)),"")</f>
        <v/>
      </c>
      <c r="C614" s="39" t="inlineStr">
        <is>
          <t>Tomato (plum)</t>
        </is>
      </c>
      <c r="D614" s="47" t="n">
        <v>4</v>
      </c>
      <c r="E614" s="37" t="inlineStr">
        <is>
          <t>pc</t>
        </is>
      </c>
      <c r="F614" s="37" t="inlineStr">
        <is>
          <t>P042</t>
        </is>
      </c>
      <c r="G614" s="37" t="inlineStr">
        <is>
          <t>Basket</t>
        </is>
      </c>
      <c r="H614" s="39" t="n"/>
    </row>
    <row r="615" ht="15" customHeight="1" s="26">
      <c r="A615" s="37" t="inlineStr">
        <is>
          <t>R076</t>
        </is>
      </c>
      <c r="B615" s="37">
        <f>IFERROR(INDEX(Recipes!$B$2:$B$500,MATCH(A615,Recipes!$A$2:$A$500,0)),"")</f>
        <v/>
      </c>
      <c r="C615" s="39" t="inlineStr">
        <is>
          <t>Irish potato</t>
        </is>
      </c>
      <c r="D615" s="47" t="n">
        <v>1</v>
      </c>
      <c r="E615" s="37" t="inlineStr">
        <is>
          <t>pc</t>
        </is>
      </c>
      <c r="F615" s="37" t="inlineStr">
        <is>
          <t>P070</t>
        </is>
      </c>
      <c r="G615" s="37" t="inlineStr">
        <is>
          <t>Basket</t>
        </is>
      </c>
      <c r="H615" s="39" t="n"/>
    </row>
    <row r="616" ht="15" customHeight="1" s="26">
      <c r="A616" s="37" t="inlineStr">
        <is>
          <t>R076</t>
        </is>
      </c>
      <c r="B616" s="37">
        <f>IFERROR(INDEX(Recipes!$B$2:$B$500,MATCH(A616,Recipes!$A$2:$A$500,0)),"")</f>
        <v/>
      </c>
      <c r="C616" s="39" t="inlineStr">
        <is>
          <t>Parsley</t>
        </is>
      </c>
      <c r="D616" s="47" t="n">
        <v>1</v>
      </c>
      <c r="E616" s="37" t="inlineStr">
        <is>
          <t>handful</t>
        </is>
      </c>
      <c r="F616" s="37" t="inlineStr">
        <is>
          <t>P081</t>
        </is>
      </c>
      <c r="G616" s="37" t="inlineStr">
        <is>
          <t>Basket</t>
        </is>
      </c>
      <c r="H616" s="39" t="inlineStr">
        <is>
          <t>or basil</t>
        </is>
      </c>
    </row>
    <row r="617" ht="15" customHeight="1" s="26">
      <c r="A617" s="37" t="inlineStr">
        <is>
          <t>R076</t>
        </is>
      </c>
      <c r="B617" s="37">
        <f>IFERROR(INDEX(Recipes!$B$2:$B$500,MATCH(A617,Recipes!$A$2:$A$500,0)),"")</f>
        <v/>
      </c>
      <c r="C617" s="39" t="inlineStr">
        <is>
          <t>Beans</t>
        </is>
      </c>
      <c r="D617" s="47" t="n">
        <v>1</v>
      </c>
      <c r="E617" s="37" t="inlineStr">
        <is>
          <t>cup</t>
        </is>
      </c>
      <c r="F617" s="37" t="n"/>
      <c r="G617" s="37" t="inlineStr">
        <is>
          <t>Pantry</t>
        </is>
      </c>
      <c r="H617" s="39" t="inlineStr">
        <is>
          <t>cooked</t>
        </is>
      </c>
    </row>
    <row r="618" ht="15" customHeight="1" s="26">
      <c r="A618" s="37" t="inlineStr">
        <is>
          <t>R076</t>
        </is>
      </c>
      <c r="B618" s="37">
        <f>IFERROR(INDEX(Recipes!$B$2:$B$500,MATCH(A618,Recipes!$A$2:$A$500,0)),"")</f>
        <v/>
      </c>
      <c r="C618" s="39" t="inlineStr">
        <is>
          <t>Small pasta</t>
        </is>
      </c>
      <c r="D618" s="47" t="n">
        <v>0.5</v>
      </c>
      <c r="E618" s="37" t="inlineStr">
        <is>
          <t>cup</t>
        </is>
      </c>
      <c r="F618" s="37" t="n"/>
      <c r="G618" s="37" t="inlineStr">
        <is>
          <t>Pantry</t>
        </is>
      </c>
      <c r="H618" s="39" t="n"/>
    </row>
    <row r="619" ht="15" customHeight="1" s="26">
      <c r="A619" s="37" t="inlineStr">
        <is>
          <t>R076</t>
        </is>
      </c>
      <c r="B619" s="37">
        <f>IFERROR(INDEX(Recipes!$B$2:$B$500,MATCH(A619,Recipes!$A$2:$A$500,0)),"")</f>
        <v/>
      </c>
      <c r="C619" s="39" t="inlineStr">
        <is>
          <t>Stock</t>
        </is>
      </c>
      <c r="D619" s="47" t="n">
        <v>4</v>
      </c>
      <c r="E619" s="37" t="inlineStr">
        <is>
          <t>cups</t>
        </is>
      </c>
      <c r="F619" s="37" t="n"/>
      <c r="G619" s="37" t="inlineStr">
        <is>
          <t>Pantry</t>
        </is>
      </c>
      <c r="H619" s="39" t="n"/>
    </row>
    <row r="620" ht="15" customHeight="1" s="26">
      <c r="A620" s="37" t="inlineStr">
        <is>
          <t>R076</t>
        </is>
      </c>
      <c r="B620" s="37">
        <f>IFERROR(INDEX(Recipes!$B$2:$B$500,MATCH(A620,Recipes!$A$2:$A$500,0)),"")</f>
        <v/>
      </c>
      <c r="C620" s="39" t="inlineStr">
        <is>
          <t>Olive oil</t>
        </is>
      </c>
      <c r="D620" s="47" t="n">
        <v>2</v>
      </c>
      <c r="E620" s="37" t="inlineStr">
        <is>
          <t>tbsp</t>
        </is>
      </c>
      <c r="F620" s="37" t="n"/>
      <c r="G620" s="37" t="inlineStr">
        <is>
          <t>Staple</t>
        </is>
      </c>
      <c r="H620" s="39" t="n"/>
    </row>
    <row r="621" ht="15" customHeight="1" s="26">
      <c r="A621" s="37" t="inlineStr">
        <is>
          <t>R077</t>
        </is>
      </c>
      <c r="B621" s="37">
        <f>IFERROR(INDEX(Recipes!$B$2:$B$500,MATCH(A621,Recipes!$A$2:$A$500,0)),"")</f>
        <v/>
      </c>
      <c r="C621" s="39" t="inlineStr">
        <is>
          <t>Plantain (ripe &amp; unripe)</t>
        </is>
      </c>
      <c r="D621" s="47" t="n">
        <v>2</v>
      </c>
      <c r="E621" s="37" t="inlineStr">
        <is>
          <t>pc</t>
        </is>
      </c>
      <c r="F621" s="37" t="inlineStr">
        <is>
          <t>P002</t>
        </is>
      </c>
      <c r="G621" s="37" t="inlineStr">
        <is>
          <t>Basket</t>
        </is>
      </c>
      <c r="H621" s="39" t="inlineStr">
        <is>
          <t>unripe</t>
        </is>
      </c>
    </row>
    <row r="622" ht="15" customHeight="1" s="26">
      <c r="A622" s="37" t="inlineStr">
        <is>
          <t>R077</t>
        </is>
      </c>
      <c r="B622" s="37">
        <f>IFERROR(INDEX(Recipes!$B$2:$B$500,MATCH(A622,Recipes!$A$2:$A$500,0)),"")</f>
        <v/>
      </c>
      <c r="C622" s="39" t="inlineStr">
        <is>
          <t>Lime</t>
        </is>
      </c>
      <c r="D622" s="47" t="n">
        <v>1</v>
      </c>
      <c r="E622" s="37" t="inlineStr">
        <is>
          <t>pc</t>
        </is>
      </c>
      <c r="F622" s="37" t="inlineStr">
        <is>
          <t>P010</t>
        </is>
      </c>
      <c r="G622" s="37" t="inlineStr">
        <is>
          <t>Basket</t>
        </is>
      </c>
      <c r="H622" s="39" t="n"/>
    </row>
    <row r="623" ht="15" customHeight="1" s="26">
      <c r="A623" s="37" t="inlineStr">
        <is>
          <t>R077</t>
        </is>
      </c>
      <c r="B623" s="37">
        <f>IFERROR(INDEX(Recipes!$B$2:$B$500,MATCH(A623,Recipes!$A$2:$A$500,0)),"")</f>
        <v/>
      </c>
      <c r="C623" s="39" t="inlineStr">
        <is>
          <t>Yaji (suya spice)</t>
        </is>
      </c>
      <c r="D623" s="47" t="n">
        <v>1</v>
      </c>
      <c r="E623" s="37" t="inlineStr">
        <is>
          <t>tsp</t>
        </is>
      </c>
      <c r="F623" s="37" t="n"/>
      <c r="G623" s="37" t="inlineStr">
        <is>
          <t>Pantry</t>
        </is>
      </c>
      <c r="H623" s="39" t="n"/>
    </row>
    <row r="624" ht="15" customHeight="1" s="26">
      <c r="A624" s="37" t="inlineStr">
        <is>
          <t>R077</t>
        </is>
      </c>
      <c r="B624" s="37">
        <f>IFERROR(INDEX(Recipes!$B$2:$B$500,MATCH(A624,Recipes!$A$2:$A$500,0)),"")</f>
        <v/>
      </c>
      <c r="C624" s="39" t="inlineStr">
        <is>
          <t>Oil</t>
        </is>
      </c>
      <c r="D624" s="47" t="n">
        <v>1</v>
      </c>
      <c r="E624" s="37" t="inlineStr">
        <is>
          <t>tbsp</t>
        </is>
      </c>
      <c r="F624" s="37" t="n"/>
      <c r="G624" s="37" t="inlineStr">
        <is>
          <t>Staple</t>
        </is>
      </c>
      <c r="H624" s="39" t="n"/>
    </row>
    <row r="625" ht="15" customHeight="1" s="26">
      <c r="A625" s="37" t="inlineStr">
        <is>
          <t>R077</t>
        </is>
      </c>
      <c r="B625" s="37">
        <f>IFERROR(INDEX(Recipes!$B$2:$B$500,MATCH(A625,Recipes!$A$2:$A$500,0)),"")</f>
        <v/>
      </c>
      <c r="C625" s="39" t="inlineStr">
        <is>
          <t>Salt</t>
        </is>
      </c>
      <c r="D625" s="47" t="n">
        <v>1</v>
      </c>
      <c r="E625" s="37" t="inlineStr">
        <is>
          <t>pinch</t>
        </is>
      </c>
      <c r="F625" s="37" t="n"/>
      <c r="G625" s="37" t="inlineStr">
        <is>
          <t>Staple</t>
        </is>
      </c>
      <c r="H625" s="39" t="n"/>
    </row>
    <row r="626" ht="15" customHeight="1" s="26">
      <c r="A626" s="37" t="inlineStr">
        <is>
          <t>R078</t>
        </is>
      </c>
      <c r="B626" s="37">
        <f>IFERROR(INDEX(Recipes!$B$2:$B$500,MATCH(A626,Recipes!$A$2:$A$500,0)),"")</f>
        <v/>
      </c>
      <c r="C626" s="39" t="inlineStr">
        <is>
          <t>Avocado</t>
        </is>
      </c>
      <c r="D626" s="47" t="n">
        <v>2</v>
      </c>
      <c r="E626" s="37" t="inlineStr">
        <is>
          <t>pc</t>
        </is>
      </c>
      <c r="F626" s="37" t="inlineStr">
        <is>
          <t>P012</t>
        </is>
      </c>
      <c r="G626" s="37" t="inlineStr">
        <is>
          <t>Basket</t>
        </is>
      </c>
      <c r="H626" s="39" t="n"/>
    </row>
    <row r="627" ht="15" customHeight="1" s="26">
      <c r="A627" s="37" t="inlineStr">
        <is>
          <t>R078</t>
        </is>
      </c>
      <c r="B627" s="37">
        <f>IFERROR(INDEX(Recipes!$B$2:$B$500,MATCH(A627,Recipes!$A$2:$A$500,0)),"")</f>
        <v/>
      </c>
      <c r="C627" s="39" t="inlineStr">
        <is>
          <t>Tomato (plum)</t>
        </is>
      </c>
      <c r="D627" s="47" t="n">
        <v>1</v>
      </c>
      <c r="E627" s="37" t="inlineStr">
        <is>
          <t>pc</t>
        </is>
      </c>
      <c r="F627" s="37" t="inlineStr">
        <is>
          <t>P042</t>
        </is>
      </c>
      <c r="G627" s="37" t="inlineStr">
        <is>
          <t>Basket</t>
        </is>
      </c>
      <c r="H627" s="39" t="n"/>
    </row>
    <row r="628" ht="15" customHeight="1" s="26">
      <c r="A628" s="37" t="inlineStr">
        <is>
          <t>R078</t>
        </is>
      </c>
      <c r="B628" s="37">
        <f>IFERROR(INDEX(Recipes!$B$2:$B$500,MATCH(A628,Recipes!$A$2:$A$500,0)),"")</f>
        <v/>
      </c>
      <c r="C628" s="39" t="inlineStr">
        <is>
          <t>Onion (red &amp; white)</t>
        </is>
      </c>
      <c r="D628" s="47" t="n">
        <v>0.25</v>
      </c>
      <c r="E628" s="37" t="inlineStr">
        <is>
          <t>pc</t>
        </is>
      </c>
      <c r="F628" s="37" t="inlineStr">
        <is>
          <t>P048</t>
        </is>
      </c>
      <c r="G628" s="37" t="inlineStr">
        <is>
          <t>Basket</t>
        </is>
      </c>
      <c r="H628" s="39" t="inlineStr">
        <is>
          <t>red</t>
        </is>
      </c>
    </row>
    <row r="629" ht="15" customHeight="1" s="26">
      <c r="A629" s="37" t="inlineStr">
        <is>
          <t>R078</t>
        </is>
      </c>
      <c r="B629" s="37">
        <f>IFERROR(INDEX(Recipes!$B$2:$B$500,MATCH(A629,Recipes!$A$2:$A$500,0)),"")</f>
        <v/>
      </c>
      <c r="C629" s="39" t="inlineStr">
        <is>
          <t>Scotch bonnet</t>
        </is>
      </c>
      <c r="D629" s="47" t="n">
        <v>0.25</v>
      </c>
      <c r="E629" s="37" t="inlineStr">
        <is>
          <t>pc</t>
        </is>
      </c>
      <c r="F629" s="37" t="inlineStr">
        <is>
          <t>P046</t>
        </is>
      </c>
      <c r="G629" s="37" t="inlineStr">
        <is>
          <t>Basket</t>
        </is>
      </c>
      <c r="H629" s="39" t="n"/>
    </row>
    <row r="630" ht="15" customHeight="1" s="26">
      <c r="A630" s="37" t="inlineStr">
        <is>
          <t>R078</t>
        </is>
      </c>
      <c r="B630" s="37">
        <f>IFERROR(INDEX(Recipes!$B$2:$B$500,MATCH(A630,Recipes!$A$2:$A$500,0)),"")</f>
        <v/>
      </c>
      <c r="C630" s="39" t="inlineStr">
        <is>
          <t>Coriander (cilantro)</t>
        </is>
      </c>
      <c r="D630" s="47" t="n">
        <v>1</v>
      </c>
      <c r="E630" s="37" t="inlineStr">
        <is>
          <t>handful</t>
        </is>
      </c>
      <c r="F630" s="37" t="inlineStr">
        <is>
          <t>P080</t>
        </is>
      </c>
      <c r="G630" s="37" t="inlineStr">
        <is>
          <t>Basket</t>
        </is>
      </c>
      <c r="H630" s="39" t="n"/>
    </row>
    <row r="631" ht="15" customHeight="1" s="26">
      <c r="A631" s="37" t="inlineStr">
        <is>
          <t>R078</t>
        </is>
      </c>
      <c r="B631" s="37">
        <f>IFERROR(INDEX(Recipes!$B$2:$B$500,MATCH(A631,Recipes!$A$2:$A$500,0)),"")</f>
        <v/>
      </c>
      <c r="C631" s="39" t="inlineStr">
        <is>
          <t>Lime</t>
        </is>
      </c>
      <c r="D631" s="47" t="n">
        <v>2</v>
      </c>
      <c r="E631" s="37" t="inlineStr">
        <is>
          <t>pc</t>
        </is>
      </c>
      <c r="F631" s="37" t="inlineStr">
        <is>
          <t>P010</t>
        </is>
      </c>
      <c r="G631" s="37" t="inlineStr">
        <is>
          <t>Basket</t>
        </is>
      </c>
      <c r="H631" s="39" t="n"/>
    </row>
    <row r="632" ht="15" customHeight="1" s="26">
      <c r="A632" s="37" t="inlineStr">
        <is>
          <t>R078</t>
        </is>
      </c>
      <c r="B632" s="37">
        <f>IFERROR(INDEX(Recipes!$B$2:$B$500,MATCH(A632,Recipes!$A$2:$A$500,0)),"")</f>
        <v/>
      </c>
      <c r="C632" s="39" t="inlineStr">
        <is>
          <t>Garden egg</t>
        </is>
      </c>
      <c r="D632" s="47" t="n">
        <v>4</v>
      </c>
      <c r="E632" s="37" t="inlineStr">
        <is>
          <t>pc</t>
        </is>
      </c>
      <c r="F632" s="37" t="inlineStr">
        <is>
          <t>P061</t>
        </is>
      </c>
      <c r="G632" s="37" t="inlineStr">
        <is>
          <t>Basket</t>
        </is>
      </c>
      <c r="H632" s="39" t="n"/>
    </row>
    <row r="633" ht="15" customHeight="1" s="26">
      <c r="A633" s="37" t="inlineStr">
        <is>
          <t>R078</t>
        </is>
      </c>
      <c r="B633" s="37">
        <f>IFERROR(INDEX(Recipes!$B$2:$B$500,MATCH(A633,Recipes!$A$2:$A$500,0)),"")</f>
        <v/>
      </c>
      <c r="C633" s="39" t="inlineStr">
        <is>
          <t>Cucumber</t>
        </is>
      </c>
      <c r="D633" s="47" t="n">
        <v>1</v>
      </c>
      <c r="E633" s="37" t="inlineStr">
        <is>
          <t>pc</t>
        </is>
      </c>
      <c r="F633" s="37" t="inlineStr">
        <is>
          <t>P054</t>
        </is>
      </c>
      <c r="G633" s="37" t="inlineStr">
        <is>
          <t>Basket</t>
        </is>
      </c>
      <c r="H633" s="39" t="n"/>
    </row>
    <row r="634" ht="15" customHeight="1" s="26">
      <c r="A634" s="37" t="inlineStr">
        <is>
          <t>R078</t>
        </is>
      </c>
      <c r="B634" s="37">
        <f>IFERROR(INDEX(Recipes!$B$2:$B$500,MATCH(A634,Recipes!$A$2:$A$500,0)),"")</f>
        <v/>
      </c>
      <c r="C634" s="39" t="inlineStr">
        <is>
          <t>Carrot</t>
        </is>
      </c>
      <c r="D634" s="47" t="n">
        <v>2</v>
      </c>
      <c r="E634" s="37" t="inlineStr">
        <is>
          <t>pc</t>
        </is>
      </c>
      <c r="F634" s="37" t="inlineStr">
        <is>
          <t>P055</t>
        </is>
      </c>
      <c r="G634" s="37" t="inlineStr">
        <is>
          <t>Basket</t>
        </is>
      </c>
      <c r="H634" s="39" t="n"/>
    </row>
    <row r="635" ht="15" customHeight="1" s="26">
      <c r="A635" s="37" t="inlineStr">
        <is>
          <t>R078</t>
        </is>
      </c>
      <c r="B635" s="37">
        <f>IFERROR(INDEX(Recipes!$B$2:$B$500,MATCH(A635,Recipes!$A$2:$A$500,0)),"")</f>
        <v/>
      </c>
      <c r="C635" s="39" t="inlineStr">
        <is>
          <t>Salt</t>
        </is>
      </c>
      <c r="D635" s="47" t="n">
        <v>1</v>
      </c>
      <c r="E635" s="37" t="inlineStr">
        <is>
          <t>pinch</t>
        </is>
      </c>
      <c r="F635" s="37" t="n"/>
      <c r="G635" s="37" t="inlineStr">
        <is>
          <t>Staple</t>
        </is>
      </c>
      <c r="H635" s="39" t="n"/>
    </row>
    <row r="636" ht="15" customHeight="1" s="26">
      <c r="A636" s="37" t="inlineStr">
        <is>
          <t>R079</t>
        </is>
      </c>
      <c r="B636" s="37">
        <f>IFERROR(INDEX(Recipes!$B$2:$B$500,MATCH(A636,Recipes!$A$2:$A$500,0)),"")</f>
        <v/>
      </c>
      <c r="C636" s="39" t="inlineStr">
        <is>
          <t>Garden egg</t>
        </is>
      </c>
      <c r="D636" s="47" t="n">
        <v>8</v>
      </c>
      <c r="E636" s="37" t="inlineStr">
        <is>
          <t>pc</t>
        </is>
      </c>
      <c r="F636" s="37" t="inlineStr">
        <is>
          <t>P061</t>
        </is>
      </c>
      <c r="G636" s="37" t="inlineStr">
        <is>
          <t>Basket</t>
        </is>
      </c>
      <c r="H636" s="39" t="n"/>
    </row>
    <row r="637" ht="15" customHeight="1" s="26">
      <c r="A637" s="37" t="inlineStr">
        <is>
          <t>R079</t>
        </is>
      </c>
      <c r="B637" s="37">
        <f>IFERROR(INDEX(Recipes!$B$2:$B$500,MATCH(A637,Recipes!$A$2:$A$500,0)),"")</f>
        <v/>
      </c>
      <c r="C637" s="39" t="inlineStr">
        <is>
          <t>Garlic</t>
        </is>
      </c>
      <c r="D637" s="47" t="n">
        <v>2</v>
      </c>
      <c r="E637" s="37" t="inlineStr">
        <is>
          <t>cloves</t>
        </is>
      </c>
      <c r="F637" s="37" t="inlineStr">
        <is>
          <t>P051</t>
        </is>
      </c>
      <c r="G637" s="37" t="inlineStr">
        <is>
          <t>Basket</t>
        </is>
      </c>
      <c r="H637" s="39" t="n"/>
    </row>
    <row r="638" ht="15" customHeight="1" s="26">
      <c r="A638" s="37" t="inlineStr">
        <is>
          <t>R079</t>
        </is>
      </c>
      <c r="B638" s="37">
        <f>IFERROR(INDEX(Recipes!$B$2:$B$500,MATCH(A638,Recipes!$A$2:$A$500,0)),"")</f>
        <v/>
      </c>
      <c r="C638" s="39" t="inlineStr">
        <is>
          <t>Lemon</t>
        </is>
      </c>
      <c r="D638" s="47" t="n">
        <v>1</v>
      </c>
      <c r="E638" s="37" t="inlineStr">
        <is>
          <t>pc</t>
        </is>
      </c>
      <c r="F638" s="37" t="inlineStr">
        <is>
          <t>P009</t>
        </is>
      </c>
      <c r="G638" s="37" t="inlineStr">
        <is>
          <t>Basket</t>
        </is>
      </c>
      <c r="H638" s="39" t="n"/>
    </row>
    <row r="639" ht="15" customHeight="1" s="26">
      <c r="A639" s="37" t="inlineStr">
        <is>
          <t>R079</t>
        </is>
      </c>
      <c r="B639" s="37">
        <f>IFERROR(INDEX(Recipes!$B$2:$B$500,MATCH(A639,Recipes!$A$2:$A$500,0)),"")</f>
        <v/>
      </c>
      <c r="C639" s="39" t="inlineStr">
        <is>
          <t>Parsley</t>
        </is>
      </c>
      <c r="D639" s="47" t="n">
        <v>1</v>
      </c>
      <c r="E639" s="37" t="inlineStr">
        <is>
          <t>handful</t>
        </is>
      </c>
      <c r="F639" s="37" t="inlineStr">
        <is>
          <t>P081</t>
        </is>
      </c>
      <c r="G639" s="37" t="inlineStr">
        <is>
          <t>Basket</t>
        </is>
      </c>
      <c r="H639" s="39" t="n"/>
    </row>
    <row r="640" ht="15" customHeight="1" s="26">
      <c r="A640" s="37" t="inlineStr">
        <is>
          <t>R079</t>
        </is>
      </c>
      <c r="B640" s="37">
        <f>IFERROR(INDEX(Recipes!$B$2:$B$500,MATCH(A640,Recipes!$A$2:$A$500,0)),"")</f>
        <v/>
      </c>
      <c r="C640" s="39" t="inlineStr">
        <is>
          <t>Carrot</t>
        </is>
      </c>
      <c r="D640" s="47" t="n">
        <v>2</v>
      </c>
      <c r="E640" s="37" t="inlineStr">
        <is>
          <t>pc</t>
        </is>
      </c>
      <c r="F640" s="37" t="inlineStr">
        <is>
          <t>P055</t>
        </is>
      </c>
      <c r="G640" s="37" t="inlineStr">
        <is>
          <t>Basket</t>
        </is>
      </c>
      <c r="H640" s="39" t="inlineStr">
        <is>
          <t>for dipping</t>
        </is>
      </c>
    </row>
    <row r="641" ht="15" customHeight="1" s="26">
      <c r="A641" s="37" t="inlineStr">
        <is>
          <t>R079</t>
        </is>
      </c>
      <c r="B641" s="37">
        <f>IFERROR(INDEX(Recipes!$B$2:$B$500,MATCH(A641,Recipes!$A$2:$A$500,0)),"")</f>
        <v/>
      </c>
      <c r="C641" s="39" t="inlineStr">
        <is>
          <t>Groundnut paste (peanut butter)</t>
        </is>
      </c>
      <c r="D641" s="47" t="n">
        <v>2</v>
      </c>
      <c r="E641" s="37" t="inlineStr">
        <is>
          <t>tbsp</t>
        </is>
      </c>
      <c r="F641" s="37" t="n"/>
      <c r="G641" s="37" t="inlineStr">
        <is>
          <t>Pantry</t>
        </is>
      </c>
      <c r="H641" s="39" t="n"/>
    </row>
    <row r="642" ht="15" customHeight="1" s="26">
      <c r="A642" s="37" t="inlineStr">
        <is>
          <t>R079</t>
        </is>
      </c>
      <c r="B642" s="37">
        <f>IFERROR(INDEX(Recipes!$B$2:$B$500,MATCH(A642,Recipes!$A$2:$A$500,0)),"")</f>
        <v/>
      </c>
      <c r="C642" s="39" t="inlineStr">
        <is>
          <t>Ground cumin</t>
        </is>
      </c>
      <c r="D642" s="47" t="n">
        <v>1</v>
      </c>
      <c r="E642" s="37" t="inlineStr">
        <is>
          <t>tsp</t>
        </is>
      </c>
      <c r="F642" s="37" t="n"/>
      <c r="G642" s="37" t="inlineStr">
        <is>
          <t>Pantry</t>
        </is>
      </c>
      <c r="H642" s="39" t="n"/>
    </row>
    <row r="643" ht="15" customHeight="1" s="26">
      <c r="A643" s="37" t="inlineStr">
        <is>
          <t>R079</t>
        </is>
      </c>
      <c r="B643" s="37">
        <f>IFERROR(INDEX(Recipes!$B$2:$B$500,MATCH(A643,Recipes!$A$2:$A$500,0)),"")</f>
        <v/>
      </c>
      <c r="C643" s="39" t="inlineStr">
        <is>
          <t>Olive oil</t>
        </is>
      </c>
      <c r="D643" s="47" t="n">
        <v>2</v>
      </c>
      <c r="E643" s="37" t="inlineStr">
        <is>
          <t>tbsp</t>
        </is>
      </c>
      <c r="F643" s="37" t="n"/>
      <c r="G643" s="37" t="inlineStr">
        <is>
          <t>Staple</t>
        </is>
      </c>
      <c r="H643" s="39" t="n"/>
    </row>
    <row r="644" ht="15" customHeight="1" s="26">
      <c r="A644" s="37" t="inlineStr">
        <is>
          <t>R080</t>
        </is>
      </c>
      <c r="B644" s="37">
        <f>IFERROR(INDEX(Recipes!$B$2:$B$500,MATCH(A644,Recipes!$A$2:$A$500,0)),"")</f>
        <v/>
      </c>
      <c r="C644" s="39" t="inlineStr">
        <is>
          <t>Sweet potato</t>
        </is>
      </c>
      <c r="D644" s="47" t="n">
        <v>3</v>
      </c>
      <c r="E644" s="37" t="inlineStr">
        <is>
          <t>pc</t>
        </is>
      </c>
      <c r="F644" s="37" t="inlineStr">
        <is>
          <t>P069</t>
        </is>
      </c>
      <c r="G644" s="37" t="inlineStr">
        <is>
          <t>Basket</t>
        </is>
      </c>
      <c r="H644" s="39" t="n"/>
    </row>
    <row r="645" ht="15" customHeight="1" s="26">
      <c r="A645" s="37" t="inlineStr">
        <is>
          <t>R080</t>
        </is>
      </c>
      <c r="B645" s="37">
        <f>IFERROR(INDEX(Recipes!$B$2:$B$500,MATCH(A645,Recipes!$A$2:$A$500,0)),"")</f>
        <v/>
      </c>
      <c r="C645" s="39" t="inlineStr">
        <is>
          <t>Lime</t>
        </is>
      </c>
      <c r="D645" s="47" t="n">
        <v>0.5</v>
      </c>
      <c r="E645" s="37" t="inlineStr">
        <is>
          <t>pc</t>
        </is>
      </c>
      <c r="F645" s="37" t="inlineStr">
        <is>
          <t>P010</t>
        </is>
      </c>
      <c r="G645" s="37" t="inlineStr">
        <is>
          <t>Basket</t>
        </is>
      </c>
      <c r="H645" s="39" t="n"/>
    </row>
    <row r="646" ht="15" customHeight="1" s="26">
      <c r="A646" s="37" t="inlineStr">
        <is>
          <t>R080</t>
        </is>
      </c>
      <c r="B646" s="37">
        <f>IFERROR(INDEX(Recipes!$B$2:$B$500,MATCH(A646,Recipes!$A$2:$A$500,0)),"")</f>
        <v/>
      </c>
      <c r="C646" s="39" t="inlineStr">
        <is>
          <t>Garlic</t>
        </is>
      </c>
      <c r="D646" s="47" t="n">
        <v>1</v>
      </c>
      <c r="E646" s="37" t="inlineStr">
        <is>
          <t>clove</t>
        </is>
      </c>
      <c r="F646" s="37" t="inlineStr">
        <is>
          <t>P051</t>
        </is>
      </c>
      <c r="G646" s="37" t="inlineStr">
        <is>
          <t>Basket</t>
        </is>
      </c>
      <c r="H646" s="39" t="n"/>
    </row>
    <row r="647" ht="15" customHeight="1" s="26">
      <c r="A647" s="37" t="inlineStr">
        <is>
          <t>R080</t>
        </is>
      </c>
      <c r="B647" s="37">
        <f>IFERROR(INDEX(Recipes!$B$2:$B$500,MATCH(A647,Recipes!$A$2:$A$500,0)),"")</f>
        <v/>
      </c>
      <c r="C647" s="39" t="inlineStr">
        <is>
          <t>Paprika</t>
        </is>
      </c>
      <c r="D647" s="47" t="n">
        <v>1</v>
      </c>
      <c r="E647" s="37" t="inlineStr">
        <is>
          <t>tsp</t>
        </is>
      </c>
      <c r="F647" s="37" t="n"/>
      <c r="G647" s="37" t="inlineStr">
        <is>
          <t>Pantry</t>
        </is>
      </c>
      <c r="H647" s="39" t="n"/>
    </row>
    <row r="648" ht="15" customHeight="1" s="26">
      <c r="A648" s="37" t="inlineStr">
        <is>
          <t>R080</t>
        </is>
      </c>
      <c r="B648" s="37">
        <f>IFERROR(INDEX(Recipes!$B$2:$B$500,MATCH(A648,Recipes!$A$2:$A$500,0)),"")</f>
        <v/>
      </c>
      <c r="C648" s="39" t="inlineStr">
        <is>
          <t>Plain yoghurt</t>
        </is>
      </c>
      <c r="D648" s="47" t="n">
        <v>0.5</v>
      </c>
      <c r="E648" s="37" t="inlineStr">
        <is>
          <t>cup</t>
        </is>
      </c>
      <c r="F648" s="37" t="n"/>
      <c r="G648" s="37" t="inlineStr">
        <is>
          <t>Pantry</t>
        </is>
      </c>
      <c r="H648" s="39" t="n"/>
    </row>
    <row r="649" ht="15" customHeight="1" s="26">
      <c r="A649" s="37" t="inlineStr">
        <is>
          <t>R080</t>
        </is>
      </c>
      <c r="B649" s="37">
        <f>IFERROR(INDEX(Recipes!$B$2:$B$500,MATCH(A649,Recipes!$A$2:$A$500,0)),"")</f>
        <v/>
      </c>
      <c r="C649" s="39" t="inlineStr">
        <is>
          <t>Yaji (suya spice)</t>
        </is>
      </c>
      <c r="D649" s="47" t="n">
        <v>1</v>
      </c>
      <c r="E649" s="37" t="inlineStr">
        <is>
          <t>tsp</t>
        </is>
      </c>
      <c r="F649" s="37" t="n"/>
      <c r="G649" s="37" t="inlineStr">
        <is>
          <t>Pantry</t>
        </is>
      </c>
      <c r="H649" s="39" t="n"/>
    </row>
    <row r="650" ht="15" customHeight="1" s="26">
      <c r="A650" s="37" t="inlineStr">
        <is>
          <t>R080</t>
        </is>
      </c>
      <c r="B650" s="37">
        <f>IFERROR(INDEX(Recipes!$B$2:$B$500,MATCH(A650,Recipes!$A$2:$A$500,0)),"")</f>
        <v/>
      </c>
      <c r="C650" s="39" t="inlineStr">
        <is>
          <t>Oil</t>
        </is>
      </c>
      <c r="D650" s="47" t="n">
        <v>2</v>
      </c>
      <c r="E650" s="37" t="inlineStr">
        <is>
          <t>tbsp</t>
        </is>
      </c>
      <c r="F650" s="37" t="n"/>
      <c r="G650" s="37" t="inlineStr">
        <is>
          <t>Staple</t>
        </is>
      </c>
      <c r="H650" s="39" t="n"/>
    </row>
    <row r="651" ht="15" customHeight="1" s="26">
      <c r="A651" s="37" t="inlineStr">
        <is>
          <t>R081</t>
        </is>
      </c>
      <c r="B651" s="37">
        <f>IFERROR(INDEX(Recipes!$B$2:$B$500,MATCH(A651,Recipes!$A$2:$A$500,0)),"")</f>
        <v/>
      </c>
      <c r="C651" s="39" t="inlineStr">
        <is>
          <t>Black-eyed beans</t>
        </is>
      </c>
      <c r="D651" s="47" t="n">
        <v>2</v>
      </c>
      <c r="E651" s="37" t="inlineStr">
        <is>
          <t>cups</t>
        </is>
      </c>
      <c r="F651" s="37" t="n"/>
      <c r="G651" s="37" t="inlineStr">
        <is>
          <t>Pantry</t>
        </is>
      </c>
      <c r="H651" s="39" t="inlineStr">
        <is>
          <t>cooked</t>
        </is>
      </c>
    </row>
    <row r="652" ht="15" customHeight="1" s="26">
      <c r="A652" s="37" t="inlineStr">
        <is>
          <t>R081</t>
        </is>
      </c>
      <c r="B652" s="37">
        <f>IFERROR(INDEX(Recipes!$B$2:$B$500,MATCH(A652,Recipes!$A$2:$A$500,0)),"")</f>
        <v/>
      </c>
      <c r="C652" s="39" t="inlineStr">
        <is>
          <t>Groundnut paste (peanut butter)</t>
        </is>
      </c>
      <c r="D652" s="47" t="n">
        <v>2</v>
      </c>
      <c r="E652" s="37" t="inlineStr">
        <is>
          <t>tbsp</t>
        </is>
      </c>
      <c r="F652" s="37" t="n"/>
      <c r="G652" s="37" t="inlineStr">
        <is>
          <t>Pantry</t>
        </is>
      </c>
      <c r="H652" s="39" t="n"/>
    </row>
    <row r="653" ht="15" customHeight="1" s="26">
      <c r="A653" s="37" t="inlineStr">
        <is>
          <t>R081</t>
        </is>
      </c>
      <c r="B653" s="37">
        <f>IFERROR(INDEX(Recipes!$B$2:$B$500,MATCH(A653,Recipes!$A$2:$A$500,0)),"")</f>
        <v/>
      </c>
      <c r="C653" s="39" t="inlineStr">
        <is>
          <t>Garlic</t>
        </is>
      </c>
      <c r="D653" s="47" t="n">
        <v>2</v>
      </c>
      <c r="E653" s="37" t="inlineStr">
        <is>
          <t>cloves</t>
        </is>
      </c>
      <c r="F653" s="37" t="inlineStr">
        <is>
          <t>P051</t>
        </is>
      </c>
      <c r="G653" s="37" t="inlineStr">
        <is>
          <t>Basket</t>
        </is>
      </c>
      <c r="H653" s="39" t="n"/>
    </row>
    <row r="654" ht="15" customHeight="1" s="26">
      <c r="A654" s="37" t="inlineStr">
        <is>
          <t>R081</t>
        </is>
      </c>
      <c r="B654" s="37">
        <f>IFERROR(INDEX(Recipes!$B$2:$B$500,MATCH(A654,Recipes!$A$2:$A$500,0)),"")</f>
        <v/>
      </c>
      <c r="C654" s="39" t="inlineStr">
        <is>
          <t>Lemon</t>
        </is>
      </c>
      <c r="D654" s="47" t="n">
        <v>1</v>
      </c>
      <c r="E654" s="37" t="inlineStr">
        <is>
          <t>pc</t>
        </is>
      </c>
      <c r="F654" s="37" t="inlineStr">
        <is>
          <t>P009</t>
        </is>
      </c>
      <c r="G654" s="37" t="inlineStr">
        <is>
          <t>Basket</t>
        </is>
      </c>
      <c r="H654" s="39" t="n"/>
    </row>
    <row r="655" ht="15" customHeight="1" s="26">
      <c r="A655" s="37" t="inlineStr">
        <is>
          <t>R081</t>
        </is>
      </c>
      <c r="B655" s="37">
        <f>IFERROR(INDEX(Recipes!$B$2:$B$500,MATCH(A655,Recipes!$A$2:$A$500,0)),"")</f>
        <v/>
      </c>
      <c r="C655" s="39" t="inlineStr">
        <is>
          <t>Ground cumin</t>
        </is>
      </c>
      <c r="D655" s="47" t="n">
        <v>1</v>
      </c>
      <c r="E655" s="37" t="inlineStr">
        <is>
          <t>tsp</t>
        </is>
      </c>
      <c r="F655" s="37" t="n"/>
      <c r="G655" s="37" t="inlineStr">
        <is>
          <t>Pantry</t>
        </is>
      </c>
      <c r="H655" s="39" t="n"/>
    </row>
    <row r="656" ht="15" customHeight="1" s="26">
      <c r="A656" s="37" t="inlineStr">
        <is>
          <t>R081</t>
        </is>
      </c>
      <c r="B656" s="37">
        <f>IFERROR(INDEX(Recipes!$B$2:$B$500,MATCH(A656,Recipes!$A$2:$A$500,0)),"")</f>
        <v/>
      </c>
      <c r="C656" s="39" t="inlineStr">
        <is>
          <t>Carrot</t>
        </is>
      </c>
      <c r="D656" s="47" t="n">
        <v>2</v>
      </c>
      <c r="E656" s="37" t="inlineStr">
        <is>
          <t>pc</t>
        </is>
      </c>
      <c r="F656" s="37" t="inlineStr">
        <is>
          <t>P055</t>
        </is>
      </c>
      <c r="G656" s="37" t="inlineStr">
        <is>
          <t>Basket</t>
        </is>
      </c>
      <c r="H656" s="39" t="n"/>
    </row>
    <row r="657" ht="15" customHeight="1" s="26">
      <c r="A657" s="37" t="inlineStr">
        <is>
          <t>R081</t>
        </is>
      </c>
      <c r="B657" s="37">
        <f>IFERROR(INDEX(Recipes!$B$2:$B$500,MATCH(A657,Recipes!$A$2:$A$500,0)),"")</f>
        <v/>
      </c>
      <c r="C657" s="39" t="inlineStr">
        <is>
          <t>Cucumber</t>
        </is>
      </c>
      <c r="D657" s="47" t="n">
        <v>1</v>
      </c>
      <c r="E657" s="37" t="inlineStr">
        <is>
          <t>pc</t>
        </is>
      </c>
      <c r="F657" s="37" t="inlineStr">
        <is>
          <t>P054</t>
        </is>
      </c>
      <c r="G657" s="37" t="inlineStr">
        <is>
          <t>Basket</t>
        </is>
      </c>
      <c r="H657" s="39" t="n"/>
    </row>
    <row r="658" ht="15" customHeight="1" s="26">
      <c r="A658" s="37" t="inlineStr">
        <is>
          <t>R081</t>
        </is>
      </c>
      <c r="B658" s="37">
        <f>IFERROR(INDEX(Recipes!$B$2:$B$500,MATCH(A658,Recipes!$A$2:$A$500,0)),"")</f>
        <v/>
      </c>
      <c r="C658" s="39" t="inlineStr">
        <is>
          <t>Red bell pepper</t>
        </is>
      </c>
      <c r="D658" s="47" t="n">
        <v>1</v>
      </c>
      <c r="E658" s="37" t="inlineStr">
        <is>
          <t>pc</t>
        </is>
      </c>
      <c r="F658" s="37" t="inlineStr">
        <is>
          <t>P044</t>
        </is>
      </c>
      <c r="G658" s="37" t="inlineStr">
        <is>
          <t>Basket</t>
        </is>
      </c>
      <c r="H658" s="39" t="n"/>
    </row>
    <row r="659" ht="15" customHeight="1" s="26">
      <c r="A659" s="37" t="inlineStr">
        <is>
          <t>R081</t>
        </is>
      </c>
      <c r="B659" s="37">
        <f>IFERROR(INDEX(Recipes!$B$2:$B$500,MATCH(A659,Recipes!$A$2:$A$500,0)),"")</f>
        <v/>
      </c>
      <c r="C659" s="39" t="inlineStr">
        <is>
          <t>Garden egg</t>
        </is>
      </c>
      <c r="D659" s="47" t="n">
        <v>2</v>
      </c>
      <c r="E659" s="37" t="inlineStr">
        <is>
          <t>pc</t>
        </is>
      </c>
      <c r="F659" s="37" t="inlineStr">
        <is>
          <t>P061</t>
        </is>
      </c>
      <c r="G659" s="37" t="inlineStr">
        <is>
          <t>Basket</t>
        </is>
      </c>
      <c r="H659" s="39" t="n"/>
    </row>
    <row r="660" ht="15" customHeight="1" s="26">
      <c r="A660" s="37" t="inlineStr">
        <is>
          <t>R081</t>
        </is>
      </c>
      <c r="B660" s="37">
        <f>IFERROR(INDEX(Recipes!$B$2:$B$500,MATCH(A660,Recipes!$A$2:$A$500,0)),"")</f>
        <v/>
      </c>
      <c r="C660" s="39" t="inlineStr">
        <is>
          <t>Olive oil</t>
        </is>
      </c>
      <c r="D660" s="47" t="n">
        <v>3</v>
      </c>
      <c r="E660" s="37" t="inlineStr">
        <is>
          <t>tbsp</t>
        </is>
      </c>
      <c r="F660" s="37" t="n"/>
      <c r="G660" s="37" t="inlineStr">
        <is>
          <t>Staple</t>
        </is>
      </c>
      <c r="H660" s="39" t="n"/>
    </row>
    <row r="661" ht="15" customHeight="1" s="26">
      <c r="A661" s="37" t="inlineStr">
        <is>
          <t>R082</t>
        </is>
      </c>
      <c r="B661" s="37">
        <f>IFERROR(INDEX(Recipes!$B$2:$B$500,MATCH(A661,Recipes!$A$2:$A$500,0)),"")</f>
        <v/>
      </c>
      <c r="C661" s="39" t="inlineStr">
        <is>
          <t>Sweet corn</t>
        </is>
      </c>
      <c r="D661" s="47" t="n">
        <v>4</v>
      </c>
      <c r="E661" s="37" t="inlineStr">
        <is>
          <t>cobs</t>
        </is>
      </c>
      <c r="F661" s="37" t="inlineStr">
        <is>
          <t>P060</t>
        </is>
      </c>
      <c r="G661" s="37" t="inlineStr">
        <is>
          <t>Basket</t>
        </is>
      </c>
      <c r="H661" s="39" t="n"/>
    </row>
    <row r="662" ht="15" customHeight="1" s="26">
      <c r="A662" s="37" t="inlineStr">
        <is>
          <t>R082</t>
        </is>
      </c>
      <c r="B662" s="37">
        <f>IFERROR(INDEX(Recipes!$B$2:$B$500,MATCH(A662,Recipes!$A$2:$A$500,0)),"")</f>
        <v/>
      </c>
      <c r="C662" s="39" t="inlineStr">
        <is>
          <t>Lime</t>
        </is>
      </c>
      <c r="D662" s="47" t="n">
        <v>1</v>
      </c>
      <c r="E662" s="37" t="inlineStr">
        <is>
          <t>pc</t>
        </is>
      </c>
      <c r="F662" s="37" t="inlineStr">
        <is>
          <t>P010</t>
        </is>
      </c>
      <c r="G662" s="37" t="inlineStr">
        <is>
          <t>Basket</t>
        </is>
      </c>
      <c r="H662" s="39" t="n"/>
    </row>
    <row r="663" ht="15" customHeight="1" s="26">
      <c r="A663" s="37" t="inlineStr">
        <is>
          <t>R082</t>
        </is>
      </c>
      <c r="B663" s="37">
        <f>IFERROR(INDEX(Recipes!$B$2:$B$500,MATCH(A663,Recipes!$A$2:$A$500,0)),"")</f>
        <v/>
      </c>
      <c r="C663" s="39" t="inlineStr">
        <is>
          <t>Coriander (cilantro)</t>
        </is>
      </c>
      <c r="D663" s="47" t="n">
        <v>1</v>
      </c>
      <c r="E663" s="37" t="inlineStr">
        <is>
          <t>handful</t>
        </is>
      </c>
      <c r="F663" s="37" t="inlineStr">
        <is>
          <t>P080</t>
        </is>
      </c>
      <c r="G663" s="37" t="inlineStr">
        <is>
          <t>Basket</t>
        </is>
      </c>
      <c r="H663" s="39" t="n"/>
    </row>
    <row r="664" ht="15" customHeight="1" s="26">
      <c r="A664" s="37" t="inlineStr">
        <is>
          <t>R082</t>
        </is>
      </c>
      <c r="B664" s="37">
        <f>IFERROR(INDEX(Recipes!$B$2:$B$500,MATCH(A664,Recipes!$A$2:$A$500,0)),"")</f>
        <v/>
      </c>
      <c r="C664" s="39" t="inlineStr">
        <is>
          <t>Butter</t>
        </is>
      </c>
      <c r="D664" s="47" t="n">
        <v>2</v>
      </c>
      <c r="E664" s="37" t="inlineStr">
        <is>
          <t>tbsp</t>
        </is>
      </c>
      <c r="F664" s="37" t="n"/>
      <c r="G664" s="37" t="inlineStr">
        <is>
          <t>Pantry</t>
        </is>
      </c>
      <c r="H664" s="39" t="n"/>
    </row>
    <row r="665" ht="15" customHeight="1" s="26">
      <c r="A665" s="37" t="inlineStr">
        <is>
          <t>R082</t>
        </is>
      </c>
      <c r="B665" s="37">
        <f>IFERROR(INDEX(Recipes!$B$2:$B$500,MATCH(A665,Recipes!$A$2:$A$500,0)),"")</f>
        <v/>
      </c>
      <c r="C665" s="39" t="inlineStr">
        <is>
          <t>Yaji (suya spice)</t>
        </is>
      </c>
      <c r="D665" s="47" t="n">
        <v>1</v>
      </c>
      <c r="E665" s="37" t="inlineStr">
        <is>
          <t>tsp</t>
        </is>
      </c>
      <c r="F665" s="37" t="n"/>
      <c r="G665" s="37" t="inlineStr">
        <is>
          <t>Pantry</t>
        </is>
      </c>
      <c r="H665" s="39" t="n"/>
    </row>
    <row r="666" ht="15" customHeight="1" s="26">
      <c r="A666" s="37" t="inlineStr">
        <is>
          <t>R082</t>
        </is>
      </c>
      <c r="B666" s="37">
        <f>IFERROR(INDEX(Recipes!$B$2:$B$500,MATCH(A666,Recipes!$A$2:$A$500,0)),"")</f>
        <v/>
      </c>
      <c r="C666" s="39" t="inlineStr">
        <is>
          <t>Grated cheese</t>
        </is>
      </c>
      <c r="D666" s="47" t="n">
        <v>2</v>
      </c>
      <c r="E666" s="37" t="inlineStr">
        <is>
          <t>tbsp</t>
        </is>
      </c>
      <c r="F666" s="37" t="n"/>
      <c r="G666" s="37" t="inlineStr">
        <is>
          <t>Pantry</t>
        </is>
      </c>
      <c r="H666" s="39" t="inlineStr">
        <is>
          <t>optional</t>
        </is>
      </c>
    </row>
    <row r="667" ht="15" customHeight="1" s="26">
      <c r="A667" s="37" t="inlineStr">
        <is>
          <t>R083</t>
        </is>
      </c>
      <c r="B667" s="37">
        <f>IFERROR(INDEX(Recipes!$B$2:$B$500,MATCH(A667,Recipes!$A$2:$A$500,0)),"")</f>
        <v/>
      </c>
      <c r="C667" s="39" t="inlineStr">
        <is>
          <t>Okra</t>
        </is>
      </c>
      <c r="D667" s="47" t="n">
        <v>200</v>
      </c>
      <c r="E667" s="37" t="inlineStr">
        <is>
          <t>g</t>
        </is>
      </c>
      <c r="F667" s="37" t="inlineStr">
        <is>
          <t>P062</t>
        </is>
      </c>
      <c r="G667" s="37" t="inlineStr">
        <is>
          <t>Basket</t>
        </is>
      </c>
      <c r="H667" s="39" t="n"/>
    </row>
    <row r="668" ht="15" customHeight="1" s="26">
      <c r="A668" s="37" t="inlineStr">
        <is>
          <t>R083</t>
        </is>
      </c>
      <c r="B668" s="37">
        <f>IFERROR(INDEX(Recipes!$B$2:$B$500,MATCH(A668,Recipes!$A$2:$A$500,0)),"")</f>
        <v/>
      </c>
      <c r="C668" s="39" t="inlineStr">
        <is>
          <t>Sweet corn</t>
        </is>
      </c>
      <c r="D668" s="47" t="n">
        <v>2</v>
      </c>
      <c r="E668" s="37" t="inlineStr">
        <is>
          <t>cobs</t>
        </is>
      </c>
      <c r="F668" s="37" t="inlineStr">
        <is>
          <t>P060</t>
        </is>
      </c>
      <c r="G668" s="37" t="inlineStr">
        <is>
          <t>Basket</t>
        </is>
      </c>
      <c r="H668" s="39" t="n"/>
    </row>
    <row r="669" ht="15" customHeight="1" s="26">
      <c r="A669" s="37" t="inlineStr">
        <is>
          <t>R083</t>
        </is>
      </c>
      <c r="B669" s="37">
        <f>IFERROR(INDEX(Recipes!$B$2:$B$500,MATCH(A669,Recipes!$A$2:$A$500,0)),"")</f>
        <v/>
      </c>
      <c r="C669" s="39" t="inlineStr">
        <is>
          <t>Tomato (plum)</t>
        </is>
      </c>
      <c r="D669" s="47" t="n">
        <v>2</v>
      </c>
      <c r="E669" s="37" t="inlineStr">
        <is>
          <t>pc</t>
        </is>
      </c>
      <c r="F669" s="37" t="inlineStr">
        <is>
          <t>P042</t>
        </is>
      </c>
      <c r="G669" s="37" t="inlineStr">
        <is>
          <t>Basket</t>
        </is>
      </c>
      <c r="H669" s="39" t="n"/>
    </row>
    <row r="670" ht="15" customHeight="1" s="26">
      <c r="A670" s="37" t="inlineStr">
        <is>
          <t>R083</t>
        </is>
      </c>
      <c r="B670" s="37">
        <f>IFERROR(INDEX(Recipes!$B$2:$B$500,MATCH(A670,Recipes!$A$2:$A$500,0)),"")</f>
        <v/>
      </c>
      <c r="C670" s="39" t="inlineStr">
        <is>
          <t>Onion (red &amp; white)</t>
        </is>
      </c>
      <c r="D670" s="47" t="n">
        <v>1</v>
      </c>
      <c r="E670" s="37" t="inlineStr">
        <is>
          <t>pc</t>
        </is>
      </c>
      <c r="F670" s="37" t="inlineStr">
        <is>
          <t>P048</t>
        </is>
      </c>
      <c r="G670" s="37" t="inlineStr">
        <is>
          <t>Basket</t>
        </is>
      </c>
      <c r="H670" s="39" t="n"/>
    </row>
    <row r="671" ht="15" customHeight="1" s="26">
      <c r="A671" s="37" t="inlineStr">
        <is>
          <t>R083</t>
        </is>
      </c>
      <c r="B671" s="37">
        <f>IFERROR(INDEX(Recipes!$B$2:$B$500,MATCH(A671,Recipes!$A$2:$A$500,0)),"")</f>
        <v/>
      </c>
      <c r="C671" s="39" t="inlineStr">
        <is>
          <t>Red bell pepper</t>
        </is>
      </c>
      <c r="D671" s="47" t="n">
        <v>1</v>
      </c>
      <c r="E671" s="37" t="inlineStr">
        <is>
          <t>pc</t>
        </is>
      </c>
      <c r="F671" s="37" t="inlineStr">
        <is>
          <t>P044</t>
        </is>
      </c>
      <c r="G671" s="37" t="inlineStr">
        <is>
          <t>Basket</t>
        </is>
      </c>
      <c r="H671" s="39" t="n"/>
    </row>
    <row r="672" ht="15" customHeight="1" s="26">
      <c r="A672" s="37" t="inlineStr">
        <is>
          <t>R083</t>
        </is>
      </c>
      <c r="B672" s="37">
        <f>IFERROR(INDEX(Recipes!$B$2:$B$500,MATCH(A672,Recipes!$A$2:$A$500,0)),"")</f>
        <v/>
      </c>
      <c r="C672" s="39" t="inlineStr">
        <is>
          <t>Garlic</t>
        </is>
      </c>
      <c r="D672" s="47" t="n">
        <v>2</v>
      </c>
      <c r="E672" s="37" t="inlineStr">
        <is>
          <t>cloves</t>
        </is>
      </c>
      <c r="F672" s="37" t="inlineStr">
        <is>
          <t>P051</t>
        </is>
      </c>
      <c r="G672" s="37" t="inlineStr">
        <is>
          <t>Basket</t>
        </is>
      </c>
      <c r="H672" s="39" t="n"/>
    </row>
    <row r="673" ht="15" customHeight="1" s="26">
      <c r="A673" s="37" t="inlineStr">
        <is>
          <t>R083</t>
        </is>
      </c>
      <c r="B673" s="37">
        <f>IFERROR(INDEX(Recipes!$B$2:$B$500,MATCH(A673,Recipes!$A$2:$A$500,0)),"")</f>
        <v/>
      </c>
      <c r="C673" s="39" t="inlineStr">
        <is>
          <t>Scotch bonnet</t>
        </is>
      </c>
      <c r="D673" s="47" t="n">
        <v>0.25</v>
      </c>
      <c r="E673" s="37" t="inlineStr">
        <is>
          <t>pc</t>
        </is>
      </c>
      <c r="F673" s="37" t="inlineStr">
        <is>
          <t>P046</t>
        </is>
      </c>
      <c r="G673" s="37" t="inlineStr">
        <is>
          <t>Basket</t>
        </is>
      </c>
      <c r="H673" s="39" t="n"/>
    </row>
    <row r="674" ht="15" customHeight="1" s="26">
      <c r="A674" s="37" t="inlineStr">
        <is>
          <t>R083</t>
        </is>
      </c>
      <c r="B674" s="37">
        <f>IFERROR(INDEX(Recipes!$B$2:$B$500,MATCH(A674,Recipes!$A$2:$A$500,0)),"")</f>
        <v/>
      </c>
      <c r="C674" s="39" t="inlineStr">
        <is>
          <t>Butter</t>
        </is>
      </c>
      <c r="D674" s="47" t="n">
        <v>1</v>
      </c>
      <c r="E674" s="37" t="inlineStr">
        <is>
          <t>tbsp</t>
        </is>
      </c>
      <c r="F674" s="37" t="n"/>
      <c r="G674" s="37" t="inlineStr">
        <is>
          <t>Pantry</t>
        </is>
      </c>
      <c r="H674" s="39" t="n"/>
    </row>
    <row r="675" ht="15" customHeight="1" s="26">
      <c r="A675" s="37" t="inlineStr">
        <is>
          <t>R083</t>
        </is>
      </c>
      <c r="B675" s="37">
        <f>IFERROR(INDEX(Recipes!$B$2:$B$500,MATCH(A675,Recipes!$A$2:$A$500,0)),"")</f>
        <v/>
      </c>
      <c r="C675" s="39" t="inlineStr">
        <is>
          <t>Oil</t>
        </is>
      </c>
      <c r="D675" s="47" t="n">
        <v>1</v>
      </c>
      <c r="E675" s="37" t="inlineStr">
        <is>
          <t>tbsp</t>
        </is>
      </c>
      <c r="F675" s="37" t="n"/>
      <c r="G675" s="37" t="inlineStr">
        <is>
          <t>Staple</t>
        </is>
      </c>
      <c r="H675" s="39" t="n"/>
    </row>
    <row r="676" ht="15" customHeight="1" s="26">
      <c r="A676" s="37" t="inlineStr">
        <is>
          <t>R084</t>
        </is>
      </c>
      <c r="B676" s="37">
        <f>IFERROR(INDEX(Recipes!$B$2:$B$500,MATCH(A676,Recipes!$A$2:$A$500,0)),"")</f>
        <v/>
      </c>
      <c r="C676" s="39" t="inlineStr">
        <is>
          <t>Banana</t>
        </is>
      </c>
      <c r="D676" s="47" t="n">
        <v>4</v>
      </c>
      <c r="E676" s="37" t="inlineStr">
        <is>
          <t>pc</t>
        </is>
      </c>
      <c r="F676" s="37" t="inlineStr">
        <is>
          <t>P001</t>
        </is>
      </c>
      <c r="G676" s="37" t="inlineStr">
        <is>
          <t>Basket</t>
        </is>
      </c>
      <c r="H676" s="39" t="inlineStr">
        <is>
          <t>ripe, frozen</t>
        </is>
      </c>
    </row>
    <row r="677" ht="15" customHeight="1" s="26">
      <c r="A677" s="37" t="inlineStr">
        <is>
          <t>R084</t>
        </is>
      </c>
      <c r="B677" s="37">
        <f>IFERROR(INDEX(Recipes!$B$2:$B$500,MATCH(A677,Recipes!$A$2:$A$500,0)),"")</f>
        <v/>
      </c>
      <c r="C677" s="39" t="inlineStr">
        <is>
          <t>Groundnut (fresh or roasted)</t>
        </is>
      </c>
      <c r="D677" s="47" t="n">
        <v>2</v>
      </c>
      <c r="E677" s="37" t="inlineStr">
        <is>
          <t>tbsp</t>
        </is>
      </c>
      <c r="F677" s="37" t="inlineStr">
        <is>
          <t>P040</t>
        </is>
      </c>
      <c r="G677" s="37" t="inlineStr">
        <is>
          <t>Basket</t>
        </is>
      </c>
      <c r="H677" s="39" t="inlineStr">
        <is>
          <t>roasted</t>
        </is>
      </c>
    </row>
    <row r="678" ht="15" customHeight="1" s="26">
      <c r="A678" s="37" t="inlineStr">
        <is>
          <t>R084</t>
        </is>
      </c>
      <c r="B678" s="37">
        <f>IFERROR(INDEX(Recipes!$B$2:$B$500,MATCH(A678,Recipes!$A$2:$A$500,0)),"")</f>
        <v/>
      </c>
      <c r="C678" s="39" t="inlineStr">
        <is>
          <t>Dates</t>
        </is>
      </c>
      <c r="D678" s="47" t="n">
        <v>3</v>
      </c>
      <c r="E678" s="37" t="inlineStr">
        <is>
          <t>pc</t>
        </is>
      </c>
      <c r="F678" s="37" t="inlineStr">
        <is>
          <t>P030</t>
        </is>
      </c>
      <c r="G678" s="37" t="inlineStr">
        <is>
          <t>Basket</t>
        </is>
      </c>
      <c r="H678" s="39" t="inlineStr">
        <is>
          <t>pitted</t>
        </is>
      </c>
    </row>
    <row r="679" ht="15" customHeight="1" s="26">
      <c r="A679" s="37" t="inlineStr">
        <is>
          <t>R084</t>
        </is>
      </c>
      <c r="B679" s="37">
        <f>IFERROR(INDEX(Recipes!$B$2:$B$500,MATCH(A679,Recipes!$A$2:$A$500,0)),"")</f>
        <v/>
      </c>
      <c r="C679" s="39" t="inlineStr">
        <is>
          <t>Milk or tiger nut milk</t>
        </is>
      </c>
      <c r="D679" s="47" t="n">
        <v>2</v>
      </c>
      <c r="E679" s="37" t="inlineStr">
        <is>
          <t>tbsp</t>
        </is>
      </c>
      <c r="F679" s="37" t="n"/>
      <c r="G679" s="37" t="inlineStr">
        <is>
          <t>Pantry</t>
        </is>
      </c>
      <c r="H679" s="39" t="n"/>
    </row>
    <row r="680" ht="15" customHeight="1" s="26">
      <c r="A680" s="37" t="inlineStr">
        <is>
          <t>R084</t>
        </is>
      </c>
      <c r="B680" s="37">
        <f>IFERROR(INDEX(Recipes!$B$2:$B$500,MATCH(A680,Recipes!$A$2:$A$500,0)),"")</f>
        <v/>
      </c>
      <c r="C680" s="39" t="inlineStr">
        <is>
          <t>Ground cinnamon</t>
        </is>
      </c>
      <c r="D680" s="47" t="n">
        <v>1</v>
      </c>
      <c r="E680" s="37" t="inlineStr">
        <is>
          <t>pinch</t>
        </is>
      </c>
      <c r="F680" s="37" t="n"/>
      <c r="G680" s="37" t="inlineStr">
        <is>
          <t>Pantry</t>
        </is>
      </c>
      <c r="H680" s="39" t="n"/>
    </row>
    <row r="681" ht="15" customHeight="1" s="26">
      <c r="A681" s="37" t="inlineStr">
        <is>
          <t>R085</t>
        </is>
      </c>
      <c r="B681" s="37">
        <f>IFERROR(INDEX(Recipes!$B$2:$B$500,MATCH(A681,Recipes!$A$2:$A$500,0)),"")</f>
        <v/>
      </c>
      <c r="C681" s="39" t="inlineStr">
        <is>
          <t>Pineapple</t>
        </is>
      </c>
      <c r="D681" s="47" t="n">
        <v>1</v>
      </c>
      <c r="E681" s="37" t="inlineStr">
        <is>
          <t>pc</t>
        </is>
      </c>
      <c r="F681" s="37" t="inlineStr">
        <is>
          <t>P003</t>
        </is>
      </c>
      <c r="G681" s="37" t="inlineStr">
        <is>
          <t>Basket</t>
        </is>
      </c>
      <c r="H681" s="39" t="n"/>
    </row>
    <row r="682" ht="15" customHeight="1" s="26">
      <c r="A682" s="37" t="inlineStr">
        <is>
          <t>R085</t>
        </is>
      </c>
      <c r="B682" s="37">
        <f>IFERROR(INDEX(Recipes!$B$2:$B$500,MATCH(A682,Recipes!$A$2:$A$500,0)),"")</f>
        <v/>
      </c>
      <c r="C682" s="39" t="inlineStr">
        <is>
          <t>Coconut</t>
        </is>
      </c>
      <c r="D682" s="47" t="n">
        <v>0.25</v>
      </c>
      <c r="E682" s="37" t="inlineStr">
        <is>
          <t>pc</t>
        </is>
      </c>
      <c r="F682" s="37" t="inlineStr">
        <is>
          <t>P016</t>
        </is>
      </c>
      <c r="G682" s="37" t="inlineStr">
        <is>
          <t>Basket</t>
        </is>
      </c>
      <c r="H682" s="39" t="inlineStr">
        <is>
          <t>grated</t>
        </is>
      </c>
    </row>
    <row r="683" ht="15" customHeight="1" s="26">
      <c r="A683" s="37" t="inlineStr">
        <is>
          <t>R085</t>
        </is>
      </c>
      <c r="B683" s="37">
        <f>IFERROR(INDEX(Recipes!$B$2:$B$500,MATCH(A683,Recipes!$A$2:$A$500,0)),"")</f>
        <v/>
      </c>
      <c r="C683" s="39" t="inlineStr">
        <is>
          <t>Lime</t>
        </is>
      </c>
      <c r="D683" s="47" t="n">
        <v>1</v>
      </c>
      <c r="E683" s="37" t="inlineStr">
        <is>
          <t>pc</t>
        </is>
      </c>
      <c r="F683" s="37" t="inlineStr">
        <is>
          <t>P010</t>
        </is>
      </c>
      <c r="G683" s="37" t="inlineStr">
        <is>
          <t>Basket</t>
        </is>
      </c>
      <c r="H683" s="39" t="inlineStr">
        <is>
          <t>zest</t>
        </is>
      </c>
    </row>
    <row r="684" ht="15" customHeight="1" s="26">
      <c r="A684" s="37" t="inlineStr">
        <is>
          <t>R085</t>
        </is>
      </c>
      <c r="B684" s="37">
        <f>IFERROR(INDEX(Recipes!$B$2:$B$500,MATCH(A684,Recipes!$A$2:$A$500,0)),"")</f>
        <v/>
      </c>
      <c r="C684" s="39" t="inlineStr">
        <is>
          <t>Honey</t>
        </is>
      </c>
      <c r="D684" s="47" t="n">
        <v>1</v>
      </c>
      <c r="E684" s="37" t="inlineStr">
        <is>
          <t>tbsp</t>
        </is>
      </c>
      <c r="F684" s="37" t="n"/>
      <c r="G684" s="37" t="inlineStr">
        <is>
          <t>Pantry</t>
        </is>
      </c>
      <c r="H684" s="39" t="n"/>
    </row>
    <row r="685" ht="15" customHeight="1" s="26">
      <c r="A685" s="37" t="inlineStr">
        <is>
          <t>R085</t>
        </is>
      </c>
      <c r="B685" s="37">
        <f>IFERROR(INDEX(Recipes!$B$2:$B$500,MATCH(A685,Recipes!$A$2:$A$500,0)),"")</f>
        <v/>
      </c>
      <c r="C685" s="39" t="inlineStr">
        <is>
          <t>Ground cinnamon</t>
        </is>
      </c>
      <c r="D685" s="47" t="n">
        <v>0.5</v>
      </c>
      <c r="E685" s="37" t="inlineStr">
        <is>
          <t>tsp</t>
        </is>
      </c>
      <c r="F685" s="37" t="n"/>
      <c r="G685" s="37" t="inlineStr">
        <is>
          <t>Pantry</t>
        </is>
      </c>
      <c r="H685" s="39" t="n"/>
    </row>
    <row r="686" ht="15" customHeight="1" s="26">
      <c r="A686" s="37" t="inlineStr">
        <is>
          <t>R086</t>
        </is>
      </c>
      <c r="B686" s="37">
        <f>IFERROR(INDEX(Recipes!$B$2:$B$500,MATCH(A686,Recipes!$A$2:$A$500,0)),"")</f>
        <v/>
      </c>
      <c r="C686" s="39" t="inlineStr">
        <is>
          <t>Rice</t>
        </is>
      </c>
      <c r="D686" s="47" t="n">
        <v>1</v>
      </c>
      <c r="E686" s="37" t="inlineStr">
        <is>
          <t>cup</t>
        </is>
      </c>
      <c r="F686" s="37" t="n"/>
      <c r="G686" s="37" t="inlineStr">
        <is>
          <t>Pantry</t>
        </is>
      </c>
      <c r="H686" s="39" t="n"/>
    </row>
    <row r="687" ht="15" customHeight="1" s="26">
      <c r="A687" s="37" t="inlineStr">
        <is>
          <t>R086</t>
        </is>
      </c>
      <c r="B687" s="37">
        <f>IFERROR(INDEX(Recipes!$B$2:$B$500,MATCH(A687,Recipes!$A$2:$A$500,0)),"")</f>
        <v/>
      </c>
      <c r="C687" s="39" t="inlineStr">
        <is>
          <t>Coconut</t>
        </is>
      </c>
      <c r="D687" s="47" t="n">
        <v>1</v>
      </c>
      <c r="E687" s="37" t="inlineStr">
        <is>
          <t>pc</t>
        </is>
      </c>
      <c r="F687" s="37" t="inlineStr">
        <is>
          <t>P016</t>
        </is>
      </c>
      <c r="G687" s="37" t="inlineStr">
        <is>
          <t>Basket</t>
        </is>
      </c>
      <c r="H687" s="39" t="inlineStr">
        <is>
          <t>for fresh milk</t>
        </is>
      </c>
    </row>
    <row r="688" ht="15" customHeight="1" s="26">
      <c r="A688" s="37" t="inlineStr">
        <is>
          <t>R086</t>
        </is>
      </c>
      <c r="B688" s="37">
        <f>IFERROR(INDEX(Recipes!$B$2:$B$500,MATCH(A688,Recipes!$A$2:$A$500,0)),"")</f>
        <v/>
      </c>
      <c r="C688" s="39" t="inlineStr">
        <is>
          <t>Mango</t>
        </is>
      </c>
      <c r="D688" s="47" t="n">
        <v>2</v>
      </c>
      <c r="E688" s="37" t="inlineStr">
        <is>
          <t>pc</t>
        </is>
      </c>
      <c r="F688" s="37" t="inlineStr">
        <is>
          <t>P006</t>
        </is>
      </c>
      <c r="G688" s="37" t="inlineStr">
        <is>
          <t>Basket</t>
        </is>
      </c>
      <c r="H688" s="39" t="n"/>
    </row>
    <row r="689" ht="15" customHeight="1" s="26">
      <c r="A689" s="37" t="inlineStr">
        <is>
          <t>R086</t>
        </is>
      </c>
      <c r="B689" s="37">
        <f>IFERROR(INDEX(Recipes!$B$2:$B$500,MATCH(A689,Recipes!$A$2:$A$500,0)),"")</f>
        <v/>
      </c>
      <c r="C689" s="39" t="inlineStr">
        <is>
          <t>Dates</t>
        </is>
      </c>
      <c r="D689" s="47" t="n">
        <v>4</v>
      </c>
      <c r="E689" s="37" t="inlineStr">
        <is>
          <t>pc</t>
        </is>
      </c>
      <c r="F689" s="37" t="inlineStr">
        <is>
          <t>P030</t>
        </is>
      </c>
      <c r="G689" s="37" t="inlineStr">
        <is>
          <t>Basket</t>
        </is>
      </c>
      <c r="H689" s="39" t="inlineStr">
        <is>
          <t>pitted</t>
        </is>
      </c>
    </row>
    <row r="690" ht="15" customHeight="1" s="26">
      <c r="A690" s="37" t="inlineStr">
        <is>
          <t>R086</t>
        </is>
      </c>
      <c r="B690" s="37">
        <f>IFERROR(INDEX(Recipes!$B$2:$B$500,MATCH(A690,Recipes!$A$2:$A$500,0)),"")</f>
        <v/>
      </c>
      <c r="C690" s="39" t="inlineStr">
        <is>
          <t>Lime</t>
        </is>
      </c>
      <c r="D690" s="47" t="n">
        <v>1</v>
      </c>
      <c r="E690" s="37" t="inlineStr">
        <is>
          <t>pc</t>
        </is>
      </c>
      <c r="F690" s="37" t="inlineStr">
        <is>
          <t>P010</t>
        </is>
      </c>
      <c r="G690" s="37" t="inlineStr">
        <is>
          <t>Basket</t>
        </is>
      </c>
      <c r="H690" s="39" t="inlineStr">
        <is>
          <t>zest</t>
        </is>
      </c>
    </row>
    <row r="691" ht="15" customHeight="1" s="26">
      <c r="A691" s="37" t="inlineStr">
        <is>
          <t>R086</t>
        </is>
      </c>
      <c r="B691" s="37">
        <f>IFERROR(INDEX(Recipes!$B$2:$B$500,MATCH(A691,Recipes!$A$2:$A$500,0)),"")</f>
        <v/>
      </c>
      <c r="C691" s="39" t="inlineStr">
        <is>
          <t>Salt</t>
        </is>
      </c>
      <c r="D691" s="47" t="n">
        <v>1</v>
      </c>
      <c r="E691" s="37" t="inlineStr">
        <is>
          <t>pinch</t>
        </is>
      </c>
      <c r="F691" s="37" t="n"/>
      <c r="G691" s="37" t="inlineStr">
        <is>
          <t>Staple</t>
        </is>
      </c>
      <c r="H691" s="39" t="n"/>
    </row>
    <row r="692" ht="15" customHeight="1" s="26">
      <c r="A692" s="37" t="inlineStr">
        <is>
          <t>R087</t>
        </is>
      </c>
      <c r="B692" s="37">
        <f>IFERROR(INDEX(Recipes!$B$2:$B$500,MATCH(A692,Recipes!$A$2:$A$500,0)),"")</f>
        <v/>
      </c>
      <c r="C692" s="39" t="inlineStr">
        <is>
          <t>Watermelon</t>
        </is>
      </c>
      <c r="D692" s="47" t="n">
        <v>3</v>
      </c>
      <c r="E692" s="37" t="inlineStr">
        <is>
          <t>cups</t>
        </is>
      </c>
      <c r="F692" s="37" t="inlineStr">
        <is>
          <t>P004</t>
        </is>
      </c>
      <c r="G692" s="37" t="inlineStr">
        <is>
          <t>Basket</t>
        </is>
      </c>
      <c r="H692" s="39" t="n"/>
    </row>
    <row r="693" ht="15" customHeight="1" s="26">
      <c r="A693" s="37" t="inlineStr">
        <is>
          <t>R087</t>
        </is>
      </c>
      <c r="B693" s="37">
        <f>IFERROR(INDEX(Recipes!$B$2:$B$500,MATCH(A693,Recipes!$A$2:$A$500,0)),"")</f>
        <v/>
      </c>
      <c r="C693" s="39" t="inlineStr">
        <is>
          <t>Lime</t>
        </is>
      </c>
      <c r="D693" s="47" t="n">
        <v>2</v>
      </c>
      <c r="E693" s="37" t="inlineStr">
        <is>
          <t>pc</t>
        </is>
      </c>
      <c r="F693" s="37" t="inlineStr">
        <is>
          <t>P010</t>
        </is>
      </c>
      <c r="G693" s="37" t="inlineStr">
        <is>
          <t>Basket</t>
        </is>
      </c>
      <c r="H693" s="39" t="n"/>
    </row>
    <row r="694" ht="15" customHeight="1" s="26">
      <c r="A694" s="37" t="inlineStr">
        <is>
          <t>R087</t>
        </is>
      </c>
      <c r="B694" s="37">
        <f>IFERROR(INDEX(Recipes!$B$2:$B$500,MATCH(A694,Recipes!$A$2:$A$500,0)),"")</f>
        <v/>
      </c>
      <c r="C694" s="39" t="inlineStr">
        <is>
          <t>Mint</t>
        </is>
      </c>
      <c r="D694" s="47" t="n">
        <v>1</v>
      </c>
      <c r="E694" s="37" t="inlineStr">
        <is>
          <t>small bunch</t>
        </is>
      </c>
      <c r="F694" s="37" t="inlineStr">
        <is>
          <t>P079</t>
        </is>
      </c>
      <c r="G694" s="37" t="inlineStr">
        <is>
          <t>Basket</t>
        </is>
      </c>
      <c r="H694" s="39" t="n"/>
    </row>
    <row r="695" ht="15" customHeight="1" s="26">
      <c r="A695" s="37" t="inlineStr">
        <is>
          <t>R087</t>
        </is>
      </c>
      <c r="B695" s="37">
        <f>IFERROR(INDEX(Recipes!$B$2:$B$500,MATCH(A695,Recipes!$A$2:$A$500,0)),"")</f>
        <v/>
      </c>
      <c r="C695" s="39" t="inlineStr">
        <is>
          <t>Honey</t>
        </is>
      </c>
      <c r="D695" s="47" t="n">
        <v>1</v>
      </c>
      <c r="E695" s="37" t="inlineStr">
        <is>
          <t>tbsp</t>
        </is>
      </c>
      <c r="F695" s="37" t="n"/>
      <c r="G695" s="37" t="inlineStr">
        <is>
          <t>Pantry</t>
        </is>
      </c>
      <c r="H695" s="39" t="n"/>
    </row>
    <row r="696" ht="15" customHeight="1" s="26">
      <c r="A696" s="37" t="inlineStr">
        <is>
          <t>R088</t>
        </is>
      </c>
      <c r="B696" s="37">
        <f>IFERROR(INDEX(Recipes!$B$2:$B$500,MATCH(A696,Recipes!$A$2:$A$500,0)),"")</f>
        <v/>
      </c>
      <c r="C696" s="39" t="inlineStr">
        <is>
          <t>Mango</t>
        </is>
      </c>
      <c r="D696" s="47" t="n">
        <v>3</v>
      </c>
      <c r="E696" s="37" t="inlineStr">
        <is>
          <t>pc</t>
        </is>
      </c>
      <c r="F696" s="37" t="inlineStr">
        <is>
          <t>P006</t>
        </is>
      </c>
      <c r="G696" s="37" t="inlineStr">
        <is>
          <t>Basket</t>
        </is>
      </c>
      <c r="H696" s="39" t="n"/>
    </row>
    <row r="697" ht="15" customHeight="1" s="26">
      <c r="A697" s="37" t="inlineStr">
        <is>
          <t>R088</t>
        </is>
      </c>
      <c r="B697" s="37">
        <f>IFERROR(INDEX(Recipes!$B$2:$B$500,MATCH(A697,Recipes!$A$2:$A$500,0)),"")</f>
        <v/>
      </c>
      <c r="C697" s="39" t="inlineStr">
        <is>
          <t>Passion fruit</t>
        </is>
      </c>
      <c r="D697" s="47" t="n">
        <v>3</v>
      </c>
      <c r="E697" s="37" t="inlineStr">
        <is>
          <t>pc</t>
        </is>
      </c>
      <c r="F697" s="37" t="inlineStr">
        <is>
          <t>P015</t>
        </is>
      </c>
      <c r="G697" s="37" t="inlineStr">
        <is>
          <t>Basket</t>
        </is>
      </c>
      <c r="H697" s="39" t="inlineStr">
        <is>
          <t>pulp</t>
        </is>
      </c>
    </row>
    <row r="698" ht="15" customHeight="1" s="26">
      <c r="A698" s="37" t="inlineStr">
        <is>
          <t>R088</t>
        </is>
      </c>
      <c r="B698" s="37">
        <f>IFERROR(INDEX(Recipes!$B$2:$B$500,MATCH(A698,Recipes!$A$2:$A$500,0)),"")</f>
        <v/>
      </c>
      <c r="C698" s="39" t="inlineStr">
        <is>
          <t>Lime</t>
        </is>
      </c>
      <c r="D698" s="47" t="n">
        <v>1</v>
      </c>
      <c r="E698" s="37" t="inlineStr">
        <is>
          <t>pc</t>
        </is>
      </c>
      <c r="F698" s="37" t="inlineStr">
        <is>
          <t>P010</t>
        </is>
      </c>
      <c r="G698" s="37" t="inlineStr">
        <is>
          <t>Basket</t>
        </is>
      </c>
      <c r="H698" s="39" t="n"/>
    </row>
    <row r="699" ht="15" customHeight="1" s="26">
      <c r="A699" s="37" t="inlineStr">
        <is>
          <t>R088</t>
        </is>
      </c>
      <c r="B699" s="37">
        <f>IFERROR(INDEX(Recipes!$B$2:$B$500,MATCH(A699,Recipes!$A$2:$A$500,0)),"")</f>
        <v/>
      </c>
      <c r="C699" s="39" t="inlineStr">
        <is>
          <t>Honey</t>
        </is>
      </c>
      <c r="D699" s="47" t="n">
        <v>2</v>
      </c>
      <c r="E699" s="37" t="inlineStr">
        <is>
          <t>tbsp</t>
        </is>
      </c>
      <c r="F699" s="37" t="n"/>
      <c r="G699" s="37" t="inlineStr">
        <is>
          <t>Pantry</t>
        </is>
      </c>
      <c r="H699" s="39" t="n"/>
    </row>
    <row r="700" ht="15" customHeight="1" s="26">
      <c r="A700" s="37" t="inlineStr">
        <is>
          <t>R089</t>
        </is>
      </c>
      <c r="B700" s="37">
        <f>IFERROR(INDEX(Recipes!$B$2:$B$500,MATCH(A700,Recipes!$A$2:$A$500,0)),"")</f>
        <v/>
      </c>
      <c r="C700" s="39" t="inlineStr">
        <is>
          <t>Apple (red &amp; green)</t>
        </is>
      </c>
      <c r="D700" s="47" t="n">
        <v>2</v>
      </c>
      <c r="E700" s="37" t="inlineStr">
        <is>
          <t>pc</t>
        </is>
      </c>
      <c r="F700" s="37" t="inlineStr">
        <is>
          <t>P031</t>
        </is>
      </c>
      <c r="G700" s="37" t="inlineStr">
        <is>
          <t>Basket</t>
        </is>
      </c>
      <c r="H700" s="39" t="n"/>
    </row>
    <row r="701" ht="15" customHeight="1" s="26">
      <c r="A701" s="37" t="inlineStr">
        <is>
          <t>R089</t>
        </is>
      </c>
      <c r="B701" s="37">
        <f>IFERROR(INDEX(Recipes!$B$2:$B$500,MATCH(A701,Recipes!$A$2:$A$500,0)),"")</f>
        <v/>
      </c>
      <c r="C701" s="39" t="inlineStr">
        <is>
          <t>Pear</t>
        </is>
      </c>
      <c r="D701" s="47" t="n">
        <v>1</v>
      </c>
      <c r="E701" s="37" t="inlineStr">
        <is>
          <t>pc</t>
        </is>
      </c>
      <c r="F701" s="37" t="inlineStr">
        <is>
          <t>P032</t>
        </is>
      </c>
      <c r="G701" s="37" t="inlineStr">
        <is>
          <t>Basket</t>
        </is>
      </c>
      <c r="H701" s="39" t="n"/>
    </row>
    <row r="702" ht="15" customHeight="1" s="26">
      <c r="A702" s="37" t="inlineStr">
        <is>
          <t>R089</t>
        </is>
      </c>
      <c r="B702" s="37">
        <f>IFERROR(INDEX(Recipes!$B$2:$B$500,MATCH(A702,Recipes!$A$2:$A$500,0)),"")</f>
        <v/>
      </c>
      <c r="C702" s="39" t="inlineStr">
        <is>
          <t>Grapes (red / black seedless)</t>
        </is>
      </c>
      <c r="D702" s="47" t="n">
        <v>1</v>
      </c>
      <c r="E702" s="37" t="inlineStr">
        <is>
          <t>cup</t>
        </is>
      </c>
      <c r="F702" s="37" t="inlineStr">
        <is>
          <t>P033</t>
        </is>
      </c>
      <c r="G702" s="37" t="inlineStr">
        <is>
          <t>Basket</t>
        </is>
      </c>
      <c r="H702" s="39" t="n"/>
    </row>
    <row r="703" ht="15" customHeight="1" s="26">
      <c r="A703" s="37" t="inlineStr">
        <is>
          <t>R089</t>
        </is>
      </c>
      <c r="B703" s="37">
        <f>IFERROR(INDEX(Recipes!$B$2:$B$500,MATCH(A703,Recipes!$A$2:$A$500,0)),"")</f>
        <v/>
      </c>
      <c r="C703" s="39" t="inlineStr">
        <is>
          <t>Lettuce (iceberg / romaine / local)</t>
        </is>
      </c>
      <c r="D703" s="47" t="n">
        <v>2</v>
      </c>
      <c r="E703" s="37" t="inlineStr">
        <is>
          <t>cups</t>
        </is>
      </c>
      <c r="F703" s="37" t="inlineStr">
        <is>
          <t>P058</t>
        </is>
      </c>
      <c r="G703" s="37" t="inlineStr">
        <is>
          <t>Basket</t>
        </is>
      </c>
      <c r="H703" s="39" t="n"/>
    </row>
    <row r="704" ht="15" customHeight="1" s="26">
      <c r="A704" s="37" t="inlineStr">
        <is>
          <t>R089</t>
        </is>
      </c>
      <c r="B704" s="37">
        <f>IFERROR(INDEX(Recipes!$B$2:$B$500,MATCH(A704,Recipes!$A$2:$A$500,0)),"")</f>
        <v/>
      </c>
      <c r="C704" s="39" t="inlineStr">
        <is>
          <t>Groundnut (fresh or roasted)</t>
        </is>
      </c>
      <c r="D704" s="47" t="n">
        <v>0.33</v>
      </c>
      <c r="E704" s="37" t="inlineStr">
        <is>
          <t>cup</t>
        </is>
      </c>
      <c r="F704" s="37" t="inlineStr">
        <is>
          <t>P040</t>
        </is>
      </c>
      <c r="G704" s="37" t="inlineStr">
        <is>
          <t>Basket</t>
        </is>
      </c>
      <c r="H704" s="39" t="inlineStr">
        <is>
          <t>roasted</t>
        </is>
      </c>
    </row>
    <row r="705" ht="15" customHeight="1" s="26">
      <c r="A705" s="37" t="inlineStr">
        <is>
          <t>R089</t>
        </is>
      </c>
      <c r="B705" s="37">
        <f>IFERROR(INDEX(Recipes!$B$2:$B$500,MATCH(A705,Recipes!$A$2:$A$500,0)),"")</f>
        <v/>
      </c>
      <c r="C705" s="39" t="inlineStr">
        <is>
          <t>Lemon</t>
        </is>
      </c>
      <c r="D705" s="47" t="n">
        <v>0.5</v>
      </c>
      <c r="E705" s="37" t="inlineStr">
        <is>
          <t>pc</t>
        </is>
      </c>
      <c r="F705" s="37" t="inlineStr">
        <is>
          <t>P009</t>
        </is>
      </c>
      <c r="G705" s="37" t="inlineStr">
        <is>
          <t>Basket</t>
        </is>
      </c>
      <c r="H705" s="39" t="n"/>
    </row>
    <row r="706" ht="15" customHeight="1" s="26">
      <c r="A706" s="37" t="inlineStr">
        <is>
          <t>R089</t>
        </is>
      </c>
      <c r="B706" s="37">
        <f>IFERROR(INDEX(Recipes!$B$2:$B$500,MATCH(A706,Recipes!$A$2:$A$500,0)),"")</f>
        <v/>
      </c>
      <c r="C706" s="39" t="inlineStr">
        <is>
          <t>Greek yoghurt</t>
        </is>
      </c>
      <c r="D706" s="47" t="n">
        <v>0.5</v>
      </c>
      <c r="E706" s="37" t="inlineStr">
        <is>
          <t>cup</t>
        </is>
      </c>
      <c r="F706" s="37" t="n"/>
      <c r="G706" s="37" t="inlineStr">
        <is>
          <t>Pantry</t>
        </is>
      </c>
      <c r="H706" s="39" t="n"/>
    </row>
    <row r="707" ht="15" customHeight="1" s="26">
      <c r="A707" s="37" t="inlineStr">
        <is>
          <t>R089</t>
        </is>
      </c>
      <c r="B707" s="37">
        <f>IFERROR(INDEX(Recipes!$B$2:$B$500,MATCH(A707,Recipes!$A$2:$A$500,0)),"")</f>
        <v/>
      </c>
      <c r="C707" s="39" t="inlineStr">
        <is>
          <t>Honey</t>
        </is>
      </c>
      <c r="D707" s="47" t="n">
        <v>1</v>
      </c>
      <c r="E707" s="37" t="inlineStr">
        <is>
          <t>tsp</t>
        </is>
      </c>
      <c r="F707" s="37" t="n"/>
      <c r="G707" s="37" t="inlineStr">
        <is>
          <t>Pantry</t>
        </is>
      </c>
      <c r="H707" s="39" t="n"/>
    </row>
    <row r="708" ht="15" customHeight="1" s="26">
      <c r="A708" s="37" t="n"/>
      <c r="B708" s="37" t="n"/>
      <c r="C708" s="39" t="n"/>
      <c r="D708" s="47" t="n"/>
      <c r="E708" s="37" t="n"/>
      <c r="F708" s="37" t="n"/>
      <c r="G708" s="37" t="n"/>
      <c r="H708" s="39" t="n"/>
    </row>
    <row r="709" ht="15" customHeight="1" s="26">
      <c r="A709" s="37" t="n"/>
      <c r="B709" s="37" t="n"/>
      <c r="C709" s="39" t="n"/>
      <c r="D709" s="47" t="n"/>
      <c r="E709" s="37" t="n"/>
      <c r="F709" s="37" t="n"/>
      <c r="G709" s="37" t="n"/>
      <c r="H709" s="39" t="n"/>
    </row>
    <row r="710" ht="15" customHeight="1" s="26">
      <c r="A710" s="37" t="n"/>
      <c r="B710" s="37" t="n"/>
      <c r="C710" s="39" t="n"/>
      <c r="D710" s="47" t="n"/>
      <c r="E710" s="37" t="n"/>
      <c r="F710" s="37" t="n"/>
      <c r="G710" s="37" t="n"/>
      <c r="H710" s="39" t="n"/>
    </row>
    <row r="711" ht="15" customHeight="1" s="26">
      <c r="A711" s="37" t="n"/>
      <c r="B711" s="37" t="n"/>
      <c r="C711" s="39" t="n"/>
      <c r="D711" s="47" t="n"/>
      <c r="E711" s="37" t="n"/>
      <c r="F711" s="37" t="n"/>
      <c r="G711" s="37" t="n"/>
      <c r="H711" s="39" t="n"/>
    </row>
    <row r="712" ht="15" customHeight="1" s="26">
      <c r="A712" s="37" t="n"/>
      <c r="B712" s="37" t="n"/>
      <c r="C712" s="39" t="n"/>
      <c r="D712" s="47" t="n"/>
      <c r="E712" s="37" t="n"/>
      <c r="F712" s="37" t="n"/>
      <c r="G712" s="37" t="n"/>
      <c r="H712" s="39" t="n"/>
    </row>
    <row r="713" ht="15" customHeight="1" s="26">
      <c r="A713" s="37" t="n"/>
      <c r="B713" s="37" t="n"/>
      <c r="C713" s="39" t="n"/>
      <c r="D713" s="47" t="n"/>
      <c r="E713" s="37" t="n"/>
      <c r="F713" s="37" t="n"/>
      <c r="G713" s="37" t="n"/>
      <c r="H713" s="39" t="n"/>
    </row>
    <row r="714" ht="15" customHeight="1" s="26">
      <c r="A714" s="37" t="n"/>
      <c r="B714" s="37" t="n"/>
      <c r="C714" s="39" t="n"/>
      <c r="D714" s="47" t="n"/>
      <c r="E714" s="37" t="n"/>
      <c r="F714" s="37" t="n"/>
      <c r="G714" s="37" t="n"/>
      <c r="H714" s="39" t="n"/>
    </row>
    <row r="715" ht="15" customHeight="1" s="26">
      <c r="A715" s="37" t="n"/>
      <c r="B715" s="37" t="n"/>
      <c r="C715" s="39" t="n"/>
      <c r="D715" s="47" t="n"/>
      <c r="E715" s="37" t="n"/>
      <c r="F715" s="37" t="n"/>
      <c r="G715" s="37" t="n"/>
      <c r="H715" s="39" t="n"/>
    </row>
    <row r="716" ht="15" customHeight="1" s="26">
      <c r="A716" s="37" t="n"/>
      <c r="B716" s="37" t="n"/>
      <c r="C716" s="39" t="n"/>
      <c r="D716" s="47" t="n"/>
      <c r="E716" s="37" t="n"/>
      <c r="F716" s="37" t="n"/>
      <c r="G716" s="37" t="n"/>
      <c r="H716" s="39" t="n"/>
    </row>
    <row r="717" ht="15" customHeight="1" s="26">
      <c r="A717" s="37" t="n"/>
      <c r="B717" s="37" t="n"/>
      <c r="C717" s="39" t="n"/>
      <c r="D717" s="47" t="n"/>
      <c r="E717" s="37" t="n"/>
      <c r="F717" s="37" t="n"/>
      <c r="G717" s="37" t="n"/>
      <c r="H717" s="39" t="n"/>
    </row>
    <row r="718" ht="15" customHeight="1" s="26">
      <c r="A718" s="37" t="n"/>
      <c r="B718" s="37" t="n"/>
      <c r="C718" s="39" t="n"/>
      <c r="D718" s="47" t="n"/>
      <c r="E718" s="37" t="n"/>
      <c r="F718" s="37" t="n"/>
      <c r="G718" s="37" t="n"/>
      <c r="H718" s="39" t="n"/>
    </row>
    <row r="719" ht="15" customHeight="1" s="26">
      <c r="A719" s="37" t="n"/>
      <c r="B719" s="37" t="n"/>
      <c r="C719" s="39" t="n"/>
      <c r="D719" s="47" t="n"/>
      <c r="E719" s="37" t="n"/>
      <c r="F719" s="37" t="n"/>
      <c r="G719" s="37" t="n"/>
      <c r="H719" s="39" t="n"/>
    </row>
    <row r="720" ht="15" customHeight="1" s="26">
      <c r="A720" s="37" t="n"/>
      <c r="B720" s="37" t="n"/>
      <c r="C720" s="39" t="n"/>
      <c r="D720" s="47" t="n"/>
      <c r="E720" s="37" t="n"/>
      <c r="F720" s="37" t="n"/>
      <c r="G720" s="37" t="n"/>
      <c r="H720" s="39" t="n"/>
    </row>
    <row r="721" ht="15" customHeight="1" s="26">
      <c r="A721" s="37" t="n"/>
      <c r="B721" s="37" t="n"/>
      <c r="C721" s="39" t="n"/>
      <c r="D721" s="47" t="n"/>
      <c r="E721" s="37" t="n"/>
      <c r="F721" s="37" t="n"/>
      <c r="G721" s="37" t="n"/>
      <c r="H721" s="39" t="n"/>
    </row>
    <row r="722" ht="15" customHeight="1" s="26">
      <c r="A722" s="37" t="n"/>
      <c r="B722" s="37" t="n"/>
      <c r="C722" s="39" t="n"/>
      <c r="D722" s="47" t="n"/>
      <c r="E722" s="37" t="n"/>
      <c r="F722" s="37" t="n"/>
      <c r="G722" s="37" t="n"/>
      <c r="H722" s="39" t="n"/>
    </row>
    <row r="723" ht="15" customHeight="1" s="26">
      <c r="A723" s="37" t="n"/>
      <c r="B723" s="37" t="n"/>
      <c r="C723" s="39" t="n"/>
      <c r="D723" s="47" t="n"/>
      <c r="E723" s="37" t="n"/>
      <c r="F723" s="37" t="n"/>
      <c r="G723" s="37" t="n"/>
      <c r="H723" s="39" t="n"/>
    </row>
    <row r="724" ht="15" customHeight="1" s="26">
      <c r="A724" s="37" t="n"/>
      <c r="B724" s="37" t="n"/>
      <c r="C724" s="39" t="n"/>
      <c r="D724" s="47" t="n"/>
      <c r="E724" s="37" t="n"/>
      <c r="F724" s="37" t="n"/>
      <c r="G724" s="37" t="n"/>
      <c r="H724" s="39" t="n"/>
    </row>
    <row r="725" ht="15" customHeight="1" s="26">
      <c r="A725" s="37" t="n"/>
      <c r="B725" s="37" t="n"/>
      <c r="C725" s="39" t="n"/>
      <c r="D725" s="47" t="n"/>
      <c r="E725" s="37" t="n"/>
      <c r="F725" s="37" t="n"/>
      <c r="G725" s="37" t="n"/>
      <c r="H725" s="39" t="n"/>
    </row>
    <row r="726" ht="15" customHeight="1" s="26">
      <c r="A726" s="37" t="n"/>
      <c r="B726" s="37" t="n"/>
      <c r="C726" s="39" t="n"/>
      <c r="D726" s="47" t="n"/>
      <c r="E726" s="37" t="n"/>
      <c r="F726" s="37" t="n"/>
      <c r="G726" s="37" t="n"/>
      <c r="H726" s="39" t="n"/>
    </row>
    <row r="727" ht="15" customHeight="1" s="26">
      <c r="A727" s="37" t="n"/>
      <c r="B727" s="37" t="n"/>
      <c r="C727" s="39" t="n"/>
      <c r="D727" s="47" t="n"/>
      <c r="E727" s="37" t="n"/>
      <c r="F727" s="37" t="n"/>
      <c r="G727" s="37" t="n"/>
      <c r="H727" s="39" t="n"/>
    </row>
    <row r="728" ht="15" customHeight="1" s="26">
      <c r="A728" s="37" t="n"/>
      <c r="B728" s="37" t="n"/>
      <c r="C728" s="39" t="n"/>
      <c r="D728" s="47" t="n"/>
      <c r="E728" s="37" t="n"/>
      <c r="F728" s="37" t="n"/>
      <c r="G728" s="37" t="n"/>
      <c r="H728" s="39" t="n"/>
    </row>
    <row r="729" ht="15" customHeight="1" s="26">
      <c r="A729" s="37" t="n"/>
      <c r="B729" s="37" t="n"/>
      <c r="C729" s="39" t="n"/>
      <c r="D729" s="47" t="n"/>
      <c r="E729" s="37" t="n"/>
      <c r="F729" s="37" t="n"/>
      <c r="G729" s="37" t="n"/>
      <c r="H729" s="39" t="n"/>
    </row>
    <row r="730" ht="15" customHeight="1" s="26">
      <c r="A730" s="37" t="n"/>
      <c r="B730" s="37" t="n"/>
      <c r="C730" s="39" t="n"/>
      <c r="D730" s="47" t="n"/>
      <c r="E730" s="37" t="n"/>
      <c r="F730" s="37" t="n"/>
      <c r="G730" s="37" t="n"/>
      <c r="H730" s="39" t="n"/>
    </row>
    <row r="731" ht="15" customHeight="1" s="26">
      <c r="A731" s="37" t="n"/>
      <c r="B731" s="37" t="n"/>
      <c r="C731" s="39" t="n"/>
      <c r="D731" s="47" t="n"/>
      <c r="E731" s="37" t="n"/>
      <c r="F731" s="37" t="n"/>
      <c r="G731" s="37" t="n"/>
      <c r="H731" s="39" t="n"/>
    </row>
    <row r="732" ht="15" customHeight="1" s="26">
      <c r="A732" s="37" t="n"/>
      <c r="B732" s="37" t="n"/>
      <c r="C732" s="39" t="n"/>
      <c r="D732" s="47" t="n"/>
      <c r="E732" s="37" t="n"/>
      <c r="F732" s="37" t="n"/>
      <c r="G732" s="37" t="n"/>
      <c r="H732" s="39" t="n"/>
    </row>
    <row r="733" ht="15" customHeight="1" s="26">
      <c r="A733" s="37" t="n"/>
      <c r="B733" s="37" t="n"/>
      <c r="C733" s="39" t="n"/>
      <c r="D733" s="47" t="n"/>
      <c r="E733" s="37" t="n"/>
      <c r="F733" s="37" t="n"/>
      <c r="G733" s="37" t="n"/>
      <c r="H733" s="39" t="n"/>
    </row>
    <row r="734" ht="15" customHeight="1" s="26">
      <c r="A734" s="37" t="n"/>
      <c r="B734" s="37" t="n"/>
      <c r="C734" s="39" t="n"/>
      <c r="D734" s="47" t="n"/>
      <c r="E734" s="37" t="n"/>
      <c r="F734" s="37" t="n"/>
      <c r="G734" s="37" t="n"/>
      <c r="H734" s="39" t="n"/>
    </row>
    <row r="735" ht="15" customHeight="1" s="26">
      <c r="A735" s="37" t="n"/>
      <c r="B735" s="37" t="n"/>
      <c r="C735" s="39" t="n"/>
      <c r="D735" s="47" t="n"/>
      <c r="E735" s="37" t="n"/>
      <c r="F735" s="37" t="n"/>
      <c r="G735" s="37" t="n"/>
      <c r="H735" s="39" t="n"/>
    </row>
    <row r="736" ht="15" customHeight="1" s="26">
      <c r="A736" s="37" t="n"/>
      <c r="B736" s="37" t="n"/>
      <c r="C736" s="39" t="n"/>
      <c r="D736" s="47" t="n"/>
      <c r="E736" s="37" t="n"/>
      <c r="F736" s="37" t="n"/>
      <c r="G736" s="37" t="n"/>
      <c r="H736" s="39" t="n"/>
    </row>
    <row r="737" ht="15" customHeight="1" s="26">
      <c r="A737" s="37" t="n"/>
      <c r="B737" s="37" t="n"/>
      <c r="C737" s="39" t="n"/>
      <c r="D737" s="47" t="n"/>
      <c r="E737" s="37" t="n"/>
      <c r="F737" s="37" t="n"/>
      <c r="G737" s="37" t="n"/>
      <c r="H737" s="39" t="n"/>
    </row>
    <row r="738" ht="15" customHeight="1" s="26">
      <c r="A738" s="37" t="n"/>
      <c r="B738" s="37" t="n"/>
      <c r="C738" s="39" t="n"/>
      <c r="D738" s="47" t="n"/>
      <c r="E738" s="37" t="n"/>
      <c r="F738" s="37" t="n"/>
      <c r="G738" s="37" t="n"/>
      <c r="H738" s="39" t="n"/>
    </row>
    <row r="739" ht="15" customHeight="1" s="26">
      <c r="A739" s="37" t="n"/>
      <c r="B739" s="37" t="n"/>
      <c r="C739" s="39" t="n"/>
      <c r="D739" s="47" t="n"/>
      <c r="E739" s="37" t="n"/>
      <c r="F739" s="37" t="n"/>
      <c r="G739" s="37" t="n"/>
      <c r="H739" s="39" t="n"/>
    </row>
    <row r="740" ht="15" customHeight="1" s="26">
      <c r="A740" s="37" t="n"/>
      <c r="B740" s="37" t="n"/>
      <c r="C740" s="39" t="n"/>
      <c r="D740" s="47" t="n"/>
      <c r="E740" s="37" t="n"/>
      <c r="F740" s="37" t="n"/>
      <c r="G740" s="37" t="n"/>
      <c r="H740" s="39" t="n"/>
    </row>
    <row r="741" ht="15" customHeight="1" s="26">
      <c r="A741" s="37" t="n"/>
      <c r="B741" s="37" t="n"/>
      <c r="C741" s="39" t="n"/>
      <c r="D741" s="47" t="n"/>
      <c r="E741" s="37" t="n"/>
      <c r="F741" s="37" t="n"/>
      <c r="G741" s="37" t="n"/>
      <c r="H741" s="39" t="n"/>
    </row>
    <row r="742" ht="15" customHeight="1" s="26">
      <c r="A742" s="37" t="n"/>
      <c r="B742" s="37" t="n"/>
      <c r="C742" s="39" t="n"/>
      <c r="D742" s="47" t="n"/>
      <c r="E742" s="37" t="n"/>
      <c r="F742" s="37" t="n"/>
      <c r="G742" s="37" t="n"/>
      <c r="H742" s="39" t="n"/>
    </row>
    <row r="743" ht="15" customHeight="1" s="26">
      <c r="A743" s="37" t="n"/>
      <c r="B743" s="37" t="n"/>
      <c r="C743" s="39" t="n"/>
      <c r="D743" s="47" t="n"/>
      <c r="E743" s="37" t="n"/>
      <c r="F743" s="37" t="n"/>
      <c r="G743" s="37" t="n"/>
      <c r="H743" s="39" t="n"/>
    </row>
    <row r="744" ht="15" customHeight="1" s="26">
      <c r="A744" s="37" t="n"/>
      <c r="B744" s="37" t="n"/>
      <c r="C744" s="39" t="n"/>
      <c r="D744" s="47" t="n"/>
      <c r="E744" s="37" t="n"/>
      <c r="F744" s="37" t="n"/>
      <c r="G744" s="37" t="n"/>
      <c r="H744" s="39" t="n"/>
    </row>
    <row r="745" ht="15" customHeight="1" s="26">
      <c r="A745" s="37" t="n"/>
      <c r="B745" s="37" t="n"/>
      <c r="C745" s="39" t="n"/>
      <c r="D745" s="47" t="n"/>
      <c r="E745" s="37" t="n"/>
      <c r="F745" s="37" t="n"/>
      <c r="G745" s="37" t="n"/>
      <c r="H745" s="39" t="n"/>
    </row>
    <row r="746" ht="15" customHeight="1" s="26">
      <c r="A746" s="37" t="n"/>
      <c r="B746" s="37" t="n"/>
      <c r="C746" s="39" t="n"/>
      <c r="D746" s="47" t="n"/>
      <c r="E746" s="37" t="n"/>
      <c r="F746" s="37" t="n"/>
      <c r="G746" s="37" t="n"/>
      <c r="H746" s="39" t="n"/>
    </row>
    <row r="747" ht="15" customHeight="1" s="26">
      <c r="A747" s="37" t="n"/>
      <c r="B747" s="37" t="n"/>
      <c r="C747" s="39" t="n"/>
      <c r="D747" s="47" t="n"/>
      <c r="E747" s="37" t="n"/>
      <c r="F747" s="37" t="n"/>
      <c r="G747" s="37" t="n"/>
      <c r="H747" s="39" t="n"/>
    </row>
    <row r="748" ht="15" customHeight="1" s="26">
      <c r="A748" s="37" t="n"/>
      <c r="B748" s="37" t="n"/>
      <c r="C748" s="39" t="n"/>
      <c r="D748" s="47" t="n"/>
      <c r="E748" s="37" t="n"/>
      <c r="F748" s="37" t="n"/>
      <c r="G748" s="37" t="n"/>
      <c r="H748" s="39" t="n"/>
    </row>
    <row r="749" ht="15" customHeight="1" s="26">
      <c r="A749" s="37" t="n"/>
      <c r="B749" s="37" t="n"/>
      <c r="C749" s="39" t="n"/>
      <c r="D749" s="47" t="n"/>
      <c r="E749" s="37" t="n"/>
      <c r="F749" s="37" t="n"/>
      <c r="G749" s="37" t="n"/>
      <c r="H749" s="39" t="n"/>
    </row>
    <row r="750" ht="15" customHeight="1" s="26">
      <c r="A750" s="37" t="n"/>
      <c r="B750" s="37" t="n"/>
      <c r="C750" s="39" t="n"/>
      <c r="D750" s="47" t="n"/>
      <c r="E750" s="37" t="n"/>
      <c r="F750" s="37" t="n"/>
      <c r="G750" s="37" t="n"/>
      <c r="H750" s="39" t="n"/>
    </row>
    <row r="751" ht="15" customHeight="1" s="26">
      <c r="A751" s="37" t="n"/>
      <c r="B751" s="37" t="n"/>
      <c r="C751" s="39" t="n"/>
      <c r="D751" s="47" t="n"/>
      <c r="E751" s="37" t="n"/>
      <c r="F751" s="37" t="n"/>
      <c r="G751" s="37" t="n"/>
      <c r="H751" s="39" t="n"/>
    </row>
    <row r="752" ht="15" customHeight="1" s="26">
      <c r="A752" s="37" t="n"/>
      <c r="B752" s="37" t="n"/>
      <c r="C752" s="39" t="n"/>
      <c r="D752" s="47" t="n"/>
      <c r="E752" s="37" t="n"/>
      <c r="F752" s="37" t="n"/>
      <c r="G752" s="37" t="n"/>
      <c r="H752" s="39" t="n"/>
    </row>
    <row r="753" ht="15" customHeight="1" s="26">
      <c r="A753" s="37" t="n"/>
      <c r="B753" s="37" t="n"/>
      <c r="C753" s="39" t="n"/>
      <c r="D753" s="47" t="n"/>
      <c r="E753" s="37" t="n"/>
      <c r="F753" s="37" t="n"/>
      <c r="G753" s="37" t="n"/>
      <c r="H753" s="39" t="n"/>
    </row>
    <row r="754" ht="15" customHeight="1" s="26">
      <c r="A754" s="37" t="n"/>
      <c r="B754" s="37" t="n"/>
      <c r="C754" s="39" t="n"/>
      <c r="D754" s="47" t="n"/>
      <c r="E754" s="37" t="n"/>
      <c r="F754" s="37" t="n"/>
      <c r="G754" s="37" t="n"/>
      <c r="H754" s="39" t="n"/>
    </row>
    <row r="755" ht="15" customHeight="1" s="26">
      <c r="A755" s="37" t="n"/>
      <c r="B755" s="37" t="n"/>
      <c r="C755" s="39" t="n"/>
      <c r="D755" s="47" t="n"/>
      <c r="E755" s="37" t="n"/>
      <c r="F755" s="37" t="n"/>
      <c r="G755" s="37" t="n"/>
      <c r="H755" s="39" t="n"/>
    </row>
    <row r="756" ht="15" customHeight="1" s="26">
      <c r="A756" s="37" t="n"/>
      <c r="B756" s="37" t="n"/>
      <c r="C756" s="39" t="n"/>
      <c r="D756" s="47" t="n"/>
      <c r="E756" s="37" t="n"/>
      <c r="F756" s="37" t="n"/>
      <c r="G756" s="37" t="n"/>
      <c r="H756" s="39" t="n"/>
    </row>
    <row r="757" ht="15" customHeight="1" s="26">
      <c r="A757" s="37" t="n"/>
      <c r="B757" s="37" t="n"/>
      <c r="C757" s="39" t="n"/>
      <c r="D757" s="47" t="n"/>
      <c r="E757" s="37" t="n"/>
      <c r="F757" s="37" t="n"/>
      <c r="G757" s="37" t="n"/>
      <c r="H757" s="39" t="n"/>
    </row>
    <row r="758" ht="15" customHeight="1" s="26">
      <c r="A758" s="37" t="n"/>
      <c r="B758" s="37" t="n"/>
      <c r="C758" s="39" t="n"/>
      <c r="D758" s="47" t="n"/>
      <c r="E758" s="37" t="n"/>
      <c r="F758" s="37" t="n"/>
      <c r="G758" s="37" t="n"/>
      <c r="H758" s="39" t="n"/>
    </row>
    <row r="759" ht="15" customHeight="1" s="26">
      <c r="A759" s="37" t="n"/>
      <c r="B759" s="37" t="n"/>
      <c r="C759" s="39" t="n"/>
      <c r="D759" s="47" t="n"/>
      <c r="E759" s="37" t="n"/>
      <c r="F759" s="37" t="n"/>
      <c r="G759" s="37" t="n"/>
      <c r="H759" s="39" t="n"/>
    </row>
    <row r="760" ht="15" customHeight="1" s="26">
      <c r="A760" s="37" t="n"/>
      <c r="B760" s="37" t="n"/>
      <c r="C760" s="39" t="n"/>
      <c r="D760" s="47" t="n"/>
      <c r="E760" s="37" t="n"/>
      <c r="F760" s="37" t="n"/>
      <c r="G760" s="37" t="n"/>
      <c r="H760" s="39" t="n"/>
    </row>
    <row r="761" ht="15" customHeight="1" s="26">
      <c r="A761" s="37" t="n"/>
      <c r="B761" s="37" t="n"/>
      <c r="C761" s="39" t="n"/>
      <c r="D761" s="47" t="n"/>
      <c r="E761" s="37" t="n"/>
      <c r="F761" s="37" t="n"/>
      <c r="G761" s="37" t="n"/>
      <c r="H761" s="39" t="n"/>
    </row>
    <row r="762" ht="15" customHeight="1" s="26">
      <c r="A762" s="37" t="n"/>
      <c r="B762" s="37" t="n"/>
      <c r="C762" s="39" t="n"/>
      <c r="D762" s="47" t="n"/>
      <c r="E762" s="37" t="n"/>
      <c r="F762" s="37" t="n"/>
      <c r="G762" s="37" t="n"/>
      <c r="H762" s="39" t="n"/>
    </row>
    <row r="763" ht="15" customHeight="1" s="26">
      <c r="A763" s="37" t="n"/>
      <c r="B763" s="37" t="n"/>
      <c r="C763" s="39" t="n"/>
      <c r="D763" s="47" t="n"/>
      <c r="E763" s="37" t="n"/>
      <c r="F763" s="37" t="n"/>
      <c r="G763" s="37" t="n"/>
      <c r="H763" s="39" t="n"/>
    </row>
    <row r="764" ht="15" customHeight="1" s="26">
      <c r="A764" s="37" t="n"/>
      <c r="B764" s="37" t="n"/>
      <c r="C764" s="39" t="n"/>
      <c r="D764" s="47" t="n"/>
      <c r="E764" s="37" t="n"/>
      <c r="F764" s="37" t="n"/>
      <c r="G764" s="37" t="n"/>
      <c r="H764" s="39" t="n"/>
    </row>
    <row r="765" ht="15" customHeight="1" s="26">
      <c r="A765" s="37" t="n"/>
      <c r="B765" s="37" t="n"/>
      <c r="C765" s="39" t="n"/>
      <c r="D765" s="47" t="n"/>
      <c r="E765" s="37" t="n"/>
      <c r="F765" s="37" t="n"/>
      <c r="G765" s="37" t="n"/>
      <c r="H765" s="39" t="n"/>
    </row>
    <row r="766" ht="15" customHeight="1" s="26">
      <c r="A766" s="37" t="n"/>
      <c r="B766" s="37" t="n"/>
      <c r="C766" s="39" t="n"/>
      <c r="D766" s="47" t="n"/>
      <c r="E766" s="37" t="n"/>
      <c r="F766" s="37" t="n"/>
      <c r="G766" s="37" t="n"/>
      <c r="H766" s="39" t="n"/>
    </row>
    <row r="767" ht="15" customHeight="1" s="26">
      <c r="A767" s="37" t="n"/>
      <c r="B767" s="37" t="n"/>
      <c r="C767" s="39" t="n"/>
      <c r="D767" s="47" t="n"/>
      <c r="E767" s="37" t="n"/>
      <c r="F767" s="37" t="n"/>
      <c r="G767" s="37" t="n"/>
      <c r="H767" s="39" t="n"/>
    </row>
    <row r="768" ht="15" customHeight="1" s="26">
      <c r="A768" s="37" t="n"/>
      <c r="B768" s="37" t="n"/>
      <c r="C768" s="39" t="n"/>
      <c r="D768" s="47" t="n"/>
      <c r="E768" s="37" t="n"/>
      <c r="F768" s="37" t="n"/>
      <c r="G768" s="37" t="n"/>
      <c r="H768" s="39" t="n"/>
    </row>
    <row r="769" ht="15" customHeight="1" s="26">
      <c r="A769" s="37" t="n"/>
      <c r="B769" s="37" t="n"/>
      <c r="C769" s="39" t="n"/>
      <c r="D769" s="47" t="n"/>
      <c r="E769" s="37" t="n"/>
      <c r="F769" s="37" t="n"/>
      <c r="G769" s="37" t="n"/>
      <c r="H769" s="39" t="n"/>
    </row>
    <row r="770" ht="15" customHeight="1" s="26">
      <c r="A770" s="37" t="n"/>
      <c r="B770" s="37" t="n"/>
      <c r="C770" s="39" t="n"/>
      <c r="D770" s="47" t="n"/>
      <c r="E770" s="37" t="n"/>
      <c r="F770" s="37" t="n"/>
      <c r="G770" s="37" t="n"/>
      <c r="H770" s="39" t="n"/>
    </row>
    <row r="771" ht="15" customHeight="1" s="26">
      <c r="A771" s="37" t="n"/>
      <c r="B771" s="37" t="n"/>
      <c r="C771" s="39" t="n"/>
      <c r="D771" s="47" t="n"/>
      <c r="E771" s="37" t="n"/>
      <c r="F771" s="37" t="n"/>
      <c r="G771" s="37" t="n"/>
      <c r="H771" s="39" t="n"/>
    </row>
    <row r="772" ht="15" customHeight="1" s="26">
      <c r="A772" s="37" t="n"/>
      <c r="B772" s="37" t="n"/>
      <c r="C772" s="39" t="n"/>
      <c r="D772" s="47" t="n"/>
      <c r="E772" s="37" t="n"/>
      <c r="F772" s="37" t="n"/>
      <c r="G772" s="37" t="n"/>
      <c r="H772" s="39" t="n"/>
    </row>
    <row r="773" ht="15" customHeight="1" s="26">
      <c r="A773" s="37" t="n"/>
      <c r="B773" s="37" t="n"/>
      <c r="C773" s="39" t="n"/>
      <c r="D773" s="47" t="n"/>
      <c r="E773" s="37" t="n"/>
      <c r="F773" s="37" t="n"/>
      <c r="G773" s="37" t="n"/>
      <c r="H773" s="39" t="n"/>
    </row>
    <row r="774" ht="15" customHeight="1" s="26">
      <c r="A774" s="37" t="n"/>
      <c r="B774" s="37" t="n"/>
      <c r="C774" s="39" t="n"/>
      <c r="D774" s="47" t="n"/>
      <c r="E774" s="37" t="n"/>
      <c r="F774" s="37" t="n"/>
      <c r="G774" s="37" t="n"/>
      <c r="H774" s="39" t="n"/>
    </row>
    <row r="775" ht="15" customHeight="1" s="26">
      <c r="A775" s="37" t="n"/>
      <c r="B775" s="37" t="n"/>
      <c r="C775" s="39" t="n"/>
      <c r="D775" s="47" t="n"/>
      <c r="E775" s="37" t="n"/>
      <c r="F775" s="37" t="n"/>
      <c r="G775" s="37" t="n"/>
      <c r="H775" s="39" t="n"/>
    </row>
    <row r="776" ht="15" customHeight="1" s="26">
      <c r="A776" s="37" t="n"/>
      <c r="B776" s="37" t="n"/>
      <c r="C776" s="39" t="n"/>
      <c r="D776" s="47" t="n"/>
      <c r="E776" s="37" t="n"/>
      <c r="F776" s="37" t="n"/>
      <c r="G776" s="37" t="n"/>
      <c r="H776" s="39" t="n"/>
    </row>
    <row r="777" ht="15" customHeight="1" s="26">
      <c r="A777" s="37" t="n"/>
      <c r="B777" s="37" t="n"/>
      <c r="C777" s="39" t="n"/>
      <c r="D777" s="47" t="n"/>
      <c r="E777" s="37" t="n"/>
      <c r="F777" s="37" t="n"/>
      <c r="G777" s="37" t="n"/>
      <c r="H777" s="39" t="n"/>
    </row>
    <row r="778" ht="15" customHeight="1" s="26">
      <c r="A778" s="37" t="n"/>
      <c r="B778" s="37" t="n"/>
      <c r="C778" s="39" t="n"/>
      <c r="D778" s="47" t="n"/>
      <c r="E778" s="37" t="n"/>
      <c r="F778" s="37" t="n"/>
      <c r="G778" s="37" t="n"/>
      <c r="H778" s="39" t="n"/>
    </row>
    <row r="779" ht="15" customHeight="1" s="26">
      <c r="A779" s="37" t="n"/>
      <c r="B779" s="37" t="n"/>
      <c r="C779" s="39" t="n"/>
      <c r="D779" s="47" t="n"/>
      <c r="E779" s="37" t="n"/>
      <c r="F779" s="37" t="n"/>
      <c r="G779" s="37" t="n"/>
      <c r="H779" s="39" t="n"/>
    </row>
    <row r="780" ht="15" customHeight="1" s="26">
      <c r="A780" s="37" t="n"/>
      <c r="B780" s="37" t="n"/>
      <c r="C780" s="39" t="n"/>
      <c r="D780" s="47" t="n"/>
      <c r="E780" s="37" t="n"/>
      <c r="F780" s="37" t="n"/>
      <c r="G780" s="37" t="n"/>
      <c r="H780" s="39" t="n"/>
    </row>
    <row r="781" ht="15" customHeight="1" s="26">
      <c r="A781" s="37" t="n"/>
      <c r="B781" s="37" t="n"/>
      <c r="C781" s="39" t="n"/>
      <c r="D781" s="47" t="n"/>
      <c r="E781" s="37" t="n"/>
      <c r="F781" s="37" t="n"/>
      <c r="G781" s="37" t="n"/>
      <c r="H781" s="39" t="n"/>
    </row>
    <row r="782" ht="15" customHeight="1" s="26">
      <c r="A782" s="37" t="n"/>
      <c r="B782" s="37" t="n"/>
      <c r="C782" s="39" t="n"/>
      <c r="D782" s="47" t="n"/>
      <c r="E782" s="37" t="n"/>
      <c r="F782" s="37" t="n"/>
      <c r="G782" s="37" t="n"/>
      <c r="H782" s="39" t="n"/>
    </row>
    <row r="783" ht="15" customHeight="1" s="26">
      <c r="A783" s="37" t="n"/>
      <c r="B783" s="37" t="n"/>
      <c r="C783" s="39" t="n"/>
      <c r="D783" s="47" t="n"/>
      <c r="E783" s="37" t="n"/>
      <c r="F783" s="37" t="n"/>
      <c r="G783" s="37" t="n"/>
      <c r="H783" s="39" t="n"/>
    </row>
    <row r="784" ht="15" customHeight="1" s="26">
      <c r="A784" s="37" t="n"/>
      <c r="B784" s="37" t="n"/>
      <c r="C784" s="39" t="n"/>
      <c r="D784" s="47" t="n"/>
      <c r="E784" s="37" t="n"/>
      <c r="F784" s="37" t="n"/>
      <c r="G784" s="37" t="n"/>
      <c r="H784" s="39" t="n"/>
    </row>
    <row r="785" ht="15" customHeight="1" s="26">
      <c r="A785" s="37" t="n"/>
      <c r="B785" s="37" t="n"/>
      <c r="C785" s="39" t="n"/>
      <c r="D785" s="47" t="n"/>
      <c r="E785" s="37" t="n"/>
      <c r="F785" s="37" t="n"/>
      <c r="G785" s="37" t="n"/>
      <c r="H785" s="39" t="n"/>
    </row>
    <row r="786" ht="15" customHeight="1" s="26">
      <c r="A786" s="37" t="n"/>
      <c r="B786" s="37" t="n"/>
      <c r="C786" s="39" t="n"/>
      <c r="D786" s="47" t="n"/>
      <c r="E786" s="37" t="n"/>
      <c r="F786" s="37" t="n"/>
      <c r="G786" s="37" t="n"/>
      <c r="H786" s="39" t="n"/>
    </row>
    <row r="787" ht="15" customHeight="1" s="26">
      <c r="A787" s="37" t="n"/>
      <c r="B787" s="37" t="n"/>
      <c r="C787" s="39" t="n"/>
      <c r="D787" s="47" t="n"/>
      <c r="E787" s="37" t="n"/>
      <c r="F787" s="37" t="n"/>
      <c r="G787" s="37" t="n"/>
      <c r="H787" s="39" t="n"/>
    </row>
    <row r="788" ht="15" customHeight="1" s="26">
      <c r="A788" s="37" t="n"/>
      <c r="B788" s="37" t="n"/>
      <c r="C788" s="39" t="n"/>
      <c r="D788" s="47" t="n"/>
      <c r="E788" s="37" t="n"/>
      <c r="F788" s="37" t="n"/>
      <c r="G788" s="37" t="n"/>
      <c r="H788" s="39" t="n"/>
    </row>
    <row r="789" ht="15" customHeight="1" s="26">
      <c r="A789" s="37" t="n"/>
      <c r="B789" s="37" t="n"/>
      <c r="C789" s="39" t="n"/>
      <c r="D789" s="47" t="n"/>
      <c r="E789" s="37" t="n"/>
      <c r="F789" s="37" t="n"/>
      <c r="G789" s="37" t="n"/>
      <c r="H789" s="39" t="n"/>
    </row>
    <row r="790" ht="15" customHeight="1" s="26">
      <c r="A790" s="37" t="n"/>
      <c r="B790" s="37" t="n"/>
      <c r="C790" s="39" t="n"/>
      <c r="D790" s="47" t="n"/>
      <c r="E790" s="37" t="n"/>
      <c r="F790" s="37" t="n"/>
      <c r="G790" s="37" t="n"/>
      <c r="H790" s="39" t="n"/>
    </row>
    <row r="791" ht="15" customHeight="1" s="26">
      <c r="A791" s="37" t="n"/>
      <c r="B791" s="37" t="n"/>
      <c r="C791" s="39" t="n"/>
      <c r="D791" s="47" t="n"/>
      <c r="E791" s="37" t="n"/>
      <c r="F791" s="37" t="n"/>
      <c r="G791" s="37" t="n"/>
      <c r="H791" s="39" t="n"/>
    </row>
    <row r="792" ht="15" customHeight="1" s="26">
      <c r="A792" s="37" t="n"/>
      <c r="B792" s="37" t="n"/>
      <c r="C792" s="39" t="n"/>
      <c r="D792" s="47" t="n"/>
      <c r="E792" s="37" t="n"/>
      <c r="F792" s="37" t="n"/>
      <c r="G792" s="37" t="n"/>
      <c r="H792" s="39" t="n"/>
    </row>
    <row r="793" ht="15" customHeight="1" s="26">
      <c r="A793" s="37" t="n"/>
      <c r="B793" s="37" t="n"/>
      <c r="C793" s="39" t="n"/>
      <c r="D793" s="47" t="n"/>
      <c r="E793" s="37" t="n"/>
      <c r="F793" s="37" t="n"/>
      <c r="G793" s="37" t="n"/>
      <c r="H793" s="39" t="n"/>
    </row>
    <row r="794" ht="15" customHeight="1" s="26">
      <c r="A794" s="37" t="n"/>
      <c r="B794" s="37" t="n"/>
      <c r="C794" s="39" t="n"/>
      <c r="D794" s="47" t="n"/>
      <c r="E794" s="37" t="n"/>
      <c r="F794" s="37" t="n"/>
      <c r="G794" s="37" t="n"/>
      <c r="H794" s="39" t="n"/>
    </row>
    <row r="795" ht="15" customHeight="1" s="26">
      <c r="A795" s="37" t="n"/>
      <c r="B795" s="37" t="n"/>
      <c r="C795" s="39" t="n"/>
      <c r="D795" s="47" t="n"/>
      <c r="E795" s="37" t="n"/>
      <c r="F795" s="37" t="n"/>
      <c r="G795" s="37" t="n"/>
      <c r="H795" s="39" t="n"/>
    </row>
    <row r="796" ht="15" customHeight="1" s="26">
      <c r="A796" s="37" t="n"/>
      <c r="B796" s="37" t="n"/>
      <c r="C796" s="39" t="n"/>
      <c r="D796" s="47" t="n"/>
      <c r="E796" s="37" t="n"/>
      <c r="F796" s="37" t="n"/>
      <c r="G796" s="37" t="n"/>
      <c r="H796" s="39" t="n"/>
    </row>
    <row r="797" ht="15" customHeight="1" s="26">
      <c r="A797" s="37" t="n"/>
      <c r="B797" s="37" t="n"/>
      <c r="C797" s="39" t="n"/>
      <c r="D797" s="47" t="n"/>
      <c r="E797" s="37" t="n"/>
      <c r="F797" s="37" t="n"/>
      <c r="G797" s="37" t="n"/>
      <c r="H797" s="39" t="n"/>
    </row>
    <row r="798" ht="15" customHeight="1" s="26">
      <c r="A798" s="37" t="n"/>
      <c r="B798" s="37" t="n"/>
      <c r="C798" s="39" t="n"/>
      <c r="D798" s="47" t="n"/>
      <c r="E798" s="37" t="n"/>
      <c r="F798" s="37" t="n"/>
      <c r="G798" s="37" t="n"/>
      <c r="H798" s="39" t="n"/>
    </row>
    <row r="799" ht="15" customHeight="1" s="26">
      <c r="A799" s="37" t="n"/>
      <c r="B799" s="37" t="n"/>
      <c r="C799" s="39" t="n"/>
      <c r="D799" s="47" t="n"/>
      <c r="E799" s="37" t="n"/>
      <c r="F799" s="37" t="n"/>
      <c r="G799" s="37" t="n"/>
      <c r="H799" s="39" t="n"/>
    </row>
  </sheetData>
  <autoFilter ref="A1:H799"/>
  <conditionalFormatting sqref="G2:G1099">
    <cfRule type="cellIs" rank="0" priority="2" equalAverage="0" operator="equal" aboveAverage="0" dxfId="9" text="" percent="0" bottom="0">
      <formula>"Basket"</formula>
    </cfRule>
  </conditionalFormatting>
  <dataValidations count="1">
    <dataValidation sqref="G2:G1099" showDropDown="0" showInputMessage="0" showErrorMessage="0" allowBlank="0" type="list" errorStyle="stop" operator="between">
      <formula1>"Basket,Protein,Pantry,Staple"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6FA35A"/>
    <outlinePr summaryBelow="1" summaryRight="1"/>
    <pageSetUpPr fitToPage="0"/>
  </sheetPr>
  <dimension ref="A1:F11"/>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28" customWidth="1" style="25" min="1" max="1"/>
    <col width="16" customWidth="1" style="25" min="2" max="2"/>
    <col width="48" customWidth="1" style="25" min="3" max="3"/>
    <col width="26" customWidth="1" style="25" min="4" max="4"/>
    <col width="46" customWidth="1" style="25" min="5" max="5"/>
    <col width="44" customWidth="1" style="25" min="6" max="6"/>
  </cols>
  <sheetData>
    <row r="1" ht="31.5" customHeight="1" s="26">
      <c r="A1" s="36" t="inlineStr">
        <is>
          <t>Box / drop</t>
        </is>
      </c>
      <c r="B1" s="36" t="inlineStr">
        <is>
          <t>Window</t>
        </is>
      </c>
      <c r="C1" s="36" t="inlineStr">
        <is>
          <t>What's inside</t>
        </is>
      </c>
      <c r="D1" s="36" t="inlineStr">
        <is>
          <t>Recipes it unlocks</t>
        </is>
      </c>
      <c r="E1" s="36" t="inlineStr">
        <is>
          <t>Positioning line</t>
        </is>
      </c>
      <c r="F1" s="36" t="inlineStr">
        <is>
          <t>Notes</t>
        </is>
      </c>
    </row>
    <row r="2" ht="48" customHeight="1" s="26">
      <c r="A2" s="48" t="inlineStr">
        <is>
          <t>Agbalumo Season Drop</t>
        </is>
      </c>
      <c r="B2" s="39" t="inlineStr">
        <is>
          <t>Dec-May (peak Jan-Mar)</t>
        </is>
      </c>
      <c r="C2" s="39" t="inlineStr">
        <is>
          <t>Agbalumo x20, velvet tamarind (awin) cup</t>
        </is>
      </c>
      <c r="D2" s="39" t="inlineStr">
        <is>
          <t>Eat as-is</t>
        </is>
      </c>
      <c r="E2" s="39" t="inlineStr">
        <is>
          <t>The one fruit everybody waits for all year. Back for a few months only.</t>
        </is>
      </c>
      <c r="F2" s="39" t="inlineStr">
        <is>
          <t>Grade by size, sell by count. Limited quantity drives urgency. Pair with a 'last week of the season' push.</t>
        </is>
      </c>
    </row>
    <row r="3" ht="48" customHeight="1" s="26">
      <c r="A3" s="48" t="inlineStr">
        <is>
          <t>Harmattan Citrus Box</t>
        </is>
      </c>
      <c r="B3" s="39" t="inlineStr">
        <is>
          <t>Oct-Jan</t>
        </is>
      </c>
      <c r="C3" s="39" t="inlineStr">
        <is>
          <t>Oranges, tangerines, grapefruit, limes, lemons, ginger, turmeric</t>
        </is>
      </c>
      <c r="D3" s="39" t="inlineStr">
        <is>
          <t>R032, R037</t>
        </is>
      </c>
      <c r="E3" s="39" t="inlineStr">
        <is>
          <t>Peak citrus season, at its sweetest.</t>
        </is>
      </c>
      <c r="F3" s="39" t="inlineStr">
        <is>
          <t>Citrus is at its best Oct-Dec. Lowest-cost, highest-volume box of the year.</t>
        </is>
      </c>
    </row>
    <row r="4" ht="48" customHeight="1" s="26">
      <c r="A4" s="48" t="inlineStr">
        <is>
          <t>Mango Rush</t>
        </is>
      </c>
      <c r="B4" s="39" t="inlineStr">
        <is>
          <t>Feb-May</t>
        </is>
      </c>
      <c r="C4" s="39" t="inlineStr">
        <is>
          <t>Two mango varieties (Ogbomoso + cherry), limes, coconut, passion fruit</t>
        </is>
      </c>
      <c r="D4" s="39" t="inlineStr">
        <is>
          <t>R015, R027, R086, R088</t>
        </is>
      </c>
      <c r="E4" s="39" t="inlineStr">
        <is>
          <t>It's mango season. Here's what to do with all of them.</t>
        </is>
      </c>
      <c r="F4" s="39" t="inlineStr">
        <is>
          <t>Name the varieties on the card. People love knowing where their mangoes are from.</t>
        </is>
      </c>
    </row>
    <row r="5" ht="48" customHeight="1" s="26">
      <c r="A5" s="48" t="inlineStr">
        <is>
          <t>Hydration Box</t>
        </is>
      </c>
      <c r="B5" s="39" t="inlineStr">
        <is>
          <t>Year-round (best Dec-Apr)</t>
        </is>
      </c>
      <c r="C5" s="39" t="inlineStr">
        <is>
          <t>Watermelon, cucumber, mint, lemons, limes, pineapple</t>
        </is>
      </c>
      <c r="D5" s="39" t="inlineStr">
        <is>
          <t>R024, R087</t>
        </is>
      </c>
      <c r="E5" s="39" t="inlineStr">
        <is>
          <t>Built for the heat and for after training.</t>
        </is>
      </c>
      <c r="F5" s="39" t="inlineStr">
        <is>
          <t>Strong fit for runners and gym-goers in the Phase 1 audience.</t>
        </is>
      </c>
    </row>
    <row r="6" ht="48" customHeight="1" s="26">
      <c r="A6" s="48" t="inlineStr">
        <is>
          <t>Training Fuel Basket</t>
        </is>
      </c>
      <c r="B6" s="39" t="inlineStr">
        <is>
          <t>Year-round</t>
        </is>
      </c>
      <c r="C6" s="39" t="inlineStr">
        <is>
          <t>Bananas, plantain, sweet potatoes, avocado, efo tete, dates, groundnuts, tatashe</t>
        </is>
      </c>
      <c r="D6" s="39" t="inlineStr">
        <is>
          <t>R020, R021, R040, R041, R064</t>
        </is>
      </c>
      <c r="E6" s="39" t="inlineStr">
        <is>
          <t>The produce side of a training week.</t>
        </is>
      </c>
      <c r="F6" s="39" t="inlineStr">
        <is>
          <t>Pair with Kachi's goal-based basket recommendation.</t>
        </is>
      </c>
    </row>
    <row r="7" ht="48" customHeight="1" s="26">
      <c r="A7" s="48" t="inlineStr">
        <is>
          <t>Salad Week Kit</t>
        </is>
      </c>
      <c r="B7" s="39" t="inlineStr">
        <is>
          <t>Year-round</t>
        </is>
      </c>
      <c r="C7" s="39" t="inlineStr">
        <is>
          <t>Lettuce, tomatoes, cucumber, carrots, both cabbages, red onion, lemons, garden eggs, parsley</t>
        </is>
      </c>
      <c r="D7" s="39" t="inlineStr">
        <is>
          <t>R025, R029, R030, R031, R039</t>
        </is>
      </c>
      <c r="E7" s="39" t="inlineStr">
        <is>
          <t>Five different salads, zero wasted leaves.</t>
        </is>
      </c>
      <c r="F7" s="39" t="inlineStr">
        <is>
          <t>Lettuce is the shelf-life risk. Deliver early in the week.</t>
        </is>
      </c>
    </row>
    <row r="8" ht="48" customHeight="1" s="26">
      <c r="A8" s="48" t="inlineStr">
        <is>
          <t>Stir-Fry Night Kit</t>
        </is>
      </c>
      <c r="B8" s="39" t="inlineStr">
        <is>
          <t>Year-round</t>
        </is>
      </c>
      <c r="C8" s="39" t="inlineStr">
        <is>
          <t>Tatashe, green pepper, carrots, spring onion, ginger, garlic, broccoli or green beans</t>
        </is>
      </c>
      <c r="D8" s="39" t="inlineStr">
        <is>
          <t>R058, R060, R061, R067</t>
        </is>
      </c>
      <c r="E8" s="39" t="inlineStr">
        <is>
          <t>Takeaway-style dinners in 20 minutes.</t>
        </is>
      </c>
      <c r="F8" s="39" t="inlineStr">
        <is>
          <t>Broccoli is premium; green beans are the default swap.</t>
        </is>
      </c>
    </row>
    <row r="9" ht="48" customHeight="1" s="26">
      <c r="A9" s="48" t="inlineStr">
        <is>
          <t>Ube &amp; Corn Drop</t>
        </is>
      </c>
      <c r="B9" s="39" t="inlineStr">
        <is>
          <t>May-Sep</t>
        </is>
      </c>
      <c r="C9" s="39" t="inlineStr">
        <is>
          <t>Ube x10, sweet corn x6</t>
        </is>
      </c>
      <c r="D9" s="39" t="inlineStr">
        <is>
          <t>R082, eat as-is</t>
        </is>
      </c>
      <c r="E9" s="39" t="inlineStr">
        <is>
          <t>The rainy season classic, delivered.</t>
        </is>
      </c>
      <c r="F9" s="39" t="inlineStr">
        <is>
          <t>Nostalgia sells. Strong social content angle.</t>
        </is>
      </c>
    </row>
    <row r="10" ht="48" customHeight="1" s="26">
      <c r="A10" s="48" t="inlineStr">
        <is>
          <t>Tiger Nut &amp; Snack Box</t>
        </is>
      </c>
      <c r="B10" s="39" t="inlineStr">
        <is>
          <t>Year-round</t>
        </is>
      </c>
      <c r="C10" s="39" t="inlineStr">
        <is>
          <t>Tiger nuts, dates, coconut, roasted groundnuts</t>
        </is>
      </c>
      <c r="D10" s="39" t="inlineStr">
        <is>
          <t>R022, R084</t>
        </is>
      </c>
      <c r="E10" s="39" t="inlineStr">
        <is>
          <t>Snacks and plant milk from four local staples.</t>
        </is>
      </c>
      <c r="F10" s="39" t="inlineStr">
        <is>
          <t>Long shelf life. Easy add-on to any order.</t>
        </is>
      </c>
    </row>
    <row r="11" ht="48" customHeight="1" s="26">
      <c r="A11" s="48" t="inlineStr">
        <is>
          <t>Imported Fruit Box (premium)</t>
        </is>
      </c>
      <c r="B11" s="39" t="inlineStr">
        <is>
          <t>Year-round</t>
        </is>
      </c>
      <c r="C11" s="39" t="inlineStr">
        <is>
          <t>Apples, pears, grapes, kiwi, blueberries, strawberries</t>
        </is>
      </c>
      <c r="D11" s="39" t="inlineStr">
        <is>
          <t>R089</t>
        </is>
      </c>
      <c r="E11" s="39" t="inlineStr">
        <is>
          <t>The fruit bowl, upgraded.</t>
        </is>
      </c>
      <c r="F11" s="39" t="inlineStr">
        <is>
          <t>Higher margin, higher price. Keep it an add-on, not the default.</t>
        </is>
      </c>
    </row>
    <row r="12" ht="48" customHeight="1" s="26"/>
    <row r="13" ht="48" customHeight="1" s="26"/>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6FA35A"/>
    <outlinePr summaryBelow="1" summaryRight="1"/>
    <pageSetUpPr fitToPage="0"/>
  </sheetPr>
  <dimension ref="A1:I11"/>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20" customWidth="1" style="25" min="1" max="1"/>
    <col width="18" customWidth="1" style="25" min="2" max="2"/>
    <col width="12" customWidth="1" style="25" min="3" max="3"/>
    <col width="46" customWidth="1" style="25" min="4" max="4"/>
    <col width="40" customWidth="1" style="25" min="5" max="8"/>
    <col width="34" customWidth="1" style="25" min="9" max="9"/>
  </cols>
  <sheetData>
    <row r="1" ht="31.5" customHeight="1" s="26">
      <c r="A1" s="36" t="inlineStr">
        <is>
          <t>Player</t>
        </is>
      </c>
      <c r="B1" s="36" t="inlineStr">
        <is>
          <t>Type</t>
        </is>
      </c>
      <c r="C1" s="36" t="inlineStr">
        <is>
          <t>Market</t>
        </is>
      </c>
      <c r="D1" s="36" t="inlineStr">
        <is>
          <t>What they sell / do</t>
        </is>
      </c>
      <c r="E1" s="36" t="inlineStr">
        <is>
          <t>Price signals</t>
        </is>
      </c>
      <c r="F1" s="36" t="inlineStr">
        <is>
          <t>Recipe or meal approach</t>
        </is>
      </c>
      <c r="G1" s="36" t="inlineStr">
        <is>
          <t>Borrow</t>
        </is>
      </c>
      <c r="H1" s="36" t="inlineStr">
        <is>
          <t>Gap for Basket</t>
        </is>
      </c>
      <c r="I1" s="36" t="inlineStr">
        <is>
          <t>Source</t>
        </is>
      </c>
    </row>
    <row r="2" ht="109.5" customHeight="1" s="26">
      <c r="A2" s="48" t="inlineStr">
        <is>
          <t>SwanCape Farms</t>
        </is>
      </c>
      <c r="B2" s="39" t="inlineStr">
        <is>
          <t>Farm + retail/B2B supplier</t>
        </is>
      </c>
      <c r="C2" s="39" t="inlineStr">
        <is>
          <t>Lagos</t>
        </is>
      </c>
      <c r="D2" s="39" t="inlineStr">
        <is>
          <t>Own farms in Epe and Irawo plus smallholders. HACCP handling, premium retail packaging, supplies supermarkets, chefs and households. Farm shop in Lekki Scheme 2. WhatsApp ordering.</t>
        </is>
      </c>
      <c r="E2" s="39" t="inlineStr">
        <is>
          <t>Weekly Veggie Box N8,000/week. Planner estimates: Egusi for 4 ~N14,000, Jollof for 6 ~N18,000, Pepper soup for 2 ~N8,000.</t>
        </is>
      </c>
      <c r="F2" s="39" t="inlineStr">
        <is>
          <t>Meal planner: type a dish and headcount, get a live-priced ingredient list sent to WhatsApp. Menu is traditional Nigerian (Egusi, Ogbono, Jollof, Efo riro).</t>
        </is>
      </c>
      <c r="G2" s="39" t="inlineStr">
        <is>
          <t>Dish-to-priced-cart flow. A simple weekly box price anchor.</t>
        </is>
      </c>
      <c r="H2" s="39" t="inlineStr">
        <is>
          <t>Their recipes are traditional soups and stews. Basket's library is light global dishes for goal-driven eaters. They also lead with 'AI' in copy, which Basket deliberately does not.</t>
        </is>
      </c>
      <c r="I2" s="39" t="inlineStr">
        <is>
          <t>swancapefarms.com, swancapefarms.com/meal-planner</t>
        </is>
      </c>
    </row>
    <row r="3" ht="109.5" customHeight="1" s="26">
      <c r="A3" s="48" t="inlineStr">
        <is>
          <t>Mint Foods</t>
        </is>
      </c>
      <c r="B3" s="39" t="inlineStr">
        <is>
          <t>Online grocery (Shopify)</t>
        </is>
      </c>
      <c r="C3" s="39" t="inlineStr">
        <is>
          <t>Lagos</t>
        </is>
      </c>
      <c r="D3" s="39" t="inlineStr">
        <is>
          <t>Full grocery plus a strong premium produce range: hydroponic herbs, microgreens, imported berries, local and imported variants of the same item.</t>
        </is>
      </c>
      <c r="E3" s="39" t="inlineStr">
        <is>
          <t>Lemons: 4 local N1,900 vs 5 Dutch N13,800. Cauliflower local N2,750 vs imported N16,900. Blueberries 125g N5,720. Pineapple N1,300.</t>
        </is>
      </c>
      <c r="F3" s="39" t="inlineStr">
        <is>
          <t>None. Product descriptions suggest uses but there are no recipes.</t>
        </is>
      </c>
      <c r="G3" s="39" t="inlineStr">
        <is>
          <t>Origin-tiered variants on one product page. A ready-to-eat 'eat me' avocado pack.</t>
        </is>
      </c>
      <c r="H3" s="39" t="inlineStr">
        <is>
          <t>No recipes, no goal framing, no baskets.</t>
        </is>
      </c>
      <c r="I3" s="39" t="inlineStr">
        <is>
          <t>mintfoods.store</t>
        </is>
      </c>
    </row>
    <row r="4" ht="109.5" customHeight="1" s="26">
      <c r="A4" s="48" t="inlineStr">
        <is>
          <t>The Fresh Place</t>
        </is>
      </c>
      <c r="B4" s="39" t="inlineStr">
        <is>
          <t>Prepared health food + fruit</t>
        </is>
      </c>
      <c r="C4" s="39" t="inlineStr">
        <is>
          <t>Lekki, Lagos</t>
        </is>
      </c>
      <c r="D4" s="39" t="inlineStr">
        <is>
          <t>Juices, smoothies, parfaits, salad trays, fruit bundles, detox plans, single fruits and vegetables. Saturday delivery for bundles.</t>
        </is>
      </c>
      <c r="E4" s="39" t="inlineStr">
        <is>
          <t>Juices N3,500-N4,500. Salad trays N30,000-N50,000. Family Fruit Bundle N35,000. Local lemon/tangerine N300 each, imported orange N950, avocado N2,000-N2,500.</t>
        </is>
      </c>
      <c r="F4" s="39" t="inlineStr">
        <is>
          <t>Finished products (Mango-licious, Avo-Cardio, 24 Carrot Gold) rather than recipes.</t>
        </is>
      </c>
      <c r="G4" s="39" t="inlineStr">
        <is>
          <t>Occasion bundles (Work Week Juice Bundle) and fruit hampers.</t>
        </is>
      </c>
      <c r="H4" s="39" t="inlineStr">
        <is>
          <t>Their prepared items cost several times the raw produce. Basket recipes let people make the same drinks and salads at home.</t>
        </is>
      </c>
      <c r="I4" s="39" t="inlineStr">
        <is>
          <t>thefreshplace.ng</t>
        </is>
      </c>
    </row>
    <row r="5" ht="109.5" customHeight="1" s="26">
      <c r="A5" s="48" t="inlineStr">
        <is>
          <t>Home Basket by Aduke</t>
        </is>
      </c>
      <c r="B5" s="39" t="inlineStr">
        <is>
          <t>Online supermarket</t>
        </is>
      </c>
      <c r="C5" s="39" t="inlineStr">
        <is>
          <t>Lagos Island</t>
        </is>
      </c>
      <c r="D5" s="39" t="inlineStr">
        <is>
          <t>Groceries and pantry from a Sura market base, curated bundles, WhatsApp support.</t>
        </is>
      </c>
      <c r="E5" s="39" t="inlineStr">
        <is>
          <t>Not captured. Catalogue loads client-side.</t>
        </is>
      </c>
      <c r="F5" s="39" t="inlineStr">
        <is>
          <t>None visible.</t>
        </is>
      </c>
      <c r="G5" s="39" t="inlineStr">
        <is>
          <t>Market-adjacent sourcing story, curated bundles.</t>
        </is>
      </c>
      <c r="H5" s="39" t="inlineStr">
        <is>
          <t>Positioned as a general supermarket. Not health-led.</t>
        </is>
      </c>
      <c r="I5" s="39" t="inlineStr">
        <is>
          <t>homebasketng.com</t>
        </is>
      </c>
    </row>
    <row r="6" ht="109.5" customHeight="1" s="26">
      <c r="A6" s="48" t="inlineStr">
        <is>
          <t>Freshcart.ng</t>
        </is>
      </c>
      <c r="B6" s="39" t="inlineStr">
        <is>
          <t>Online produce</t>
        </is>
      </c>
      <c r="C6" s="39" t="inlineStr">
        <is>
          <t>Lagos</t>
        </is>
      </c>
      <c r="D6" s="39" t="inlineStr">
        <is>
          <t>Could not be checked. The site blocks automated access and has no indexed pages.</t>
        </is>
      </c>
      <c r="E6" s="39" t="inlineStr">
        <is>
          <t>-</t>
        </is>
      </c>
      <c r="F6" s="39" t="inlineStr">
        <is>
          <t>-</t>
        </is>
      </c>
      <c r="G6" s="39" t="inlineStr">
        <is>
          <t>-</t>
        </is>
      </c>
      <c r="H6" s="39" t="inlineStr">
        <is>
          <t>Check manually and on Instagram.</t>
        </is>
      </c>
      <c r="I6" s="39" t="inlineStr">
        <is>
          <t>freshcart.ng</t>
        </is>
      </c>
    </row>
    <row r="7" ht="109.5" customHeight="1" s="26">
      <c r="A7" s="48" t="inlineStr">
        <is>
          <t>Chef4Me</t>
        </is>
      </c>
      <c r="B7" s="39" t="inlineStr">
        <is>
          <t>Chef marketplace + meal delivery</t>
        </is>
      </c>
      <c r="C7" s="39" t="inlineStr">
        <is>
          <t>Lagos (US-registered)</t>
        </is>
      </c>
      <c r="D7" s="39" t="inlineStr">
        <is>
          <t>Hire private chefs, order home-cooked meals, and an assistant that suggests meals by health goal or by what you have at home. Blog content like a modern jollof guide.</t>
        </is>
      </c>
      <c r="E7" s="39" t="inlineStr">
        <is>
          <t>Per chef / per order.</t>
        </is>
      </c>
      <c r="F7" s="39" t="inlineStr">
        <is>
          <t>Chef-cooked meals, not cook-at-home recipes.</t>
        </is>
      </c>
      <c r="G7" s="39" t="inlineStr">
        <is>
          <t>Dietary preference capture during ordering.</t>
        </is>
      </c>
      <c r="H7" s="39" t="inlineStr">
        <is>
          <t>No produce. Basket can be the ingredient layer for people who want to cook themselves.</t>
        </is>
      </c>
      <c r="I7" s="39" t="inlineStr">
        <is>
          <t>chef4me.ai, Google Play listing</t>
        </is>
      </c>
    </row>
    <row r="8" ht="109.5" customHeight="1" s="26">
      <c r="A8" s="48" t="inlineStr">
        <is>
          <t>HelloFresh</t>
        </is>
      </c>
      <c r="B8" s="39" t="inlineStr">
        <is>
          <t>Meal kit</t>
        </is>
      </c>
      <c r="C8" s="39" t="inlineStr">
        <is>
          <t>US / global</t>
        </is>
      </c>
      <c r="D8" s="39" t="inlineStr">
        <is>
          <t>100+ weekly menu and market items. Menus: Meat &amp; Veggies, Veggie, Family Friendly, Fit &amp; Wholesome, Quick &amp; Easy, Pescatarian. 21+ protein and side swaps.</t>
        </is>
      </c>
      <c r="E8" s="39" t="inlineStr">
        <is>
          <t>About $8.99-$11.99 per serving.</t>
        </is>
      </c>
      <c r="F8" s="39" t="inlineStr">
        <is>
          <t>~30 min recipes, Quick &amp; Easy 20 min or less. Step-by-step photo cards with timings.</t>
        </is>
      </c>
      <c r="G8" s="39" t="inlineStr">
        <is>
          <t>Goal-named menus. Time on every card. Swap chips.</t>
        </is>
      </c>
      <c r="H8" s="39" t="inlineStr">
        <is>
          <t>Imported-ingredient model does not translate to Lagos. Recipe adaptation does.</t>
        </is>
      </c>
      <c r="I8" s="39" t="inlineStr">
        <is>
          <t>hellofresh.com, Plated Verdict, MealFan</t>
        </is>
      </c>
    </row>
    <row r="9" ht="109.5" customHeight="1" s="26">
      <c r="A9" s="48" t="inlineStr">
        <is>
          <t>Sunbasket</t>
        </is>
      </c>
      <c r="B9" s="39" t="inlineStr">
        <is>
          <t>Meal kit</t>
        </is>
      </c>
      <c r="C9" s="39" t="inlineStr">
        <is>
          <t>US</t>
        </is>
      </c>
      <c r="D9" s="39" t="inlineStr">
        <is>
          <t>Organic-leaning kits and semi-prepared meals with diet-led plans.</t>
        </is>
      </c>
      <c r="E9" s="39" t="inlineStr">
        <is>
          <t>Premium.</t>
        </is>
      </c>
      <c r="F9" s="39" t="inlineStr">
        <is>
          <t>Semi-prepared kits cut cooking time.</t>
        </is>
      </c>
      <c r="G9" s="39" t="inlineStr">
        <is>
          <t>Part-prepped produce as an add-on (relevant if Fresh Cuts returns).</t>
        </is>
      </c>
      <c r="H9" s="39" t="inlineStr">
        <is>
          <t>Price point far above Lagos mass market.</t>
        </is>
      </c>
      <c r="I9" s="39" t="inlineStr">
        <is>
          <t>Taste of Home 2026 review</t>
        </is>
      </c>
    </row>
    <row r="10" ht="109.5" customHeight="1" s="26">
      <c r="A10" s="48" t="inlineStr">
        <is>
          <t>Home Chef</t>
        </is>
      </c>
      <c r="B10" s="39" t="inlineStr">
        <is>
          <t>Meal kit</t>
        </is>
      </c>
      <c r="C10" s="39" t="inlineStr">
        <is>
          <t>US</t>
        </is>
      </c>
      <c r="D10" s="39" t="inlineStr">
        <is>
          <t>Classic kits, 15-minute kits, oven-ready and microwave meals. 'Customize It' protein swaps. Calorie- and carb-conscious filters.</t>
        </is>
      </c>
      <c r="E10" s="39" t="inlineStr">
        <is>
          <t>About $9.99 per serving; family plan minimums.</t>
        </is>
      </c>
      <c r="F10" s="39" t="inlineStr">
        <is>
          <t>Several effort levels in one menu.</t>
        </is>
      </c>
      <c r="G10" s="39" t="inlineStr">
        <is>
          <t>Effort tiers (no-cook / quick / standard) and protein swaps. Both are in the Recipes tab.</t>
        </is>
      </c>
      <c r="H10" s="39" t="inlineStr">
        <is>
          <t>Built around supplied proteins. Basket supplies produce only.</t>
        </is>
      </c>
      <c r="I10" s="39" t="inlineStr">
        <is>
          <t>Plated Verdict, The Meal Kit Review, MealDigest</t>
        </is>
      </c>
    </row>
    <row r="11" ht="109.5" customHeight="1" s="26">
      <c r="A11" s="48" t="inlineStr">
        <is>
          <t>Marley Spoon</t>
        </is>
      </c>
      <c r="B11" s="39" t="inlineStr">
        <is>
          <t>Meal kit</t>
        </is>
      </c>
      <c r="C11" s="39" t="inlineStr">
        <is>
          <t>US / EU / AU</t>
        </is>
      </c>
      <c r="D11" s="39" t="inlineStr">
        <is>
          <t>Martha Stewart-developed recipes. Large weekly menu with add-ons. Diet filters: low-carb, under 650 cal, Mediterranean, vegetarian, vegan, climatarian.</t>
        </is>
      </c>
      <c r="E11" s="39" t="inlineStr">
        <is>
          <t>About $9-$13 per serving.</t>
        </is>
      </c>
      <c r="F11" s="39" t="inlineStr">
        <is>
          <t>Seasonal, internationally inspired, more technique-heavy.</t>
        </is>
      </c>
      <c r="G11" s="39" t="inlineStr">
        <is>
          <t>Seasonal 'what's good this week' editorial. Diet filters.</t>
        </is>
      </c>
      <c r="H11" s="39" t="inlineStr">
        <is>
          <t>Basket can do seasonal editorial with real Nigerian seasons, which no international kit can.</t>
        </is>
      </c>
      <c r="I11" s="39" t="inlineStr">
        <is>
          <t>MealFan, MealDigest, The Meal Kit Review</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6FA35A"/>
    <outlinePr summaryBelow="1" summaryRight="1"/>
    <pageSetUpPr fitToPage="0"/>
  </sheetPr>
  <dimension ref="A1:C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2" customWidth="1" style="25" min="1" max="1"/>
    <col width="70" customWidth="1" style="25" min="2" max="2"/>
    <col width="50" customWidth="1" style="25" min="3" max="3"/>
  </cols>
  <sheetData>
    <row r="1" ht="31.5" customHeight="1" s="26">
      <c r="A1" s="36" t="inlineStr">
        <is>
          <t>Source</t>
        </is>
      </c>
      <c r="B1" s="36" t="inlineStr">
        <is>
          <t>URL</t>
        </is>
      </c>
      <c r="C1" s="36" t="inlineStr">
        <is>
          <t>Used for</t>
        </is>
      </c>
    </row>
    <row r="2" ht="15" customHeight="1" s="26">
      <c r="A2" s="39" t="inlineStr">
        <is>
          <t>SwanCape Farms homepage</t>
        </is>
      </c>
      <c r="B2" s="49" t="inlineStr">
        <is>
          <t>https://swancapefarms.com/</t>
        </is>
      </c>
      <c r="C2" s="39" t="inlineStr">
        <is>
          <t>Positioning, Weekly Veggie Box price</t>
        </is>
      </c>
    </row>
    <row r="3" ht="15" customHeight="1" s="26">
      <c r="A3" s="39" t="inlineStr">
        <is>
          <t>SwanCape Farms meal planner</t>
        </is>
      </c>
      <c r="B3" s="49" t="inlineStr">
        <is>
          <t>https://swancapefarms.com/meal-planner</t>
        </is>
      </c>
      <c r="C3" s="39" t="inlineStr">
        <is>
          <t>Planner flow and dish price estimates</t>
        </is>
      </c>
    </row>
    <row r="4" ht="15" customHeight="1" s="26">
      <c r="A4" s="39" t="inlineStr">
        <is>
          <t>Mint Foods produce collection</t>
        </is>
      </c>
      <c r="B4" s="49" t="inlineStr">
        <is>
          <t>https://mintfoods.store/collections/fresh-fruits-vegetables</t>
        </is>
      </c>
      <c r="C4" s="39" t="inlineStr">
        <is>
          <t>Product range, local vs imported variants, benchmark prices</t>
        </is>
      </c>
    </row>
    <row r="5" ht="15" customHeight="1" s="26">
      <c r="A5" s="39" t="inlineStr">
        <is>
          <t>The Fresh Place</t>
        </is>
      </c>
      <c r="B5" s="49" t="inlineStr">
        <is>
          <t>https://thefreshplace.ng/</t>
        </is>
      </c>
      <c r="C5" s="39" t="inlineStr">
        <is>
          <t>Product range, bundles, juices, benchmark prices</t>
        </is>
      </c>
    </row>
    <row r="6" ht="15" customHeight="1" s="26">
      <c r="A6" s="39" t="inlineStr">
        <is>
          <t>The Fresh Place fruits &amp; vegetables</t>
        </is>
      </c>
      <c r="B6" s="49" t="inlineStr">
        <is>
          <t>https://thefreshplace.ng/product-category/fruits-and-vegetables/</t>
        </is>
      </c>
      <c r="C6" s="39" t="inlineStr">
        <is>
          <t>Benchmark prices for 35 produce items, refreshed 17 Oct 2026</t>
        </is>
      </c>
    </row>
    <row r="7" ht="15" customHeight="1" s="26">
      <c r="A7" s="39" t="inlineStr">
        <is>
          <t>Home Basket by Aduke</t>
        </is>
      </c>
      <c r="B7" s="49" t="inlineStr">
        <is>
          <t>https://www.homebasketng.com/</t>
        </is>
      </c>
      <c r="C7" s="39" t="inlineStr">
        <is>
          <t>Positioning</t>
        </is>
      </c>
    </row>
    <row r="8" ht="15" customHeight="1" s="26">
      <c r="A8" s="39" t="inlineStr">
        <is>
          <t>Chef4Me</t>
        </is>
      </c>
      <c r="B8" s="49" t="inlineStr">
        <is>
          <t>https://chef4me.ai/</t>
        </is>
      </c>
      <c r="C8" s="39" t="inlineStr">
        <is>
          <t>Product description</t>
        </is>
      </c>
    </row>
    <row r="9" ht="15" customHeight="1" s="26">
      <c r="A9" s="39" t="inlineStr">
        <is>
          <t>Chef4Me on Google Play</t>
        </is>
      </c>
      <c r="B9" s="49" t="inlineStr">
        <is>
          <t>https://play.google.com/store/apps/details?id=com.chefuser</t>
        </is>
      </c>
      <c r="C9" s="39" t="inlineStr">
        <is>
          <t>Product description</t>
        </is>
      </c>
    </row>
    <row r="10" ht="23.85" customHeight="1" s="26">
      <c r="A10" s="39" t="inlineStr">
        <is>
          <t>Kitchen Butterfly: Nigerian Seasonal Produce Calendar V1.3 (2018)</t>
        </is>
      </c>
      <c r="B10" s="49" t="inlineStr">
        <is>
          <t>https://www.kitchenbutterfly.com/wp-content/uploads/2018/01/2018_Nigerian_SeasonalProduceCalendar_V1.3.pdf</t>
        </is>
      </c>
      <c r="C10" s="39" t="inlineStr">
        <is>
          <t>Season months for 'Sourced' rows</t>
        </is>
      </c>
    </row>
    <row r="11" ht="15" customHeight="1" s="26">
      <c r="A11" s="39" t="inlineStr">
        <is>
          <t>Kitchen Butterfly: Nigeria's dry season produce</t>
        </is>
      </c>
      <c r="B11" s="49" t="inlineStr">
        <is>
          <t>https://www.kitchenbutterfly.com/nigerias-dry-seasons-produce-januaryfebruary/</t>
        </is>
      </c>
      <c r="C11" s="39" t="inlineStr">
        <is>
          <t>Agbalumo, citrus, watermelon notes</t>
        </is>
      </c>
    </row>
    <row r="12" ht="15" customHeight="1" s="26">
      <c r="A12" s="39" t="inlineStr">
        <is>
          <t>Kitchen Butterfly: dry-wet season produce</t>
        </is>
      </c>
      <c r="B12" s="49" t="inlineStr">
        <is>
          <t>https://www.kitchenbutterfly.com/nigerias-dry-wet-seasons-produce-februarymarch/</t>
        </is>
      </c>
      <c r="C12" s="39" t="inlineStr">
        <is>
          <t>Soursop, guava, velvet tamarind, local names</t>
        </is>
      </c>
    </row>
    <row r="13" ht="15" customHeight="1" s="26">
      <c r="A13" s="39" t="inlineStr">
        <is>
          <t>HelloFresh: best meal kits 2026</t>
        </is>
      </c>
      <c r="B13" s="49" t="inlineStr">
        <is>
          <t>https://www.hellofresh.com/stories/research/top-meal-kit-reviews</t>
        </is>
      </c>
      <c r="C13" s="39" t="inlineStr">
        <is>
          <t>Meal-kit formats and timings</t>
        </is>
      </c>
    </row>
    <row r="14" ht="15" customHeight="1" s="26">
      <c r="A14" s="39" t="inlineStr">
        <is>
          <t>Plated Verdict: best meal kits 2026</t>
        </is>
      </c>
      <c r="B14" s="49" t="inlineStr">
        <is>
          <t>https://platedverdict.com/guides/best-meal-kits/</t>
        </is>
      </c>
      <c r="C14" s="39" t="inlineStr">
        <is>
          <t>HelloFresh menus, Home Chef pricing</t>
        </is>
      </c>
    </row>
    <row r="15" ht="15" customHeight="1" s="26">
      <c r="A15" s="39" t="inlineStr">
        <is>
          <t>MealFan: Marley Spoon vs HelloFresh</t>
        </is>
      </c>
      <c r="B15" s="49" t="inlineStr">
        <is>
          <t>https://mealfan.com/marley-spoon-vs-hellofresh/</t>
        </is>
      </c>
      <c r="C15" s="39" t="inlineStr">
        <is>
          <t>Menu categories, diet filters, card format</t>
        </is>
      </c>
    </row>
    <row r="16" ht="15" customHeight="1" s="26">
      <c r="A16" s="39" t="inlineStr">
        <is>
          <t>The Meal Kit Review: Home Chef vs Marley Spoon</t>
        </is>
      </c>
      <c r="B16" s="49" t="inlineStr">
        <is>
          <t>https://www.themealkitreview.com/compare/home-chef-vs-marley-spoon/</t>
        </is>
      </c>
      <c r="C16" s="39" t="inlineStr">
        <is>
          <t>Effort tiers, Customize It</t>
        </is>
      </c>
    </row>
    <row r="17" ht="15" customHeight="1" s="26">
      <c r="A17" s="39" t="inlineStr">
        <is>
          <t>MealDigest: Home Chef vs Marley Spoon</t>
        </is>
      </c>
      <c r="B17" s="49" t="inlineStr">
        <is>
          <t>https://mealdigest.com/blog/home-chef-vs-marley-spoon-variety</t>
        </is>
      </c>
      <c r="C17" s="39" t="inlineStr">
        <is>
          <t>Menu size, customization</t>
        </is>
      </c>
    </row>
    <row r="18" ht="15" customHeight="1" s="26">
      <c r="A18" s="39" t="inlineStr">
        <is>
          <t>Taste of Home: best meal kits 2026</t>
        </is>
      </c>
      <c r="B18" s="49" t="inlineStr">
        <is>
          <t>https://www.tasteofhome.com/article/best-meal-kit-delivery-2026/</t>
        </is>
      </c>
      <c r="C18" s="39" t="inlineStr">
        <is>
          <t>Sunbasket semi-prepared kits</t>
        </is>
      </c>
    </row>
  </sheetData>
  <hyperlinks>
    <hyperlink xmlns:r="http://schemas.openxmlformats.org/officeDocument/2006/relationships" ref="B2" display="https://swancapefarms.com/" r:id="rId1"/>
    <hyperlink xmlns:r="http://schemas.openxmlformats.org/officeDocument/2006/relationships" ref="B3" display="https://swancapefarms.com/meal-planner" r:id="rId2"/>
    <hyperlink xmlns:r="http://schemas.openxmlformats.org/officeDocument/2006/relationships" ref="B4" display="https://mintfoods.store/collections/fresh-fruits-vegetables" r:id="rId3"/>
    <hyperlink xmlns:r="http://schemas.openxmlformats.org/officeDocument/2006/relationships" ref="B5" display="https://thefreshplace.ng/" r:id="rId4"/>
    <hyperlink xmlns:r="http://schemas.openxmlformats.org/officeDocument/2006/relationships" ref="B6" display="https://thefreshplace.ng/product-category/fruits-and-vegetables/" r:id="rId5"/>
    <hyperlink xmlns:r="http://schemas.openxmlformats.org/officeDocument/2006/relationships" ref="B7" display="https://www.homebasketng.com/" r:id="rId6"/>
    <hyperlink xmlns:r="http://schemas.openxmlformats.org/officeDocument/2006/relationships" ref="B8" display="https://chef4me.ai/" r:id="rId7"/>
    <hyperlink xmlns:r="http://schemas.openxmlformats.org/officeDocument/2006/relationships" ref="B9" display="https://play.google.com/store/apps/details?id=com.chefuser" r:id="rId8"/>
    <hyperlink xmlns:r="http://schemas.openxmlformats.org/officeDocument/2006/relationships" ref="B10" display="https://www.kitchenbutterfly.com/wp-content/uploads/2018/01/2018_Nigerian_SeasonalProduceCalendar_V1.3.pdf" r:id="rId9"/>
    <hyperlink xmlns:r="http://schemas.openxmlformats.org/officeDocument/2006/relationships" ref="B11" display="https://www.kitchenbutterfly.com/nigerias-dry-seasons-produce-januaryfebruary/" r:id="rId10"/>
    <hyperlink xmlns:r="http://schemas.openxmlformats.org/officeDocument/2006/relationships" ref="B12" display="https://www.kitchenbutterfly.com/nigerias-dry-wet-seasons-produce-februarymarch/" r:id="rId11"/>
    <hyperlink xmlns:r="http://schemas.openxmlformats.org/officeDocument/2006/relationships" ref="B13" display="https://www.hellofresh.com/stories/research/top-meal-kit-reviews" r:id="rId12"/>
    <hyperlink xmlns:r="http://schemas.openxmlformats.org/officeDocument/2006/relationships" ref="B14" display="https://platedverdict.com/guides/best-meal-kits/" r:id="rId13"/>
    <hyperlink xmlns:r="http://schemas.openxmlformats.org/officeDocument/2006/relationships" ref="B15" display="https://mealfan.com/marley-spoon-vs-hellofresh/" r:id="rId14"/>
    <hyperlink xmlns:r="http://schemas.openxmlformats.org/officeDocument/2006/relationships" ref="B16" display="https://www.themealkitreview.com/compare/home-chef-vs-marley-spoon/" r:id="rId15"/>
    <hyperlink xmlns:r="http://schemas.openxmlformats.org/officeDocument/2006/relationships" ref="B17" display="https://mealdigest.com/blog/home-chef-vs-marley-spoon-variety" r:id="rId16"/>
    <hyperlink xmlns:r="http://schemas.openxmlformats.org/officeDocument/2006/relationships" ref="B18" display="https://www.tasteofhome.com/article/best-meal-kit-delivery-2026/" r:id="rId17"/>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2026-10-11T06:31:49Z</dcterms:created>
  <dcterms:modified xsi:type="dcterms:W3CDTF">2026-10-17T14:24:49Z</dcterms:modified>
  <cp:revision>0</cp:revision>
</cp:coreProperties>
</file>